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187" activeTab="11"/>
  </bookViews>
  <sheets>
    <sheet name="修改记录" sheetId="3" r:id="rId1"/>
    <sheet name="gis图层" sheetId="2" r:id="rId2"/>
    <sheet name="导航应用" sheetId="1" r:id="rId3"/>
    <sheet name="D1" sheetId="4" r:id="rId4"/>
    <sheet name="D2" sheetId="5" r:id="rId5"/>
    <sheet name="D3" sheetId="6" r:id="rId6"/>
    <sheet name="D4" sheetId="7" r:id="rId7"/>
    <sheet name="D5" sheetId="8" r:id="rId8"/>
    <sheet name="D6" sheetId="9" r:id="rId9"/>
    <sheet name="D7" sheetId="10" r:id="rId10"/>
    <sheet name="D8" sheetId="11" r:id="rId11"/>
    <sheet name="D9" sheetId="12" r:id="rId12"/>
    <sheet name="D10" sheetId="13" r:id="rId13"/>
    <sheet name="L1" sheetId="14" r:id="rId14"/>
    <sheet name="L2" sheetId="15" r:id="rId15"/>
    <sheet name="L3" sheetId="16" r:id="rId16"/>
    <sheet name="L4" sheetId="17" r:id="rId17"/>
    <sheet name="L5" sheetId="18" r:id="rId18"/>
    <sheet name="L6" sheetId="19" r:id="rId19"/>
    <sheet name="L7" sheetId="20" r:id="rId20"/>
    <sheet name="L8" sheetId="21" r:id="rId21"/>
    <sheet name="L9" sheetId="22" r:id="rId22"/>
    <sheet name="L10" sheetId="23" r:id="rId23"/>
    <sheet name="L11" sheetId="24" r:id="rId24"/>
    <sheet name="L12" sheetId="25" r:id="rId25"/>
    <sheet name="L13" sheetId="26" r:id="rId26"/>
    <sheet name="L14" sheetId="27" r:id="rId27"/>
    <sheet name="L15" sheetId="28" r:id="rId28"/>
    <sheet name="L16" sheetId="29" r:id="rId29"/>
    <sheet name="L17" sheetId="30" r:id="rId30"/>
    <sheet name="L18" sheetId="31" r:id="rId31"/>
    <sheet name="L19" sheetId="32" r:id="rId32"/>
    <sheet name="L20" sheetId="33" r:id="rId33"/>
    <sheet name="wz1" sheetId="34" r:id="rId34"/>
    <sheet name="wz2" sheetId="35" r:id="rId35"/>
    <sheet name="wz3" sheetId="36" r:id="rId36"/>
    <sheet name="wz4" sheetId="37" r:id="rId37"/>
  </sheets>
  <externalReferences>
    <externalReference r:id="rId38"/>
  </externalReferences>
  <definedNames>
    <definedName name="_xlnm._FilterDatabase" localSheetId="10" hidden="1">'D8'!$A$13:$N$42</definedName>
    <definedName name="_xlnm._FilterDatabase" localSheetId="13" hidden="1">'L1'!$B$11:$N$295</definedName>
    <definedName name="_xlnm._FilterDatabase" localSheetId="14" hidden="1">'L2'!$A$12:$N$119</definedName>
    <definedName name="_xlnm._FilterDatabase" localSheetId="20" hidden="1">'L8'!$A$11:$N$344</definedName>
    <definedName name="_xlnm._FilterDatabase" localSheetId="21" hidden="1">'L9'!$A$12:$N$321</definedName>
    <definedName name="_xlnm._FilterDatabase" localSheetId="22" hidden="1">'L10'!$A$12:$L$332</definedName>
    <definedName name="_xlnm._FilterDatabase" localSheetId="25" hidden="1">'L13'!$A$15:$N$273</definedName>
    <definedName name="_xlnm._FilterDatabase" localSheetId="26" hidden="1">'L14'!$A$13:$N$277</definedName>
    <definedName name="_xlnm._FilterDatabase" localSheetId="27" hidden="1">'L15'!$A$16:$N$461</definedName>
    <definedName name="_xlnm._FilterDatabase" localSheetId="28" hidden="1">'L16'!$A$16:$S$355</definedName>
    <definedName name="_xlnm._FilterDatabase" localSheetId="31" hidden="1">'L19'!$B$12:$L$455</definedName>
    <definedName name="_xlnm._FilterDatabase" localSheetId="29" hidden="1">'L17'!$A$11:$N$224</definedName>
    <definedName name="_xlnm._FilterDatabase" localSheetId="30" hidden="1">'L18'!$A$11:$N$11</definedName>
    <definedName name="_xlnm._FilterDatabase" localSheetId="17" hidden="1">'L5'!$A$11:$N$220</definedName>
    <definedName name="_xlnm._FilterDatabase" localSheetId="33" hidden="1">'wz1'!$A$12:$N$30</definedName>
    <definedName name="_xlnm._FilterDatabase" localSheetId="34" hidden="1">'wz2'!$A$12:$N$30</definedName>
    <definedName name="_xlnm._FilterDatabase" localSheetId="35" hidden="1">'wz3'!$A$11:$N$38</definedName>
    <definedName name="_xlnm._FilterDatabase" localSheetId="36" hidden="1">'wz4'!$A$11:$N$29</definedName>
    <definedName name="DT.10" comment="主小区MR详细信息AGPS">[1]A.无线覆盖!#REF!</definedName>
    <definedName name="DT.11" comment="主小区MR详细信息全量室内外">[1]A.无线覆盖!#REF!</definedName>
    <definedName name="主小区MR详细信息AGPS" comment="主小区MR详细信息AGPS">#REF!</definedName>
    <definedName name="主小区MR详细信息全量室内外" comment="主小区MR详细信息全量室内外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<sst xmlns="http://schemas.openxmlformats.org/spreadsheetml/2006/main" count="31611" uniqueCount="6217">
  <si>
    <t>No.</t>
  </si>
  <si>
    <t>应用名</t>
  </si>
  <si>
    <t>版本号</t>
  </si>
  <si>
    <t xml:space="preserve">拟制人/\ 修改人 </t>
  </si>
  <si>
    <t>拟制/修改日期</t>
  </si>
  <si>
    <t>更改理由</t>
  </si>
  <si>
    <t xml:space="preserve">主要更改内容 （写要点即可） </t>
  </si>
  <si>
    <t>序号</t>
  </si>
  <si>
    <t>链接</t>
  </si>
  <si>
    <t>英文名</t>
  </si>
  <si>
    <t>模型名</t>
  </si>
  <si>
    <t>同步数据库</t>
  </si>
  <si>
    <t>对应页面</t>
  </si>
  <si>
    <t>备注</t>
  </si>
  <si>
    <t>车联网</t>
  </si>
  <si>
    <t>D1</t>
  </si>
  <si>
    <t>dm_iov_cover_user_detailed_d</t>
  </si>
  <si>
    <t>用户覆盖详单天表</t>
  </si>
  <si>
    <t>同步doris</t>
  </si>
  <si>
    <t>用户感知概览查询_中间地图mr轨迹
用户感知详情回溯_右上地图mr轨迹</t>
  </si>
  <si>
    <t>应用表</t>
  </si>
  <si>
    <t>是</t>
  </si>
  <si>
    <t>D2</t>
  </si>
  <si>
    <t>dm_iov_perception_user_app_d</t>
  </si>
  <si>
    <t>用户应用感知天表</t>
  </si>
  <si>
    <t>用户感知概览查询_右中应用感知-整体
用户感知详情回溯_左中应用感知-整体</t>
  </si>
  <si>
    <t>D3</t>
  </si>
  <si>
    <t>dm_iov_perception_user_d</t>
  </si>
  <si>
    <t>用户感知天表</t>
  </si>
  <si>
    <t>用户感知概览查询_左上用户基础信息
用户感知概览查询_左下出行轨迹-整体感知
用户感知概览查询_右上占用小区数-整体
用户感知概览查询_右上网络分析-整体
用户感知概览查询_右下感知诊断-整体</t>
  </si>
  <si>
    <t>D4</t>
  </si>
  <si>
    <t>dm_iov_perception_user_road_app_d</t>
  </si>
  <si>
    <t>用户路段应用感知天表</t>
  </si>
  <si>
    <t>用户感知概览查询_右中应用感知-路段 
用户感知详情回溯_左中应用感知-路段</t>
  </si>
  <si>
    <t>D5</t>
  </si>
  <si>
    <t>dm_iov_perception_user_road_d</t>
  </si>
  <si>
    <t>用户路段感知天表</t>
  </si>
  <si>
    <t>用户感知概览查询_左下出行轨迹-路段感知
用户感知概览查询_右上占用小区数-路段
用户感知概览查询_右上网络分析-路段
用户感知概览查询_右下感知诊断-路段
用户感知详情回溯_左上性能指标-路段</t>
  </si>
  <si>
    <t>D6</t>
  </si>
  <si>
    <t>dm_iov_data_perception_user_5min_d</t>
  </si>
  <si>
    <t>用户数据业务感知5分钟汇聚天表</t>
  </si>
  <si>
    <t>用户感知概览查询_左中用户感知趋势图</t>
  </si>
  <si>
    <t>D7</t>
  </si>
  <si>
    <t>dm_iov_perception_user_detailed_d</t>
  </si>
  <si>
    <t>用户感知详单天表</t>
  </si>
  <si>
    <t>用户感知详情回溯_下方感知回溯表格</t>
  </si>
  <si>
    <t>D8</t>
  </si>
  <si>
    <t>dm_iov_perception_region_shared_d</t>
  </si>
  <si>
    <t>车联网全网体验覆盖指标天表</t>
  </si>
  <si>
    <t>全国/省级运营大屏_中上整体感知指标
全国/省级运营大屏_中间地图感知指标
全国/省级运营大屏_右上用户体验评分
全国/省级运营大屏_右中左边3个指标
全国/省级运营大屏_右下路网覆盖</t>
  </si>
  <si>
    <t>D9</t>
  </si>
  <si>
    <t>dm_iov_perception_region_topapp_shared_d</t>
  </si>
  <si>
    <t>车联网区域topapp感知天表</t>
  </si>
  <si>
    <t>全国/省级运营大屏_左下应用感知</t>
  </si>
  <si>
    <t>D10</t>
  </si>
  <si>
    <t>dm_iov_site_sector_d_2gis</t>
  </si>
  <si>
    <t>车联网基站扇区天表</t>
  </si>
  <si>
    <t>同步gis</t>
  </si>
  <si>
    <t>用户感知概览查询_中间地图基站扇区图</t>
  </si>
  <si>
    <t>L1</t>
  </si>
  <si>
    <t>aggr_4gdpi_http_base_q</t>
  </si>
  <si>
    <t>4G http指标时刻表</t>
  </si>
  <si>
    <t>L2</t>
  </si>
  <si>
    <t>aggr_4gdpi_https_base_q</t>
  </si>
  <si>
    <t>4G https指标时刻表</t>
  </si>
  <si>
    <t>L3</t>
  </si>
  <si>
    <t>aggr_5gdpi_s1uhttp_base_q</t>
  </si>
  <si>
    <t>5G终端在4G http中指标时刻表</t>
  </si>
  <si>
    <t>L4</t>
  </si>
  <si>
    <t>aggr_5gdpi_s1uhttps_base_q</t>
  </si>
  <si>
    <t>5G终端在4G https中指标时刻表</t>
  </si>
  <si>
    <t>L5</t>
  </si>
  <si>
    <t>aggr_4gdpi_video_base_q</t>
  </si>
  <si>
    <t>4G video指标时刻表</t>
  </si>
  <si>
    <t>L6</t>
  </si>
  <si>
    <t>aggr_lte_cover_usercell_q</t>
  </si>
  <si>
    <t>4G用户小区维度MR时刻指标</t>
  </si>
  <si>
    <t>L7</t>
  </si>
  <si>
    <t>aggr_lte_s1mme_usercell_q</t>
  </si>
  <si>
    <t>4G s1mme指标时刻表</t>
  </si>
  <si>
    <t>L8</t>
  </si>
  <si>
    <t>aggr_5gdpi_http_base_q</t>
  </si>
  <si>
    <t>5G http指标时刻表</t>
  </si>
  <si>
    <t>L9</t>
  </si>
  <si>
    <t>aggr_5gdpi_https_base_q</t>
  </si>
  <si>
    <t>5G https指标时刻表</t>
  </si>
  <si>
    <t>L10</t>
  </si>
  <si>
    <t>aggr_5gdpi_video_base_q</t>
  </si>
  <si>
    <t>5G video指标时刻表</t>
  </si>
  <si>
    <t>L11</t>
  </si>
  <si>
    <t>aggr_nr_cover_usercell_q</t>
  </si>
  <si>
    <t>5G用户小区维度MR时刻指标</t>
  </si>
  <si>
    <t>L12</t>
  </si>
  <si>
    <t>aggr_nr_n1n2_usercell_q</t>
  </si>
  <si>
    <t>5G n1n2指标时刻表</t>
  </si>
  <si>
    <t>L13</t>
  </si>
  <si>
    <t>aggr_4gdpi_celluserappip_q</t>
  </si>
  <si>
    <t>4g全业务应用4大维度时刻表</t>
  </si>
  <si>
    <t>L14</t>
  </si>
  <si>
    <t>aggr_5gdpi_celluserappip_q</t>
  </si>
  <si>
    <t>5g全业务应用4大维度时刻表</t>
  </si>
  <si>
    <t>L15</t>
  </si>
  <si>
    <t>dm_lte_perception_comprehensive_usercell_q</t>
  </si>
  <si>
    <t>用户4g小区维度综合指标时刻表</t>
  </si>
  <si>
    <t>L16</t>
  </si>
  <si>
    <t>dm_nr_perception_comprehensive_usercell_q</t>
  </si>
  <si>
    <t>用户5g小区维度综合指标时刻表</t>
  </si>
  <si>
    <t>L17</t>
  </si>
  <si>
    <t>aggr_4gdpi_celluserappip_d</t>
  </si>
  <si>
    <t>4g全业务应用4大维度天表</t>
  </si>
  <si>
    <t>L18</t>
  </si>
  <si>
    <t>aggr_5gdpi_celluserappip_d</t>
  </si>
  <si>
    <t>5g全业务应用4大维度天表</t>
  </si>
  <si>
    <t>L19</t>
  </si>
  <si>
    <t>dm_lte_perception_comprehensive_usercell_d</t>
  </si>
  <si>
    <t>用户4g小区维度综合指标天表</t>
  </si>
  <si>
    <t>L20</t>
  </si>
  <si>
    <t>dm_nr_perception_comprehensive_usercell_d</t>
  </si>
  <si>
    <t>用户5g小区维度综合指标天表</t>
  </si>
  <si>
    <t>wz1</t>
  </si>
  <si>
    <t>ods_45gmr_location_h</t>
  </si>
  <si>
    <t>45G用户经纬度回填表</t>
  </si>
  <si>
    <t>flink程序处理</t>
  </si>
  <si>
    <t>wz2</t>
  </si>
  <si>
    <t>fact_45gmr_user_trips_main_d</t>
  </si>
  <si>
    <t>45G用户出行轨迹概览表</t>
  </si>
  <si>
    <t>wz3</t>
  </si>
  <si>
    <t>fact_45gmr_user_trips_detail_d</t>
  </si>
  <si>
    <t>45G用户轨迹明细表</t>
  </si>
  <si>
    <t>wz4</t>
  </si>
  <si>
    <t>dm_user_line_d</t>
  </si>
  <si>
    <t>用户出行轨迹感知表</t>
  </si>
  <si>
    <t>目标表基本信息描述</t>
  </si>
  <si>
    <t>主题域</t>
  </si>
  <si>
    <t>目标表英文名</t>
  </si>
  <si>
    <t>目标表中文名</t>
  </si>
  <si>
    <t>数据频度</t>
  </si>
  <si>
    <t>模型主键</t>
  </si>
  <si>
    <t>数据描述</t>
  </si>
  <si>
    <t>推送数据库</t>
  </si>
  <si>
    <t>D: Daily</t>
  </si>
  <si>
    <t>绿色字段</t>
  </si>
  <si>
    <t>源表基本信息描述</t>
  </si>
  <si>
    <t>来源系统</t>
  </si>
  <si>
    <t>源表英文名</t>
  </si>
  <si>
    <t>源表中文名</t>
  </si>
  <si>
    <t>别名</t>
  </si>
  <si>
    <t>任务描述</t>
  </si>
  <si>
    <t>是否主表</t>
  </si>
  <si>
    <t>dtsw</t>
  </si>
  <si>
    <t>45G融合感知轨迹详单表</t>
  </si>
  <si>
    <t>a</t>
  </si>
  <si>
    <t>mr 回填经纬度后的详单</t>
  </si>
  <si>
    <t>筛选车联网号码</t>
  </si>
  <si>
    <t>需要接入</t>
  </si>
  <si>
    <t>45g融合工参</t>
  </si>
  <si>
    <t>b</t>
  </si>
  <si>
    <t>cellkey关联</t>
  </si>
  <si>
    <t>详细字段信息</t>
  </si>
  <si>
    <t>PDM字段英文名</t>
  </si>
  <si>
    <t>PDM字段类型</t>
  </si>
  <si>
    <t>PDM字段中文名（说明）</t>
  </si>
  <si>
    <t>源表名</t>
  </si>
  <si>
    <t>源字段英文名</t>
  </si>
  <si>
    <t>算法加工逻辑</t>
  </si>
  <si>
    <t>关联与过滤条件</t>
  </si>
  <si>
    <t>字段属性</t>
  </si>
  <si>
    <t>单位</t>
  </si>
  <si>
    <t>取值范围</t>
  </si>
  <si>
    <t>provincecode</t>
  </si>
  <si>
    <t>int</t>
  </si>
  <si>
    <t>省</t>
  </si>
  <si>
    <t>直取</t>
  </si>
  <si>
    <t>维度</t>
  </si>
  <si>
    <t>day</t>
  </si>
  <si>
    <t>string</t>
  </si>
  <si>
    <t>天</t>
  </si>
  <si>
    <t>p_date</t>
  </si>
  <si>
    <t>citycode</t>
  </si>
  <si>
    <t>地市</t>
  </si>
  <si>
    <t>districtcode</t>
  </si>
  <si>
    <t>区县</t>
  </si>
  <si>
    <t>province</t>
  </si>
  <si>
    <t>省名称</t>
  </si>
  <si>
    <t>city</t>
  </si>
  <si>
    <t>地市名称</t>
  </si>
  <si>
    <t>district</t>
  </si>
  <si>
    <t>区县名称</t>
  </si>
  <si>
    <t>msisdn</t>
  </si>
  <si>
    <t>用户号码</t>
  </si>
  <si>
    <t>mdn</t>
  </si>
  <si>
    <t>imsi</t>
  </si>
  <si>
    <t>国际移动用户识别码</t>
  </si>
  <si>
    <t>segment_id</t>
  </si>
  <si>
    <t>用户路段id</t>
  </si>
  <si>
    <t>segment_rn</t>
  </si>
  <si>
    <t>用户行程次序，如：1,2,3</t>
  </si>
  <si>
    <t>datetime</t>
  </si>
  <si>
    <t>测量时间</t>
  </si>
  <si>
    <t>least(split(datetime,'$'))</t>
  </si>
  <si>
    <t>route_point_id</t>
  </si>
  <si>
    <t>匹配的道路端点id（可以应用于路径规划）</t>
  </si>
  <si>
    <t>route_point_lon</t>
  </si>
  <si>
    <t>double</t>
  </si>
  <si>
    <t>道路端点经度</t>
  </si>
  <si>
    <t>route_point_lat</t>
  </si>
  <si>
    <t>道路端点维度</t>
  </si>
  <si>
    <t>rattype</t>
  </si>
  <si>
    <t>网络类型</t>
  </si>
  <si>
    <t>网络类型（4G、5G）</t>
  </si>
  <si>
    <t>4G、5G</t>
  </si>
  <si>
    <t>cellkey</t>
  </si>
  <si>
    <t>基站小区id用_连接</t>
  </si>
  <si>
    <t>cellname</t>
  </si>
  <si>
    <t>小区名称</t>
  </si>
  <si>
    <t>vendor</t>
  </si>
  <si>
    <t>所属厂家</t>
  </si>
  <si>
    <t>cell_lon</t>
  </si>
  <si>
    <t>小区经度</t>
  </si>
  <si>
    <t>cell_lat</t>
  </si>
  <si>
    <t>小区纬度</t>
  </si>
  <si>
    <t>rsrp</t>
  </si>
  <si>
    <t>指标</t>
  </si>
  <si>
    <t>dbm</t>
  </si>
  <si>
    <t>[-140,-44]</t>
  </si>
  <si>
    <t>rsrq</t>
  </si>
  <si>
    <t>db</t>
  </si>
  <si>
    <t>[-43,20]</t>
  </si>
  <si>
    <t>mr_cnt</t>
  </si>
  <si>
    <t>bigint</t>
  </si>
  <si>
    <t>mr点数</t>
  </si>
  <si>
    <t>个</t>
  </si>
  <si>
    <t>[0,∞)</t>
  </si>
  <si>
    <t>weak_cover_flag</t>
  </si>
  <si>
    <t>是否弱覆盖</t>
  </si>
  <si>
    <t>case when rsrp&lt;-110 then 1 else 0 end</t>
  </si>
  <si>
    <t>0：非弱覆盖
1：弱覆盖</t>
  </si>
  <si>
    <t>枚举</t>
  </si>
  <si>
    <t>{0，1}</t>
  </si>
  <si>
    <t>p_provincecode</t>
  </si>
  <si>
    <t>省分区</t>
  </si>
  <si>
    <t>ab表取对应字段union all   ，再按msisdn,imsi,imei,servicetype维度汇聚</t>
  </si>
  <si>
    <t>ab</t>
  </si>
  <si>
    <t>用户imsi</t>
  </si>
  <si>
    <t>imei</t>
  </si>
  <si>
    <t>用户imei</t>
  </si>
  <si>
    <t>servicetype</t>
  </si>
  <si>
    <t>业务应用ID</t>
  </si>
  <si>
    <t>app_type</t>
  </si>
  <si>
    <t>一级应用类型名称</t>
  </si>
  <si>
    <t>sub_app_name</t>
  </si>
  <si>
    <t>二级应用类型名称</t>
  </si>
  <si>
    <t>app_name</t>
  </si>
  <si>
    <t>service_cnt</t>
  </si>
  <si>
    <t>业务次数</t>
  </si>
  <si>
    <t>total_cnt</t>
  </si>
  <si>
    <t>sum(total_cnt)</t>
  </si>
  <si>
    <t>service_duration</t>
  </si>
  <si>
    <t>业务时长_分钟</t>
  </si>
  <si>
    <t>sum(service_duration)/60000</t>
  </si>
  <si>
    <t>应用取TOP3</t>
  </si>
  <si>
    <t>分钟</t>
  </si>
  <si>
    <t>service_flux_mb</t>
  </si>
  <si>
    <t>业务流量MB</t>
  </si>
  <si>
    <t>service_flux</t>
  </si>
  <si>
    <t>sum(service_flux)/1024/1024</t>
  </si>
  <si>
    <t>MByte</t>
  </si>
  <si>
    <t>data_score</t>
  </si>
  <si>
    <t>数据业务评分</t>
  </si>
  <si>
    <t>is_poorquality_num,total_num</t>
  </si>
  <si>
    <t>(1-sum(is_poorquality_num)/sum(total_num))*100</t>
  </si>
  <si>
    <t>应用感知</t>
  </si>
  <si>
    <t xml:space="preserve">第一步：AB fulljoin ，再按 msisdn,imsi,imei汇聚  --R1
第二步：A按msisdn,imsi,imei汇聚  --R2
第三步：B按msisdn,imsi,imei汇聚  --R3
第四步：R1 left join R2 on msisdn,imsi,imei left join R3 on msisdn,imsi,imei  --R4
第五步：R4 left join C on msisdn,imsi,imei </t>
  </si>
  <si>
    <t>ods_sim_resources_d</t>
  </si>
  <si>
    <t>号卡资源数据</t>
  </si>
  <si>
    <t>c</t>
  </si>
  <si>
    <t>car_brand</t>
  </si>
  <si>
    <t>汽车品牌</t>
  </si>
  <si>
    <t>brand</t>
  </si>
  <si>
    <t>car_model</t>
  </si>
  <si>
    <t>汽车型号</t>
  </si>
  <si>
    <t>brand_model</t>
  </si>
  <si>
    <t>odsStatus</t>
  </si>
  <si>
    <t>终端产品状态</t>
  </si>
  <si>
    <t>null</t>
  </si>
  <si>
    <t>暂无</t>
  </si>
  <si>
    <t>active_date</t>
  </si>
  <si>
    <t>用户入网日期</t>
  </si>
  <si>
    <t>nr_residency_ratio</t>
  </si>
  <si>
    <t>5G驻留比</t>
  </si>
  <si>
    <t>sum(b.service_duration)/sum(a.service_duration+b.service_duration)</t>
  </si>
  <si>
    <t>nr_split_ratio</t>
  </si>
  <si>
    <t>5G分流比</t>
  </si>
  <si>
    <t>sum(b.service_flux)/sum(a.service_flux+b.service_flux)</t>
  </si>
  <si>
    <t>cover_score</t>
  </si>
  <si>
    <t>覆盖感知评分</t>
  </si>
  <si>
    <t>(1-sum(a.less110_rsrp_cnt+b.less110_ssrsrp_cnt)/sum(a.total_rsrp_cnt+b.total_ssrsrp_cnt))*100</t>
  </si>
  <si>
    <t>(1-sum(a.total_badcnt+b.total_badcnt)/sum(a.total_cnt+b.total_cnt))*100</t>
  </si>
  <si>
    <t>event_score</t>
  </si>
  <si>
    <t>性能感知评分</t>
  </si>
  <si>
    <t>voice_score</t>
  </si>
  <si>
    <t>语音感知评分</t>
  </si>
  <si>
    <t>cps</t>
  </si>
  <si>
    <t>综合感知评分</t>
  </si>
  <si>
    <t>本表cover_score*data_score/100</t>
  </si>
  <si>
    <t>lte_cover_score</t>
  </si>
  <si>
    <t>4g覆盖感知评分</t>
  </si>
  <si>
    <t>(1-sum(less110_rsrp_cn)/sum(total_rsrp_cnt))*100</t>
  </si>
  <si>
    <t>lte_data_score</t>
  </si>
  <si>
    <t>4g数据业务评分</t>
  </si>
  <si>
    <t>(1-sum(total_badcnt)/sum(total_cnt))*100</t>
  </si>
  <si>
    <t>lte_event_score</t>
  </si>
  <si>
    <t>4g性能感知评分</t>
  </si>
  <si>
    <t>lte_voice_score</t>
  </si>
  <si>
    <t>4g语音感知评分</t>
  </si>
  <si>
    <t>lte_cps</t>
  </si>
  <si>
    <t>4g综合感知评分</t>
  </si>
  <si>
    <t>本表lte_cover_score*lte_data_score/100</t>
  </si>
  <si>
    <t>nr_cover_score</t>
  </si>
  <si>
    <t>5g覆盖感知评分</t>
  </si>
  <si>
    <t>(1-sum(less110_ssrsrp_cnt)/sum(total_ssrsrp_cnt))*100</t>
  </si>
  <si>
    <t>nr_data_score</t>
  </si>
  <si>
    <t>5g数据业务评分</t>
  </si>
  <si>
    <t>nr_event_score</t>
  </si>
  <si>
    <t>5g性能感知评分</t>
  </si>
  <si>
    <t>nr_voice_score</t>
  </si>
  <si>
    <t>5g语音感知评分</t>
  </si>
  <si>
    <t>nr_cps</t>
  </si>
  <si>
    <t>5g综合感知评分</t>
  </si>
  <si>
    <t>本表nr_cover_score*nr_data_score/100</t>
  </si>
  <si>
    <t>lte_cell_cnt</t>
  </si>
  <si>
    <t>4G占用小区数</t>
  </si>
  <si>
    <t>count(distinct(cellkey))</t>
  </si>
  <si>
    <t>nr_cell_cnt</t>
  </si>
  <si>
    <t>5G占用小区数</t>
  </si>
  <si>
    <t>lte_cover_ratio</t>
  </si>
  <si>
    <t>4G mr覆盖率</t>
  </si>
  <si>
    <t>1-sum(less110_rsrp_cn)/sum(total_rsrp_cnt)</t>
  </si>
  <si>
    <t>nr_cover_ratio</t>
  </si>
  <si>
    <t>5G mr覆盖率</t>
  </si>
  <si>
    <t>1-sum(less110_ssrsrp_cnt)/sum(total_ssrsrp_cnt)</t>
  </si>
  <si>
    <t>lte_rerp_avg</t>
  </si>
  <si>
    <t>4G 平均RSRP</t>
  </si>
  <si>
    <t>sum(avg_rsrp*total_rsrp_cnt)/sum(total_rsrp_cnt)</t>
  </si>
  <si>
    <t>nr_rerp_avg</t>
  </si>
  <si>
    <t>5G 平均RSRP</t>
  </si>
  <si>
    <t>sum(avg_rsrp*total_ssrsrp_cnt)/sum(total_ssrsrp_cnt)</t>
  </si>
  <si>
    <t>user_issue_cnt</t>
  </si>
  <si>
    <t>用户问题数</t>
  </si>
  <si>
    <t>暂置null，等算法</t>
  </si>
  <si>
    <t>如果&gt;0，页面显示标识为异常</t>
  </si>
  <si>
    <t>wireless_issue_cnt</t>
  </si>
  <si>
    <t>无线问题数</t>
  </si>
  <si>
    <t>core_issue_cnt</t>
  </si>
  <si>
    <t>核心网问题数</t>
  </si>
  <si>
    <t>sp_issue_cnt</t>
  </si>
  <si>
    <t>SP服务商问题数</t>
  </si>
  <si>
    <t>attach_succ_ratio</t>
  </si>
  <si>
    <t>附着成功率</t>
  </si>
  <si>
    <t>sum(nvl(a.attach_suc,0)+nvl(b.regis_suc,0))/sum(nvl(a.attach_req,0)+nvl(b.regis_req,0))</t>
  </si>
  <si>
    <t>data_drop_ratio</t>
  </si>
  <si>
    <r>
      <rPr>
        <sz val="9"/>
        <color indexed="8"/>
        <rFont val="微软雅黑"/>
        <charset val="134"/>
      </rPr>
      <t>掉线率</t>
    </r>
    <r>
      <rPr>
        <sz val="9"/>
        <color rgb="FFFF0000"/>
        <rFont val="微软雅黑"/>
        <charset val="134"/>
      </rPr>
      <t>（UE上下文掉线率）</t>
    </r>
  </si>
  <si>
    <t>sum(nvl(a.uecntx_abnormrel,0)+nvl(b.ue_contextrelease,0)-nvl(b.ue_normalcontextrelease,0))/sum(nvl(a.uecntx_abnormrel,0)+nvl(a.uecntx_normrel,0)+nvl(b.ue_contextrelease,0))</t>
  </si>
  <si>
    <t>handover_succ_ratio</t>
  </si>
  <si>
    <r>
      <rPr>
        <sz val="9"/>
        <color indexed="8"/>
        <rFont val="微软雅黑"/>
        <charset val="134"/>
      </rPr>
      <t>切换成功率</t>
    </r>
    <r>
      <rPr>
        <sz val="9"/>
        <color rgb="FFFF0000"/>
        <rFont val="微软雅黑"/>
        <charset val="134"/>
      </rPr>
      <t>（系统内）</t>
    </r>
  </si>
  <si>
    <t>sum(nvl(a.ho_succoutintraenb,0)+nvl(b.ho_succsamefreq,0)+nvl(b.ho_succdifffreq,0))/sum(nvl(a.ho_attsamefreq,0)+nvl(b.ho_attdifffreq,0)+nvl(b.ho_attoutintraenb,0))</t>
  </si>
  <si>
    <t>dm_perception_user_road_app_d</t>
  </si>
  <si>
    <t>第一步：ab表取对应字段union all,再汇聚到用户号码+日期_quarter+app，将日期+quarter转为日期（年月日 时分秒，0quarter转为0分0秒，1quarter转为15分0秒，依次类推）  --R1
第二步：C表inner join R1 on c.号码=r1.号码 and r1.转换后日期 between c.start_time and c.end_time --R2
第三步：R2再按用户+路段汇聚（第2步可能关联到多条数据，需要再汇聚）</t>
  </si>
  <si>
    <t>fact_45gmr_user_trips_d</t>
  </si>
  <si>
    <t>停留点、轨迹</t>
  </si>
  <si>
    <t>location_type</t>
  </si>
  <si>
    <t>位置类型</t>
  </si>
  <si>
    <t>start_name</t>
  </si>
  <si>
    <t>起始点名称</t>
  </si>
  <si>
    <t>start_time</t>
  </si>
  <si>
    <t>路段开始时间(13位)</t>
  </si>
  <si>
    <t>start_lon</t>
  </si>
  <si>
    <t>开始经度</t>
  </si>
  <si>
    <t>start_lat</t>
  </si>
  <si>
    <t>开始纬度</t>
  </si>
  <si>
    <t>end_name</t>
  </si>
  <si>
    <t>结束点名称</t>
  </si>
  <si>
    <t>end_time</t>
  </si>
  <si>
    <t>路段结束时间(13位)</t>
  </si>
  <si>
    <t>end_lon</t>
  </si>
  <si>
    <t>结束经度</t>
  </si>
  <si>
    <t>end_lat</t>
  </si>
  <si>
    <t>结束纬度</t>
  </si>
  <si>
    <t>业务大类</t>
  </si>
  <si>
    <t>service_type</t>
  </si>
  <si>
    <t>业务名称</t>
  </si>
  <si>
    <t>service_type_name</t>
  </si>
  <si>
    <t>sum</t>
  </si>
  <si>
    <t>service_duration_s</t>
  </si>
  <si>
    <t>业务时长</t>
  </si>
  <si>
    <t>业务流量</t>
  </si>
  <si>
    <t>service_good_score</t>
  </si>
  <si>
    <t>业务感知优良率(业务感知评分）</t>
  </si>
  <si>
    <t>（1-sum(a.less110_rsrp_cnt+b.less110_rsrp_cnt)/sum(a.total_rsrp_cnt+b.total_rsrp_cnt）)*100</t>
  </si>
  <si>
    <t>无线感知</t>
  </si>
  <si>
    <t>（1-sum(a.total_badcnt+b.total_badcnt)/sum(a.total_cnt+b.total_cnt)）*100</t>
  </si>
  <si>
    <t>数据感知</t>
  </si>
  <si>
    <t>lte_avgrsrp</t>
  </si>
  <si>
    <t>nr_avgrsrp</t>
  </si>
  <si>
    <t>issue_user_cnt</t>
  </si>
  <si>
    <t>issue_wireless_cnt</t>
  </si>
  <si>
    <t>issue_core_cnt</t>
  </si>
  <si>
    <t>issue_sp_cnt</t>
  </si>
  <si>
    <t>sum(nvl(attach_suc,0)+nvl(regis_suc,0))/sum(nvl(attach_req,0)+nvl(regis_req,0))</t>
  </si>
  <si>
    <t>sum(nvl(uecntx_abnormrel,0)+nvl(ue_normalcontextrelease,0))/sum(nvl(uecntx_abnormrel,0)+nvl(uecntx_normrel,0)+nvl(ue_contextrelease,0))</t>
  </si>
  <si>
    <t>sum(nvl(ho_succoutintraenb,0)+nvl(ho_succsamefreq,0)+nvl(ho_succdifffreq,0))/sum(nvl(ho_attsamefreq,0)+nvl(ho_attdifffreq,0)+nvl(ho_attoutintraenb,0))</t>
  </si>
  <si>
    <t>按5分钟汇聚</t>
  </si>
  <si>
    <t>sql</t>
  </si>
  <si>
    <t>starttime_5min</t>
  </si>
  <si>
    <t>5分钟开始时间点</t>
  </si>
  <si>
    <t>starttime处理成12:00:00,12:05:00,12:10:00格式</t>
  </si>
  <si>
    <t>12:00:00,12:05:00,12:10:00</t>
  </si>
  <si>
    <t>sum(case when data_type='data_user_plane' and rat_type='4G' and issue_flag=1 then 1 else 0 end)/sum(case when data_type='data_user_plane' and rat_type='4G' then 1 else 0 end)*100</t>
  </si>
  <si>
    <t>sum(case when data_type='data_user_plane' and rat_type='5G' and issue_flag=1 then 1 else 0 end)/sum(case when data_type='data_user_plane' and rat_type='5G' then 1 else 0 end)*100</t>
  </si>
  <si>
    <t>aggr_xdranalysis_45g_xdr_q</t>
  </si>
  <si>
    <t>45G指定用户dpi和mr关联结果时刻表</t>
  </si>
  <si>
    <t>rat_type</t>
  </si>
  <si>
    <t>A</t>
  </si>
  <si>
    <t>{4G，5G}</t>
  </si>
  <si>
    <t>data_type</t>
  </si>
  <si>
    <t>数据类型</t>
  </si>
  <si>
    <t>数据用户面(data_user_plane);数据控制面(data_control_plane);MR</t>
  </si>
  <si>
    <t>dpi_type</t>
  </si>
  <si>
    <t>接口类型</t>
  </si>
  <si>
    <t>{S1MME、N1N2、HTTP、HTTPS、VIDEO、GAME、DNS、OTHER、MW}</t>
  </si>
  <si>
    <t>key</t>
  </si>
  <si>
    <t>编号</t>
  </si>
  <si>
    <t>starttime</t>
  </si>
  <si>
    <t>开始时间</t>
  </si>
  <si>
    <t>endtime</t>
  </si>
  <si>
    <t>结束时间</t>
  </si>
  <si>
    <t>用户识别码</t>
  </si>
  <si>
    <t>车辆品牌</t>
  </si>
  <si>
    <t>model</t>
  </si>
  <si>
    <t>车辆型号</t>
  </si>
  <si>
    <t>省份编码</t>
  </si>
  <si>
    <t>地市编码</t>
  </si>
  <si>
    <t>enb_id</t>
  </si>
  <si>
    <t>基站标识</t>
  </si>
  <si>
    <t>cell_id</t>
  </si>
  <si>
    <t>小区标识</t>
  </si>
  <si>
    <t>business_type_name</t>
  </si>
  <si>
    <t>业务类型名称</t>
  </si>
  <si>
    <t>issue_flag</t>
  </si>
  <si>
    <t>是否存在问题</t>
  </si>
  <si>
    <t>是，否</t>
  </si>
  <si>
    <t>issue_delimit</t>
  </si>
  <si>
    <t>问题定界</t>
  </si>
  <si>
    <t>无线;用户;核心网;sp
可以同时有多个</t>
  </si>
  <si>
    <t>issue_cause</t>
  </si>
  <si>
    <t>问题原因</t>
  </si>
  <si>
    <t>弱覆盖;高负荷;故障等
可以同时有多个</t>
  </si>
  <si>
    <t>flux_mb</t>
  </si>
  <si>
    <t>流量(MB)</t>
  </si>
  <si>
    <t>duration</t>
  </si>
  <si>
    <t>持续时间(秒)</t>
  </si>
  <si>
    <t>duration/1000</t>
  </si>
  <si>
    <t>服务小区RSRP</t>
  </si>
  <si>
    <t>destinationurl</t>
  </si>
  <si>
    <t>目标URL</t>
  </si>
  <si>
    <t>host</t>
  </si>
  <si>
    <t>访问域名</t>
  </si>
  <si>
    <t>httpstatus</t>
  </si>
  <si>
    <t>HTTP状态码</t>
  </si>
  <si>
    <t>httpstatus_explain</t>
  </si>
  <si>
    <t>HTTP状态码描述</t>
  </si>
  <si>
    <t>destinationip</t>
  </si>
  <si>
    <t>用户访问的目标IPv4或IPv6地址</t>
  </si>
  <si>
    <t>tcp_setup_response_delay</t>
  </si>
  <si>
    <t>平均TCP建链响应时延</t>
  </si>
  <si>
    <t>tcp_setup_ack_delay</t>
  </si>
  <si>
    <t>平均TCP建链确认时延</t>
  </si>
  <si>
    <t>tcp_retrans_ratio</t>
  </si>
  <si>
    <t>TCP重传率</t>
  </si>
  <si>
    <t>dns_reply_delay</t>
  </si>
  <si>
    <t>平均DNS响应时延</t>
  </si>
  <si>
    <t>dns_resp_succ_flag</t>
  </si>
  <si>
    <t>DNS查询是否成功</t>
  </si>
  <si>
    <t>page_succ_flag</t>
  </si>
  <si>
    <t>网页浏览响应是否成功</t>
  </si>
  <si>
    <t>page_open_succ_flag</t>
  </si>
  <si>
    <t>网页浏览是否完整打开成功</t>
  </si>
  <si>
    <t>page_fpackets_response_delay</t>
  </si>
  <si>
    <t>网页浏览首包响应时延</t>
  </si>
  <si>
    <t>page_ftcp_pageopen_delay</t>
  </si>
  <si>
    <t>网页浏览打开时延</t>
  </si>
  <si>
    <t>page_fscreen_delay</t>
  </si>
  <si>
    <t>网页浏览首屏时延</t>
  </si>
  <si>
    <t>page_dl_throughput_data_kbps</t>
  </si>
  <si>
    <t>网页浏览下载速率</t>
  </si>
  <si>
    <t>page_ul_throughput_data_kbps</t>
  </si>
  <si>
    <t>网页浏览上传速率</t>
  </si>
  <si>
    <t>videoplay_wait_duration</t>
  </si>
  <si>
    <t>视频播放等待时长</t>
  </si>
  <si>
    <t>videoplay_succ_flag</t>
  </si>
  <si>
    <t>视频播放是否成功</t>
  </si>
  <si>
    <t>video_throughput</t>
  </si>
  <si>
    <t>视频下载速率</t>
  </si>
  <si>
    <t>video_cache_throughput</t>
  </si>
  <si>
    <t>视频缓冲段下载速率</t>
  </si>
  <si>
    <t>video_halt_ratio</t>
  </si>
  <si>
    <t>视频平均卡顿频率</t>
  </si>
  <si>
    <t>video_avghalt_duration</t>
  </si>
  <si>
    <t>视频平均卡顿时长</t>
  </si>
  <si>
    <t>video_recover_duration_ratio</t>
  </si>
  <si>
    <t>视频卡顿时长占比</t>
  </si>
  <si>
    <t>im_succ_flag</t>
  </si>
  <si>
    <t>即时通信消息收发是否成功</t>
  </si>
  <si>
    <t>game_conn_delay</t>
  </si>
  <si>
    <t>游戏连接时延</t>
  </si>
  <si>
    <t>game_interactive_delay</t>
  </si>
  <si>
    <t>游戏交互时延</t>
  </si>
  <si>
    <t>车联网-大屏</t>
  </si>
  <si>
    <t>共享亿讯</t>
  </si>
  <si>
    <t>1、ab取相关字段 union all  --R1
2、R1再按全国、省、地市维度进行汇聚  --R2
3、c表取省、市、是否弱覆盖字段，按省市维度汇聚  --R3
4、R2 left join R3 on 用汇聚的省市维度和数据等级关联</t>
  </si>
  <si>
    <t>d</t>
  </si>
  <si>
    <t>取p_date-1</t>
  </si>
  <si>
    <t>算法</t>
  </si>
  <si>
    <t>建表</t>
  </si>
  <si>
    <t>日期</t>
  </si>
  <si>
    <t>拜访地省份</t>
  </si>
  <si>
    <t>全国维度时，置null; 省市维度时直取</t>
  </si>
  <si>
    <t>拜访地地市</t>
  </si>
  <si>
    <t>全国省维度时，置null; 市维度时直取</t>
  </si>
  <si>
    <t>data_level</t>
  </si>
  <si>
    <t>数据等级</t>
  </si>
  <si>
    <t>0：全国维度
1：省维度
2：市维度</t>
  </si>
  <si>
    <t>{0，1，2}</t>
  </si>
  <si>
    <t>data_perception_score</t>
  </si>
  <si>
    <t>全网用户体验评分</t>
  </si>
  <si>
    <t>中上的指标，右上趋势图</t>
  </si>
  <si>
    <t>cover_ratio</t>
  </si>
  <si>
    <t>45G综合覆盖率</t>
  </si>
  <si>
    <t>sum(nvl(total_rsrp_cnt)-nvl(less110_rsrp_cnt)+nvl(total_ssrsrp_cnt)-nvl(less110_ssrsrp_cnt,0))/sum(nvl(total_rsrp_cnt,0)+nvl(total_ssrsrp_cnt))</t>
  </si>
  <si>
    <t>中上的指标</t>
  </si>
  <si>
    <t>网络附着成功率</t>
  </si>
  <si>
    <t>右中网络接入指标</t>
  </si>
  <si>
    <t>drop_ratio</t>
  </si>
  <si>
    <t>coverbad_road_ratio</t>
  </si>
  <si>
    <t>覆盖质差路段占比</t>
  </si>
  <si>
    <t>sum(weak_cover_flag)/count(weak_cover_flag)</t>
  </si>
  <si>
    <t>4G综合覆盖率</t>
  </si>
  <si>
    <t>sum(case when rsrp&gt;=-110 and rattype='4G' then 1 else 0 end)/sum(case when rattype='4G' then 1 else 0 end)</t>
  </si>
  <si>
    <t>右下路网覆盖</t>
  </si>
  <si>
    <t>lte_cover_ratio_dod</t>
  </si>
  <si>
    <t>4G综合覆盖率环比</t>
  </si>
  <si>
    <t>4G综合覆盖率环比=(当天-前一天)/前一天</t>
  </si>
  <si>
    <t>lte_rsrp_seg1_ratio</t>
  </si>
  <si>
    <t>4G电平分段mr数量占比(~-80]</t>
  </si>
  <si>
    <t>sum(case when rsrp&gt;=-80 and rattype='4G' then 1 else 0 end)/sum(case when rattype='4G' then 1 else 0 end)</t>
  </si>
  <si>
    <t>lte_rsrp_seg2_ratio</t>
  </si>
  <si>
    <t>4G电平分段mr数量占比(-80~-90]</t>
  </si>
  <si>
    <t>sum(case when rsrp&lt;-80 and  rsrp&gt;=-90 and rattype='4G' then 1 else 0 end)/sum(case when rattype='4G' then 1 else 0 end)</t>
  </si>
  <si>
    <t>lte_rsrp_seg3_ratio</t>
  </si>
  <si>
    <t>4G电平分段mr数量占比(-90~-100]</t>
  </si>
  <si>
    <t>sum(case when rsrp&lt;-90 and  rsrp&gt;=-100 and rattype='4G' then 1 else 0 end)/sum(case when rattype='4G' then 1 else 0 end)</t>
  </si>
  <si>
    <t>lte_rsrp_seg4_ratio</t>
  </si>
  <si>
    <t>4G电平分段mr数量占比(-100~-105]</t>
  </si>
  <si>
    <t>sum(case when rsrp&lt;-100 and  rsrp&gt;=-105 and rattype='4G' then 1 else 0 end)/sum(case when rattype='4G' then 1 else 0 end)</t>
  </si>
  <si>
    <t>lte_rsrp_seg5_ratio</t>
  </si>
  <si>
    <t>4G电平分段mr数量占比(-105~-110]</t>
  </si>
  <si>
    <t>sum(case when rsrp&lt;-105 and  rsrp&gt;=-110 and rattype='4G' then 1 else 0 end)/sum(case when rattype='4G' then 1 else 0 end)</t>
  </si>
  <si>
    <t>lte_rsrp_seg6_ratio</t>
  </si>
  <si>
    <t>4G电平分段mr数量占比(-110~-115]</t>
  </si>
  <si>
    <t>sum(case when rsrp&lt;-110 and  rsrp&gt;=-115 and rattype='4G' then 1 else 0 end)/sum(case when rattype='4G' then 1 else 0 end)</t>
  </si>
  <si>
    <t>lte_rsrp_seg7_ratio</t>
  </si>
  <si>
    <t>4G电平分段mr数量占比(-115~]</t>
  </si>
  <si>
    <t>sum(case when rsrp&lt;-115 and rattype='4G' then 1 else 0 end)/sum(case when rattype='4G' then 1 else 0 end)</t>
  </si>
  <si>
    <t>5G综合覆盖率</t>
  </si>
  <si>
    <t>sum(case when rsrp&gt;=-110 and rattype='5G' then 1 else 0 end)/sum(case when rattype='5G' then 1 else 0 end)</t>
  </si>
  <si>
    <t>nr_cover_ratio_dod</t>
  </si>
  <si>
    <t>5G综合覆盖率环比</t>
  </si>
  <si>
    <t>5G综合覆盖率环比=(当天-前一天)/前一天</t>
  </si>
  <si>
    <t>nr_rsrp_seg1_ratio</t>
  </si>
  <si>
    <t>5G电平分段mr数量占比(0~-80]</t>
  </si>
  <si>
    <t>sum(case when rsrp&gt;=-80 and rattype='5G' then 1 else 0 end)/sum(case when rattype='5G' then 1 else 0 end)</t>
  </si>
  <si>
    <t>nr_rsrp_seg2_ratio</t>
  </si>
  <si>
    <t>5G电平分段mr数量占比(-80~-90]</t>
  </si>
  <si>
    <t>sum(case when rsrp&lt;-80 and  rsrp&gt;=-90 and rattype='5G' then 1 else 0 end)/sum(case when rattype='5G' then 1 else 0 end)</t>
  </si>
  <si>
    <t>nr_rsrp_seg3_ratio</t>
  </si>
  <si>
    <t>5G电平分段mr数量占比(-90~-100]</t>
  </si>
  <si>
    <t>sum(case when rsrp&lt;-90 and  rsrp&gt;=-100 and rattype='5G' then 1 else 0 end)/sum(case when rattype='5G' then 1 else 0 end)</t>
  </si>
  <si>
    <t>nr_rsrp_seg4_ratio</t>
  </si>
  <si>
    <t>5G电平分段mr数量占比(-100~-105]</t>
  </si>
  <si>
    <t>sum(case when rsrp&lt;-100 and  rsrp&gt;=-105 and rattype='5G' then 1 else 0 end)/sum(case when rattype='5G' then 1 else 0 end)</t>
  </si>
  <si>
    <t>nr_rsrp_seg5_ratio</t>
  </si>
  <si>
    <t>5G电平分段mr数量占比(-105~-110]</t>
  </si>
  <si>
    <t>sum(case when rsrp&lt;-105 and  rsrp&gt;=-110 and rattype='5G' then 1 else 0 end)/sum(case when rattype='5G' then 1 else 0 end)</t>
  </si>
  <si>
    <t>nr_rsrp_seg6_ratio</t>
  </si>
  <si>
    <t>5G电平分段mr数量占比(-110~-115]</t>
  </si>
  <si>
    <t>sum(case when rsrp&lt;-110 and  rsrp&gt;=-115 and rattype='5G' then 1 else 0 end)/sum(case when rattype='5G' then 1 else 0 end)</t>
  </si>
  <si>
    <t>nr_rsrp_seg7_ratio</t>
  </si>
  <si>
    <t>5G电平分段mr数量占比(-115~-150]</t>
  </si>
  <si>
    <t>sum(case when rsrp&lt;-115 and rattype='5G' then 1 else 0 end)/sum(case when rattype='5G' then 1 else 0 end)</t>
  </si>
  <si>
    <t>天分区</t>
  </si>
  <si>
    <t>第一步：从ab表取出省市区县、servicetype、app_name作维度，汇聚时长、话单数、感知、流量等，再分别排序，每个维度每类取top5；--R1
第二步：a、b表分别按第一步的方法算出4G、5G的数据；--R2
第三步：R1 left join R2 on 主键字段。</t>
  </si>
  <si>
    <t>top_type</t>
  </si>
  <si>
    <t>top5类别</t>
  </si>
  <si>
    <t>分别使用service_duration、service_flux、xdr_cnt、perception_good_ratio字段值按维度倒序排名，每个类别、每个数据等级只取前top5。</t>
  </si>
  <si>
    <t>duration:时长
flux：流量
xdr_cnt：话单数
perception：感知</t>
  </si>
  <si>
    <t>{duration、flux、xdr_cnt、perception}</t>
  </si>
  <si>
    <t>top_num</t>
  </si>
  <si>
    <t>top5序号</t>
  </si>
  <si>
    <t>分别使用service_duration、service_flux、total_cnt、perception_good_ratio字段值按维度倒序排名，每个类别、每个数据等级只取前top5。</t>
  </si>
  <si>
    <t>1：top1
~
5：top5</t>
  </si>
  <si>
    <t>{1，2，3，4，5}</t>
  </si>
  <si>
    <t>sevicetype</t>
  </si>
  <si>
    <t>业务应用对应规范ID</t>
  </si>
  <si>
    <t>servicetype与DPI业务类型表关联获取具体业务名称</t>
  </si>
  <si>
    <t>排序字段</t>
  </si>
  <si>
    <t>ms</t>
  </si>
  <si>
    <t>Byte</t>
  </si>
  <si>
    <t>xdr_cnt</t>
  </si>
  <si>
    <t>总话单数</t>
  </si>
  <si>
    <t>perception_good_ratio</t>
  </si>
  <si>
    <t>总感知优良率</t>
  </si>
  <si>
    <t>(sum(total_cnt)-sum(total_badcnt))/sum(total_cnt)</t>
  </si>
  <si>
    <t>比例</t>
  </si>
  <si>
    <t>[0,1]</t>
  </si>
  <si>
    <t>lte_service_duration</t>
  </si>
  <si>
    <t>4G业务时长</t>
  </si>
  <si>
    <t>lte_service_flux</t>
  </si>
  <si>
    <t>4G业务流量</t>
  </si>
  <si>
    <t>lte_xdr_cnt</t>
  </si>
  <si>
    <t>4G总话单数</t>
  </si>
  <si>
    <t>lte_perception_good_ratio</t>
  </si>
  <si>
    <t>4G总感知优良率</t>
  </si>
  <si>
    <t>nr_service_duration</t>
  </si>
  <si>
    <t>5G业务时长</t>
  </si>
  <si>
    <t>nr_service_flux</t>
  </si>
  <si>
    <t>5G业务流量</t>
  </si>
  <si>
    <t>nr_xdr_cnt</t>
  </si>
  <si>
    <t>5G总话单数</t>
  </si>
  <si>
    <t>nr_perception_good_ratio</t>
  </si>
  <si>
    <t>5G总感知优良率</t>
  </si>
  <si>
    <t>45G融合工参</t>
  </si>
  <si>
    <t>cell_name</t>
  </si>
  <si>
    <t>网络类型（4G/5G）</t>
  </si>
  <si>
    <t>frequency_band</t>
  </si>
  <si>
    <t>频段</t>
  </si>
  <si>
    <t>lon</t>
  </si>
  <si>
    <t>经度</t>
  </si>
  <si>
    <t>lat</t>
  </si>
  <si>
    <t>azimuth</t>
  </si>
  <si>
    <t>方位角</t>
  </si>
  <si>
    <t>site_cover_type</t>
  </si>
  <si>
    <t>站点覆盖类型</t>
  </si>
  <si>
    <t>宏站，室分</t>
  </si>
  <si>
    <r>
      <rPr>
        <b/>
        <i/>
        <sz val="12"/>
        <rFont val="微软雅黑"/>
        <charset val="134"/>
      </rPr>
      <t>目标表基本信息描述</t>
    </r>
  </si>
  <si>
    <r>
      <rPr>
        <b/>
        <sz val="10"/>
        <rFont val="微软雅黑"/>
        <charset val="134"/>
      </rPr>
      <t>主题域</t>
    </r>
  </si>
  <si>
    <r>
      <rPr>
        <b/>
        <sz val="10"/>
        <rFont val="微软雅黑"/>
        <charset val="134"/>
      </rPr>
      <t>目标表英文名</t>
    </r>
  </si>
  <si>
    <r>
      <rPr>
        <b/>
        <sz val="10"/>
        <rFont val="微软雅黑"/>
        <charset val="134"/>
      </rPr>
      <t>目标表中文名</t>
    </r>
  </si>
  <si>
    <r>
      <rPr>
        <b/>
        <sz val="10"/>
        <rFont val="微软雅黑"/>
        <charset val="134"/>
      </rPr>
      <t>数据频度</t>
    </r>
  </si>
  <si>
    <r>
      <rPr>
        <b/>
        <sz val="10"/>
        <rFont val="微软雅黑"/>
        <charset val="134"/>
      </rPr>
      <t>模型主键</t>
    </r>
  </si>
  <si>
    <r>
      <rPr>
        <b/>
        <sz val="10"/>
        <rFont val="微软雅黑"/>
        <charset val="134"/>
      </rPr>
      <t>数据描述</t>
    </r>
  </si>
  <si>
    <r>
      <rPr>
        <b/>
        <sz val="10"/>
        <rFont val="微软雅黑"/>
        <charset val="134"/>
      </rPr>
      <t>推送数据库</t>
    </r>
  </si>
  <si>
    <t>quarter</t>
  </si>
  <si>
    <r>
      <rPr>
        <b/>
        <i/>
        <sz val="12"/>
        <rFont val="微软雅黑"/>
        <charset val="134"/>
      </rPr>
      <t>源表基本信息描述</t>
    </r>
  </si>
  <si>
    <r>
      <rPr>
        <b/>
        <sz val="10"/>
        <rFont val="微软雅黑"/>
        <charset val="134"/>
      </rPr>
      <t>来源系统</t>
    </r>
  </si>
  <si>
    <r>
      <rPr>
        <b/>
        <sz val="10"/>
        <rFont val="微软雅黑"/>
        <charset val="134"/>
      </rPr>
      <t>源表英文名</t>
    </r>
  </si>
  <si>
    <r>
      <rPr>
        <b/>
        <sz val="10"/>
        <rFont val="微软雅黑"/>
        <charset val="134"/>
      </rPr>
      <t>源表中文名</t>
    </r>
  </si>
  <si>
    <r>
      <rPr>
        <b/>
        <sz val="10"/>
        <rFont val="微软雅黑"/>
        <charset val="134"/>
      </rPr>
      <t>别名</t>
    </r>
  </si>
  <si>
    <r>
      <rPr>
        <b/>
        <sz val="10"/>
        <rFont val="微软雅黑"/>
        <charset val="134"/>
      </rPr>
      <t>任务描述</t>
    </r>
  </si>
  <si>
    <r>
      <rPr>
        <b/>
        <sz val="10"/>
        <rFont val="微软雅黑"/>
        <charset val="134"/>
      </rPr>
      <t>备注</t>
    </r>
  </si>
  <si>
    <r>
      <rPr>
        <b/>
        <sz val="10"/>
        <rFont val="微软雅黑"/>
        <charset val="134"/>
      </rPr>
      <t>是否主表</t>
    </r>
  </si>
  <si>
    <t>定制网接入表</t>
  </si>
  <si>
    <r>
      <rPr>
        <sz val="9"/>
        <color rgb="FF000000"/>
        <rFont val="微软雅黑"/>
        <charset val="134"/>
      </rPr>
      <t>A</t>
    </r>
  </si>
  <si>
    <r>
      <rPr>
        <sz val="9"/>
        <rFont val="微软雅黑"/>
        <charset val="134"/>
      </rPr>
      <t>是</t>
    </r>
  </si>
  <si>
    <r>
      <rPr>
        <b/>
        <i/>
        <sz val="9"/>
        <rFont val="微软雅黑"/>
        <charset val="134"/>
      </rPr>
      <t>详细字段信息</t>
    </r>
  </si>
  <si>
    <r>
      <rPr>
        <b/>
        <sz val="9"/>
        <rFont val="微软雅黑"/>
        <charset val="134"/>
      </rPr>
      <t>PDM字段英文名</t>
    </r>
  </si>
  <si>
    <r>
      <rPr>
        <b/>
        <sz val="9"/>
        <rFont val="微软雅黑"/>
        <charset val="134"/>
      </rPr>
      <t>PDM字段类型</t>
    </r>
  </si>
  <si>
    <r>
      <rPr>
        <b/>
        <sz val="9"/>
        <rFont val="微软雅黑"/>
        <charset val="134"/>
      </rPr>
      <t>PDM字段中文名（说明）</t>
    </r>
  </si>
  <si>
    <r>
      <rPr>
        <b/>
        <sz val="9"/>
        <rFont val="微软雅黑"/>
        <charset val="134"/>
      </rPr>
      <t>源表名</t>
    </r>
  </si>
  <si>
    <r>
      <rPr>
        <b/>
        <sz val="9"/>
        <rFont val="微软雅黑"/>
        <charset val="134"/>
      </rPr>
      <t>源字段英文名</t>
    </r>
  </si>
  <si>
    <r>
      <rPr>
        <b/>
        <sz val="9"/>
        <rFont val="微软雅黑"/>
        <charset val="134"/>
      </rPr>
      <t>算法加工逻辑</t>
    </r>
  </si>
  <si>
    <r>
      <rPr>
        <b/>
        <sz val="9"/>
        <rFont val="微软雅黑"/>
        <charset val="134"/>
      </rPr>
      <t>关联与过滤条件</t>
    </r>
  </si>
  <si>
    <r>
      <rPr>
        <b/>
        <sz val="9"/>
        <rFont val="微软雅黑"/>
        <charset val="134"/>
      </rPr>
      <t>备注</t>
    </r>
  </si>
  <si>
    <r>
      <rPr>
        <b/>
        <sz val="9"/>
        <rFont val="微软雅黑"/>
        <charset val="134"/>
      </rPr>
      <t>字段属性</t>
    </r>
  </si>
  <si>
    <r>
      <rPr>
        <b/>
        <sz val="9"/>
        <rFont val="微软雅黑"/>
        <charset val="134"/>
      </rPr>
      <t>单位</t>
    </r>
  </si>
  <si>
    <r>
      <rPr>
        <b/>
        <sz val="9"/>
        <rFont val="微软雅黑"/>
        <charset val="134"/>
      </rPr>
      <t>取值范围</t>
    </r>
  </si>
  <si>
    <t>建表语句</t>
  </si>
  <si>
    <t>算法语句</t>
  </si>
  <si>
    <r>
      <rPr>
        <sz val="9"/>
        <color rgb="FF000000"/>
        <rFont val="微软雅黑"/>
        <charset val="134"/>
      </rPr>
      <t>string</t>
    </r>
  </si>
  <si>
    <r>
      <rPr>
        <sz val="9"/>
        <color rgb="FF000000"/>
        <rFont val="微软雅黑"/>
        <charset val="134"/>
      </rPr>
      <t>上报时间，具体到天</t>
    </r>
  </si>
  <si>
    <r>
      <rPr>
        <sz val="9"/>
        <color rgb="FF000000"/>
        <rFont val="微软雅黑"/>
        <charset val="134"/>
      </rPr>
      <t>直接赋值</t>
    </r>
  </si>
  <si>
    <r>
      <rPr>
        <sz val="9"/>
        <color rgb="FF000000"/>
        <rFont val="微软雅黑"/>
        <charset val="134"/>
      </rPr>
      <t>hour</t>
    </r>
  </si>
  <si>
    <r>
      <rPr>
        <sz val="9"/>
        <color rgb="FF000000"/>
        <rFont val="微软雅黑"/>
        <charset val="134"/>
      </rPr>
      <t>int</t>
    </r>
  </si>
  <si>
    <r>
      <rPr>
        <sz val="9"/>
        <color rgb="FF000000"/>
        <rFont val="微软雅黑"/>
        <charset val="134"/>
      </rPr>
      <t>记录所在的小时</t>
    </r>
  </si>
  <si>
    <t>p_hour</t>
  </si>
  <si>
    <r>
      <rPr>
        <sz val="9"/>
        <color rgb="FF000000"/>
        <rFont val="微软雅黑"/>
        <charset val="134"/>
      </rPr>
      <t>quarter</t>
    </r>
  </si>
  <si>
    <r>
      <rPr>
        <sz val="9"/>
        <color rgb="FF000000"/>
        <rFont val="微软雅黑"/>
        <charset val="134"/>
      </rPr>
      <t>记录所在的刻钟</t>
    </r>
  </si>
  <si>
    <t>p_quarter</t>
  </si>
  <si>
    <r>
      <rPr>
        <sz val="9"/>
        <color rgb="FF000000"/>
        <rFont val="微软雅黑"/>
        <charset val="134"/>
      </rPr>
      <t>provincecode</t>
    </r>
  </si>
  <si>
    <r>
      <rPr>
        <sz val="9"/>
        <color rgb="FF000000"/>
        <rFont val="微软雅黑"/>
        <charset val="134"/>
      </rPr>
      <t>拜访地省份</t>
    </r>
  </si>
  <si>
    <r>
      <rPr>
        <sz val="9"/>
        <color rgb="FF000000"/>
        <rFont val="微软雅黑"/>
        <charset val="134"/>
      </rPr>
      <t>citycode</t>
    </r>
  </si>
  <si>
    <r>
      <rPr>
        <sz val="9"/>
        <color rgb="FF000000"/>
        <rFont val="微软雅黑"/>
        <charset val="134"/>
      </rPr>
      <t>拜访地地市</t>
    </r>
  </si>
  <si>
    <r>
      <rPr>
        <sz val="9"/>
        <color rgb="FF000000"/>
        <rFont val="微软雅黑"/>
        <charset val="134"/>
      </rPr>
      <t>districtcode</t>
    </r>
  </si>
  <si>
    <r>
      <rPr>
        <sz val="9"/>
        <color rgb="FF000000"/>
        <rFont val="微软雅黑"/>
        <charset val="134"/>
      </rPr>
      <t>拜访地区县</t>
    </r>
  </si>
  <si>
    <r>
      <rPr>
        <sz val="9"/>
        <color rgb="FF000000"/>
        <rFont val="微软雅黑"/>
        <charset val="134"/>
      </rPr>
      <t>RATType</t>
    </r>
  </si>
  <si>
    <r>
      <rPr>
        <sz val="9"/>
        <color rgb="FF000000"/>
        <rFont val="微软雅黑"/>
        <charset val="134"/>
      </rPr>
      <t>无线接入类型</t>
    </r>
  </si>
  <si>
    <r>
      <rPr>
        <sz val="9"/>
        <color rgb="FF000000"/>
        <rFont val="微软雅黑"/>
        <charset val="134"/>
      </rPr>
      <t>enodebid</t>
    </r>
  </si>
  <si>
    <r>
      <rPr>
        <sz val="9"/>
        <color rgb="FF000000"/>
        <rFont val="微软雅黑"/>
        <charset val="134"/>
      </rPr>
      <t>bigint</t>
    </r>
  </si>
  <si>
    <r>
      <rPr>
        <sz val="9"/>
        <color rgb="FF000000"/>
        <rFont val="微软雅黑"/>
        <charset val="134"/>
      </rPr>
      <t>4GeNodeBID/5GgNBID</t>
    </r>
  </si>
  <si>
    <t>ecgi</t>
  </si>
  <si>
    <t>解析出基站id</t>
  </si>
  <si>
    <r>
      <rPr>
        <sz val="9"/>
        <color rgb="FF000000"/>
        <rFont val="微软雅黑"/>
        <charset val="134"/>
      </rPr>
      <t>cellid</t>
    </r>
  </si>
  <si>
    <r>
      <rPr>
        <sz val="9"/>
        <color rgb="FF000000"/>
        <rFont val="微软雅黑"/>
        <charset val="134"/>
      </rPr>
      <t>小区ID</t>
    </r>
  </si>
  <si>
    <t>解析出小区id</t>
  </si>
  <si>
    <t>小区唯一标识</t>
  </si>
  <si>
    <t>解析出基站id与小区id用_连接</t>
  </si>
  <si>
    <r>
      <rPr>
        <sz val="9"/>
        <color rgb="FF000000"/>
        <rFont val="微软雅黑"/>
        <charset val="134"/>
      </rPr>
      <t>imsi</t>
    </r>
  </si>
  <si>
    <r>
      <rPr>
        <sz val="9"/>
        <color rgb="FF000000"/>
        <rFont val="微软雅黑"/>
        <charset val="134"/>
      </rPr>
      <t>永久用户标识，永久用户标识。4G填写用户IMSI。</t>
    </r>
  </si>
  <si>
    <r>
      <rPr>
        <sz val="9"/>
        <color rgb="FF000000"/>
        <rFont val="微软雅黑"/>
        <charset val="134"/>
      </rPr>
      <t>msisdn</t>
    </r>
  </si>
  <si>
    <r>
      <rPr>
        <sz val="9"/>
        <color rgb="FF000000"/>
        <rFont val="微软雅黑"/>
        <charset val="134"/>
      </rPr>
      <t>号码</t>
    </r>
  </si>
  <si>
    <r>
      <rPr>
        <sz val="9"/>
        <color rgb="FF000000"/>
        <rFont val="微软雅黑"/>
        <charset val="134"/>
      </rPr>
      <t>imei</t>
    </r>
  </si>
  <si>
    <r>
      <rPr>
        <sz val="9"/>
        <color rgb="FF000000"/>
        <rFont val="微软雅黑"/>
        <charset val="134"/>
      </rPr>
      <t>终端imei</t>
    </r>
  </si>
  <si>
    <r>
      <rPr>
        <sz val="9"/>
        <color rgb="FF000000"/>
        <rFont val="微软雅黑"/>
        <charset val="134"/>
      </rPr>
      <t>tacid</t>
    </r>
  </si>
  <si>
    <r>
      <rPr>
        <sz val="9"/>
        <color rgb="FF000000"/>
        <rFont val="微软雅黑"/>
        <charset val="134"/>
      </rPr>
      <t>终端类型标识</t>
    </r>
  </si>
  <si>
    <t>left(imei,8)</t>
  </si>
  <si>
    <r>
      <rPr>
        <sz val="9"/>
        <color rgb="FF000000"/>
        <rFont val="微软雅黑"/>
        <charset val="134"/>
      </rPr>
      <t>SGWIP</t>
    </r>
  </si>
  <si>
    <t>sgwip</t>
  </si>
  <si>
    <r>
      <rPr>
        <sz val="9"/>
        <color rgb="FF000000"/>
        <rFont val="微软雅黑"/>
        <charset val="134"/>
      </rPr>
      <t>enbip</t>
    </r>
  </si>
  <si>
    <r>
      <rPr>
        <sz val="9"/>
        <color rgb="FF000000"/>
        <rFont val="微软雅黑"/>
        <charset val="134"/>
      </rPr>
      <t>ENB的IPv4或IPv6地址</t>
    </r>
  </si>
  <si>
    <t>enbip</t>
  </si>
  <si>
    <r>
      <rPr>
        <sz val="9"/>
        <color rgb="FF000000"/>
        <rFont val="微软雅黑"/>
        <charset val="134"/>
      </rPr>
      <t>MMEIP</t>
    </r>
  </si>
  <si>
    <t>mmeip</t>
  </si>
  <si>
    <r>
      <rPr>
        <sz val="9"/>
        <color rgb="FF000000"/>
        <rFont val="微软雅黑"/>
        <charset val="134"/>
      </rPr>
      <t>PGWIP</t>
    </r>
  </si>
  <si>
    <t>pgwip</t>
  </si>
  <si>
    <r>
      <rPr>
        <sz val="9"/>
        <color rgb="FF000000"/>
        <rFont val="微软雅黑"/>
        <charset val="134"/>
      </rPr>
      <t>APN</t>
    </r>
  </si>
  <si>
    <r>
      <rPr>
        <sz val="9"/>
        <color rgb="FF000000"/>
        <rFont val="微软雅黑"/>
        <charset val="134"/>
      </rPr>
      <t>网络接入标识</t>
    </r>
  </si>
  <si>
    <t>apn</t>
  </si>
  <si>
    <r>
      <rPr>
        <sz val="9"/>
        <color rgb="FF000000"/>
        <rFont val="微软雅黑"/>
        <charset val="134"/>
      </rPr>
      <t>httpaction</t>
    </r>
  </si>
  <si>
    <r>
      <rPr>
        <sz val="9"/>
        <color rgb="FF000000"/>
        <rFont val="微软雅黑"/>
        <charset val="134"/>
      </rPr>
      <t>HTTP操作类型（5:Post,6:GET)</t>
    </r>
  </si>
  <si>
    <t>httpaction</t>
  </si>
  <si>
    <r>
      <rPr>
        <sz val="9"/>
        <color rgb="FF000000"/>
        <rFont val="微软雅黑"/>
        <charset val="134"/>
      </rPr>
      <t>MainServiceType</t>
    </r>
  </si>
  <si>
    <t>left(servicetype,2)</t>
  </si>
  <si>
    <r>
      <rPr>
        <sz val="9"/>
        <color rgb="FF000000"/>
        <rFont val="微软雅黑"/>
        <charset val="134"/>
      </rPr>
      <t>ServiceType</t>
    </r>
  </si>
  <si>
    <r>
      <rPr>
        <sz val="9"/>
        <color rgb="FF000000"/>
        <rFont val="微软雅黑"/>
        <charset val="134"/>
      </rPr>
      <t>业务应用</t>
    </r>
  </si>
  <si>
    <r>
      <rPr>
        <sz val="9"/>
        <color rgb="FF000000"/>
        <rFont val="微软雅黑"/>
        <charset val="134"/>
      </rPr>
      <t>bearer_qci</t>
    </r>
  </si>
  <si>
    <r>
      <rPr>
        <sz val="9"/>
        <color rgb="FF000000"/>
        <rFont val="微软雅黑"/>
        <charset val="134"/>
      </rPr>
      <t>Bearer_QCI</t>
    </r>
  </si>
  <si>
    <t>bearer_qci</t>
  </si>
  <si>
    <t>visitedplmnid</t>
  </si>
  <si>
    <t>拜访网络标识</t>
  </si>
  <si>
    <t>直接赋值</t>
  </si>
  <si>
    <t>无</t>
  </si>
  <si>
    <t>46001-46011</t>
  </si>
  <si>
    <r>
      <rPr>
        <sz val="9"/>
        <color rgb="FF000000"/>
        <rFont val="微软雅黑"/>
        <charset val="134"/>
      </rPr>
      <t>business_type</t>
    </r>
  </si>
  <si>
    <r>
      <rPr>
        <sz val="9"/>
        <color rgb="FF000000"/>
        <rFont val="微软雅黑"/>
        <charset val="134"/>
      </rPr>
      <t>业务类型（im、web、game、other）</t>
    </r>
  </si>
  <si>
    <t>case when ((servicetype&gt;=01000101 and servicetype&lt;01999901) or (servicetype&gt;=04000100 and servicetype&lt;04999901)) and (servicetype not in (01000212,01004600,01001300)) then 'im' when ((servicetype&gt;=13000100 and servicetype&lt;13999901) or (servicetype&gt;=16000100 and servicetype&lt;16999901) or (servicetype&gt;=10000101 servicetype&lt;10999901) or (servicetype &gt;=07000100 and servicetype as&lt;07999901) or (servicetype&gt;=19000100 and servicetype&lt;19999901) or (servicetype&gt;=09000101 and servicetype&lt;09007201) or (servicetype&gt;=06000101 and servicetype&lt;06999901) or (servicetype&gt;=08000101 and servicetype&lt;08999901) or (servicetype&gt;=11000101 and servicetype&lt;11999901) or (servicetype&gt;=14000101 and servicetype&lt;14999901) or (servicetype&gt;=17000101 and servicetype&lt;17999901) or (servicetype&gt;=18000101 and servicetype&lt;18999901)) and (servicetyp not in(09000101,09000601,09000701,09000801,09001800,09001900,09002000,09001202,01000212,01001300,01004600,09000603)) then 'web' when servicetype&gt;=05000100 and servicetype&lt;05999901 then 'game' else 'other' end</t>
  </si>
  <si>
    <r>
      <rPr>
        <sz val="9"/>
        <color rgb="FF000000"/>
        <rFont val="微软雅黑"/>
        <charset val="134"/>
      </rPr>
      <t>duration_sum</t>
    </r>
  </si>
  <si>
    <r>
      <rPr>
        <sz val="9"/>
        <color rgb="FF000000"/>
        <rFont val="微软雅黑"/>
        <charset val="134"/>
      </rPr>
      <t>持续时间，单位毫秒，根据业务流开始和结束统计得出的时间</t>
    </r>
  </si>
  <si>
    <r>
      <rPr>
        <sz val="9"/>
        <color rgb="FF000000"/>
        <rFont val="微软雅黑"/>
        <charset val="134"/>
      </rPr>
      <t>sum(duration)</t>
    </r>
  </si>
  <si>
    <r>
      <rPr>
        <sz val="9"/>
        <color rgb="FF000000"/>
        <rFont val="微软雅黑"/>
        <charset val="134"/>
      </rPr>
      <t>OutputOctets_sum</t>
    </r>
  </si>
  <si>
    <r>
      <rPr>
        <sz val="9"/>
        <color rgb="FF000000"/>
        <rFont val="微软雅黑"/>
        <charset val="134"/>
      </rPr>
      <t>上行流量(byte)</t>
    </r>
  </si>
  <si>
    <t>sum(outputoctets)</t>
  </si>
  <si>
    <r>
      <rPr>
        <sz val="9"/>
        <color rgb="FF000000"/>
        <rFont val="微软雅黑"/>
        <charset val="134"/>
      </rPr>
      <t>InputOctets_sum</t>
    </r>
  </si>
  <si>
    <r>
      <rPr>
        <sz val="9"/>
        <color rgb="FF000000"/>
        <rFont val="微软雅黑"/>
        <charset val="134"/>
      </rPr>
      <t>下行流量(byte)</t>
    </r>
  </si>
  <si>
    <r>
      <rPr>
        <sz val="9"/>
        <color rgb="FF000000"/>
        <rFont val="微软雅黑"/>
        <charset val="134"/>
      </rPr>
      <t>sum(inputoctets)</t>
    </r>
  </si>
  <si>
    <r>
      <rPr>
        <sz val="9"/>
        <color rgb="FF000000"/>
        <rFont val="微软雅黑"/>
        <charset val="134"/>
      </rPr>
      <t>OutputOctets_above500_sum</t>
    </r>
  </si>
  <si>
    <r>
      <rPr>
        <sz val="9"/>
        <color rgb="FF000000"/>
        <rFont val="微软雅黑"/>
        <charset val="134"/>
      </rPr>
      <t>上行流量(byte)-大于500KB</t>
    </r>
  </si>
  <si>
    <r>
      <rPr>
        <sz val="9"/>
        <color rgb="FF000000"/>
        <rFont val="微软雅黑"/>
        <charset val="134"/>
      </rPr>
      <t>sum(case when outputoctets&gt;500*1024 then</t>
    </r>
    <r>
      <rPr>
        <sz val="9"/>
        <color rgb="FF000000"/>
        <rFont val="微软雅黑"/>
        <charset val="134"/>
      </rPr>
      <t xml:space="preserve">  </t>
    </r>
    <r>
      <rPr>
        <sz val="9"/>
        <color rgb="FF000000"/>
        <rFont val="微软雅黑"/>
        <charset val="134"/>
      </rPr>
      <t>outputoctets else 0 end)</t>
    </r>
  </si>
  <si>
    <r>
      <rPr>
        <sz val="9"/>
        <color rgb="FF000000"/>
        <rFont val="微软雅黑"/>
        <charset val="134"/>
      </rPr>
      <t>outputoctets_above500_cnt_sum</t>
    </r>
  </si>
  <si>
    <r>
      <rPr>
        <sz val="9"/>
        <color rgb="FF000000"/>
        <rFont val="微软雅黑"/>
        <charset val="134"/>
      </rPr>
      <t>上行大包条数(&gt;=500KB)</t>
    </r>
  </si>
  <si>
    <r>
      <rPr>
        <sz val="9"/>
        <color rgb="FF000000"/>
        <rFont val="微软雅黑"/>
        <charset val="134"/>
      </rPr>
      <t>sum(case when outputoctets&gt;=500*1024 then 1</t>
    </r>
    <r>
      <rPr>
        <sz val="9"/>
        <color rgb="FF000000"/>
        <rFont val="微软雅黑"/>
        <charset val="134"/>
      </rPr>
      <t xml:space="preserve">  </t>
    </r>
    <r>
      <rPr>
        <sz val="9"/>
        <color rgb="FF000000"/>
        <rFont val="微软雅黑"/>
        <charset val="134"/>
      </rPr>
      <t>else 0 end)</t>
    </r>
  </si>
  <si>
    <r>
      <rPr>
        <sz val="9"/>
        <color rgb="FF000000"/>
        <rFont val="微软雅黑"/>
        <charset val="134"/>
      </rPr>
      <t>outputoctets_above500_highdelay_sum</t>
    </r>
  </si>
  <si>
    <r>
      <rPr>
        <sz val="9"/>
        <color rgb="FF000000"/>
        <rFont val="微软雅黑"/>
        <charset val="134"/>
      </rPr>
      <t>上行大包高时延条数（&gt;100ms）</t>
    </r>
  </si>
  <si>
    <t>sum(case when outputoctets&gt;=500*1024 and  tcpsetupresponsedelay&gt;#tcpsetupresponsedelay_highdelay#  then 1  else 0 end)</t>
  </si>
  <si>
    <r>
      <rPr>
        <sz val="9"/>
        <color rgb="FF000000"/>
        <rFont val="微软雅黑"/>
        <charset val="134"/>
      </rPr>
      <t>InputOctets_above500_sum</t>
    </r>
  </si>
  <si>
    <r>
      <rPr>
        <sz val="9"/>
        <color rgb="FF000000"/>
        <rFont val="微软雅黑"/>
        <charset val="134"/>
      </rPr>
      <t>下行流量(byte)-大于500KB</t>
    </r>
  </si>
  <si>
    <r>
      <rPr>
        <sz val="9"/>
        <color rgb="FF000000"/>
        <rFont val="微软雅黑"/>
        <charset val="134"/>
      </rPr>
      <t>sum(case when inputoctets&gt;500*1024 then</t>
    </r>
    <r>
      <rPr>
        <sz val="9"/>
        <color rgb="FF000000"/>
        <rFont val="微软雅黑"/>
        <charset val="134"/>
      </rPr>
      <t xml:space="preserve">  </t>
    </r>
    <r>
      <rPr>
        <sz val="9"/>
        <color rgb="FF000000"/>
        <rFont val="微软雅黑"/>
        <charset val="134"/>
      </rPr>
      <t>inputoctets else 0 end)</t>
    </r>
  </si>
  <si>
    <r>
      <rPr>
        <sz val="9"/>
        <color rgb="FF000000"/>
        <rFont val="微软雅黑"/>
        <charset val="134"/>
      </rPr>
      <t>inputoctets_above500_cnt_sum</t>
    </r>
  </si>
  <si>
    <r>
      <rPr>
        <sz val="9"/>
        <color rgb="FF000000"/>
        <rFont val="微软雅黑"/>
        <charset val="134"/>
      </rPr>
      <t>下行大包条数(&gt;=500KB)</t>
    </r>
  </si>
  <si>
    <r>
      <rPr>
        <sz val="9"/>
        <color rgb="FF000000"/>
        <rFont val="微软雅黑"/>
        <charset val="134"/>
      </rPr>
      <t>sum(case when inputoctets&gt;=500*1024 then 1</t>
    </r>
    <r>
      <rPr>
        <sz val="9"/>
        <color rgb="FF000000"/>
        <rFont val="微软雅黑"/>
        <charset val="134"/>
      </rPr>
      <t xml:space="preserve">  </t>
    </r>
    <r>
      <rPr>
        <sz val="9"/>
        <color rgb="FF000000"/>
        <rFont val="微软雅黑"/>
        <charset val="134"/>
      </rPr>
      <t>else 0 end)</t>
    </r>
  </si>
  <si>
    <r>
      <rPr>
        <sz val="9"/>
        <color rgb="FF000000"/>
        <rFont val="微软雅黑"/>
        <charset val="134"/>
      </rPr>
      <t>inputoctets_above500_highdelay_sum</t>
    </r>
  </si>
  <si>
    <r>
      <rPr>
        <sz val="9"/>
        <color rgb="FF000000"/>
        <rFont val="微软雅黑"/>
        <charset val="134"/>
      </rPr>
      <t>下行大包高时延条数（&gt;100ms）</t>
    </r>
  </si>
  <si>
    <t>sum(case when inputoctets&gt;=500*1024  and tcpsetupackdelay&gt;#tcpsetupackdelay_highdelay#   then 1  else 0 end)</t>
  </si>
  <si>
    <r>
      <rPr>
        <sz val="9"/>
        <color rgb="FF000000"/>
        <rFont val="微软雅黑"/>
        <charset val="134"/>
      </rPr>
      <t>InputPacket_sum</t>
    </r>
  </si>
  <si>
    <r>
      <rPr>
        <sz val="9"/>
        <color rgb="FF000000"/>
        <rFont val="微软雅黑"/>
        <charset val="134"/>
      </rPr>
      <t>发给用户的业务数据包数量</t>
    </r>
  </si>
  <si>
    <r>
      <rPr>
        <sz val="9"/>
        <color rgb="FF000000"/>
        <rFont val="微软雅黑"/>
        <charset val="134"/>
      </rPr>
      <t>sum(inputpacket)</t>
    </r>
  </si>
  <si>
    <r>
      <rPr>
        <sz val="9"/>
        <color rgb="FF000000"/>
        <rFont val="微软雅黑"/>
        <charset val="134"/>
      </rPr>
      <t>OutputPacket_sum</t>
    </r>
  </si>
  <si>
    <r>
      <rPr>
        <sz val="9"/>
        <color rgb="FF000000"/>
        <rFont val="微软雅黑"/>
        <charset val="134"/>
      </rPr>
      <t>用户发出的业务数据包数量</t>
    </r>
  </si>
  <si>
    <r>
      <rPr>
        <sz val="9"/>
        <color rgb="FF000000"/>
        <rFont val="微软雅黑"/>
        <charset val="134"/>
      </rPr>
      <t>sum(outputpacket)</t>
    </r>
  </si>
  <si>
    <r>
      <rPr>
        <sz val="9"/>
        <color rgb="FF000000"/>
        <rFont val="微软雅黑"/>
        <charset val="134"/>
      </rPr>
      <t>ULTCPReorderingPacket_sum</t>
    </r>
  </si>
  <si>
    <r>
      <rPr>
        <sz val="9"/>
        <color rgb="FF000000"/>
        <rFont val="微软雅黑"/>
        <charset val="134"/>
      </rPr>
      <t>上行TCP乱序报文数，L4协议，非TCP传输时，此字段填0</t>
    </r>
  </si>
  <si>
    <r>
      <rPr>
        <sz val="9"/>
        <color rgb="FF000000"/>
        <rFont val="微软雅黑"/>
        <charset val="134"/>
      </rPr>
      <t>sum(ultcpreorderingpacket)</t>
    </r>
  </si>
  <si>
    <r>
      <rPr>
        <sz val="9"/>
        <color rgb="FF000000"/>
        <rFont val="微软雅黑"/>
        <charset val="134"/>
      </rPr>
      <t>DLTCPReorderingPacket_sum</t>
    </r>
  </si>
  <si>
    <r>
      <rPr>
        <sz val="9"/>
        <color rgb="FF000000"/>
        <rFont val="微软雅黑"/>
        <charset val="134"/>
      </rPr>
      <t>下行TCP乱序报文数，非TCP传输时，此字段填0</t>
    </r>
  </si>
  <si>
    <r>
      <rPr>
        <sz val="9"/>
        <color rgb="FF000000"/>
        <rFont val="微软雅黑"/>
        <charset val="134"/>
      </rPr>
      <t>sum(dltcpreorderingpacket)</t>
    </r>
  </si>
  <si>
    <r>
      <rPr>
        <sz val="9"/>
        <color rgb="FF000000"/>
        <rFont val="微软雅黑"/>
        <charset val="134"/>
      </rPr>
      <t>ULTCPRetransPacket_sum</t>
    </r>
  </si>
  <si>
    <r>
      <rPr>
        <sz val="9"/>
        <color rgb="FF000000"/>
        <rFont val="微软雅黑"/>
        <charset val="134"/>
      </rPr>
      <t>上行TCP重传报文数，非TCP传输时，此字段填0</t>
    </r>
  </si>
  <si>
    <r>
      <rPr>
        <sz val="9"/>
        <color rgb="FF000000"/>
        <rFont val="微软雅黑"/>
        <charset val="134"/>
      </rPr>
      <t>sum(ultcp_retranspacket)</t>
    </r>
  </si>
  <si>
    <r>
      <rPr>
        <sz val="9"/>
        <color rgb="FF000000"/>
        <rFont val="微软雅黑"/>
        <charset val="134"/>
      </rPr>
      <t>DLTCPRetransPacket_sum</t>
    </r>
  </si>
  <si>
    <r>
      <rPr>
        <sz val="9"/>
        <color rgb="FF000000"/>
        <rFont val="微软雅黑"/>
        <charset val="134"/>
      </rPr>
      <t>下行TCP重传报文数，非TCP传输时，此字段填0</t>
    </r>
  </si>
  <si>
    <r>
      <rPr>
        <sz val="9"/>
        <color rgb="FF000000"/>
        <rFont val="微软雅黑"/>
        <charset val="134"/>
      </rPr>
      <t>sum(dltcp_retranspacket)</t>
    </r>
  </si>
  <si>
    <r>
      <rPr>
        <sz val="9"/>
        <color rgb="FF000000"/>
        <rFont val="微软雅黑"/>
        <charset val="134"/>
      </rPr>
      <t>TCPSynNumber_sum</t>
    </r>
  </si>
  <si>
    <r>
      <rPr>
        <sz val="9"/>
        <color rgb="FF000000"/>
        <rFont val="微软雅黑"/>
        <charset val="134"/>
      </rPr>
      <t>TCP建链尝试次数</t>
    </r>
  </si>
  <si>
    <r>
      <rPr>
        <sz val="9"/>
        <color rgb="FF000000"/>
        <rFont val="微软雅黑"/>
        <charset val="134"/>
      </rPr>
      <t>sum(tcpsynnumber)</t>
    </r>
  </si>
  <si>
    <r>
      <rPr>
        <sz val="9"/>
        <color rgb="FF000000"/>
        <rFont val="微软雅黑"/>
        <charset val="134"/>
      </rPr>
      <t>TCPConnectSuccNumber_sum</t>
    </r>
  </si>
  <si>
    <r>
      <rPr>
        <sz val="9"/>
        <color rgb="FF000000"/>
        <rFont val="微软雅黑"/>
        <charset val="134"/>
      </rPr>
      <t>TCP连接成功次数</t>
    </r>
  </si>
  <si>
    <r>
      <rPr>
        <sz val="9"/>
        <color rgb="FF000000"/>
        <rFont val="微软雅黑"/>
        <charset val="134"/>
      </rPr>
      <t>sum(tcpconnectstate)</t>
    </r>
  </si>
  <si>
    <r>
      <rPr>
        <sz val="9"/>
        <color rgb="FF000000"/>
        <rFont val="微软雅黑"/>
        <charset val="134"/>
      </rPr>
      <t>tcpconnfail_sum</t>
    </r>
  </si>
  <si>
    <r>
      <rPr>
        <sz val="9"/>
        <color rgb="FF000000"/>
        <rFont val="微软雅黑"/>
        <charset val="134"/>
      </rPr>
      <t>TCP连接失败次数</t>
    </r>
  </si>
  <si>
    <t>sum(case when TCPConnectState=1 then  1  else 0 end)</t>
  </si>
  <si>
    <r>
      <rPr>
        <sz val="9"/>
        <color rgb="FF000000"/>
        <rFont val="微软雅黑"/>
        <charset val="134"/>
      </rPr>
      <t>tcpconnreq_sum</t>
    </r>
  </si>
  <si>
    <r>
      <rPr>
        <sz val="9"/>
        <color rgb="FF000000"/>
        <rFont val="微软雅黑"/>
        <charset val="134"/>
      </rPr>
      <t>上行TCP建立请求次数</t>
    </r>
  </si>
  <si>
    <t>sum(case when TCPSynNumber&gt;0 then 1 else 0 end)</t>
  </si>
  <si>
    <r>
      <rPr>
        <sz val="9"/>
        <color rgb="FF000000"/>
        <rFont val="微软雅黑"/>
        <charset val="134"/>
      </rPr>
      <t>tcpconnulsuc_sum</t>
    </r>
  </si>
  <si>
    <r>
      <rPr>
        <sz val="9"/>
        <color rgb="FF000000"/>
        <rFont val="微软雅黑"/>
        <charset val="134"/>
      </rPr>
      <t>上行TCP建立成功次数</t>
    </r>
  </si>
  <si>
    <t>sum(case when TCPSetupResponseDelay&gt;0 then  1 else 0 end)</t>
  </si>
  <si>
    <r>
      <rPr>
        <sz val="9"/>
        <color rgb="FF000000"/>
        <rFont val="微软雅黑"/>
        <charset val="134"/>
      </rPr>
      <t>tcpconndlsuc_sum</t>
    </r>
  </si>
  <si>
    <r>
      <rPr>
        <sz val="9"/>
        <color rgb="FF000000"/>
        <rFont val="微软雅黑"/>
        <charset val="134"/>
      </rPr>
      <t>下行TCP建立成功次数</t>
    </r>
  </si>
  <si>
    <r>
      <rPr>
        <sz val="9"/>
        <color rgb="FF000000"/>
        <rFont val="微软雅黑"/>
        <charset val="134"/>
      </rPr>
      <t>sum(case when TCPSetupResponseDelay&gt;0 and TCPSetupACKDelay&gt;0 then</t>
    </r>
    <r>
      <rPr>
        <sz val="9"/>
        <color rgb="FF000000"/>
        <rFont val="微软雅黑"/>
        <charset val="134"/>
      </rPr>
      <t xml:space="preserve">  </t>
    </r>
    <r>
      <rPr>
        <sz val="9"/>
        <color rgb="FF000000"/>
        <rFont val="微软雅黑"/>
        <charset val="134"/>
      </rPr>
      <t>1 else 0 end)</t>
    </r>
  </si>
  <si>
    <r>
      <rPr>
        <sz val="9"/>
        <color rgb="FF000000"/>
        <rFont val="微软雅黑"/>
        <charset val="134"/>
      </rPr>
      <t>ULIPFragPacks_sum</t>
    </r>
  </si>
  <si>
    <r>
      <rPr>
        <sz val="9"/>
        <color rgb="FF000000"/>
        <rFont val="微软雅黑"/>
        <charset val="134"/>
      </rPr>
      <t>UL_IP_FRAG_PACKETS</t>
    </r>
  </si>
  <si>
    <r>
      <rPr>
        <sz val="9"/>
        <color rgb="FF000000"/>
        <rFont val="微软雅黑"/>
        <charset val="134"/>
      </rPr>
      <t>sum(ulipfragpacks)</t>
    </r>
  </si>
  <si>
    <r>
      <rPr>
        <sz val="9"/>
        <color rgb="FF000000"/>
        <rFont val="微软雅黑"/>
        <charset val="134"/>
      </rPr>
      <t>DLIPFragPacks_sum</t>
    </r>
  </si>
  <si>
    <r>
      <rPr>
        <sz val="9"/>
        <color rgb="FF000000"/>
        <rFont val="微软雅黑"/>
        <charset val="134"/>
      </rPr>
      <t>DL_IP_FRAG_PACKETS</t>
    </r>
  </si>
  <si>
    <r>
      <rPr>
        <sz val="9"/>
        <color rgb="FF000000"/>
        <rFont val="微软雅黑"/>
        <charset val="134"/>
      </rPr>
      <t>sum(dlipfragpacks)</t>
    </r>
  </si>
  <si>
    <r>
      <rPr>
        <sz val="9"/>
        <color rgb="FF000000"/>
        <rFont val="微软雅黑"/>
        <charset val="134"/>
      </rPr>
      <t>dnsqueryreqcount</t>
    </r>
  </si>
  <si>
    <r>
      <rPr>
        <sz val="9"/>
        <color rgb="FF000000"/>
        <rFont val="微软雅黑"/>
        <charset val="134"/>
      </rPr>
      <t>DNS查询请求次数</t>
    </r>
  </si>
  <si>
    <t>sum(case when dnsquerytime &gt;0  then 1 else 0 end)</t>
  </si>
  <si>
    <r>
      <rPr>
        <sz val="9"/>
        <color rgb="FF000000"/>
        <rFont val="微软雅黑"/>
        <charset val="134"/>
      </rPr>
      <t>dnsqueryrspcount</t>
    </r>
  </si>
  <si>
    <r>
      <rPr>
        <sz val="9"/>
        <color rgb="FF000000"/>
        <rFont val="微软雅黑"/>
        <charset val="134"/>
      </rPr>
      <t>DNS查询响应次数</t>
    </r>
  </si>
  <si>
    <t>sum(case when dnsresponsetime &gt;0 and dnsquerytime&gt;0 then 1 else 0 end)</t>
  </si>
  <si>
    <r>
      <rPr>
        <sz val="9"/>
        <color rgb="FF000000"/>
        <rFont val="微软雅黑"/>
        <charset val="134"/>
      </rPr>
      <t>httpwebreqcount</t>
    </r>
  </si>
  <si>
    <r>
      <rPr>
        <sz val="9"/>
        <color rgb="FF000000"/>
        <rFont val="微软雅黑"/>
        <charset val="134"/>
      </rPr>
      <t>Http请求次数</t>
    </r>
  </si>
  <si>
    <t>count(1)</t>
  </si>
  <si>
    <r>
      <rPr>
        <sz val="9"/>
        <color rgb="FF000000"/>
        <rFont val="微软雅黑"/>
        <charset val="134"/>
      </rPr>
      <t>httpwebrspcount</t>
    </r>
  </si>
  <si>
    <r>
      <rPr>
        <sz val="9"/>
        <color rgb="FF000000"/>
        <rFont val="微软雅黑"/>
        <charset val="134"/>
      </rPr>
      <t>Http请求成功次数</t>
    </r>
  </si>
  <si>
    <t>sum(if(HTTPStatus &lt; 400,1,0) )</t>
  </si>
  <si>
    <t>http_no_response_cnt_sum</t>
  </si>
  <si>
    <t>http无响应次数</t>
  </si>
  <si>
    <t>sum(case when HTTPStatus=-1 or  HTTPStatus=-2 then 1 else 0 end)</t>
  </si>
  <si>
    <t>0-45290</t>
  </si>
  <si>
    <r>
      <rPr>
        <sz val="9"/>
        <color rgb="FF000000"/>
        <rFont val="微软雅黑"/>
        <charset val="134"/>
      </rPr>
      <t>httpwebrsprate</t>
    </r>
  </si>
  <si>
    <r>
      <rPr>
        <sz val="9"/>
        <color rgb="FF000000"/>
        <rFont val="微软雅黑"/>
        <charset val="134"/>
      </rPr>
      <t>网页响应成功率(%)</t>
    </r>
  </si>
  <si>
    <t>case when count(1)!=0 then sum(if(HTTPStatus &lt; 400,1,0) )/count(1) else null end)</t>
  </si>
  <si>
    <t>httpwebcmpltrate</t>
  </si>
  <si>
    <t>网页完整率</t>
  </si>
  <si>
    <t>CASE WHEN count(1) != 0 THEN COUNT(CASE WHEN SYNtime is not null AND LastAcktime &gt; SYNtime THEN LastAcktime-SYNtime  ELSE null END)/count(1)  ELSE null END</t>
  </si>
  <si>
    <t>HTTPstatus_1xx</t>
  </si>
  <si>
    <t>Http状态1xx次数</t>
  </si>
  <si>
    <t>SUM(CASE WHEN HTTPStatus&gt;=100 and HTTPStatus&lt;200 then 1 else 0 end)</t>
  </si>
  <si>
    <t>0-864820</t>
  </si>
  <si>
    <t>HTTPstatus_2xx</t>
  </si>
  <si>
    <t>Http状态2xx次数</t>
  </si>
  <si>
    <t>SUM(CASE WHEN HTTPStatus&gt;=200 and HTTPStatus&lt;300 then 1  else 0 end)</t>
  </si>
  <si>
    <t>0-1130940</t>
  </si>
  <si>
    <t>HTTPstatus_3xx</t>
  </si>
  <si>
    <t>Http状态3xx次数</t>
  </si>
  <si>
    <t>SUM(CASE WHEN HTTPStatus&gt;=300 and HTTPStatus&lt;400 then 1  else 0 end)</t>
  </si>
  <si>
    <t>0-979218</t>
  </si>
  <si>
    <t>HTTPstatus_4xx</t>
  </si>
  <si>
    <t>Http状态4xx次数</t>
  </si>
  <si>
    <t>SUM(CASE WHEN HTTPStatus&gt;=400 and HTTPStatus&lt;500 then 1  else 0 end)</t>
  </si>
  <si>
    <t>0-237785</t>
  </si>
  <si>
    <t>HTTPstatus_5xx</t>
  </si>
  <si>
    <t>Http状态5xx次数</t>
  </si>
  <si>
    <t>SUM(CASE WHEN HTTPStatus&gt;=500  then 1  else 0 end)</t>
  </si>
  <si>
    <t>0-69034</t>
  </si>
  <si>
    <t>http_throughput_size_sum</t>
  </si>
  <si>
    <t>HTTP下载文件大小（Kbit）</t>
  </si>
  <si>
    <t>sum(InputOctets*8/1024)</t>
  </si>
  <si>
    <t>KB</t>
  </si>
  <si>
    <t>-275181285.789062-990591589.546875</t>
  </si>
  <si>
    <t>http_throughput_duartion_sum</t>
  </si>
  <si>
    <t>HTTP下载时长（s）</t>
  </si>
  <si>
    <t>sum(case when  SYNtime&gt;0 and Lastpacktime-SYNtime&gt;0 then (Lastpacktime-SYNtime)/1000 else null end)</t>
  </si>
  <si>
    <t>0.001-19150121498.412</t>
  </si>
  <si>
    <r>
      <rPr>
        <sz val="9"/>
        <color rgb="FF000000"/>
        <rFont val="微软雅黑"/>
        <charset val="134"/>
      </rPr>
      <t>throughput</t>
    </r>
  </si>
  <si>
    <r>
      <rPr>
        <sz val="9"/>
        <color rgb="FF000000"/>
        <rFont val="微软雅黑"/>
        <charset val="134"/>
      </rPr>
      <t>下载速率_根据IP报文统计</t>
    </r>
  </si>
  <si>
    <t xml:space="preserve">(SUM(inputoctets)*8000)/(SUM(httpwebdspdelay)*1024) </t>
  </si>
  <si>
    <r>
      <rPr>
        <sz val="9"/>
        <color rgb="FF000000"/>
        <rFont val="微软雅黑"/>
        <charset val="134"/>
      </rPr>
      <t>throughput_seg_1</t>
    </r>
  </si>
  <si>
    <r>
      <rPr>
        <sz val="9"/>
        <color rgb="FF000000"/>
        <rFont val="微软雅黑"/>
        <charset val="134"/>
      </rPr>
      <t>下载速率_根据IP报文统计_seg_1，统计下载速率在seg_1中的次数</t>
    </r>
  </si>
  <si>
    <t>CASE WHEN SYNtime is not null AND Lastpacktime-SYNtime &gt; 0 THEN (InputPacket*8000)/((Lastpacktime-SYNtime)*1024)  ELSE null END AS http_throughput
count( case when http_throughput&gt;#http_throughput_seg_1_1st# and http_throughput&lt;=#http_throughput_seg_1_2nd# then 1 else null end)</t>
  </si>
  <si>
    <r>
      <rPr>
        <sz val="9"/>
        <color rgb="FF000000"/>
        <rFont val="微软雅黑"/>
        <charset val="134"/>
      </rPr>
      <t>throughput_seg_2</t>
    </r>
  </si>
  <si>
    <r>
      <rPr>
        <sz val="9"/>
        <color rgb="FF000000"/>
        <rFont val="微软雅黑"/>
        <charset val="134"/>
      </rPr>
      <t>下载速率_根据IP报文统计_seg_2</t>
    </r>
  </si>
  <si>
    <t>CASE WHEN SYNtime is not null AND Lastpacktime-SYNtime &gt; 0 THEN (InputPacket*8000)/((Lastpacktime-SYNtime)*1024)  ELSE null END AS http_throughput
count( case when http_throughput&gt;#http_throughput_seg_2_1st# and http_throughput&lt;=#http_throughput_seg_2_2nd# then 1 else null end)</t>
  </si>
  <si>
    <r>
      <rPr>
        <sz val="9"/>
        <color rgb="FF000000"/>
        <rFont val="微软雅黑"/>
        <charset val="134"/>
      </rPr>
      <t>throughput_seg_3</t>
    </r>
  </si>
  <si>
    <r>
      <rPr>
        <sz val="9"/>
        <color rgb="FF000000"/>
        <rFont val="微软雅黑"/>
        <charset val="134"/>
      </rPr>
      <t>下载速率_根据IP报文统计_seg_3</t>
    </r>
  </si>
  <si>
    <t>CASE WHEN SYNtime is not null AND Lastpacktime-SYNtime &gt; 0 THEN (InputPacket*8000)/((Lastpacktime-SYNtime)*1024)  ELSE null END AS http_throughput
count( case when http_throughput&gt;#http_throughput_seg_3_1st# and http_throughput&lt;=#http_throughput_seg_3_2nd# then 1 else null end)</t>
  </si>
  <si>
    <r>
      <rPr>
        <sz val="9"/>
        <color rgb="FF000000"/>
        <rFont val="微软雅黑"/>
        <charset val="134"/>
      </rPr>
      <t>throughput_seg_4</t>
    </r>
  </si>
  <si>
    <r>
      <rPr>
        <sz val="9"/>
        <color rgb="FF000000"/>
        <rFont val="微软雅黑"/>
        <charset val="134"/>
      </rPr>
      <t>下载速率_根据IP报文统计_seg_4</t>
    </r>
  </si>
  <si>
    <t>CASE WHEN SYNtime is not null AND Lastpacktime-SYNtime &gt; 0 THEN (InputPacket*8000)/((Lastpacktime-SYNtime)*1024)  ELSE null END AS http_throughput
count( case when http_throughput&gt;#http_throughput_seg_4_1st# and http_throughput&lt;=#http_throughput_seg_4_2nd# then 1 else null end)</t>
  </si>
  <si>
    <r>
      <rPr>
        <sz val="9"/>
        <color rgb="FF000000"/>
        <rFont val="微软雅黑"/>
        <charset val="134"/>
      </rPr>
      <t>throughput_seg_5</t>
    </r>
  </si>
  <si>
    <r>
      <rPr>
        <sz val="9"/>
        <color rgb="FF000000"/>
        <rFont val="微软雅黑"/>
        <charset val="134"/>
      </rPr>
      <t>下载速率_根据IP报文统计_seg_5</t>
    </r>
  </si>
  <si>
    <t>CASE WHEN SYNtime is not null AND Lastpacktime-SYNtime &gt; 0 THEN (InputPacket*8000)/((Lastpacktime-SYNtime)*1024)  ELSE null END AS http_throughput
count( case when http_throughput&gt;#http_throughput_seg_5_1st# and http_throughput&lt;=#http_throughput_seg_5_2nd# then 1 else null end)</t>
  </si>
  <si>
    <r>
      <rPr>
        <sz val="9"/>
        <color rgb="FF000000"/>
        <rFont val="微软雅黑"/>
        <charset val="134"/>
      </rPr>
      <t>TCPSetupResponseDelay_sum</t>
    </r>
  </si>
  <si>
    <r>
      <rPr>
        <sz val="9"/>
        <color rgb="FF000000"/>
        <rFont val="微软雅黑"/>
        <charset val="134"/>
      </rPr>
      <t>TCP建链响应时延_sum</t>
    </r>
  </si>
  <si>
    <t>sum(tcpsetupresponsedelay)</t>
  </si>
  <si>
    <r>
      <rPr>
        <sz val="9"/>
        <color rgb="FF000000"/>
        <rFont val="微软雅黑"/>
        <charset val="134"/>
      </rPr>
      <t>TCPSetupResponseDelay_avg</t>
    </r>
  </si>
  <si>
    <r>
      <rPr>
        <sz val="9"/>
        <color rgb="FF000000"/>
        <rFont val="微软雅黑"/>
        <charset val="134"/>
      </rPr>
      <t>TCP建链响应时延_avg</t>
    </r>
  </si>
  <si>
    <t>avg(tcpsetupresponsedelay)</t>
  </si>
  <si>
    <r>
      <rPr>
        <sz val="9"/>
        <color rgb="FF000000"/>
        <rFont val="微软雅黑"/>
        <charset val="134"/>
      </rPr>
      <t>TCPSetupResponseDelay_seg_1</t>
    </r>
  </si>
  <si>
    <r>
      <rPr>
        <sz val="9"/>
        <color rgb="FF000000"/>
        <rFont val="微软雅黑"/>
        <charset val="134"/>
      </rPr>
      <t>TCP建链响应时延_seg_1</t>
    </r>
  </si>
  <si>
    <r>
      <rPr>
        <sz val="9"/>
        <color rgb="FF000000"/>
        <rFont val="微软雅黑"/>
        <charset val="134"/>
      </rPr>
      <t>count(case when tcpsetupresponsedelay&gt;=#tcpsetupresponsedelay_seg_1_1st# and tcpsetupresponsedelay&lt;#tcpsetupresponsedelay_seg_1_2nd# then 1 else null end)</t>
    </r>
  </si>
  <si>
    <r>
      <rPr>
        <sz val="9"/>
        <color rgb="FF000000"/>
        <rFont val="微软雅黑"/>
        <charset val="134"/>
      </rPr>
      <t>TCPSetupResponseDelay_seg_2</t>
    </r>
  </si>
  <si>
    <r>
      <rPr>
        <sz val="9"/>
        <color rgb="FF000000"/>
        <rFont val="微软雅黑"/>
        <charset val="134"/>
      </rPr>
      <t>TCP建链响应时延_seg_2</t>
    </r>
  </si>
  <si>
    <r>
      <rPr>
        <sz val="9"/>
        <color rgb="FF000000"/>
        <rFont val="微软雅黑"/>
        <charset val="134"/>
      </rPr>
      <t>count(case when tcpsetupresponsedelay&gt;=#tcpsetupresponsedelay_seg_2_1st# and tcpsetupresponsedelay&lt;#tcpsetupresponsedelay_seg_2_2nd# then 1 else null end)</t>
    </r>
  </si>
  <si>
    <r>
      <rPr>
        <sz val="9"/>
        <color rgb="FF000000"/>
        <rFont val="微软雅黑"/>
        <charset val="134"/>
      </rPr>
      <t>TCPSetupResponseDelay_seg_3</t>
    </r>
  </si>
  <si>
    <r>
      <rPr>
        <sz val="9"/>
        <color rgb="FF000000"/>
        <rFont val="微软雅黑"/>
        <charset val="134"/>
      </rPr>
      <t>TCP建链响应时延_seg_3</t>
    </r>
  </si>
  <si>
    <r>
      <rPr>
        <sz val="9"/>
        <color rgb="FF000000"/>
        <rFont val="微软雅黑"/>
        <charset val="134"/>
      </rPr>
      <t>count(case when tcpsetupresponsedelay&gt;=#tcpsetupresponsedelay_seg_3_1st# and tcpsetupresponsedelay&lt;#tcpsetupresponsedelay_seg_3_2nd# then 1 else null end)</t>
    </r>
  </si>
  <si>
    <r>
      <rPr>
        <sz val="9"/>
        <color rgb="FF000000"/>
        <rFont val="微软雅黑"/>
        <charset val="134"/>
      </rPr>
      <t>TCPSetupResponseDelay_seg_4</t>
    </r>
  </si>
  <si>
    <r>
      <rPr>
        <sz val="9"/>
        <color rgb="FF000000"/>
        <rFont val="微软雅黑"/>
        <charset val="134"/>
      </rPr>
      <t>TCP建链响应时延_seg_4</t>
    </r>
  </si>
  <si>
    <r>
      <rPr>
        <sz val="9"/>
        <color rgb="FF000000"/>
        <rFont val="微软雅黑"/>
        <charset val="134"/>
      </rPr>
      <t>count(case when tcpsetupresponsedelay&gt;=#tcpsetupresponsedelay_seg_4_1st# and tcpsetupresponsedelay&lt;#tcpsetupresponsedelay_seg_4_2nd# then 1 else null end)</t>
    </r>
  </si>
  <si>
    <r>
      <rPr>
        <sz val="9"/>
        <color rgb="FF000000"/>
        <rFont val="微软雅黑"/>
        <charset val="134"/>
      </rPr>
      <t>TCPSetupResponseDelay_seg_5</t>
    </r>
  </si>
  <si>
    <r>
      <rPr>
        <sz val="9"/>
        <color rgb="FF000000"/>
        <rFont val="微软雅黑"/>
        <charset val="134"/>
      </rPr>
      <t>TCP建链响应时延_seg_5</t>
    </r>
  </si>
  <si>
    <r>
      <rPr>
        <sz val="9"/>
        <color rgb="FF000000"/>
        <rFont val="微软雅黑"/>
        <charset val="134"/>
      </rPr>
      <t>count(case when tcpsetupresponsedelay&gt;=#tcpsetupresponsedelay_seg_5_1st# and tcpsetupresponsedelay&lt;#tcpsetupresponsedelay_seg_5_2nd# then 1 else null end)</t>
    </r>
  </si>
  <si>
    <r>
      <rPr>
        <sz val="9"/>
        <color rgb="FF000000"/>
        <rFont val="微软雅黑"/>
        <charset val="134"/>
      </rPr>
      <t>TCPSetupACKDelay_sum</t>
    </r>
  </si>
  <si>
    <r>
      <rPr>
        <sz val="9"/>
        <color rgb="FF000000"/>
        <rFont val="微软雅黑"/>
        <charset val="134"/>
      </rPr>
      <t>TCP建链确认时延_sum</t>
    </r>
  </si>
  <si>
    <r>
      <rPr>
        <sz val="9"/>
        <color rgb="FF000000"/>
        <rFont val="微软雅黑"/>
        <charset val="134"/>
      </rPr>
      <t>sum(TCPSetupACKDelay)</t>
    </r>
  </si>
  <si>
    <r>
      <rPr>
        <sz val="9"/>
        <color rgb="FF000000"/>
        <rFont val="微软雅黑"/>
        <charset val="134"/>
      </rPr>
      <t>TCPSetupACKDelay_avg</t>
    </r>
  </si>
  <si>
    <r>
      <rPr>
        <sz val="9"/>
        <color rgb="FF000000"/>
        <rFont val="微软雅黑"/>
        <charset val="134"/>
      </rPr>
      <t>TCP建链确认时延_avg</t>
    </r>
  </si>
  <si>
    <r>
      <rPr>
        <sz val="9"/>
        <color rgb="FF000000"/>
        <rFont val="微软雅黑"/>
        <charset val="134"/>
      </rPr>
      <t>avg(tcpsetupackdelay)</t>
    </r>
  </si>
  <si>
    <r>
      <rPr>
        <sz val="9"/>
        <color rgb="FF000000"/>
        <rFont val="微软雅黑"/>
        <charset val="134"/>
      </rPr>
      <t>TCPSetupACKDelay_seg_1</t>
    </r>
  </si>
  <si>
    <r>
      <rPr>
        <sz val="9"/>
        <color rgb="FF000000"/>
        <rFont val="微软雅黑"/>
        <charset val="134"/>
      </rPr>
      <t>TCP建链确认时延_seg_1</t>
    </r>
  </si>
  <si>
    <r>
      <rPr>
        <sz val="9"/>
        <color rgb="FF000000"/>
        <rFont val="微软雅黑"/>
        <charset val="134"/>
      </rPr>
      <t>count(case when tcpsetupackdelay&gt;=#tcpsetupackdelay_seg_1_1st# and tcpsetupackdelay&lt;#tcpsetupackdelay_seg_1_2nd# then 1 else null end)</t>
    </r>
  </si>
  <si>
    <r>
      <rPr>
        <sz val="9"/>
        <color rgb="FF000000"/>
        <rFont val="微软雅黑"/>
        <charset val="134"/>
      </rPr>
      <t>TCPSetupACKDelay_seg_2</t>
    </r>
  </si>
  <si>
    <r>
      <rPr>
        <sz val="9"/>
        <color rgb="FF000000"/>
        <rFont val="微软雅黑"/>
        <charset val="134"/>
      </rPr>
      <t>TCP建链确认时延_seg_2</t>
    </r>
  </si>
  <si>
    <r>
      <rPr>
        <sz val="9"/>
        <color rgb="FF000000"/>
        <rFont val="微软雅黑"/>
        <charset val="134"/>
      </rPr>
      <t>count(case when tcpsetupackdelay&gt;=#tcpsetupackdelay_seg_2_1st# and tcpsetupackdelay&lt;#tcpsetupackdelay_seg_2_2nd# then 1 else null end)</t>
    </r>
  </si>
  <si>
    <r>
      <rPr>
        <sz val="9"/>
        <color rgb="FF000000"/>
        <rFont val="微软雅黑"/>
        <charset val="134"/>
      </rPr>
      <t>TCPSetupACKDelay_seg_3</t>
    </r>
  </si>
  <si>
    <r>
      <rPr>
        <sz val="9"/>
        <color rgb="FF000000"/>
        <rFont val="微软雅黑"/>
        <charset val="134"/>
      </rPr>
      <t>TCP建链确认时延_seg_3</t>
    </r>
  </si>
  <si>
    <r>
      <rPr>
        <sz val="9"/>
        <color rgb="FF000000"/>
        <rFont val="微软雅黑"/>
        <charset val="134"/>
      </rPr>
      <t>count(case when tcpsetupackdelay&gt;=#tcpsetupackdelay_seg_3_1st# and tcpsetupackdelay&lt;#tcpsetupackdelay_seg_3_2nd# then 1 else null end)</t>
    </r>
  </si>
  <si>
    <r>
      <rPr>
        <sz val="9"/>
        <color rgb="FF000000"/>
        <rFont val="微软雅黑"/>
        <charset val="134"/>
      </rPr>
      <t>TCPSetupACKDelay_seg_4</t>
    </r>
  </si>
  <si>
    <r>
      <rPr>
        <sz val="9"/>
        <color rgb="FF000000"/>
        <rFont val="微软雅黑"/>
        <charset val="134"/>
      </rPr>
      <t>TCP建链确认时延_seg_4</t>
    </r>
  </si>
  <si>
    <r>
      <rPr>
        <sz val="9"/>
        <color rgb="FF000000"/>
        <rFont val="微软雅黑"/>
        <charset val="134"/>
      </rPr>
      <t>count(case when tcpsetupackdelay&gt;=#tcpsetupackdelay_seg_4_1st# and tcpsetupackdelay&lt;#tcpsetupackdelay_seg_4_2nd# then 1 else null end)</t>
    </r>
  </si>
  <si>
    <r>
      <rPr>
        <sz val="9"/>
        <color rgb="FF000000"/>
        <rFont val="微软雅黑"/>
        <charset val="134"/>
      </rPr>
      <t>TCPSetupACKDelay_seg_5</t>
    </r>
  </si>
  <si>
    <r>
      <rPr>
        <sz val="9"/>
        <color rgb="FF000000"/>
        <rFont val="微软雅黑"/>
        <charset val="134"/>
      </rPr>
      <t>TCP建链确认时延_seg_5</t>
    </r>
  </si>
  <si>
    <r>
      <rPr>
        <sz val="9"/>
        <color rgb="FF000000"/>
        <rFont val="微软雅黑"/>
        <charset val="134"/>
      </rPr>
      <t>count(case when tcpsetupackdelay&gt;=#tcpsetupackdelay_seg_5_1st# and tcpsetupackdelay&lt;#tcpsetupackdelay_seg_5_2nd# then 1 else null end)</t>
    </r>
  </si>
  <si>
    <r>
      <rPr>
        <sz val="9"/>
        <color rgb="FF000000"/>
        <rFont val="微软雅黑"/>
        <charset val="134"/>
      </rPr>
      <t>tcpsetupdelay_sum</t>
    </r>
  </si>
  <si>
    <r>
      <rPr>
        <sz val="9"/>
        <color rgb="FF000000"/>
        <rFont val="微软雅黑"/>
        <charset val="134"/>
      </rPr>
      <t>TCP建立时延(ms)_sum</t>
    </r>
  </si>
  <si>
    <r>
      <rPr>
        <sz val="9"/>
        <color rgb="FF000000"/>
        <rFont val="微软雅黑"/>
        <charset val="134"/>
      </rPr>
      <t>sum(tcpsetupdelay)</t>
    </r>
  </si>
  <si>
    <r>
      <rPr>
        <sz val="9"/>
        <color rgb="FF000000"/>
        <rFont val="微软雅黑"/>
        <charset val="134"/>
      </rPr>
      <t>tcpsetupdelay_avg</t>
    </r>
  </si>
  <si>
    <r>
      <rPr>
        <sz val="9"/>
        <color rgb="FF000000"/>
        <rFont val="微软雅黑"/>
        <charset val="134"/>
      </rPr>
      <t>TCP建立时延(ms)_avg</t>
    </r>
  </si>
  <si>
    <r>
      <rPr>
        <sz val="9"/>
        <color rgb="FF000000"/>
        <rFont val="微软雅黑"/>
        <charset val="134"/>
      </rPr>
      <t>avg(tcpsetupdelay)</t>
    </r>
  </si>
  <si>
    <r>
      <rPr>
        <sz val="9"/>
        <color rgb="FF000000"/>
        <rFont val="微软雅黑"/>
        <charset val="134"/>
      </rPr>
      <t>tcpsetupdelay_seg_1</t>
    </r>
  </si>
  <si>
    <r>
      <rPr>
        <sz val="9"/>
        <color rgb="FF000000"/>
        <rFont val="微软雅黑"/>
        <charset val="134"/>
      </rPr>
      <t>TCP建立时延(ms)_seg_1</t>
    </r>
  </si>
  <si>
    <r>
      <rPr>
        <sz val="9"/>
        <color rgb="FF000000"/>
        <rFont val="微软雅黑"/>
        <charset val="134"/>
      </rPr>
      <t>count(case when tcpsetupdelay&gt;=#tcpsetupdelay_seg_1_1st# and tcpsetupdelay&lt;#tcpsetupdelay_seg_1_2nd# then 1 else null end)</t>
    </r>
  </si>
  <si>
    <r>
      <rPr>
        <sz val="9"/>
        <color rgb="FF000000"/>
        <rFont val="微软雅黑"/>
        <charset val="134"/>
      </rPr>
      <t>tcpsetupdelay_seg_2</t>
    </r>
  </si>
  <si>
    <r>
      <rPr>
        <sz val="9"/>
        <color rgb="FF000000"/>
        <rFont val="微软雅黑"/>
        <charset val="134"/>
      </rPr>
      <t>TCP建立时延(ms)_seg_2</t>
    </r>
  </si>
  <si>
    <r>
      <rPr>
        <sz val="9"/>
        <color rgb="FF000000"/>
        <rFont val="微软雅黑"/>
        <charset val="134"/>
      </rPr>
      <t>count(case when tcpsetupdelay&gt;=#tcpsetupdelay_seg_2_1st# and tcpsetupdelay&lt;#tcpsetupdelay_seg_2_2nd# then 1 else null end)</t>
    </r>
  </si>
  <si>
    <r>
      <rPr>
        <sz val="9"/>
        <color rgb="FF000000"/>
        <rFont val="微软雅黑"/>
        <charset val="134"/>
      </rPr>
      <t>tcpsetupdelay_seg_3</t>
    </r>
  </si>
  <si>
    <r>
      <rPr>
        <sz val="9"/>
        <color rgb="FF000000"/>
        <rFont val="微软雅黑"/>
        <charset val="134"/>
      </rPr>
      <t>TCP建立时延(ms)_seg_3</t>
    </r>
  </si>
  <si>
    <r>
      <rPr>
        <sz val="9"/>
        <color rgb="FF000000"/>
        <rFont val="微软雅黑"/>
        <charset val="134"/>
      </rPr>
      <t>count(case when tcpsetupdelay&gt;=#tcpsetupdelay_seg_3_1st# and tcpsetupdelay&lt;#tcpsetupdelay_seg_3_2nd# then 1 else null end)</t>
    </r>
  </si>
  <si>
    <r>
      <rPr>
        <sz val="9"/>
        <color rgb="FF000000"/>
        <rFont val="微软雅黑"/>
        <charset val="134"/>
      </rPr>
      <t>tcpsetupdelay_seg_4</t>
    </r>
  </si>
  <si>
    <r>
      <rPr>
        <sz val="9"/>
        <color rgb="FF000000"/>
        <rFont val="微软雅黑"/>
        <charset val="134"/>
      </rPr>
      <t>TCP建立时延(ms)_seg_4</t>
    </r>
  </si>
  <si>
    <r>
      <rPr>
        <sz val="9"/>
        <color rgb="FF000000"/>
        <rFont val="微软雅黑"/>
        <charset val="134"/>
      </rPr>
      <t>count(case when tcpsetupdelay&gt;=#tcpsetupdelay_seg_4_1st# and tcpsetupdelay&lt;#tcpsetupdelay_seg_4_2nd# then 1 else null end)</t>
    </r>
  </si>
  <si>
    <r>
      <rPr>
        <sz val="9"/>
        <color rgb="FF000000"/>
        <rFont val="微软雅黑"/>
        <charset val="134"/>
      </rPr>
      <t>tcpsetupdelay_seg_5</t>
    </r>
  </si>
  <si>
    <r>
      <rPr>
        <sz val="9"/>
        <color rgb="FF000000"/>
        <rFont val="微软雅黑"/>
        <charset val="134"/>
      </rPr>
      <t>TCP建立时延(ms)_seg_5</t>
    </r>
  </si>
  <si>
    <r>
      <rPr>
        <sz val="9"/>
        <color rgb="FF000000"/>
        <rFont val="微软雅黑"/>
        <charset val="134"/>
      </rPr>
      <t>count(case when tcpsetupdelay&gt;=#tcpsetupdelay_seg_5_1st# and tcpsetupdelay&lt;#tcpsetupdelay_seg_5_2nd# then 1 else null end)</t>
    </r>
  </si>
  <si>
    <r>
      <rPr>
        <sz val="9"/>
        <color rgb="FF000000"/>
        <rFont val="微软雅黑"/>
        <charset val="134"/>
      </rPr>
      <t>tcpsetupresponsedelay_cnt</t>
    </r>
  </si>
  <si>
    <r>
      <rPr>
        <sz val="9"/>
        <color rgb="FF000000"/>
        <rFont val="微软雅黑"/>
        <charset val="134"/>
      </rPr>
      <t>TCP建链响应次数</t>
    </r>
  </si>
  <si>
    <t>sum(case when TCPSetupResponseDelay&gt;0   then 1 else 0  end)</t>
  </si>
  <si>
    <r>
      <rPr>
        <sz val="9"/>
        <color rgb="FF000000"/>
        <rFont val="微软雅黑"/>
        <charset val="134"/>
      </rPr>
      <t>tcpsetupackdelay_cnt</t>
    </r>
  </si>
  <si>
    <r>
      <rPr>
        <sz val="9"/>
        <color rgb="FF000000"/>
        <rFont val="微软雅黑"/>
        <charset val="134"/>
      </rPr>
      <t>TCP建链确认次数</t>
    </r>
  </si>
  <si>
    <r>
      <rPr>
        <sz val="9"/>
        <color rgb="FF000000"/>
        <rFont val="微软雅黑"/>
        <charset val="134"/>
      </rPr>
      <t>sum(case when tcpsetupackdelay&gt;0</t>
    </r>
    <r>
      <rPr>
        <sz val="9"/>
        <color rgb="FF000000"/>
        <rFont val="微软雅黑"/>
        <charset val="134"/>
      </rPr>
      <t xml:space="preserve">   </t>
    </r>
    <r>
      <rPr>
        <sz val="9"/>
        <color rgb="FF000000"/>
        <rFont val="微软雅黑"/>
        <charset val="134"/>
      </rPr>
      <t>then 1 else 0</t>
    </r>
    <r>
      <rPr>
        <sz val="9"/>
        <color rgb="FF000000"/>
        <rFont val="微软雅黑"/>
        <charset val="134"/>
      </rPr>
      <t xml:space="preserve">  </t>
    </r>
    <r>
      <rPr>
        <sz val="9"/>
        <color rgb="FF000000"/>
        <rFont val="微软雅黑"/>
        <charset val="134"/>
      </rPr>
      <t>end)</t>
    </r>
  </si>
  <si>
    <r>
      <rPr>
        <sz val="9"/>
        <color rgb="FF000000"/>
        <rFont val="微软雅黑"/>
        <charset val="134"/>
      </rPr>
      <t>Delay_Setup_FirstTransaction_sum</t>
    </r>
  </si>
  <si>
    <r>
      <rPr>
        <sz val="9"/>
        <color rgb="FF000000"/>
        <rFont val="微软雅黑"/>
        <charset val="134"/>
      </rPr>
      <t>TCP建链成功到第一条事务请求的时延_sum（ms）</t>
    </r>
  </si>
  <si>
    <t>sum(Delay_Setup_FirstTransaction)</t>
  </si>
  <si>
    <r>
      <rPr>
        <sz val="9"/>
        <color rgb="FF000000"/>
        <rFont val="微软雅黑"/>
        <charset val="134"/>
      </rPr>
      <t>delay_setup_firsttransaction_cnt_sum</t>
    </r>
  </si>
  <si>
    <r>
      <rPr>
        <sz val="9"/>
        <color rgb="FF000000"/>
        <rFont val="微软雅黑"/>
        <charset val="134"/>
      </rPr>
      <t>TCP建链成功到第一条事务请求的次数_sum（ms）</t>
    </r>
  </si>
  <si>
    <r>
      <rPr>
        <sz val="9"/>
        <color rgb="FF000000"/>
        <rFont val="微软雅黑"/>
        <charset val="134"/>
      </rPr>
      <t>sum(case when Delay_Setup_FirstTransaction&gt;0 then 1 else 0 end)</t>
    </r>
  </si>
  <si>
    <r>
      <rPr>
        <sz val="9"/>
        <color rgb="FF000000"/>
        <rFont val="微软雅黑"/>
        <charset val="134"/>
      </rPr>
      <t>Delay_Setup_FirstTransaction_avg</t>
    </r>
  </si>
  <si>
    <r>
      <rPr>
        <sz val="9"/>
        <color rgb="FF000000"/>
        <rFont val="微软雅黑"/>
        <charset val="134"/>
      </rPr>
      <t>TCP建链成功到第一条事务请求的时延_avg（ms）</t>
    </r>
  </si>
  <si>
    <r>
      <rPr>
        <sz val="9"/>
        <color rgb="FF000000"/>
        <rFont val="微软雅黑"/>
        <charset val="134"/>
      </rPr>
      <t>avg(delay_setup_firsttransaction)</t>
    </r>
  </si>
  <si>
    <r>
      <rPr>
        <sz val="9"/>
        <color rgb="FF000000"/>
        <rFont val="微软雅黑"/>
        <charset val="134"/>
      </rPr>
      <t>Delay_Setup_FirstTransaction_seg_1</t>
    </r>
  </si>
  <si>
    <r>
      <rPr>
        <sz val="9"/>
        <color rgb="FF000000"/>
        <rFont val="微软雅黑"/>
        <charset val="134"/>
      </rPr>
      <t>TCP建链成功到第一条事务请求的时延_seg_1</t>
    </r>
  </si>
  <si>
    <r>
      <rPr>
        <sz val="9"/>
        <color rgb="FF000000"/>
        <rFont val="微软雅黑"/>
        <charset val="134"/>
      </rPr>
      <t>count(case when delay_setup_firsttransaction&gt;=#delay_setup_firsttransaction_seg_1_1st# and delay_setup_firsttransaction&lt;#delay_setup_firsttransaction_seg_1_2nd# then 1 else null end)</t>
    </r>
  </si>
  <si>
    <r>
      <rPr>
        <sz val="9"/>
        <color rgb="FF000000"/>
        <rFont val="微软雅黑"/>
        <charset val="134"/>
      </rPr>
      <t>Delay_Setup_FirstTransaction_seg_2</t>
    </r>
  </si>
  <si>
    <r>
      <rPr>
        <sz val="9"/>
        <color rgb="FF000000"/>
        <rFont val="微软雅黑"/>
        <charset val="134"/>
      </rPr>
      <t>TCP建链成功到第一条事务请求的时延_seg_2</t>
    </r>
  </si>
  <si>
    <r>
      <rPr>
        <sz val="9"/>
        <color rgb="FF000000"/>
        <rFont val="微软雅黑"/>
        <charset val="134"/>
      </rPr>
      <t>count(case when delay_setup_firsttransaction&gt;=#delay_setup_firsttransaction_seg_2_1st# and delay_setup_firsttransaction&lt;#delay_setup_firsttransaction_seg_2_2nd# then 1 else null end)</t>
    </r>
  </si>
  <si>
    <r>
      <rPr>
        <sz val="9"/>
        <color rgb="FF000000"/>
        <rFont val="微软雅黑"/>
        <charset val="134"/>
      </rPr>
      <t>Delay_Setup_FirstTransaction_seg_3</t>
    </r>
  </si>
  <si>
    <r>
      <rPr>
        <sz val="9"/>
        <color rgb="FF000000"/>
        <rFont val="微软雅黑"/>
        <charset val="134"/>
      </rPr>
      <t>TCP建链成功到第一条事务请求的时延_seg_3</t>
    </r>
  </si>
  <si>
    <r>
      <rPr>
        <sz val="9"/>
        <color rgb="FF000000"/>
        <rFont val="微软雅黑"/>
        <charset val="134"/>
      </rPr>
      <t>count(case when delay_setup_firsttransaction&gt;=#delay_setup_firsttransaction_seg_3_1st# and delay_setup_firsttransaction&lt;#delay_setup_firsttransaction_seg_3_2nd# then 1 else null end)</t>
    </r>
  </si>
  <si>
    <r>
      <rPr>
        <sz val="9"/>
        <color rgb="FF000000"/>
        <rFont val="微软雅黑"/>
        <charset val="134"/>
      </rPr>
      <t>Delay_Setup_FirstTransaction_seg_4</t>
    </r>
  </si>
  <si>
    <r>
      <rPr>
        <sz val="9"/>
        <color rgb="FF000000"/>
        <rFont val="微软雅黑"/>
        <charset val="134"/>
      </rPr>
      <t>TCP建链成功到第一条事务请求的时延_seg_4</t>
    </r>
  </si>
  <si>
    <r>
      <rPr>
        <sz val="9"/>
        <color rgb="FF000000"/>
        <rFont val="微软雅黑"/>
        <charset val="134"/>
      </rPr>
      <t>count(case when delay_setup_firsttransaction&gt;=#delay_setup_firsttransaction_seg_4_1st# and delay_setup_firsttransaction&lt;#delay_setup_firsttransaction_seg_4_2nd# then 1 else null end)</t>
    </r>
  </si>
  <si>
    <r>
      <rPr>
        <sz val="9"/>
        <color rgb="FF000000"/>
        <rFont val="微软雅黑"/>
        <charset val="134"/>
      </rPr>
      <t>Delay_Setup_FirstTransaction_seg_5</t>
    </r>
  </si>
  <si>
    <r>
      <rPr>
        <sz val="9"/>
        <color rgb="FF000000"/>
        <rFont val="微软雅黑"/>
        <charset val="134"/>
      </rPr>
      <t>TCP建链成功到第一条事务请求的时延_seg_5</t>
    </r>
  </si>
  <si>
    <r>
      <rPr>
        <sz val="9"/>
        <color rgb="FF000000"/>
        <rFont val="微软雅黑"/>
        <charset val="134"/>
      </rPr>
      <t>count(case when delay_setup_firsttransaction&gt;=#delay_setup_firsttransaction_seg_5_1st# and delay_setup_firsttransaction&lt;#delay_setup_firsttransaction_seg_5_2nd# then 1 else null end)</t>
    </r>
  </si>
  <si>
    <r>
      <rPr>
        <sz val="9"/>
        <color rgb="FF000000"/>
        <rFont val="微软雅黑"/>
        <charset val="134"/>
      </rPr>
      <t>Delay_FirstTransaction_FirstResPackt_sum</t>
    </r>
  </si>
  <si>
    <r>
      <rPr>
        <sz val="9"/>
        <color rgb="FF000000"/>
        <rFont val="微软雅黑"/>
        <charset val="134"/>
      </rPr>
      <t>第一条事务请求到其第一个响应包时延_sum（ms）</t>
    </r>
  </si>
  <si>
    <t>sum(Delay_FirstTransaction_FirstResPackt)</t>
  </si>
  <si>
    <r>
      <rPr>
        <sz val="9"/>
        <color rgb="FF000000"/>
        <rFont val="微软雅黑"/>
        <charset val="134"/>
      </rPr>
      <t>delay_firsttransaction_firstrespackt_cnt_sum</t>
    </r>
  </si>
  <si>
    <r>
      <rPr>
        <sz val="9"/>
        <color rgb="FF000000"/>
        <rFont val="微软雅黑"/>
        <charset val="134"/>
      </rPr>
      <t>第一条事务请求到其第一个响应包次数_sum（ms）</t>
    </r>
  </si>
  <si>
    <r>
      <rPr>
        <sz val="9"/>
        <color rgb="FF000000"/>
        <rFont val="微软雅黑"/>
        <charset val="134"/>
      </rPr>
      <t>sum(case when Delay_FirstTransaction_FirstResPackt&gt;0 then 1 else 0 end)</t>
    </r>
  </si>
  <si>
    <r>
      <rPr>
        <sz val="9"/>
        <color rgb="FF000000"/>
        <rFont val="微软雅黑"/>
        <charset val="134"/>
      </rPr>
      <t>Delay_FirstTransaction_FirstResPackt_avg</t>
    </r>
  </si>
  <si>
    <r>
      <rPr>
        <sz val="9"/>
        <color rgb="FF000000"/>
        <rFont val="微软雅黑"/>
        <charset val="134"/>
      </rPr>
      <t>第一条事务请求到其第一个响应包时延_avg（ms）</t>
    </r>
  </si>
  <si>
    <r>
      <rPr>
        <sz val="9"/>
        <color rgb="FF000000"/>
        <rFont val="微软雅黑"/>
        <charset val="134"/>
      </rPr>
      <t>avg(delay_firsttransaction_firstrespackt)</t>
    </r>
  </si>
  <si>
    <r>
      <rPr>
        <sz val="9"/>
        <color rgb="FF000000"/>
        <rFont val="微软雅黑"/>
        <charset val="134"/>
      </rPr>
      <t>Delay_FirstTransaction_FirstResPackt_seg_1</t>
    </r>
  </si>
  <si>
    <r>
      <rPr>
        <sz val="9"/>
        <color rgb="FF000000"/>
        <rFont val="微软雅黑"/>
        <charset val="134"/>
      </rPr>
      <t>第一条事务请求到其第一个响应包时延_seg_1</t>
    </r>
  </si>
  <si>
    <r>
      <rPr>
        <sz val="9"/>
        <color rgb="FF000000"/>
        <rFont val="微软雅黑"/>
        <charset val="134"/>
      </rPr>
      <t>count(case when delay_firsttransaction_firstrespackt&gt;=#delay_firsttransaction_firstrespackt_seg_1_1st# and delay_firsttransaction_firstrespackt&lt;#delay_firsttransaction_firstrespackt_seg_1_2nd# then 1 else null end)</t>
    </r>
  </si>
  <si>
    <r>
      <rPr>
        <sz val="9"/>
        <color rgb="FF000000"/>
        <rFont val="微软雅黑"/>
        <charset val="134"/>
      </rPr>
      <t>Delay_FirstTransaction_FirstResPackt_seg_2</t>
    </r>
  </si>
  <si>
    <r>
      <rPr>
        <sz val="9"/>
        <color rgb="FF000000"/>
        <rFont val="微软雅黑"/>
        <charset val="134"/>
      </rPr>
      <t>第一条事务请求到其第一个响应包时延_seg_2</t>
    </r>
  </si>
  <si>
    <r>
      <rPr>
        <sz val="9"/>
        <color rgb="FF000000"/>
        <rFont val="微软雅黑"/>
        <charset val="134"/>
      </rPr>
      <t>count(case when delay_firsttransaction_firstrespackt&gt;=#delay_firsttransaction_firstrespackt_seg_2_1st# and delay_firsttransaction_firstrespackt&lt;#delay_firsttransaction_firstrespackt_seg_2_2nd# then 1 else null end)</t>
    </r>
  </si>
  <si>
    <r>
      <rPr>
        <sz val="9"/>
        <color rgb="FF000000"/>
        <rFont val="微软雅黑"/>
        <charset val="134"/>
      </rPr>
      <t>Delay_FirstTransaction_FirstResPackt_seg_3</t>
    </r>
  </si>
  <si>
    <r>
      <rPr>
        <sz val="9"/>
        <color rgb="FF000000"/>
        <rFont val="微软雅黑"/>
        <charset val="134"/>
      </rPr>
      <t>第一条事务请求到其第一个响应包时延_seg_3</t>
    </r>
  </si>
  <si>
    <r>
      <rPr>
        <sz val="9"/>
        <color rgb="FF000000"/>
        <rFont val="微软雅黑"/>
        <charset val="134"/>
      </rPr>
      <t>count(case when delay_firsttransaction_firstrespackt&gt;=#delay_firsttransaction_firstrespackt_seg_3_1st# and delay_firsttransaction_firstrespackt&lt;#delay_firsttransaction_firstrespackt_seg_3_2nd# then 1 else null end)</t>
    </r>
  </si>
  <si>
    <r>
      <rPr>
        <sz val="9"/>
        <color rgb="FF000000"/>
        <rFont val="微软雅黑"/>
        <charset val="134"/>
      </rPr>
      <t>Delay_FirstTransaction_FirstResPackt_seg_4</t>
    </r>
  </si>
  <si>
    <r>
      <rPr>
        <sz val="9"/>
        <color rgb="FF000000"/>
        <rFont val="微软雅黑"/>
        <charset val="134"/>
      </rPr>
      <t>第一条事务请求到其第一个响应包时延_seg_4</t>
    </r>
  </si>
  <si>
    <r>
      <rPr>
        <sz val="9"/>
        <color rgb="FF000000"/>
        <rFont val="微软雅黑"/>
        <charset val="134"/>
      </rPr>
      <t>count(case when delay_firsttransaction_firstrespackt&gt;=#delay_firsttransaction_firstrespackt_seg_4_1st# and delay_firsttransaction_firstrespackt&lt;#delay_firsttransaction_firstrespackt_seg_4_2nd# then 1 else null end)</t>
    </r>
  </si>
  <si>
    <r>
      <rPr>
        <sz val="9"/>
        <color rgb="FF000000"/>
        <rFont val="微软雅黑"/>
        <charset val="134"/>
      </rPr>
      <t>Delay_FirstTransaction_FirstResPackt_seg_5</t>
    </r>
  </si>
  <si>
    <r>
      <rPr>
        <sz val="9"/>
        <color rgb="FF000000"/>
        <rFont val="微软雅黑"/>
        <charset val="134"/>
      </rPr>
      <t>第一条事务请求到其第一个响应包时延_seg_5</t>
    </r>
  </si>
  <si>
    <r>
      <rPr>
        <sz val="9"/>
        <color rgb="FF000000"/>
        <rFont val="微软雅黑"/>
        <charset val="134"/>
      </rPr>
      <t>count(case when delay_firsttransaction_firstrespackt&gt;=#delay_firsttransaction_firstrespackt_seg_5_1st# and delay_firsttransaction_firstrespackt&lt;#delay_firsttransaction_firstrespackt_seg_5_2nd# then 1 else null end)</t>
    </r>
  </si>
  <si>
    <r>
      <rPr>
        <sz val="9"/>
        <color rgb="FF000000"/>
        <rFont val="微软雅黑"/>
        <charset val="134"/>
      </rPr>
      <t>dnsquerydelay_sum</t>
    </r>
  </si>
  <si>
    <r>
      <rPr>
        <sz val="9"/>
        <color rgb="FF000000"/>
        <rFont val="微软雅黑"/>
        <charset val="134"/>
      </rPr>
      <t>DNS查询时延_sum</t>
    </r>
  </si>
  <si>
    <t>sum(CASE WHEN DNSQueryTime is not null AND DNSResponseTime &gt; DNSQueryTime THEN DNSResponseTime-DNSQueryTime  ELSE 0 END )</t>
  </si>
  <si>
    <r>
      <rPr>
        <sz val="9"/>
        <color rgb="FF000000"/>
        <rFont val="微软雅黑"/>
        <charset val="134"/>
      </rPr>
      <t>dnsquerydelay_avg</t>
    </r>
  </si>
  <si>
    <r>
      <rPr>
        <sz val="9"/>
        <color rgb="FF000000"/>
        <rFont val="微软雅黑"/>
        <charset val="134"/>
      </rPr>
      <t>DNS查询时延_avg</t>
    </r>
  </si>
  <si>
    <t>avg(CASE WHEN DNSQueryTime is not null AND DNSResponseTime &gt; DNSQueryTime THEN DNSResponseTime-DNSQueryTime  ELSE 0 END )</t>
  </si>
  <si>
    <r>
      <rPr>
        <sz val="9"/>
        <color rgb="FF000000"/>
        <rFont val="微软雅黑"/>
        <charset val="134"/>
      </rPr>
      <t>dnsquerydelay_seg_1</t>
    </r>
  </si>
  <si>
    <r>
      <rPr>
        <sz val="9"/>
        <color rgb="FF000000"/>
        <rFont val="微软雅黑"/>
        <charset val="134"/>
      </rPr>
      <t>DNS查询时延_seg_1</t>
    </r>
  </si>
  <si>
    <t>CASE WHEN DNSQueryTime is not null AND DNSResponseTime &gt; DNSQueryTime THEN DNSResponseTime-DNSQueryTime  ELSE 0 END 
count(case when dnsquerydelay&gt;=#dnsquerydelay_seg_1_1st# and dnsquerydelay&lt;#dnsquerydelay_seg_1_2nd# then 1 else null end)</t>
  </si>
  <si>
    <r>
      <rPr>
        <sz val="9"/>
        <color rgb="FF000000"/>
        <rFont val="微软雅黑"/>
        <charset val="134"/>
      </rPr>
      <t>dnsquerydelay_seg_2</t>
    </r>
  </si>
  <si>
    <r>
      <rPr>
        <sz val="9"/>
        <color rgb="FF000000"/>
        <rFont val="微软雅黑"/>
        <charset val="134"/>
      </rPr>
      <t>DNS查询时延_seg_2</t>
    </r>
  </si>
  <si>
    <t>CASE WHEN DNSQueryTime is not null AND DNSResponseTime &gt; DNSQueryTime THEN DNSResponseTime-DNSQueryTime  ELSE 0 END 
count(case when dnsquerydelay&gt;=#dnsquerydelay_seg_2_1st# and dnsquerydelay&lt;#dnsquerydelay_seg_2_2nd# then 1 else null end)</t>
  </si>
  <si>
    <r>
      <rPr>
        <sz val="9"/>
        <color rgb="FF000000"/>
        <rFont val="微软雅黑"/>
        <charset val="134"/>
      </rPr>
      <t>dnsquerydelay_seg_3</t>
    </r>
  </si>
  <si>
    <r>
      <rPr>
        <sz val="9"/>
        <color rgb="FF000000"/>
        <rFont val="微软雅黑"/>
        <charset val="134"/>
      </rPr>
      <t>DNS查询时延_seg_3</t>
    </r>
  </si>
  <si>
    <t>CASE WHEN DNSQueryTime is not null AND DNSResponseTime &gt; DNSQueryTime THEN DNSResponseTime-DNSQueryTime  ELSE 0 END 
count(case when dnsquerydelay&gt;=#dnsquerydelay_seg_3_1st# and dnsquerydelay&lt;#dnsquerydelay_seg_3_2nd# then 1 else null end)</t>
  </si>
  <si>
    <r>
      <rPr>
        <sz val="9"/>
        <color rgb="FF000000"/>
        <rFont val="微软雅黑"/>
        <charset val="134"/>
      </rPr>
      <t>dnsquerydelay_seg_4</t>
    </r>
  </si>
  <si>
    <r>
      <rPr>
        <sz val="9"/>
        <color rgb="FF000000"/>
        <rFont val="微软雅黑"/>
        <charset val="134"/>
      </rPr>
      <t>DNS查询时延_seg_4</t>
    </r>
  </si>
  <si>
    <t>CASE WHEN DNSQueryTime is not null AND DNSResponseTime &gt; DNSQueryTime THEN DNSResponseTime-DNSQueryTime  ELSE 0 END 
count(case when dnsquerydelay&gt;=#dnsquerydelay_seg_4_1st# and dnsquerydelay&lt;#dnsquerydelay_seg_4_2nd# then 1 else null end)</t>
  </si>
  <si>
    <r>
      <rPr>
        <sz val="9"/>
        <color rgb="FF000000"/>
        <rFont val="微软雅黑"/>
        <charset val="134"/>
      </rPr>
      <t>dnsquerydelay_seg_5</t>
    </r>
  </si>
  <si>
    <r>
      <rPr>
        <sz val="9"/>
        <color rgb="FF000000"/>
        <rFont val="微软雅黑"/>
        <charset val="134"/>
      </rPr>
      <t>DNS查询时延_seg_5</t>
    </r>
  </si>
  <si>
    <t>CASE WHEN DNSQueryTime is not null AND DNSResponseTime &gt; DNSQueryTime THEN DNSResponseTime-DNSQueryTime  ELSE 0 END 
count(case when dnsquerydelay&gt;=#dnsquerydelay_seg_5_1st# and dnsquerydelay&lt;#dnsquerydelay_seg_5_2nd# then 1 else null end)</t>
  </si>
  <si>
    <r>
      <rPr>
        <sz val="9"/>
        <color rgb="FF000000"/>
        <rFont val="微软雅黑"/>
        <charset val="134"/>
      </rPr>
      <t>delay_SYNtime_DNSResponseTime_sum</t>
    </r>
  </si>
  <si>
    <r>
      <rPr>
        <sz val="9"/>
        <color rgb="FF000000"/>
        <rFont val="微软雅黑"/>
        <charset val="134"/>
      </rPr>
      <t>DNS到TCP建链的时延_sum</t>
    </r>
  </si>
  <si>
    <t>sum(CASE WHEN DNSResponseTime is not null AND SYNtime &gt; DNSResponseTime THEN SYNtime-DNSResponseTime  ELSE null END)</t>
  </si>
  <si>
    <r>
      <rPr>
        <sz val="9"/>
        <color rgb="FF000000"/>
        <rFont val="微软雅黑"/>
        <charset val="134"/>
      </rPr>
      <t>delay_SYNtime_DNSResponseTime_avg</t>
    </r>
  </si>
  <si>
    <r>
      <rPr>
        <sz val="9"/>
        <color rgb="FF000000"/>
        <rFont val="微软雅黑"/>
        <charset val="134"/>
      </rPr>
      <t>DNS到TCP建链的时延_avg</t>
    </r>
  </si>
  <si>
    <t>avg(CASE WHEN DNSResponseTime is not null AND SYNtime &gt; DNSResponseTime THEN SYNtime-DNSResponseTime  ELSE null END)</t>
  </si>
  <si>
    <r>
      <rPr>
        <sz val="9"/>
        <color rgb="FF000000"/>
        <rFont val="微软雅黑"/>
        <charset val="134"/>
      </rPr>
      <t>delay_SYNtime_DNSResponseTime_seg_1</t>
    </r>
  </si>
  <si>
    <r>
      <rPr>
        <sz val="9"/>
        <color rgb="FF000000"/>
        <rFont val="微软雅黑"/>
        <charset val="134"/>
      </rPr>
      <t>DNS到TCP建链的时延_seg_1</t>
    </r>
  </si>
  <si>
    <t>CASE WHEN DNSResponseTime is not null AND SYNtime &gt; DNSResponseTime THEN SYNtime-DNSResponseTime  ELSE null END
count(case when delay_SYNtime_DNSResponseTime&gt;=#delay_SYNtime_DNSResponseTime_seg_1_1st# and delay_SYNtime_DNSResponseTime&lt;#delay_SYNtime_DNSResponseTime_seg_1_2nd# then 1 else null end)</t>
  </si>
  <si>
    <r>
      <rPr>
        <sz val="9"/>
        <color rgb="FF000000"/>
        <rFont val="微软雅黑"/>
        <charset val="134"/>
      </rPr>
      <t>delay_SYNtime_DNSResponseTime_seg_2</t>
    </r>
  </si>
  <si>
    <r>
      <rPr>
        <sz val="9"/>
        <color rgb="FF000000"/>
        <rFont val="微软雅黑"/>
        <charset val="134"/>
      </rPr>
      <t>DNS到TCP建链的时延_seg_2</t>
    </r>
  </si>
  <si>
    <t>CASE WHEN DNSResponseTime is not null AND SYNtime &gt; DNSResponseTime THEN SYNtime-DNSResponseTime  ELSE null END
count(case when delay_SYNtime_DNSResponseTime&gt;=#delay_SYNtime_DNSResponseTime_seg_2_1st# and delay_SYNtime_DNSResponseTime&lt;#delay_SYNtime_DNSResponseTime_seg_2_2nd# then 1 else null end)</t>
  </si>
  <si>
    <r>
      <rPr>
        <sz val="9"/>
        <color rgb="FF000000"/>
        <rFont val="微软雅黑"/>
        <charset val="134"/>
      </rPr>
      <t>delay_SYNtime_DNSResponseTime_seg_3</t>
    </r>
  </si>
  <si>
    <r>
      <rPr>
        <sz val="9"/>
        <color rgb="FF000000"/>
        <rFont val="微软雅黑"/>
        <charset val="134"/>
      </rPr>
      <t>DNS到TCP建链的时延_seg_3</t>
    </r>
  </si>
  <si>
    <t>CASE WHEN DNSResponseTime is not null AND SYNtime &gt; DNSResponseTime THEN SYNtime-DNSResponseTime  ELSE null END
count(case when delay_SYNtime_DNSResponseTime&gt;=#delay_SYNtime_DNSResponseTime_seg_3_1st# and delay_SYNtime_DNSResponseTime&lt;#delay_SYNtime_DNSResponseTime_seg_3_2nd# then 1 else null end)</t>
  </si>
  <si>
    <r>
      <rPr>
        <sz val="9"/>
        <color rgb="FF000000"/>
        <rFont val="微软雅黑"/>
        <charset val="134"/>
      </rPr>
      <t>delay_SYNtime_DNSResponseTime_seg_4</t>
    </r>
  </si>
  <si>
    <r>
      <rPr>
        <sz val="9"/>
        <color rgb="FF000000"/>
        <rFont val="微软雅黑"/>
        <charset val="134"/>
      </rPr>
      <t>DNS到TCP建链的时延_seg_4</t>
    </r>
  </si>
  <si>
    <t>CASE WHEN DNSResponseTime is not null AND SYNtime &gt; DNSResponseTime THEN SYNtime-DNSResponseTime  ELSE null END
count(case when delay_SYNtime_DNSResponseTime&gt;=#delay_SYNtime_DNSResponseTime_seg_4_1st# and delay_SYNtime_DNSResponseTime&lt;#delay_SYNtime_DNSResponseTime_seg_4_2nd# then 1 else null end)</t>
  </si>
  <si>
    <r>
      <rPr>
        <sz val="9"/>
        <color rgb="FF000000"/>
        <rFont val="微软雅黑"/>
        <charset val="134"/>
      </rPr>
      <t>delay_SYNtime_DNSResponseTime_seg_5</t>
    </r>
  </si>
  <si>
    <r>
      <rPr>
        <sz val="9"/>
        <color rgb="FF000000"/>
        <rFont val="微软雅黑"/>
        <charset val="134"/>
      </rPr>
      <t>DNS到TCP建链的时延_seg_5</t>
    </r>
  </si>
  <si>
    <t>CASE WHEN DNSResponseTime is not null AND SYNtime &gt; DNSResponseTime THEN SYNtime-DNSResponseTime  ELSE null END
count(case when delay_SYNtime_DNSResponseTime&gt;=#delay_SYNtime_DNSResponseTime_seg_5_1st# and delay_SYNtime_DNSResponseTime&lt;#delay_SYNtime_DNSResponseTime_seg_5_2nd# then 1 else null end)</t>
  </si>
  <si>
    <t>httpwebrspdelay_sum</t>
  </si>
  <si>
    <r>
      <rPr>
        <sz val="9"/>
        <color rgb="FF000000"/>
        <rFont val="微软雅黑"/>
        <charset val="134"/>
      </rPr>
      <t>网页响应(首包)时延_sum(ms)</t>
    </r>
  </si>
  <si>
    <t>sum(CASE WHEN SYNtime is not null AND FirstPacketTime &gt; SYNtime THEN FirstPacketTime-SYNtime  ELSE null END)</t>
  </si>
  <si>
    <r>
      <rPr>
        <sz val="9"/>
        <color rgb="FF000000"/>
        <rFont val="微软雅黑"/>
        <charset val="134"/>
      </rPr>
      <t>httpwebrspdelay_avg</t>
    </r>
  </si>
  <si>
    <r>
      <rPr>
        <sz val="9"/>
        <color rgb="FF000000"/>
        <rFont val="微软雅黑"/>
        <charset val="134"/>
      </rPr>
      <t>网页响应(首包)时延_avg(ms)</t>
    </r>
  </si>
  <si>
    <t>avg(CASE WHEN SYNtime is not null AND FirstPacketTime &gt; SYNtime THEN FirstPacketTime-SYNtime  ELSE null END)</t>
  </si>
  <si>
    <r>
      <rPr>
        <sz val="9"/>
        <color rgb="FF000000"/>
        <rFont val="微软雅黑"/>
        <charset val="134"/>
      </rPr>
      <t>httpwebrspdelay_seg_1</t>
    </r>
  </si>
  <si>
    <r>
      <rPr>
        <sz val="9"/>
        <color rgb="FF000000"/>
        <rFont val="微软雅黑"/>
        <charset val="134"/>
      </rPr>
      <t>网页响应(首包)时延_seg_1</t>
    </r>
  </si>
  <si>
    <t>CASE WHEN SYNtime is not null AND FirstPacketTime &gt; SYNtime THEN FirstPacketTime-SYNtime  ELSE null END AS httpwebrspdelay
count(case when httpwebrspdelay&gt;=#httpwebrspdelay_seg_1_1st# and httpwebrspdelay&lt;#httpwebrspdelay_seg_1_2nd# then 1 else null end)</t>
  </si>
  <si>
    <r>
      <rPr>
        <sz val="9"/>
        <color rgb="FF000000"/>
        <rFont val="微软雅黑"/>
        <charset val="134"/>
      </rPr>
      <t>httpwebrspdelay_seg_2</t>
    </r>
  </si>
  <si>
    <r>
      <rPr>
        <sz val="9"/>
        <color rgb="FF000000"/>
        <rFont val="微软雅黑"/>
        <charset val="134"/>
      </rPr>
      <t>网页响应(首包)时延_seg_2</t>
    </r>
  </si>
  <si>
    <t>CASE WHEN SYNtime is not null AND FirstPacketTime &gt; SYNtime THEN FirstPacketTime-SYNtime  ELSE null END AS httpwebrspdelay
count(case when httpwebrspdelay&gt;=#httpwebrspdelay_seg_2_1st# and httpwebrspdelay&lt;#httpwebrspdelay_seg_2_2nd# then 1 else null end)</t>
  </si>
  <si>
    <r>
      <rPr>
        <sz val="9"/>
        <color rgb="FF000000"/>
        <rFont val="微软雅黑"/>
        <charset val="134"/>
      </rPr>
      <t>httpwebrspdelay_seg_3</t>
    </r>
  </si>
  <si>
    <r>
      <rPr>
        <sz val="9"/>
        <color rgb="FF000000"/>
        <rFont val="微软雅黑"/>
        <charset val="134"/>
      </rPr>
      <t>网页响应(首包)时延_seg_3</t>
    </r>
  </si>
  <si>
    <t>CASE WHEN SYNtime is not null AND FirstPacketTime &gt; SYNtime THEN FirstPacketTime-SYNtime  ELSE null END AS httpwebrspdelay
count(case when httpwebrspdelay&gt;=#httpwebrspdelay_seg_3_1st# and httpwebrspdelay&lt;#httpwebrspdelay_seg_3_2nd# then 1 else null end)</t>
  </si>
  <si>
    <r>
      <rPr>
        <sz val="9"/>
        <color rgb="FF000000"/>
        <rFont val="微软雅黑"/>
        <charset val="134"/>
      </rPr>
      <t>httpwebrspdelay_seg_4</t>
    </r>
  </si>
  <si>
    <r>
      <rPr>
        <sz val="9"/>
        <color rgb="FF000000"/>
        <rFont val="微软雅黑"/>
        <charset val="134"/>
      </rPr>
      <t>网页响应(首包)时延_seg_4</t>
    </r>
  </si>
  <si>
    <t>CASE WHEN SYNtime is not null AND FirstPacketTime &gt; SYNtime THEN FirstPacketTime-SYNtime  ELSE null END AS httpwebrspdelay
count(case when httpwebrspdelay&gt;=#httpwebrspdelay_seg_4_1st# and httpwebrspdelay&lt;#httpwebrspdelay_seg_4_2nd# then 1 else null end)</t>
  </si>
  <si>
    <r>
      <rPr>
        <sz val="9"/>
        <color rgb="FF000000"/>
        <rFont val="微软雅黑"/>
        <charset val="134"/>
      </rPr>
      <t>httpwebrspdelay_seg_5</t>
    </r>
  </si>
  <si>
    <r>
      <rPr>
        <sz val="9"/>
        <color rgb="FF000000"/>
        <rFont val="微软雅黑"/>
        <charset val="134"/>
      </rPr>
      <t>网页响应(首包)时延_seg_5</t>
    </r>
  </si>
  <si>
    <t>CASE WHEN SYNtime is not null AND FirstPacketTime &gt; SYNtime THEN FirstPacketTime-SYNtime  ELSE null END AS httpwebrspdelay
count(case when httpwebrspdelay&gt;=#httpwebrspdelay_seg_5_1st# and httpwebrspdelay&lt;#httpwebrspdelay_seg_5_2nd# then 1 else null end)</t>
  </si>
  <si>
    <r>
      <rPr>
        <sz val="9"/>
        <color rgb="FF000000"/>
        <rFont val="微软雅黑"/>
        <charset val="134"/>
      </rPr>
      <t>httpwebopendelay_sum</t>
    </r>
  </si>
  <si>
    <r>
      <rPr>
        <sz val="9"/>
        <color rgb="FF000000"/>
        <rFont val="微软雅黑"/>
        <charset val="134"/>
      </rPr>
      <t>页面打开时延_sum(ms)</t>
    </r>
  </si>
  <si>
    <t>sum(case when DNSQueryTime &gt;0 and  PageOpenTime&gt;DNSQueryTime then  PageOpenTime-DNSQueryTime  when  SYNtime&gt;0 and PageOpenTime&gt;SYNtime then PageOpenTime-SYNtime   else null end)</t>
  </si>
  <si>
    <r>
      <rPr>
        <sz val="9"/>
        <color rgb="FF000000"/>
        <rFont val="微软雅黑"/>
        <charset val="134"/>
      </rPr>
      <t>httpwebopendelay_avg</t>
    </r>
  </si>
  <si>
    <r>
      <rPr>
        <sz val="9"/>
        <color rgb="FF000000"/>
        <rFont val="微软雅黑"/>
        <charset val="134"/>
      </rPr>
      <t>页面打开时延_avg(ms)</t>
    </r>
  </si>
  <si>
    <t>avg(case when DNSQueryTime &gt;0 and  PageOpenTime&gt;DNSQueryTime then  PageOpenTime-DNSQueryTime  when  SYNtime&gt;0 and PageOpenTime&gt;SYNtime then PageOpenTime-SYNtime   else null end)</t>
  </si>
  <si>
    <r>
      <rPr>
        <sz val="9"/>
        <color rgb="FF000000"/>
        <rFont val="微软雅黑"/>
        <charset val="134"/>
      </rPr>
      <t>httpwebopendelay_seg_1</t>
    </r>
  </si>
  <si>
    <r>
      <rPr>
        <sz val="9"/>
        <color rgb="FF000000"/>
        <rFont val="微软雅黑"/>
        <charset val="134"/>
      </rPr>
      <t>页面打开时延_seg_1</t>
    </r>
  </si>
  <si>
    <t>case when DNSQueryTime &gt;0 and  PageOpenTime&gt;DNSQueryTime then  PageOpenTime-DNSQueryTime  when  SYNtime&gt;0 and PageOpenTime&gt;SYNtime then PageOpenTime-SYNtime   else null end as httpwebopendelay
count(case when httpwebopendelay&gt;=#httpwebopendelay_seg_1_1st# and httpwebopendelay&lt;#httpwebopendelay_seg_1_2nd# then 1 else null end)</t>
  </si>
  <si>
    <r>
      <rPr>
        <sz val="9"/>
        <color rgb="FF000000"/>
        <rFont val="微软雅黑"/>
        <charset val="134"/>
      </rPr>
      <t>httpwebopendelay_seg_2</t>
    </r>
  </si>
  <si>
    <r>
      <rPr>
        <sz val="9"/>
        <color rgb="FF000000"/>
        <rFont val="微软雅黑"/>
        <charset val="134"/>
      </rPr>
      <t>页面打开时延_seg_2</t>
    </r>
  </si>
  <si>
    <t>case when DNSQueryTime &gt;0 and  PageOpenTime&gt;DNSQueryTime then  PageOpenTime-DNSQueryTime  when  SYNtime&gt;0 and PageOpenTime&gt;SYNtime then PageOpenTime-SYNtime   else null end as httpwebopendelay
count(case when httpwebopendelay&gt;=#httpwebopendelay_seg_2_1st# and httpwebopendelay&lt;#httpwebopendelay_seg_2_2nd# then 1 else null end)</t>
  </si>
  <si>
    <r>
      <rPr>
        <sz val="9"/>
        <color rgb="FF000000"/>
        <rFont val="微软雅黑"/>
        <charset val="134"/>
      </rPr>
      <t>httpwebopendelay_seg_3</t>
    </r>
  </si>
  <si>
    <r>
      <rPr>
        <sz val="9"/>
        <color rgb="FF000000"/>
        <rFont val="微软雅黑"/>
        <charset val="134"/>
      </rPr>
      <t>页面打开时延_seg_3</t>
    </r>
  </si>
  <si>
    <t>case when DNSQueryTime &gt;0 and  PageOpenTime&gt;DNSQueryTime then  PageOpenTime-DNSQueryTime  when  SYNtime&gt;0 and PageOpenTime&gt;SYNtime then PageOpenTime-SYNtime   else null end as httpwebopendelay
count(case when httpwebopendelay&gt;=#httpwebopendelay_seg_3_1st# and httpwebopendelay&lt;#httpwebopendelay_seg_3_2nd# then 1 else null end)</t>
  </si>
  <si>
    <r>
      <rPr>
        <sz val="9"/>
        <color rgb="FF000000"/>
        <rFont val="微软雅黑"/>
        <charset val="134"/>
      </rPr>
      <t>httpwebopendelay_seg_4</t>
    </r>
  </si>
  <si>
    <r>
      <rPr>
        <sz val="9"/>
        <color rgb="FF000000"/>
        <rFont val="微软雅黑"/>
        <charset val="134"/>
      </rPr>
      <t>页面打开时延_seg_4</t>
    </r>
  </si>
  <si>
    <t>case when DNSQueryTime &gt;0 and  PageOpenTime&gt;DNSQueryTime then  PageOpenTime-DNSQueryTime  when  SYNtime&gt;0 and PageOpenTime&gt;SYNtime then PageOpenTime-SYNtime   else null end as httpwebopendelay
count(case when httpwebopendelay&gt;=#httpwebopendelay_seg_4_1st# and httpwebopendelay&lt;#httpwebopendelay_seg_4_2nd# then 1 else null end)</t>
  </si>
  <si>
    <r>
      <rPr>
        <sz val="9"/>
        <color rgb="FF000000"/>
        <rFont val="微软雅黑"/>
        <charset val="134"/>
      </rPr>
      <t>httpwebopendelay_seg_5</t>
    </r>
  </si>
  <si>
    <r>
      <rPr>
        <sz val="9"/>
        <color rgb="FF000000"/>
        <rFont val="微软雅黑"/>
        <charset val="134"/>
      </rPr>
      <t>页面打开时延_seg_5</t>
    </r>
  </si>
  <si>
    <t>case when DNSQueryTime &gt;0 and  PageOpenTime&gt;DNSQueryTime then  PageOpenTime-DNSQueryTime  when  SYNtime&gt;0 and PageOpenTime&gt;SYNtime then PageOpenTime-SYNtime   else null end as httpwebopendelay
count(case when httpwebopendelay&gt;=#httpwebopendelay_seg_5_1st# and httpwebopendelay&lt;#httpwebopendelay_seg_5_2nd# then 1 else null end)</t>
  </si>
  <si>
    <r>
      <rPr>
        <sz val="9"/>
        <color rgb="FF000000"/>
        <rFont val="微软雅黑"/>
        <charset val="134"/>
      </rPr>
      <t>httpwebdspdelay_sum</t>
    </r>
  </si>
  <si>
    <r>
      <rPr>
        <sz val="9"/>
        <color rgb="FF000000"/>
        <rFont val="微软雅黑"/>
        <charset val="134"/>
      </rPr>
      <t>网页显示(打开)时长_sum(ms)</t>
    </r>
  </si>
  <si>
    <t>sum(CASE WHEN SYNtime is not null AND LastAcktime &gt; SYNtime THEN LastAcktime-SYNtime  ELSE null END)</t>
  </si>
  <si>
    <r>
      <rPr>
        <sz val="9"/>
        <color rgb="FF000000"/>
        <rFont val="微软雅黑"/>
        <charset val="134"/>
      </rPr>
      <t>httpwebdspdelay_avg</t>
    </r>
  </si>
  <si>
    <r>
      <rPr>
        <sz val="9"/>
        <color rgb="FF000000"/>
        <rFont val="微软雅黑"/>
        <charset val="134"/>
      </rPr>
      <t>网页显示(打开)时长_avg(ms)</t>
    </r>
  </si>
  <si>
    <t>avg(CASE WHEN SYNtime is not null AND LastAcktime &gt; SYNtime THEN LastAcktime-SYNtime  ELSE null END)</t>
  </si>
  <si>
    <r>
      <rPr>
        <sz val="9"/>
        <color rgb="FF000000"/>
        <rFont val="微软雅黑"/>
        <charset val="134"/>
      </rPr>
      <t>httpwebdspdelay_seg_1</t>
    </r>
  </si>
  <si>
    <r>
      <rPr>
        <sz val="9"/>
        <color rgb="FF000000"/>
        <rFont val="微软雅黑"/>
        <charset val="134"/>
      </rPr>
      <t>网页显示(打开)时长_seg_1</t>
    </r>
  </si>
  <si>
    <t>CASE WHEN SYNtime is not null AND LastAcktime &gt; SYNtime THEN LastAcktime-SYNtime  ELSE null END as httpwebdspdelay
count(case when httpwebdspdelay&gt;=#httpwebdspdelay_seg_1_1st# and httpwebdspdelay&lt;#httpwebdspdelay_seg_1_2nd# then 1 else null end)</t>
  </si>
  <si>
    <r>
      <rPr>
        <sz val="9"/>
        <color rgb="FF000000"/>
        <rFont val="微软雅黑"/>
        <charset val="134"/>
      </rPr>
      <t>httpwebdspdelay_seg_2</t>
    </r>
  </si>
  <si>
    <r>
      <rPr>
        <sz val="9"/>
        <color rgb="FF000000"/>
        <rFont val="微软雅黑"/>
        <charset val="134"/>
      </rPr>
      <t>网页显示(打开)时长_seg_2</t>
    </r>
  </si>
  <si>
    <t>CASE WHEN SYNtime is not null AND LastAcktime &gt; SYNtime THEN LastAcktime-SYNtime  ELSE null END as httpwebdspdelay
count(case when httpwebdspdelay&gt;=#httpwebdspdelay_seg_2_1st# and httpwebdspdelay&lt;#httpwebdspdelay_seg_2_2nd# then 1 else null end)</t>
  </si>
  <si>
    <r>
      <rPr>
        <sz val="9"/>
        <color rgb="FF000000"/>
        <rFont val="微软雅黑"/>
        <charset val="134"/>
      </rPr>
      <t>httpwebdspdelay_seg_3</t>
    </r>
  </si>
  <si>
    <r>
      <rPr>
        <sz val="9"/>
        <color rgb="FF000000"/>
        <rFont val="微软雅黑"/>
        <charset val="134"/>
      </rPr>
      <t>网页显示(打开)时长_seg_3</t>
    </r>
  </si>
  <si>
    <t>CASE WHEN SYNtime is not null AND LastAcktime &gt; SYNtime THEN LastAcktime-SYNtime  ELSE null END as httpwebdspdelay
count(case when httpwebdspdelay&gt;=#httpwebdspdelay_seg_3_1st# and httpwebdspdelay&lt;#httpwebdspdelay_seg_3_2nd# then 1 else null end)</t>
  </si>
  <si>
    <r>
      <rPr>
        <sz val="9"/>
        <color rgb="FF000000"/>
        <rFont val="微软雅黑"/>
        <charset val="134"/>
      </rPr>
      <t>httpwebdspdelay_seg_4</t>
    </r>
  </si>
  <si>
    <r>
      <rPr>
        <sz val="9"/>
        <color rgb="FF000000"/>
        <rFont val="微软雅黑"/>
        <charset val="134"/>
      </rPr>
      <t>网页显示(打开)时长_seg_4</t>
    </r>
  </si>
  <si>
    <t>CASE WHEN SYNtime is not null AND LastAcktime &gt; SYNtime THEN LastAcktime-SYNtime  ELSE null END as httpwebdspdelay
count(case when httpwebdspdelay&gt;=#httpwebdspdelay_seg_4_1st# and httpwebdspdelay&lt;#httpwebdspdelay_seg_4_2nd# then 1 else null end)</t>
  </si>
  <si>
    <r>
      <rPr>
        <sz val="9"/>
        <color rgb="FF000000"/>
        <rFont val="微软雅黑"/>
        <charset val="134"/>
      </rPr>
      <t>httpwebdspdelay_seg_5</t>
    </r>
  </si>
  <si>
    <r>
      <rPr>
        <sz val="9"/>
        <color rgb="FF000000"/>
        <rFont val="微软雅黑"/>
        <charset val="134"/>
      </rPr>
      <t>网页显示(打开)时长_seg_5</t>
    </r>
  </si>
  <si>
    <t>CASE WHEN SYNtime is not null AND LastAcktime &gt; SYNtime THEN LastAcktime-SYNtime  ELSE null END as httpwebdspdelay
count(case when httpwebdspdelay&gt;=#httpwebdspdelay_seg_5_1st# and httpwebdspdelay&lt;#httpwebdspdelay_seg_5_2nd# then 1 else null end)</t>
  </si>
  <si>
    <r>
      <rPr>
        <sz val="9"/>
        <color rgb="FF000000"/>
        <rFont val="微软雅黑"/>
        <charset val="134"/>
      </rPr>
      <t>httpwebscreencnt_sum</t>
    </r>
  </si>
  <si>
    <r>
      <rPr>
        <sz val="9"/>
        <color rgb="FF000000"/>
        <rFont val="微软雅黑"/>
        <charset val="134"/>
      </rPr>
      <t>网页首屏完成次数_sum</t>
    </r>
  </si>
  <si>
    <t>CASE WHEN SYNtime is not null AND LastAcktime &gt; SYNtime THEN LastAcktime-SYNtime  ELSE null END as httpwebdspdelay
sum(case when cast(FirstScreenFinTime as bigint)&gt;0 and (cast(DNSQueryTime as bigint)&gt;0 or cast(SynTime as bigint)&gt;0) then 1 else 0 end)</t>
  </si>
  <si>
    <r>
      <rPr>
        <sz val="9"/>
        <color rgb="FF000000"/>
        <rFont val="微软雅黑"/>
        <charset val="134"/>
      </rPr>
      <t>httpwebscreendelay_sum</t>
    </r>
  </si>
  <si>
    <r>
      <rPr>
        <sz val="9"/>
        <color rgb="FF000000"/>
        <rFont val="微软雅黑"/>
        <charset val="134"/>
      </rPr>
      <t>网页首屏时延_sum(ms)</t>
    </r>
  </si>
  <si>
    <t>sum(CASE WHEN SYNtime is not null AND FirstScreenFinTime &gt; SYNtime THEN FirstScreenFinTime-SYNtime  ELSE null END )</t>
  </si>
  <si>
    <r>
      <rPr>
        <sz val="9"/>
        <color rgb="FF000000"/>
        <rFont val="微软雅黑"/>
        <charset val="134"/>
      </rPr>
      <t>httpwebscreendelay_avg</t>
    </r>
  </si>
  <si>
    <r>
      <rPr>
        <sz val="9"/>
        <color rgb="FF000000"/>
        <rFont val="微软雅黑"/>
        <charset val="134"/>
      </rPr>
      <t>网页首屏时延_avg(ms)</t>
    </r>
  </si>
  <si>
    <t>avg(CASE WHEN SYNtime is not null AND FirstScreenFinTime &gt; SYNtime THEN FirstScreenFinTime-SYNtime  ELSE null END )</t>
  </si>
  <si>
    <r>
      <rPr>
        <sz val="9"/>
        <color rgb="FF000000"/>
        <rFont val="微软雅黑"/>
        <charset val="134"/>
      </rPr>
      <t>httpwebscreendelay_seg_1</t>
    </r>
  </si>
  <si>
    <r>
      <rPr>
        <sz val="9"/>
        <color rgb="FF000000"/>
        <rFont val="微软雅黑"/>
        <charset val="134"/>
      </rPr>
      <t>网页首屏时延_seg_1</t>
    </r>
  </si>
  <si>
    <t>CASE WHEN SYNtime is not null AND FirstScreenFinTime &gt; SYNtime THEN FirstScreenFinTime-SYNtime  ELSE null END  as httpwebscreendelay
count(case when httpwebscreendelay&gt;=#httpwebscreendelay_seg_1_1st# and httpwebscreendelay&lt;#httpwebscreendelay_seg_1_2nd# then 1 else null end)</t>
  </si>
  <si>
    <r>
      <rPr>
        <sz val="9"/>
        <color rgb="FF000000"/>
        <rFont val="微软雅黑"/>
        <charset val="134"/>
      </rPr>
      <t>httpwebscreendelay_seg_2</t>
    </r>
  </si>
  <si>
    <r>
      <rPr>
        <sz val="9"/>
        <color rgb="FF000000"/>
        <rFont val="微软雅黑"/>
        <charset val="134"/>
      </rPr>
      <t>网页首屏时延_seg_2</t>
    </r>
  </si>
  <si>
    <t>CASE WHEN SYNtime is not null AND FirstScreenFinTime &gt; SYNtime THEN FirstScreenFinTime-SYNtime  ELSE null END  as httpwebscreendelay
count(case when httpwebscreendelay&gt;=#httpwebscreendelay_seg_2_1st# and httpwebscreendelay&lt;#httpwebscreendelay_seg_2_2nd# then 1 else null end)</t>
  </si>
  <si>
    <r>
      <rPr>
        <sz val="9"/>
        <color rgb="FF000000"/>
        <rFont val="微软雅黑"/>
        <charset val="134"/>
      </rPr>
      <t>httpwebscreendelay_seg_3</t>
    </r>
  </si>
  <si>
    <r>
      <rPr>
        <sz val="9"/>
        <color rgb="FF000000"/>
        <rFont val="微软雅黑"/>
        <charset val="134"/>
      </rPr>
      <t>网页首屏时延_seg_3</t>
    </r>
  </si>
  <si>
    <t>CASE WHEN SYNtime is not null AND FirstScreenFinTime &gt; SYNtime THEN FirstScreenFinTime-SYNtime  ELSE null END  as httpwebscreendelay
count(case when httpwebscreendelay&gt;=#httpwebscreendelay_seg_3_1st# and httpwebscreendelay&lt;#httpwebscreendelay_seg_3_2nd# then 1 else null end)</t>
  </si>
  <si>
    <r>
      <rPr>
        <sz val="9"/>
        <color rgb="FF000000"/>
        <rFont val="微软雅黑"/>
        <charset val="134"/>
      </rPr>
      <t>httpwebscreendelay_seg_4</t>
    </r>
  </si>
  <si>
    <r>
      <rPr>
        <sz val="9"/>
        <color rgb="FF000000"/>
        <rFont val="微软雅黑"/>
        <charset val="134"/>
      </rPr>
      <t>网页首屏时延_seg_4</t>
    </r>
  </si>
  <si>
    <t>CASE WHEN SYNtime is not null AND FirstScreenFinTime &gt; SYNtime THEN FirstScreenFinTime-SYNtime  ELSE null END  as httpwebscreendelay
count(case when httpwebscreendelay&gt;=#httpwebscreendelay_seg_4_1st# and httpwebscreendelay&lt;#httpwebscreendelay_seg_4_2nd# then 1 else null end)</t>
  </si>
  <si>
    <r>
      <rPr>
        <sz val="9"/>
        <color rgb="FF000000"/>
        <rFont val="微软雅黑"/>
        <charset val="134"/>
      </rPr>
      <t>httpwebscreendelay_seg_5</t>
    </r>
  </si>
  <si>
    <r>
      <rPr>
        <sz val="9"/>
        <color rgb="FF000000"/>
        <rFont val="微软雅黑"/>
        <charset val="134"/>
      </rPr>
      <t>网页首屏时延_seg_5</t>
    </r>
  </si>
  <si>
    <t>CASE WHEN SYNtime is not null AND FirstScreenFinTime &gt; SYNtime THEN FirstScreenFinTime-SYNtime  ELSE null END  as httpwebscreendelay
count(case when httpwebscreendelay&gt;=#httpwebscreendelay_seg_5_1st# and httpwebscreendelay&lt;#httpwebscreendelay_seg_5_2nd# then 1 else null end)</t>
  </si>
  <si>
    <r>
      <rPr>
        <sz val="9"/>
        <color rgb="FF000000"/>
        <rFont val="微软雅黑"/>
        <charset val="134"/>
      </rPr>
      <t>delay_acktime_actiontime_sum</t>
    </r>
  </si>
  <si>
    <r>
      <rPr>
        <sz val="9"/>
        <color rgb="FF000000"/>
        <rFont val="微软雅黑"/>
        <charset val="134"/>
      </rPr>
      <t>TCP建链成功到首个HTTP请求的时延_sum（ms）</t>
    </r>
  </si>
  <si>
    <t>sum(CASE WHEN ActionTime is not null AND ActionTime &gt; ACKtime THEN ActionTime-ACKtime  ELSE null END)</t>
  </si>
  <si>
    <r>
      <rPr>
        <sz val="9"/>
        <color rgb="FF000000"/>
        <rFont val="微软雅黑"/>
        <charset val="134"/>
      </rPr>
      <t>delay_acktime_actiontime_avg</t>
    </r>
  </si>
  <si>
    <r>
      <rPr>
        <sz val="9"/>
        <color rgb="FF000000"/>
        <rFont val="微软雅黑"/>
        <charset val="134"/>
      </rPr>
      <t>TCP建链成功到首个HTTP请求的时延_avg（ms）</t>
    </r>
  </si>
  <si>
    <t>avg(CASE WHEN ActionTime is not null AND ActionTime &gt; ACKtime THEN ActionTime-ACKtime  ELSE null END)</t>
  </si>
  <si>
    <r>
      <rPr>
        <sz val="9"/>
        <color rgb="FF000000"/>
        <rFont val="微软雅黑"/>
        <charset val="134"/>
      </rPr>
      <t>delay_acktime_actiontime_seg_1</t>
    </r>
  </si>
  <si>
    <r>
      <rPr>
        <sz val="9"/>
        <color rgb="FF000000"/>
        <rFont val="微软雅黑"/>
        <charset val="134"/>
      </rPr>
      <t>TCP建链成功到首个HTTP请求的时延_seg_1</t>
    </r>
  </si>
  <si>
    <t>CASE WHEN ActionTime is not null AND ActionTime &gt; ACKtime THEN ActionTime-ACKtime  ELSE null END as  delay_acktime_actiontime
count(case when delay_acktime_actiontime&gt;=#delay_acktime_actiontime_seg_1_1st# and delay_acktime_actiontime&lt;#delay_acktime_actiontime_seg_1_2nd# then 1 else null end)</t>
  </si>
  <si>
    <r>
      <rPr>
        <sz val="9"/>
        <color rgb="FF000000"/>
        <rFont val="微软雅黑"/>
        <charset val="134"/>
      </rPr>
      <t>delay_acktime_actiontime_seg_2</t>
    </r>
  </si>
  <si>
    <r>
      <rPr>
        <sz val="9"/>
        <color rgb="FF000000"/>
        <rFont val="微软雅黑"/>
        <charset val="134"/>
      </rPr>
      <t>TCP建链成功到首个HTTP请求的时延_seg_2</t>
    </r>
  </si>
  <si>
    <t>CASE WHEN ActionTime is not null AND ActionTime &gt; ACKtime THEN ActionTime-ACKtime  ELSE null END as  delay_acktime_actiontime
count(case when delay_acktime_actiontime&gt;=#delay_acktime_actiontime_seg_2_1st# and delay_acktime_actiontime&lt;#delay_acktime_actiontime_seg_2_2nd# then 1 else null end)</t>
  </si>
  <si>
    <r>
      <rPr>
        <sz val="9"/>
        <color rgb="FF000000"/>
        <rFont val="微软雅黑"/>
        <charset val="134"/>
      </rPr>
      <t>delay_acktime_actiontime_seg_3</t>
    </r>
  </si>
  <si>
    <r>
      <rPr>
        <sz val="9"/>
        <color rgb="FF000000"/>
        <rFont val="微软雅黑"/>
        <charset val="134"/>
      </rPr>
      <t>TCP建链成功到首个HTTP请求的时延_seg_3</t>
    </r>
  </si>
  <si>
    <t>CASE WHEN ActionTime is not null AND ActionTime &gt; ACKtime THEN ActionTime-ACKtime  ELSE null END as  delay_acktime_actiontime
count(case when delay_acktime_actiontime&gt;=#delay_acktime_actiontime_seg_3_1st# and delay_acktime_actiontime&lt;#delay_acktime_actiontime_seg_3_2nd# then 1 else null end)</t>
  </si>
  <si>
    <r>
      <rPr>
        <sz val="9"/>
        <color rgb="FF000000"/>
        <rFont val="微软雅黑"/>
        <charset val="134"/>
      </rPr>
      <t>delay_acktime_actiontime_seg_4</t>
    </r>
  </si>
  <si>
    <r>
      <rPr>
        <sz val="9"/>
        <color rgb="FF000000"/>
        <rFont val="微软雅黑"/>
        <charset val="134"/>
      </rPr>
      <t>TCP建链成功到首个HTTP请求的时延_seg_4</t>
    </r>
  </si>
  <si>
    <t>CASE WHEN ActionTime is not null AND ActionTime &gt; ACKtime THEN ActionTime-ACKtime  ELSE null END as  delay_acktime_actiontime
count(case when delay_acktime_actiontime&gt;=#delay_acktime_actiontime_seg_4_1st# and delay_acktime_actiontime&lt;#delay_acktime_actiontime_seg_4_2nd# then 1 else null end)</t>
  </si>
  <si>
    <r>
      <rPr>
        <sz val="9"/>
        <color rgb="FF000000"/>
        <rFont val="微软雅黑"/>
        <charset val="134"/>
      </rPr>
      <t>delay_acktime_actiontime_seg_5</t>
    </r>
  </si>
  <si>
    <r>
      <rPr>
        <sz val="9"/>
        <color rgb="FF000000"/>
        <rFont val="微软雅黑"/>
        <charset val="134"/>
      </rPr>
      <t>TCP建链成功到首个HTTP请求的时延_seg_5</t>
    </r>
  </si>
  <si>
    <t>CASE WHEN ActionTime is not null AND ActionTime &gt; ACKtime THEN ActionTime-ACKtime  ELSE null END as  delay_acktime_actiontime
count(case when delay_acktime_actiontime&gt;=#delay_acktime_actiontime_seg_5_1st# and delay_acktime_actiontime&lt;#delay_acktime_actiontime_seg_5_2nd# then 1 else null end)</t>
  </si>
  <si>
    <r>
      <rPr>
        <sz val="9"/>
        <color rgb="FF000000"/>
        <rFont val="微软雅黑"/>
        <charset val="134"/>
      </rPr>
      <t>delay_actiontime_firstpackettime_sum</t>
    </r>
  </si>
  <si>
    <r>
      <rPr>
        <sz val="9"/>
        <color rgb="FF000000"/>
        <rFont val="微软雅黑"/>
        <charset val="134"/>
      </rPr>
      <t>首个HTTP请求到第一个数据响应包的时延_sum（ms）</t>
    </r>
  </si>
  <si>
    <t>sum(CASE WHEN ActionTime &lt; FirstPacketTime AND FirstPacketTime is not null THEN FirstPacketTime-ActionTime  ELSE null END)</t>
  </si>
  <si>
    <r>
      <rPr>
        <sz val="9"/>
        <color rgb="FF000000"/>
        <rFont val="微软雅黑"/>
        <charset val="134"/>
      </rPr>
      <t>delay_actiontime_firstpackettime_avg</t>
    </r>
  </si>
  <si>
    <r>
      <rPr>
        <sz val="9"/>
        <color rgb="FF000000"/>
        <rFont val="微软雅黑"/>
        <charset val="134"/>
      </rPr>
      <t>首个HTTP请求到第一个数据响应包的时延_avg（ms）</t>
    </r>
  </si>
  <si>
    <t>avg(CASE WHEN ActionTime &lt; FirstPacketTime AND FirstPacketTime is not null THEN FirstPacketTime-ActionTime  ELSE null END)</t>
  </si>
  <si>
    <r>
      <rPr>
        <sz val="9"/>
        <color rgb="FF000000"/>
        <rFont val="微软雅黑"/>
        <charset val="134"/>
      </rPr>
      <t>delay_actiontime_firstpackettime_seg_1</t>
    </r>
  </si>
  <si>
    <r>
      <rPr>
        <sz val="9"/>
        <color rgb="FF000000"/>
        <rFont val="微软雅黑"/>
        <charset val="134"/>
      </rPr>
      <t>首个HTTP请求到第一个数据响应包的时延_seg_1</t>
    </r>
  </si>
  <si>
    <t>CASE WHEN ActionTime &lt; FirstPacketTime AND FirstPacketTime is not null THEN FirstPacketTime-ActionTime  ELSE null END as delay_actiontime_firstpackettime
count(case when delay_actiontime_firstpackettime&gt;=#delay_actiontime_firstpackettime_seg_1_1st# and delay_actiontime_firstpackettime&lt;#delay_actiontime_firstpackettime_seg_1_2nd# then 1 else null end)</t>
  </si>
  <si>
    <r>
      <rPr>
        <sz val="9"/>
        <color rgb="FF000000"/>
        <rFont val="微软雅黑"/>
        <charset val="134"/>
      </rPr>
      <t>delay_actiontime_firstpackettime_seg_2</t>
    </r>
  </si>
  <si>
    <r>
      <rPr>
        <sz val="9"/>
        <color rgb="FF000000"/>
        <rFont val="微软雅黑"/>
        <charset val="134"/>
      </rPr>
      <t>首个HTTP请求到第一个数据响应包的时延_seg_2</t>
    </r>
  </si>
  <si>
    <t>CASE WHEN ActionTime &lt; FirstPacketTime AND FirstPacketTime is not null THEN FirstPacketTime-ActionTime  ELSE null END as delay_actiontime_firstpackettime
count(case when delay_actiontime_firstpackettime&gt;=#delay_actiontime_firstpackettime_seg_2_1st# and delay_actiontime_firstpackettime&lt;#delay_actiontime_firstpackettime_seg_2_2nd# then 1 else null end)</t>
  </si>
  <si>
    <r>
      <rPr>
        <sz val="9"/>
        <color rgb="FF000000"/>
        <rFont val="微软雅黑"/>
        <charset val="134"/>
      </rPr>
      <t>delay_actiontime_firstpackettime_seg_3</t>
    </r>
  </si>
  <si>
    <r>
      <rPr>
        <sz val="9"/>
        <color rgb="FF000000"/>
        <rFont val="微软雅黑"/>
        <charset val="134"/>
      </rPr>
      <t>首个HTTP请求到第一个数据响应包的时延_seg_3</t>
    </r>
  </si>
  <si>
    <t>CASE WHEN ActionTime &lt; FirstPacketTime AND FirstPacketTime is not null THEN FirstPacketTime-ActionTime  ELSE null END as delay_actiontime_firstpackettime
count(case when delay_actiontime_firstpackettime&gt;=#delay_actiontime_firstpackettime_seg_3_1st# and delay_actiontime_firstpackettime&lt;#delay_actiontime_firstpackettime_seg_3_2nd# then 1 else null end)</t>
  </si>
  <si>
    <r>
      <rPr>
        <sz val="9"/>
        <color rgb="FF000000"/>
        <rFont val="微软雅黑"/>
        <charset val="134"/>
      </rPr>
      <t>delay_actiontime_firstpackettime_seg_4</t>
    </r>
  </si>
  <si>
    <r>
      <rPr>
        <sz val="9"/>
        <color rgb="FF000000"/>
        <rFont val="微软雅黑"/>
        <charset val="134"/>
      </rPr>
      <t>首个HTTP请求到第一个数据响应包的时延_seg_4</t>
    </r>
  </si>
  <si>
    <t>CASE WHEN ActionTime &lt; FirstPacketTime AND FirstPacketTime is not null THEN FirstPacketTime-ActionTime  ELSE null END as delay_actiontime_firstpackettime
count(case when delay_actiontime_firstpackettime&gt;=#delay_actiontime_firstpackettime_seg_4_1st# and delay_actiontime_firstpackettime&lt;#delay_actiontime_firstpackettime_seg_4_2nd# then 1 else null end)</t>
  </si>
  <si>
    <r>
      <rPr>
        <sz val="9"/>
        <color rgb="FF000000"/>
        <rFont val="微软雅黑"/>
        <charset val="134"/>
      </rPr>
      <t>delay_actiontime_firstpackettime_seg_5</t>
    </r>
  </si>
  <si>
    <r>
      <rPr>
        <sz val="9"/>
        <color rgb="FF000000"/>
        <rFont val="微软雅黑"/>
        <charset val="134"/>
      </rPr>
      <t>首个HTTP请求到第一个数据响应包的时延_seg_5</t>
    </r>
  </si>
  <si>
    <t>CASE WHEN ActionTime &lt; FirstPacketTime AND FirstPacketTime is not null THEN FirstPacketTime-ActionTime  ELSE null END as delay_actiontime_firstpackettime
count(case when delay_actiontime_firstpackettime&gt;=#delay_actiontime_firstpackettime_seg_5_1st# and delay_actiontime_firstpackettime&lt;#delay_actiontime_firstpackettime_seg_5_2nd# then 1 else null end)</t>
  </si>
  <si>
    <r>
      <rPr>
        <sz val="9"/>
        <color rgb="FF000000"/>
        <rFont val="微软雅黑"/>
        <charset val="134"/>
      </rPr>
      <t>delay_actiontime_firstresptime_sum</t>
    </r>
  </si>
  <si>
    <r>
      <rPr>
        <sz val="9"/>
        <color rgb="FF000000"/>
        <rFont val="微软雅黑"/>
        <charset val="134"/>
      </rPr>
      <t>首个HTTP请求到第一个HTTP响应包的时延_sum（ms）</t>
    </r>
  </si>
  <si>
    <t>sum(CASE WHEN ActionTime &gt; FirstResptime AND FirstResptime is not null THEN FirstResptime-ActionTime  ELSE null END)</t>
  </si>
  <si>
    <r>
      <rPr>
        <sz val="9"/>
        <color rgb="FF000000"/>
        <rFont val="微软雅黑"/>
        <charset val="134"/>
      </rPr>
      <t>delay_actiontime_firstresptime_avg</t>
    </r>
  </si>
  <si>
    <r>
      <rPr>
        <sz val="9"/>
        <color rgb="FF000000"/>
        <rFont val="微软雅黑"/>
        <charset val="134"/>
      </rPr>
      <t>首个HTTP请求到第一个HTTP响应包的时延_avg（ms）</t>
    </r>
  </si>
  <si>
    <t>avg(CASE WHEN ActionTime &gt; FirstResptime AND FirstResptime is not null THEN FirstResptime-ActionTime  ELSE null END)</t>
  </si>
  <si>
    <r>
      <rPr>
        <sz val="9"/>
        <color rgb="FF000000"/>
        <rFont val="微软雅黑"/>
        <charset val="134"/>
      </rPr>
      <t>delay_actiontime_firstresptime_seg_1</t>
    </r>
  </si>
  <si>
    <r>
      <rPr>
        <sz val="9"/>
        <color rgb="FF000000"/>
        <rFont val="微软雅黑"/>
        <charset val="134"/>
      </rPr>
      <t>首个HTTP请求到第一个HTTP响应包的时延_seg_1</t>
    </r>
  </si>
  <si>
    <t>CASE WHEN ActionTime &gt; FirstResptime AND FirstResptime is not null THEN FirstResptime-ActionTime  ELSE null END as delay_actiontime_firstresptime
count(case when delay_actiontime_firstresptime&gt;=#delay_actiontime_firstresptime_seg_1_1st# and delay_actiontime_firstresptime&lt;#delay_actiontime_firstresptime_seg_1_2nd# then 1 else null end)</t>
  </si>
  <si>
    <r>
      <rPr>
        <sz val="9"/>
        <color rgb="FF000000"/>
        <rFont val="微软雅黑"/>
        <charset val="134"/>
      </rPr>
      <t>delay_actiontime_firstresptime_seg_2</t>
    </r>
  </si>
  <si>
    <r>
      <rPr>
        <sz val="9"/>
        <color rgb="FF000000"/>
        <rFont val="微软雅黑"/>
        <charset val="134"/>
      </rPr>
      <t>首个HTTP请求到第一个HTTP响应包的时延_seg_2</t>
    </r>
  </si>
  <si>
    <t>CASE WHEN ActionTime &gt; FirstResptime AND FirstResptime is not null THEN FirstResptime-ActionTime  ELSE null END as delay_actiontime_firstresptime
count(case when delay_actiontime_firstresptime&gt;=#delay_actiontime_firstresptime_seg_2_1st# and delay_actiontime_firstresptime&lt;#delay_actiontime_firstresptime_seg_2_2nd# then 1 else null end)</t>
  </si>
  <si>
    <r>
      <rPr>
        <sz val="9"/>
        <color rgb="FF000000"/>
        <rFont val="微软雅黑"/>
        <charset val="134"/>
      </rPr>
      <t>delay_actiontime_firstresptime_seg_3</t>
    </r>
  </si>
  <si>
    <r>
      <rPr>
        <sz val="9"/>
        <color rgb="FF000000"/>
        <rFont val="微软雅黑"/>
        <charset val="134"/>
      </rPr>
      <t>首个HTTP请求到第一个HTTP响应包的时延_seg_3</t>
    </r>
  </si>
  <si>
    <t>CASE WHEN ActionTime &gt; FirstResptime AND FirstResptime is not null THEN FirstResptime-ActionTime  ELSE null END as delay_actiontime_firstresptime
count(case when delay_actiontime_firstresptime&gt;=#delay_actiontime_firstresptime_seg_3_1st# and delay_actiontime_firstresptime&lt;#delay_actiontime_firstresptime_seg_3_2nd# then 1 else null end)</t>
  </si>
  <si>
    <r>
      <rPr>
        <sz val="9"/>
        <color rgb="FF000000"/>
        <rFont val="微软雅黑"/>
        <charset val="134"/>
      </rPr>
      <t>delay_actiontime_firstresptime_seg_4</t>
    </r>
  </si>
  <si>
    <r>
      <rPr>
        <sz val="9"/>
        <color rgb="FF000000"/>
        <rFont val="微软雅黑"/>
        <charset val="134"/>
      </rPr>
      <t>首个HTTP请求到第一个HTTP响应包的时延_seg_4</t>
    </r>
  </si>
  <si>
    <t>CASE WHEN ActionTime &gt; FirstResptime AND FirstResptime is not null THEN FirstResptime-ActionTime  ELSE null END as delay_actiontime_firstresptime
count(case when delay_actiontime_firstresptime&gt;=#delay_actiontime_firstresptime_seg_4_1st# and delay_actiontime_firstresptime&lt;#delay_actiontime_firstresptime_seg_4_2nd# then 1 else null end)</t>
  </si>
  <si>
    <r>
      <rPr>
        <sz val="9"/>
        <color rgb="FF000000"/>
        <rFont val="微软雅黑"/>
        <charset val="134"/>
      </rPr>
      <t>delay_actiontime_firstresptime_seg_5</t>
    </r>
  </si>
  <si>
    <r>
      <rPr>
        <sz val="9"/>
        <color rgb="FF000000"/>
        <rFont val="微软雅黑"/>
        <charset val="134"/>
      </rPr>
      <t>首个HTTP请求到第一个HTTP响应包的时延_seg_5</t>
    </r>
  </si>
  <si>
    <t>CASE WHEN ActionTime &gt; FirstResptime AND FirstResptime is not null THEN FirstResptime-ActionTime  ELSE null END as delay_actiontime_firstresptime
count(case when delay_actiontime_firstresptime&gt;=#delay_actiontime_firstresptime_seg_5_1st# and delay_actiontime_firstresptime&lt;#delay_actiontime_firstresptime_seg_5_2nd# then 1 else null end)</t>
  </si>
  <si>
    <r>
      <rPr>
        <sz val="9"/>
        <color rgb="FF000000"/>
        <rFont val="微软雅黑"/>
        <charset val="134"/>
      </rPr>
      <t>delay_lastpacktime_dnsortcp_sum</t>
    </r>
  </si>
  <si>
    <r>
      <rPr>
        <sz val="9"/>
        <color rgb="FF000000"/>
        <rFont val="微软雅黑"/>
        <charset val="134"/>
      </rPr>
      <t>首个HTTP请求到最后一个数据包的时延_sum</t>
    </r>
  </si>
  <si>
    <t>sum(CASE WHEN SYNtime is not null AND lastpacktime &gt; SYNtime THEN lastpacktime-SYNtime  ELSE null END )</t>
  </si>
  <si>
    <r>
      <rPr>
        <sz val="9"/>
        <color rgb="FF000000"/>
        <rFont val="微软雅黑"/>
        <charset val="134"/>
      </rPr>
      <t>delay_lastpacktime_dnsortcp_avg</t>
    </r>
  </si>
  <si>
    <r>
      <rPr>
        <sz val="9"/>
        <color rgb="FF000000"/>
        <rFont val="微软雅黑"/>
        <charset val="134"/>
      </rPr>
      <t>首个HTTP请求到最后一个数据包的时延_avg</t>
    </r>
  </si>
  <si>
    <t>avg(CASE WHEN SYNtime is not null AND lastpacktime &gt; SYNtime THEN lastpacktime-SYNtime  ELSE null END )</t>
  </si>
  <si>
    <r>
      <rPr>
        <sz val="9"/>
        <color rgb="FF000000"/>
        <rFont val="微软雅黑"/>
        <charset val="134"/>
      </rPr>
      <t>delay_lastpacktime_dnsortcp_seg_1</t>
    </r>
  </si>
  <si>
    <r>
      <rPr>
        <sz val="9"/>
        <color rgb="FF000000"/>
        <rFont val="微软雅黑"/>
        <charset val="134"/>
      </rPr>
      <t>首个HTTP请求到最后一个数据包的时延_seg_1</t>
    </r>
  </si>
  <si>
    <t>CASE WHEN SYNtime is not null AND lastpacktime &gt; SYNtime THEN lastpacktime-SYNtime  ELSE null END  as delay_lastpacktime_dnsortcp
count(case when delay_lastpacktime_dnsortcp&gt;=#delay_lastpacktime_dnsortcp_seg_1_1st# and delay_lastpacktime_dnsortcp&lt;#delay_lastpacktime_dnsortcp_seg_1_2nd# then 1 else null end)</t>
  </si>
  <si>
    <r>
      <rPr>
        <sz val="9"/>
        <color rgb="FF000000"/>
        <rFont val="微软雅黑"/>
        <charset val="134"/>
      </rPr>
      <t>delay_lastpacktime_dnsortcp_seg_2</t>
    </r>
  </si>
  <si>
    <r>
      <rPr>
        <sz val="9"/>
        <color rgb="FF000000"/>
        <rFont val="微软雅黑"/>
        <charset val="134"/>
      </rPr>
      <t>首个HTTP请求到最后一个数据包的时延_seg_2</t>
    </r>
  </si>
  <si>
    <t>CASE WHEN SYNtime is not null AND lastpacktime &gt; SYNtime THEN lastpacktime-SYNtime  ELSE null END  as delay_lastpacktime_dnsortcp
count(case when delay_lastpacktime_dnsortcp&gt;=#delay_lastpacktime_dnsortcp_seg_2_1st# and delay_lastpacktime_dnsortcp&lt;#delay_lastpacktime_dnsortcp_seg_2_2nd# then 1 else null end)</t>
  </si>
  <si>
    <r>
      <rPr>
        <sz val="9"/>
        <color rgb="FF000000"/>
        <rFont val="微软雅黑"/>
        <charset val="134"/>
      </rPr>
      <t>delay_lastpacktime_dnsortcp_seg_3</t>
    </r>
  </si>
  <si>
    <r>
      <rPr>
        <sz val="9"/>
        <color rgb="FF000000"/>
        <rFont val="微软雅黑"/>
        <charset val="134"/>
      </rPr>
      <t>首个HTTP请求到最后一个数据包的时延_seg_3</t>
    </r>
  </si>
  <si>
    <t>CASE WHEN SYNtime is not null AND lastpacktime &gt; SYNtime THEN lastpacktime-SYNtime  ELSE null END  as delay_lastpacktime_dnsortcp
count(case when delay_lastpacktime_dnsortcp&gt;=#delay_lastpacktime_dnsortcp_seg_3_1st# and delay_lastpacktime_dnsortcp&lt;#delay_lastpacktime_dnsortcp_seg_3_2nd# then 1 else null end)</t>
  </si>
  <si>
    <r>
      <rPr>
        <sz val="9"/>
        <color rgb="FF000000"/>
        <rFont val="微软雅黑"/>
        <charset val="134"/>
      </rPr>
      <t>delay_lastpacktime_dnsortcp_seg_4</t>
    </r>
  </si>
  <si>
    <r>
      <rPr>
        <sz val="9"/>
        <color rgb="FF000000"/>
        <rFont val="微软雅黑"/>
        <charset val="134"/>
      </rPr>
      <t>首个HTTP请求到最后一个数据包的时延_seg_4</t>
    </r>
  </si>
  <si>
    <t>CASE WHEN SYNtime is not null AND lastpacktime &gt; SYNtime THEN lastpacktime-SYNtime  ELSE null END  as delay_lastpacktime_dnsortcp
count(case when delay_lastpacktime_dnsortcp&gt;=#delay_lastpacktime_dnsortcp_seg_4_1st# and delay_lastpacktime_dnsortcp&lt;#delay_lastpacktime_dnsortcp_seg_4_2nd# then 1 else null end)</t>
  </si>
  <si>
    <r>
      <rPr>
        <sz val="9"/>
        <color rgb="FF000000"/>
        <rFont val="微软雅黑"/>
        <charset val="134"/>
      </rPr>
      <t>delay_lastpacktime_dnsortcp_seg_5</t>
    </r>
  </si>
  <si>
    <r>
      <rPr>
        <sz val="9"/>
        <color rgb="FF000000"/>
        <rFont val="微软雅黑"/>
        <charset val="134"/>
      </rPr>
      <t>首个HTTP请求到最后一个数据包的时延_seg_5</t>
    </r>
  </si>
  <si>
    <t>CASE WHEN SYNtime is not null AND lastpacktime &gt; SYNtime THEN lastpacktime-SYNtime  ELSE null END  as delay_lastpacktime_dnsortcp
count(case when delay_lastpacktime_dnsortcp&gt;=#delay_lastpacktime_dnsortcp_seg_5_1st# and delay_lastpacktime_dnsortcp&lt;#delay_lastpacktime_dnsortcp_seg_5_2nd# then 1 else null end)</t>
  </si>
  <si>
    <r>
      <rPr>
        <sz val="9"/>
        <color rgb="FF000000"/>
        <rFont val="微软雅黑"/>
        <charset val="134"/>
      </rPr>
      <t>delay_firstresptime_lastpacktime_sum</t>
    </r>
  </si>
  <si>
    <r>
      <rPr>
        <sz val="9"/>
        <color rgb="FF000000"/>
        <rFont val="微软雅黑"/>
        <charset val="134"/>
      </rPr>
      <t>第一个HTTP响应包到最后一个数据包时延_sum</t>
    </r>
  </si>
  <si>
    <t>sum(CASE WHEN FirstResptime is not null AND lastpacktime &gt; FirstResptime THEN lastpacktime-FirstResptime  ELSE null END)</t>
  </si>
  <si>
    <r>
      <rPr>
        <sz val="9"/>
        <color rgb="FF000000"/>
        <rFont val="微软雅黑"/>
        <charset val="134"/>
      </rPr>
      <t>delay_firstresptime_lastpacktime_avg</t>
    </r>
  </si>
  <si>
    <r>
      <rPr>
        <sz val="9"/>
        <color rgb="FF000000"/>
        <rFont val="微软雅黑"/>
        <charset val="134"/>
      </rPr>
      <t>第一个HTTP响应包到最后一个数据包时延_avg</t>
    </r>
  </si>
  <si>
    <t>avg(CASE WHEN FirstResptime is not null AND lastpacktime &gt; FirstResptime THEN lastpacktime-FirstResptime  ELSE null END)</t>
  </si>
  <si>
    <r>
      <rPr>
        <sz val="9"/>
        <color rgb="FF000000"/>
        <rFont val="微软雅黑"/>
        <charset val="134"/>
      </rPr>
      <t>delay_firstresptime_lastpacktime_seg_1</t>
    </r>
  </si>
  <si>
    <r>
      <rPr>
        <sz val="9"/>
        <color rgb="FF000000"/>
        <rFont val="微软雅黑"/>
        <charset val="134"/>
      </rPr>
      <t>第一个HTTP响应包到最后一个数据包时延_seg_1</t>
    </r>
  </si>
  <si>
    <t>CASE WHEN FirstResptime is not null AND lastpacktime &gt; FirstResptime THEN lastpacktime-FirstResptime  ELSE null END as delay_firstresptime_lastpacktime
count(case when delay_firstresptime_lastpacktime&gt;=#delay_firstresptime_lastpacktime_seg_1_1st# and delay_firstresptime_lastpacktime&lt;#delay_firstresptime_lastpacktime_seg_1_2nd# then 1 else null end)</t>
  </si>
  <si>
    <r>
      <rPr>
        <sz val="9"/>
        <color rgb="FF000000"/>
        <rFont val="微软雅黑"/>
        <charset val="134"/>
      </rPr>
      <t>delay_firstresptime_lastpacktime_seg_2</t>
    </r>
  </si>
  <si>
    <r>
      <rPr>
        <sz val="9"/>
        <color rgb="FF000000"/>
        <rFont val="微软雅黑"/>
        <charset val="134"/>
      </rPr>
      <t>第一个HTTP响应包到最后一个数据包时延_seg_2</t>
    </r>
  </si>
  <si>
    <t>CASE WHEN FirstResptime is not null AND lastpacktime &gt; FirstResptime THEN lastpacktime-FirstResptime  ELSE null END as delay_firstresptime_lastpacktime
count(case when delay_firstresptime_lastpacktime&gt;=#delay_firstresptime_lastpacktime_seg_2_1st# and delay_firstresptime_lastpacktime&lt;#delay_firstresptime_lastpacktime_seg_2_2nd# then 1 else null end)</t>
  </si>
  <si>
    <r>
      <rPr>
        <sz val="9"/>
        <color rgb="FF000000"/>
        <rFont val="微软雅黑"/>
        <charset val="134"/>
      </rPr>
      <t>delay_firstresptime_lastpacktime_seg_3</t>
    </r>
  </si>
  <si>
    <r>
      <rPr>
        <sz val="9"/>
        <color rgb="FF000000"/>
        <rFont val="微软雅黑"/>
        <charset val="134"/>
      </rPr>
      <t>第一个HTTP响应包到最后一个数据包时延_seg_3</t>
    </r>
  </si>
  <si>
    <t>CASE WHEN FirstResptime is not null AND lastpacktime &gt; FirstResptime THEN lastpacktime-FirstResptime  ELSE null END as delay_firstresptime_lastpacktime
count(case when delay_firstresptime_lastpacktime&gt;=#delay_firstresptime_lastpacktime_seg_3_1st# and delay_firstresptime_lastpacktime&lt;#delay_firstresptime_lastpacktime_seg_3_2nd# then 1 else null end)</t>
  </si>
  <si>
    <r>
      <rPr>
        <sz val="9"/>
        <color rgb="FF000000"/>
        <rFont val="微软雅黑"/>
        <charset val="134"/>
      </rPr>
      <t>delay_firstresptime_lastpacktime_seg_4</t>
    </r>
  </si>
  <si>
    <r>
      <rPr>
        <sz val="9"/>
        <color rgb="FF000000"/>
        <rFont val="微软雅黑"/>
        <charset val="134"/>
      </rPr>
      <t>第一个HTTP响应包到最后一个数据包时延_seg_4</t>
    </r>
  </si>
  <si>
    <t>CASE WHEN FirstResptime is not null AND lastpacktime &gt; FirstResptime THEN lastpacktime-FirstResptime  ELSE null END as delay_firstresptime_lastpacktime
count(case when delay_firstresptime_lastpacktime&gt;=#delay_firstresptime_lastpacktime_seg_4_1st# and delay_firstresptime_lastpacktime&lt;#delay_firstresptime_lastpacktime_seg_4_2nd# then 1 else null end)</t>
  </si>
  <si>
    <r>
      <rPr>
        <sz val="9"/>
        <color rgb="FF000000"/>
        <rFont val="微软雅黑"/>
        <charset val="134"/>
      </rPr>
      <t>delay_firstresptime_lastpacktime_seg_5</t>
    </r>
  </si>
  <si>
    <r>
      <rPr>
        <sz val="9"/>
        <color rgb="FF000000"/>
        <rFont val="微软雅黑"/>
        <charset val="134"/>
      </rPr>
      <t>第一个HTTP响应包到最后一个数据包时延_seg_5</t>
    </r>
  </si>
  <si>
    <t>CASE WHEN FirstResptime is not null AND lastpacktime &gt; FirstResptime THEN lastpacktime-FirstResptime  ELSE null END as delay_firstresptime_lastpacktime
count(case when delay_firstresptime_lastpacktime&gt;=#delay_firstresptime_lastpacktime_seg_5_1st# and delay_firstresptime_lastpacktime&lt;#delay_firstresptime_lastpacktime_seg_5_2nd# then 1 else null end)</t>
  </si>
  <si>
    <r>
      <rPr>
        <sz val="9"/>
        <color rgb="FF000000"/>
        <rFont val="微软雅黑"/>
        <charset val="134"/>
      </rPr>
      <t>delay_firstpackettime_pageopentime_sum</t>
    </r>
  </si>
  <si>
    <r>
      <rPr>
        <sz val="9"/>
        <color rgb="FF000000"/>
        <rFont val="微软雅黑"/>
        <charset val="134"/>
      </rPr>
      <t>第一个数据响应包到首页打开的时延_sum（ms）</t>
    </r>
  </si>
  <si>
    <t>sum(pageopentime-firstpackettime)</t>
  </si>
  <si>
    <r>
      <rPr>
        <sz val="9"/>
        <color rgb="FF000000"/>
        <rFont val="微软雅黑"/>
        <charset val="134"/>
      </rPr>
      <t>delay_firstpackettime_pageopentime_avg</t>
    </r>
  </si>
  <si>
    <r>
      <rPr>
        <sz val="9"/>
        <color rgb="FF000000"/>
        <rFont val="微软雅黑"/>
        <charset val="134"/>
      </rPr>
      <t>第一个数据响应包到首页打开的时延_avg（ms）</t>
    </r>
  </si>
  <si>
    <t>avg(pageopentime-firstpackettime)</t>
  </si>
  <si>
    <r>
      <rPr>
        <sz val="9"/>
        <color rgb="FF000000"/>
        <rFont val="微软雅黑"/>
        <charset val="134"/>
      </rPr>
      <t>delay_firstpackettime_pageopentime_seg_1</t>
    </r>
  </si>
  <si>
    <r>
      <rPr>
        <sz val="9"/>
        <color rgb="FF000000"/>
        <rFont val="微软雅黑"/>
        <charset val="134"/>
      </rPr>
      <t>第一个数据响应包到首页打开的时延_seg_1</t>
    </r>
  </si>
  <si>
    <t>pageopentime-firstpackettime as delay_firstpackettime_pageopentime
count(case when delay_firstpackettime_pageopentime&gt;=#delay_firstpackettime_pageopentime_seg_1_1st# and delay_firstpackettime_pageopentime&lt;#delay_firstpackettime_pageopentime_seg_1_2nd# then 1 else null end)</t>
  </si>
  <si>
    <r>
      <rPr>
        <sz val="9"/>
        <color rgb="FF000000"/>
        <rFont val="微软雅黑"/>
        <charset val="134"/>
      </rPr>
      <t>delay_firstpackettime_pageopentime_seg_2</t>
    </r>
  </si>
  <si>
    <r>
      <rPr>
        <sz val="9"/>
        <color rgb="FF000000"/>
        <rFont val="微软雅黑"/>
        <charset val="134"/>
      </rPr>
      <t>第一个数据响应包到首页打开的时延_seg_2</t>
    </r>
  </si>
  <si>
    <t>pageopentime-firstpackettime as delay_firstpackettime_pageopentime
count(case when delay_firstpackettime_pageopentime&gt;=#delay_firstpackettime_pageopentime_seg_2_1st# and delay_firstpackettime_pageopentime&lt;#delay_firstpackettime_pageopentime_seg_2_2nd# then 1 else null end)</t>
  </si>
  <si>
    <r>
      <rPr>
        <sz val="9"/>
        <color rgb="FF000000"/>
        <rFont val="微软雅黑"/>
        <charset val="134"/>
      </rPr>
      <t>delay_firstpackettime_pageopentime_seg_3</t>
    </r>
  </si>
  <si>
    <r>
      <rPr>
        <sz val="9"/>
        <color rgb="FF000000"/>
        <rFont val="微软雅黑"/>
        <charset val="134"/>
      </rPr>
      <t>第一个数据响应包到首页打开的时延_seg_3</t>
    </r>
  </si>
  <si>
    <t>pageopentime-firstpackettime as delay_firstpackettime_pageopentime
count(case when delay_firstpackettime_pageopentime&gt;=#delay_firstpackettime_pageopentime_seg_3_1st# and delay_firstpackettime_pageopentime&lt;#delay_firstpackettime_pageopentime_seg_3_2nd# then 1 else null end)</t>
  </si>
  <si>
    <r>
      <rPr>
        <sz val="9"/>
        <color rgb="FF000000"/>
        <rFont val="微软雅黑"/>
        <charset val="134"/>
      </rPr>
      <t>delay_firstpackettime_pageopentime_seg_4</t>
    </r>
  </si>
  <si>
    <r>
      <rPr>
        <sz val="9"/>
        <color rgb="FF000000"/>
        <rFont val="微软雅黑"/>
        <charset val="134"/>
      </rPr>
      <t>第一个数据响应包到首页打开的时延_seg_4</t>
    </r>
  </si>
  <si>
    <t>pageopentime-firstpackettime as delay_firstpackettime_pageopentime
count(case when delay_firstpackettime_pageopentime&gt;=#delay_firstpackettime_pageopentime_seg_4_1st# and delay_firstpackettime_pageopentime&lt;#delay_firstpackettime_pageopentime_seg_4_2nd# then 1 else null end)</t>
  </si>
  <si>
    <r>
      <rPr>
        <sz val="9"/>
        <color rgb="FF000000"/>
        <rFont val="微软雅黑"/>
        <charset val="134"/>
      </rPr>
      <t>delay_firstpackettime_pageopentime_seg_5</t>
    </r>
  </si>
  <si>
    <r>
      <rPr>
        <sz val="9"/>
        <color rgb="FF000000"/>
        <rFont val="微软雅黑"/>
        <charset val="134"/>
      </rPr>
      <t>第一个数据响应包到首页打开的时延_seg_5</t>
    </r>
  </si>
  <si>
    <t>pageopentime-firstpackettime as delay_firstpackettime_pageopentime
count(case when delay_firstpackettime_pageopentime&gt;=#delay_firstpackettime_pageopentime_seg_5_1st# and delay_firstpackettime_pageopentime&lt;#delay_firstpackettime_pageopentime_seg_5_2nd# then 1 else null end)</t>
  </si>
  <si>
    <r>
      <rPr>
        <sz val="9"/>
        <color rgb="FF000000"/>
        <rFont val="微软雅黑"/>
        <charset val="134"/>
      </rPr>
      <t>delay_firstpackettime_lastpacktime_sum</t>
    </r>
  </si>
  <si>
    <r>
      <rPr>
        <sz val="9"/>
        <color rgb="FF000000"/>
        <rFont val="微软雅黑"/>
        <charset val="134"/>
      </rPr>
      <t>第一个数据响应包到最后一个数据包的时延_sum</t>
    </r>
  </si>
  <si>
    <t>sum(CASE WHEN firstpackettime is not null AND lastpacktime &gt; firstpackettime THEN lastpacktime-firstpackettime  ELSE null END)</t>
  </si>
  <si>
    <r>
      <rPr>
        <sz val="9"/>
        <color rgb="FF000000"/>
        <rFont val="微软雅黑"/>
        <charset val="134"/>
      </rPr>
      <t>delay_firstpackettime_lastpacktime_avg</t>
    </r>
  </si>
  <si>
    <r>
      <rPr>
        <sz val="9"/>
        <color rgb="FF000000"/>
        <rFont val="微软雅黑"/>
        <charset val="134"/>
      </rPr>
      <t>第一个数据响应包到最后一个数据包的时延_avg</t>
    </r>
  </si>
  <si>
    <t>avg(CASE WHEN firstpackettime is not null AND lastpacktime &gt; firstpackettime THEN lastpacktime-firstpackettime  ELSE null END)</t>
  </si>
  <si>
    <r>
      <rPr>
        <sz val="9"/>
        <color rgb="FF000000"/>
        <rFont val="微软雅黑"/>
        <charset val="134"/>
      </rPr>
      <t>delay_firstpackettime_lastpacktime_seg_1</t>
    </r>
  </si>
  <si>
    <r>
      <rPr>
        <sz val="9"/>
        <color rgb="FF000000"/>
        <rFont val="微软雅黑"/>
        <charset val="134"/>
      </rPr>
      <t>第一个数据响应包到最后一个数据包的时延_seg_1</t>
    </r>
  </si>
  <si>
    <t>CASE WHEN firstpackettime is not null AND lastpacktime &gt; firstpackettime THEN lastpacktime-firstpackettime  ELSE null END as delay_firstpackettime_lastpacktime
count(case when delay_firstpackettime_lastpacktime&gt;=#delay_firstpackettime_lastpacktime_seg_1_1st# and delay_firstpackettime_lastpacktime&lt;#delay_firstpackettime_lastpacktime_seg_1_2nd# then 1 else null end)</t>
  </si>
  <si>
    <r>
      <rPr>
        <sz val="9"/>
        <color rgb="FF000000"/>
        <rFont val="微软雅黑"/>
        <charset val="134"/>
      </rPr>
      <t>delay_firstpackettime_lastpacktime_seg_2</t>
    </r>
  </si>
  <si>
    <r>
      <rPr>
        <sz val="9"/>
        <color rgb="FF000000"/>
        <rFont val="微软雅黑"/>
        <charset val="134"/>
      </rPr>
      <t>第一个数据响应包到最后一个数据包的时延_seg_2</t>
    </r>
  </si>
  <si>
    <t>CASE WHEN firstpackettime is not null AND lastpacktime &gt; firstpackettime THEN lastpacktime-firstpackettime  ELSE null END as delay_firstpackettime_lastpacktime
count(case when delay_firstpackettime_lastpacktime&gt;=#delay_firstpackettime_lastpacktime_seg_2_1st# and delay_firstpackettime_lastpacktime&lt;#delay_firstpackettime_lastpacktime_seg_2_2nd# then 1 else null end)</t>
  </si>
  <si>
    <r>
      <rPr>
        <sz val="9"/>
        <color rgb="FF000000"/>
        <rFont val="微软雅黑"/>
        <charset val="134"/>
      </rPr>
      <t>delay_firstpackettime_lastpacktime_seg_3</t>
    </r>
  </si>
  <si>
    <r>
      <rPr>
        <sz val="9"/>
        <color rgb="FF000000"/>
        <rFont val="微软雅黑"/>
        <charset val="134"/>
      </rPr>
      <t>第一个数据响应包到最后一个数据包的时延_seg_3</t>
    </r>
  </si>
  <si>
    <t>CASE WHEN firstpackettime is not null AND lastpacktime &gt; firstpackettime THEN lastpacktime-firstpackettime  ELSE null END as delay_firstpackettime_lastpacktime
count(case when delay_firstpackettime_lastpacktime&gt;=#delay_firstpackettime_lastpacktime_seg_3_1st# and delay_firstpackettime_lastpacktime&lt;#delay_firstpackettime_lastpacktime_seg_3_2nd# then 1 else null end)</t>
  </si>
  <si>
    <r>
      <rPr>
        <sz val="9"/>
        <color rgb="FF000000"/>
        <rFont val="微软雅黑"/>
        <charset val="134"/>
      </rPr>
      <t>delay_firstpackettime_lastpacktime_seg_4</t>
    </r>
  </si>
  <si>
    <r>
      <rPr>
        <sz val="9"/>
        <color rgb="FF000000"/>
        <rFont val="微软雅黑"/>
        <charset val="134"/>
      </rPr>
      <t>第一个数据响应包到最后一个数据包的时延_seg_4</t>
    </r>
  </si>
  <si>
    <t>CASE WHEN firstpackettime is not null AND lastpacktime &gt; firstpackettime THEN lastpacktime-firstpackettime  ELSE null END as delay_firstpackettime_lastpacktime
count(case when delay_firstpackettime_lastpacktime&gt;=#delay_firstpackettime_lastpacktime_seg_4_1st# and delay_firstpackettime_lastpacktime&lt;#delay_firstpackettime_lastpacktime_seg_4_2nd# then 1 else null end)</t>
  </si>
  <si>
    <r>
      <rPr>
        <sz val="9"/>
        <color rgb="FF000000"/>
        <rFont val="微软雅黑"/>
        <charset val="134"/>
      </rPr>
      <t>delay_firstpackettime_lastpacktime_seg_5</t>
    </r>
  </si>
  <si>
    <r>
      <rPr>
        <sz val="9"/>
        <color rgb="FF000000"/>
        <rFont val="微软雅黑"/>
        <charset val="134"/>
      </rPr>
      <t>第一个数据响应包到最后一个数据包的时延_seg_5</t>
    </r>
  </si>
  <si>
    <t>CASE WHEN firstpackettime is not null AND lastpacktime &gt; firstpackettime THEN lastpacktime-firstpackettime  ELSE null END as delay_firstpackettime_lastpacktime
count(case when delay_firstpackettime_lastpacktime&gt;=#delay_firstpackettime_lastpacktime_seg_5_1st# and delay_firstpackettime_lastpacktime&lt;#delay_firstpackettime_lastpacktime_seg_5_2nd# then 1 else null end)</t>
  </si>
  <si>
    <r>
      <rPr>
        <sz val="9"/>
        <color rgb="FF000000"/>
        <rFont val="微软雅黑"/>
        <charset val="134"/>
      </rPr>
      <t>delay_lastpacktime_lastacktime_sum</t>
    </r>
  </si>
  <si>
    <r>
      <rPr>
        <sz val="9"/>
        <color rgb="FF000000"/>
        <rFont val="微软雅黑"/>
        <charset val="134"/>
      </rPr>
      <t>最后一个数据包到最后一个ACK的时延_sum</t>
    </r>
  </si>
  <si>
    <t>sum(CASE WHEN lastpacktime is not null AND lastacktime &gt; lastpacktime THEN lastacktime-lastpacktime  ELSE null END)</t>
  </si>
  <si>
    <r>
      <rPr>
        <sz val="9"/>
        <color rgb="FF000000"/>
        <rFont val="微软雅黑"/>
        <charset val="134"/>
      </rPr>
      <t>delay_lastpacktime_lastacktime_avg</t>
    </r>
  </si>
  <si>
    <r>
      <rPr>
        <sz val="9"/>
        <color rgb="FF000000"/>
        <rFont val="微软雅黑"/>
        <charset val="134"/>
      </rPr>
      <t>最后一个数据包到最后一个ACK的时延_avg</t>
    </r>
  </si>
  <si>
    <t>avg(CASE WHEN lastpacktime is not null AND lastacktime &gt; lastpacktime THEN lastacktime-lastpacktime  ELSE null END)</t>
  </si>
  <si>
    <r>
      <rPr>
        <sz val="9"/>
        <color rgb="FF000000"/>
        <rFont val="微软雅黑"/>
        <charset val="134"/>
      </rPr>
      <t>delay_lastpacktime_lastacktime_seg_1</t>
    </r>
  </si>
  <si>
    <r>
      <rPr>
        <sz val="9"/>
        <color rgb="FF000000"/>
        <rFont val="微软雅黑"/>
        <charset val="134"/>
      </rPr>
      <t>最后一个数据包到最后一个ACK的时延_seg_1</t>
    </r>
  </si>
  <si>
    <t>CASE WHEN lastpacktime is not null AND lastacktime &gt; lastpacktime THEN lastacktime-lastpacktime  ELSE null END as delay_lastpacktime_lastacktime
count(case when delay_lastpacktime_lastacktime&gt;=#delay_lastpacktime_lastacktime_seg_1_1st# and delay_lastpacktime_lastacktime&lt;#delay_lastpacktime_lastacktime_seg_1_2nd# then 1 else null end)</t>
  </si>
  <si>
    <r>
      <rPr>
        <sz val="9"/>
        <color rgb="FF000000"/>
        <rFont val="微软雅黑"/>
        <charset val="134"/>
      </rPr>
      <t>delay_lastpacktime_lastacktime_seg_2</t>
    </r>
  </si>
  <si>
    <r>
      <rPr>
        <sz val="9"/>
        <color rgb="FF000000"/>
        <rFont val="微软雅黑"/>
        <charset val="134"/>
      </rPr>
      <t>最后一个数据包到最后一个ACK的时延_seg_2</t>
    </r>
  </si>
  <si>
    <t>CASE WHEN lastpacktime is not null AND lastacktime &gt; lastpacktime THEN lastacktime-lastpacktime  ELSE null END as delay_lastpacktime_lastacktime
count(case when delay_lastpacktime_lastacktime&gt;=#delay_lastpacktime_lastacktime_seg_2_1st# and delay_lastpacktime_lastacktime&lt;#delay_lastpacktime_lastacktime_seg_2_2nd# then 1 else null end)</t>
  </si>
  <si>
    <r>
      <rPr>
        <sz val="9"/>
        <color rgb="FF000000"/>
        <rFont val="微软雅黑"/>
        <charset val="134"/>
      </rPr>
      <t>delay_lastpacktime_lastacktime_seg_3</t>
    </r>
  </si>
  <si>
    <r>
      <rPr>
        <sz val="9"/>
        <color rgb="FF000000"/>
        <rFont val="微软雅黑"/>
        <charset val="134"/>
      </rPr>
      <t>最后一个数据包到最后一个ACK的时延_seg_3</t>
    </r>
  </si>
  <si>
    <t>CASE WHEN lastpacktime is not null AND lastacktime &gt; lastpacktime THEN lastacktime-lastpacktime  ELSE null END as delay_lastpacktime_lastacktime
count(case when delay_lastpacktime_lastacktime&gt;=#delay_lastpacktime_lastacktime_seg_3_1st# and delay_lastpacktime_lastacktime&lt;#delay_lastpacktime_lastacktime_seg_3_2nd# then 1 else null end)</t>
  </si>
  <si>
    <r>
      <rPr>
        <sz val="9"/>
        <color rgb="FF000000"/>
        <rFont val="微软雅黑"/>
        <charset val="134"/>
      </rPr>
      <t>delay_lastpacktime_lastacktime_seg_4</t>
    </r>
  </si>
  <si>
    <r>
      <rPr>
        <sz val="9"/>
        <color rgb="FF000000"/>
        <rFont val="微软雅黑"/>
        <charset val="134"/>
      </rPr>
      <t>最后一个数据包到最后一个ACK的时延_seg_4</t>
    </r>
  </si>
  <si>
    <t>CASE WHEN lastpacktime is not null AND lastacktime &gt; lastpacktime THEN lastacktime-lastpacktime  ELSE null END as delay_lastpacktime_lastacktime
count(case when delay_lastpacktime_lastacktime&gt;=#delay_lastpacktime_lastacktime_seg_4_1st# and delay_lastpacktime_lastacktime&lt;#delay_lastpacktime_lastacktime_seg_4_2nd# then 1 else null end)</t>
  </si>
  <si>
    <r>
      <rPr>
        <sz val="9"/>
        <color rgb="FF000000"/>
        <rFont val="微软雅黑"/>
        <charset val="134"/>
      </rPr>
      <t>delay_lastpacktime_lastacktime_seg_5</t>
    </r>
  </si>
  <si>
    <r>
      <rPr>
        <sz val="9"/>
        <color rgb="FF000000"/>
        <rFont val="微软雅黑"/>
        <charset val="134"/>
      </rPr>
      <t>最后一个数据包到最后一个ACK的时延_seg_5</t>
    </r>
  </si>
  <si>
    <t>CASE WHEN lastpacktime is not null AND lastacktime &gt; lastpacktime THEN lastacktime-lastpacktime  ELSE null END as delay_lastpacktime_lastacktime
count(case when delay_lastpacktime_lastacktime&gt;=#delay_lastpacktime_lastacktime_seg_5_1st# and delay_lastpacktime_lastacktime&lt;#delay_lastpacktime_lastacktime_seg_5_2nd# then 1 else null end)</t>
  </si>
  <si>
    <r>
      <rPr>
        <sz val="9"/>
        <color rgb="FF000000"/>
        <rFont val="微软雅黑"/>
        <charset val="134"/>
      </rPr>
      <t>delay_FirstFinAckTime_lastacktime_sum</t>
    </r>
  </si>
  <si>
    <r>
      <rPr>
        <sz val="9"/>
        <color rgb="FF000000"/>
        <rFont val="微软雅黑"/>
        <charset val="134"/>
      </rPr>
      <t>最后一个ACK到首次挥手的时延_sum</t>
    </r>
  </si>
  <si>
    <t>sum(CASE WHEN lastacktime is not null AND FirstFinAckTime &gt; lastacktime THEN FirstFinAckTime-lastacktime  ELSE null END)</t>
  </si>
  <si>
    <r>
      <rPr>
        <sz val="9"/>
        <color rgb="FF000000"/>
        <rFont val="微软雅黑"/>
        <charset val="134"/>
      </rPr>
      <t>delay_FirstFinAckTime_lastacktime_avg</t>
    </r>
  </si>
  <si>
    <r>
      <rPr>
        <sz val="9"/>
        <color rgb="FF000000"/>
        <rFont val="微软雅黑"/>
        <charset val="134"/>
      </rPr>
      <t>最后一个ACK到首次挥手的时延_avg</t>
    </r>
  </si>
  <si>
    <t>avg(CASE WHEN lastacktime is not null AND FirstFinAckTime &gt; lastacktime THEN FirstFinAckTime-lastacktime  ELSE null END)</t>
  </si>
  <si>
    <r>
      <rPr>
        <sz val="9"/>
        <color rgb="FF000000"/>
        <rFont val="微软雅黑"/>
        <charset val="134"/>
      </rPr>
      <t>delay_FirstFinAckTime_lastacktime_seg_1</t>
    </r>
  </si>
  <si>
    <r>
      <rPr>
        <sz val="9"/>
        <color rgb="FF000000"/>
        <rFont val="微软雅黑"/>
        <charset val="134"/>
      </rPr>
      <t>最后一个ACK到首次挥手的时延_seg_1</t>
    </r>
  </si>
  <si>
    <t>CASE WHEN lastacktime is not null AND FirstFinAckTime &gt; lastacktime THEN FirstFinAckTime-lastacktime  ELSE null END as delay_FirstFinAckTime_lastacktime
count(case when delay_FirstFinAckTime_lastacktime&gt;=#delay_FirstFinAckTime_lastacktime_seg_1_1st# and delay_FirstFinAckTime_lastacktime&lt;#delay_FirstFinAckTime_lastacktime_seg_1_2nd# then 1 else null end)</t>
  </si>
  <si>
    <r>
      <rPr>
        <sz val="9"/>
        <color rgb="FF000000"/>
        <rFont val="微软雅黑"/>
        <charset val="134"/>
      </rPr>
      <t>delay_FirstFinAckTime_lastacktime_seg_2</t>
    </r>
  </si>
  <si>
    <r>
      <rPr>
        <sz val="9"/>
        <color rgb="FF000000"/>
        <rFont val="微软雅黑"/>
        <charset val="134"/>
      </rPr>
      <t>最后一个ACK到首次挥手的时延_seg_2</t>
    </r>
  </si>
  <si>
    <t>CASE WHEN lastacktime is not null AND FirstFinAckTime &gt; lastacktime THEN FirstFinAckTime-lastacktime  ELSE null END as delay_FirstFinAckTime_lastacktime
count(case when delay_FirstFinAckTime_lastacktime&gt;=#delay_FirstFinAckTime_lastacktime_seg_2_1st# and delay_FirstFinAckTime_lastacktime&lt;#delay_FirstFinAckTime_lastacktime_seg_2_2nd# then 1 else null end)</t>
  </si>
  <si>
    <r>
      <rPr>
        <sz val="9"/>
        <color rgb="FF000000"/>
        <rFont val="微软雅黑"/>
        <charset val="134"/>
      </rPr>
      <t>delay_FirstFinAckTime_lastacktime_seg_3</t>
    </r>
  </si>
  <si>
    <r>
      <rPr>
        <sz val="9"/>
        <color rgb="FF000000"/>
        <rFont val="微软雅黑"/>
        <charset val="134"/>
      </rPr>
      <t>最后一个ACK到首次挥手的时延_seg_3</t>
    </r>
  </si>
  <si>
    <t>CASE WHEN lastacktime is not null AND FirstFinAckTime &gt; lastacktime THEN FirstFinAckTime-lastacktime  ELSE null END as delay_FirstFinAckTime_lastacktime
count(case when delay_FirstFinAckTime_lastacktime&gt;=#delay_FirstFinAckTime_lastacktime_seg_3_1st# and delay_FirstFinAckTime_lastacktime&lt;#delay_FirstFinAckTime_lastacktime_seg_3_2nd# then 1 else null end)</t>
  </si>
  <si>
    <r>
      <rPr>
        <sz val="9"/>
        <color rgb="FF000000"/>
        <rFont val="微软雅黑"/>
        <charset val="134"/>
      </rPr>
      <t>delay_FirstFinAckTime_lastacktime_seg_4</t>
    </r>
  </si>
  <si>
    <r>
      <rPr>
        <sz val="9"/>
        <color rgb="FF000000"/>
        <rFont val="微软雅黑"/>
        <charset val="134"/>
      </rPr>
      <t>最后一个ACK到首次挥手的时延_seg_4</t>
    </r>
  </si>
  <si>
    <t>CASE WHEN lastacktime is not null AND FirstFinAckTime &gt; lastacktime THEN FirstFinAckTime-lastacktime  ELSE null END as delay_FirstFinAckTime_lastacktime
count(case when delay_FirstFinAckTime_lastacktime&gt;=#delay_FirstFinAckTime_lastacktime_seg_4_1st# and delay_FirstFinAckTime_lastacktime&lt;#delay_FirstFinAckTime_lastacktime_seg_4_2nd# then 1 else null end)</t>
  </si>
  <si>
    <r>
      <rPr>
        <sz val="9"/>
        <color rgb="FF000000"/>
        <rFont val="微软雅黑"/>
        <charset val="134"/>
      </rPr>
      <t>delay_FirstFinAckTime_lastacktime_seg_5</t>
    </r>
  </si>
  <si>
    <r>
      <rPr>
        <sz val="9"/>
        <color rgb="FF000000"/>
        <rFont val="微软雅黑"/>
        <charset val="134"/>
      </rPr>
      <t>最后一个ACK到首次挥手的时延_seg_5</t>
    </r>
  </si>
  <si>
    <t>CASE WHEN lastacktime is not null AND FirstFinAckTime &gt; lastacktime THEN FirstFinAckTime-lastacktime  ELSE null END as delay_FirstFinAckTime_lastacktime
count(case when delay_FirstFinAckTime_lastacktime&gt;=#delay_FirstFinAckTime_lastacktime_seg_5_1st# and delay_FirstFinAckTime_lastacktime&lt;#delay_FirstFinAckTime_lastacktime_seg_5_2nd# then 1 else null end)</t>
  </si>
  <si>
    <r>
      <rPr>
        <sz val="9"/>
        <color rgb="FF000000"/>
        <rFont val="微软雅黑"/>
        <charset val="134"/>
      </rPr>
      <t>RESPDELAY_sum</t>
    </r>
  </si>
  <si>
    <r>
      <rPr>
        <sz val="9"/>
        <color rgb="FF000000"/>
        <rFont val="微软雅黑"/>
        <charset val="134"/>
      </rPr>
      <t>响应时延_sum</t>
    </r>
  </si>
  <si>
    <t>sum( respdelay)</t>
  </si>
  <si>
    <r>
      <rPr>
        <sz val="9"/>
        <color rgb="FF000000"/>
        <rFont val="微软雅黑"/>
        <charset val="134"/>
      </rPr>
      <t>RESPDELAY_avg</t>
    </r>
  </si>
  <si>
    <r>
      <rPr>
        <sz val="9"/>
        <color rgb="FF000000"/>
        <rFont val="微软雅黑"/>
        <charset val="134"/>
      </rPr>
      <t>响应时延_avg</t>
    </r>
  </si>
  <si>
    <t>avg(respdelay)</t>
  </si>
  <si>
    <r>
      <rPr>
        <sz val="9"/>
        <color rgb="FF000000"/>
        <rFont val="微软雅黑"/>
        <charset val="134"/>
      </rPr>
      <t>RESPDELAY_seg_1</t>
    </r>
  </si>
  <si>
    <r>
      <rPr>
        <sz val="9"/>
        <color rgb="FF000000"/>
        <rFont val="微软雅黑"/>
        <charset val="134"/>
      </rPr>
      <t>响应时延_seg_1</t>
    </r>
  </si>
  <si>
    <r>
      <rPr>
        <sz val="9"/>
        <color rgb="FF000000"/>
        <rFont val="微软雅黑"/>
        <charset val="134"/>
      </rPr>
      <t>count(case when respdelay&gt;=#respdelay_seg_1_1st# and respdelay&lt;#respdelay_seg_1_2nd# then 1 else null end)</t>
    </r>
  </si>
  <si>
    <r>
      <rPr>
        <sz val="9"/>
        <color rgb="FF000000"/>
        <rFont val="微软雅黑"/>
        <charset val="134"/>
      </rPr>
      <t>RESPDELAY_seg_2</t>
    </r>
  </si>
  <si>
    <r>
      <rPr>
        <sz val="9"/>
        <color rgb="FF000000"/>
        <rFont val="微软雅黑"/>
        <charset val="134"/>
      </rPr>
      <t>响应时延_seg_2</t>
    </r>
  </si>
  <si>
    <r>
      <rPr>
        <sz val="9"/>
        <color rgb="FF000000"/>
        <rFont val="微软雅黑"/>
        <charset val="134"/>
      </rPr>
      <t>count(case when respdelay&gt;=#respdelay_seg_2_1st# and respdelay&lt;#respdelay_seg_2_2nd# then 1 else null end)</t>
    </r>
  </si>
  <si>
    <r>
      <rPr>
        <sz val="9"/>
        <color rgb="FF000000"/>
        <rFont val="微软雅黑"/>
        <charset val="134"/>
      </rPr>
      <t>RESPDELAY_seg_3</t>
    </r>
  </si>
  <si>
    <r>
      <rPr>
        <sz val="9"/>
        <color rgb="FF000000"/>
        <rFont val="微软雅黑"/>
        <charset val="134"/>
      </rPr>
      <t>响应时延_seg_3</t>
    </r>
  </si>
  <si>
    <r>
      <rPr>
        <sz val="9"/>
        <color rgb="FF000000"/>
        <rFont val="微软雅黑"/>
        <charset val="134"/>
      </rPr>
      <t>count(case when respdelay&gt;=#respdelay_seg_3_1st# and respdelay&lt;#respdelay_seg_3_2nd# then 1 else null end)</t>
    </r>
  </si>
  <si>
    <r>
      <rPr>
        <sz val="9"/>
        <color rgb="FF000000"/>
        <rFont val="微软雅黑"/>
        <charset val="134"/>
      </rPr>
      <t>RESPDELAY_seg_4</t>
    </r>
  </si>
  <si>
    <r>
      <rPr>
        <sz val="9"/>
        <color rgb="FF000000"/>
        <rFont val="微软雅黑"/>
        <charset val="134"/>
      </rPr>
      <t>响应时延_seg_4</t>
    </r>
  </si>
  <si>
    <r>
      <rPr>
        <sz val="9"/>
        <color rgb="FF000000"/>
        <rFont val="微软雅黑"/>
        <charset val="134"/>
      </rPr>
      <t>count(case when respdelay&gt;=#respdelay_seg_4_1st# and respdelay&lt;#respdelay_seg_4_2nd# then 1 else null end)</t>
    </r>
  </si>
  <si>
    <r>
      <rPr>
        <sz val="9"/>
        <color rgb="FF000000"/>
        <rFont val="微软雅黑"/>
        <charset val="134"/>
      </rPr>
      <t>RESPDELAY_seg_5</t>
    </r>
  </si>
  <si>
    <r>
      <rPr>
        <sz val="9"/>
        <color rgb="FF000000"/>
        <rFont val="微软雅黑"/>
        <charset val="134"/>
      </rPr>
      <t>响应时延_seg_5</t>
    </r>
  </si>
  <si>
    <r>
      <rPr>
        <sz val="9"/>
        <color rgb="FF000000"/>
        <rFont val="微软雅黑"/>
        <charset val="134"/>
      </rPr>
      <t>count(case when respdelay&gt;=#respdelay_seg_5_1st# and respdelay&lt;#respdelay_seg_5_2nd# then 1 else null end)</t>
    </r>
  </si>
  <si>
    <r>
      <rPr>
        <sz val="9"/>
        <color rgb="FF000000"/>
        <rFont val="微软雅黑"/>
        <charset val="134"/>
      </rPr>
      <t>TCPReorderingPacketRatio</t>
    </r>
  </si>
  <si>
    <r>
      <rPr>
        <sz val="9"/>
        <color rgb="FF000000"/>
        <rFont val="微软雅黑"/>
        <charset val="134"/>
      </rPr>
      <t>double</t>
    </r>
  </si>
  <si>
    <r>
      <rPr>
        <sz val="9"/>
        <color rgb="FF000000"/>
        <rFont val="微软雅黑"/>
        <charset val="134"/>
      </rPr>
      <t>TCP乱序占比</t>
    </r>
  </si>
  <si>
    <t>sum(ultcpreorderingpacket+dltcpreorderingpacket)/sum(inputpacket+outputpacket))</t>
  </si>
  <si>
    <r>
      <rPr>
        <sz val="9"/>
        <color rgb="FF000000"/>
        <rFont val="微软雅黑"/>
        <charset val="134"/>
      </rPr>
      <t>TCPReorderingPacketRatio_seg_1</t>
    </r>
  </si>
  <si>
    <r>
      <rPr>
        <sz val="9"/>
        <color rgb="FF000000"/>
        <rFont val="微软雅黑"/>
        <charset val="134"/>
      </rPr>
      <t>TCP乱序占比_seg_1</t>
    </r>
  </si>
  <si>
    <r>
      <rPr>
        <sz val="9"/>
        <color rgb="FF000000"/>
        <rFont val="微软雅黑"/>
        <charset val="134"/>
      </rPr>
      <t>count(case when (ultcpreorderingpacket+dltcpreorderingpacket)/(inputpacket+outputpacket)&gt;=#TCPReorderingPacketRatio_seg_1_1st# and (ultcpreorderingpacket+dltcpreorderingpacket)/(inputpacket+outputpacket)&lt;#TCPReorderingPacketRatio_seg_1_2nd# then 1 else null end)</t>
    </r>
  </si>
  <si>
    <r>
      <rPr>
        <sz val="9"/>
        <color rgb="FF000000"/>
        <rFont val="微软雅黑"/>
        <charset val="134"/>
      </rPr>
      <t>TCPReorderingPacketRatio_seg_2</t>
    </r>
  </si>
  <si>
    <r>
      <rPr>
        <sz val="9"/>
        <color rgb="FF000000"/>
        <rFont val="微软雅黑"/>
        <charset val="134"/>
      </rPr>
      <t>TCP乱序占比_seg_2</t>
    </r>
  </si>
  <si>
    <r>
      <rPr>
        <sz val="9"/>
        <color rgb="FF000000"/>
        <rFont val="微软雅黑"/>
        <charset val="134"/>
      </rPr>
      <t>count(case when (ultcpreorderingpacket+dltcpreorderingpacket)/(inputpacket+outputpacket)&gt;=#TCPReorderingPacketRatio_seg_2_1st# and (ultcpreorderingpacket+dltcpreorderingpacket)/(inputpacket+outputpacket)&lt;#TCPReorderingPacketRatio_seg_2_2nd# then 1 else null end)</t>
    </r>
  </si>
  <si>
    <r>
      <rPr>
        <sz val="9"/>
        <color rgb="FF000000"/>
        <rFont val="微软雅黑"/>
        <charset val="134"/>
      </rPr>
      <t>TCPReorderingPacketRatio_seg_3</t>
    </r>
  </si>
  <si>
    <r>
      <rPr>
        <sz val="9"/>
        <color rgb="FF000000"/>
        <rFont val="微软雅黑"/>
        <charset val="134"/>
      </rPr>
      <t>TCP乱序占比_seg_3</t>
    </r>
  </si>
  <si>
    <r>
      <rPr>
        <sz val="9"/>
        <color rgb="FF000000"/>
        <rFont val="微软雅黑"/>
        <charset val="134"/>
      </rPr>
      <t>count(case when (ultcpreorderingpacket+dltcpreorderingpacket)/(inputpacket+outputpacket)&gt;=#TCPReorderingPacketRatio_seg_3_1st# and (ultcpreorderingpacket+dltcpreorderingpacket)/(inputpacket+outputpacket)&lt;#TCPReorderingPacketRatio_seg_3_2nd# then 1 else null end)</t>
    </r>
  </si>
  <si>
    <r>
      <rPr>
        <sz val="9"/>
        <color rgb="FF000000"/>
        <rFont val="微软雅黑"/>
        <charset val="134"/>
      </rPr>
      <t>TCPReorderingPacketRatio_seg_4</t>
    </r>
  </si>
  <si>
    <r>
      <rPr>
        <sz val="9"/>
        <color rgb="FF000000"/>
        <rFont val="微软雅黑"/>
        <charset val="134"/>
      </rPr>
      <t>TCP乱序占比_seg_4</t>
    </r>
  </si>
  <si>
    <r>
      <rPr>
        <sz val="9"/>
        <color rgb="FF000000"/>
        <rFont val="微软雅黑"/>
        <charset val="134"/>
      </rPr>
      <t>count(case when (ultcpreorderingpacket+dltcpreorderingpacket)/(inputpacket+outputpacket)&gt;=#TCPReorderingPacketRatio_seg_4_1st# and (ultcpreorderingpacket+dltcpreorderingpacket)/(inputpacket+outputpacket)&lt;#TCPReorderingPacketRatio_seg_4_2nd# then 1 else null end)</t>
    </r>
  </si>
  <si>
    <r>
      <rPr>
        <sz val="9"/>
        <color rgb="FF000000"/>
        <rFont val="微软雅黑"/>
        <charset val="134"/>
      </rPr>
      <t>TCPReorderingPacketRatio_seg_5</t>
    </r>
  </si>
  <si>
    <r>
      <rPr>
        <sz val="9"/>
        <color rgb="FF000000"/>
        <rFont val="微软雅黑"/>
        <charset val="134"/>
      </rPr>
      <t>TCP乱序占比_seg_5</t>
    </r>
  </si>
  <si>
    <r>
      <rPr>
        <sz val="9"/>
        <color rgb="FF000000"/>
        <rFont val="微软雅黑"/>
        <charset val="134"/>
      </rPr>
      <t>count(case when (ultcpreorderingpacket+dltcpreorderingpacket)/(inputpacket+outputpacket)&gt;=#TCPReorderingPacketRatio_seg_5_1st# and (ultcpreorderingpacket+dltcpreorderingpacket)/(inputpacket+outputpacket)&lt;#TCPReorderingPacketRatio_seg_5_2nd# then 1 else null end)</t>
    </r>
  </si>
  <si>
    <r>
      <rPr>
        <sz val="9"/>
        <color rgb="FF000000"/>
        <rFont val="微软雅黑"/>
        <charset val="134"/>
      </rPr>
      <t>ULTCPReorderingPacketRatio</t>
    </r>
  </si>
  <si>
    <r>
      <rPr>
        <sz val="9"/>
        <color rgb="FF000000"/>
        <rFont val="微软雅黑"/>
        <charset val="134"/>
      </rPr>
      <t>上行TCP乱序占比</t>
    </r>
  </si>
  <si>
    <r>
      <rPr>
        <sz val="9"/>
        <color rgb="FF000000"/>
        <rFont val="微软雅黑"/>
        <charset val="134"/>
      </rPr>
      <t>sum(ultcpreorderingpacket)/sum(outputpacket)</t>
    </r>
  </si>
  <si>
    <r>
      <rPr>
        <sz val="9"/>
        <color rgb="FF000000"/>
        <rFont val="微软雅黑"/>
        <charset val="134"/>
      </rPr>
      <t>ULTCPReorderingPacketRatio_seg_1</t>
    </r>
  </si>
  <si>
    <r>
      <rPr>
        <sz val="9"/>
        <color rgb="FF000000"/>
        <rFont val="微软雅黑"/>
        <charset val="134"/>
      </rPr>
      <t>上行TCP乱序占比_seg_1</t>
    </r>
  </si>
  <si>
    <r>
      <rPr>
        <sz val="9"/>
        <color rgb="FF000000"/>
        <rFont val="微软雅黑"/>
        <charset val="134"/>
      </rPr>
      <t>count(case when ultcpreorderingpacket/outputpacket&gt;=#ULTCPReorderingPacketRatio_seg_1_1st# and ultcpreorderingpacket/outputpacket&lt;#ULTCPReorderingPacketRatio_seg_1_2nd# then 1 else null end)</t>
    </r>
  </si>
  <si>
    <r>
      <rPr>
        <sz val="9"/>
        <color rgb="FF000000"/>
        <rFont val="微软雅黑"/>
        <charset val="134"/>
      </rPr>
      <t>ULTCPReorderingPacketRatio_seg_2</t>
    </r>
  </si>
  <si>
    <r>
      <rPr>
        <sz val="9"/>
        <color rgb="FF000000"/>
        <rFont val="微软雅黑"/>
        <charset val="134"/>
      </rPr>
      <t>上行TCP乱序占比_seg_2</t>
    </r>
  </si>
  <si>
    <r>
      <rPr>
        <sz val="9"/>
        <color rgb="FF000000"/>
        <rFont val="微软雅黑"/>
        <charset val="134"/>
      </rPr>
      <t>count(case when ultcpreorderingpacket/outputpacket&gt;=#ULTCPReorderingPacketRatio_seg_2_1st# and ultcpreorderingpacket/outputpacket&lt;#ULTCPReorderingPacketRatio_seg_2_2nd# then 1 else null end)</t>
    </r>
  </si>
  <si>
    <r>
      <rPr>
        <sz val="9"/>
        <color rgb="FF000000"/>
        <rFont val="微软雅黑"/>
        <charset val="134"/>
      </rPr>
      <t>ULTCPReorderingPacketRatio_seg_3</t>
    </r>
  </si>
  <si>
    <r>
      <rPr>
        <sz val="9"/>
        <color rgb="FF000000"/>
        <rFont val="微软雅黑"/>
        <charset val="134"/>
      </rPr>
      <t>上行TCP乱序占比_seg_3</t>
    </r>
  </si>
  <si>
    <r>
      <rPr>
        <sz val="9"/>
        <color rgb="FF000000"/>
        <rFont val="微软雅黑"/>
        <charset val="134"/>
      </rPr>
      <t>count(case when ultcpreorderingpacket/outputpacket&gt;=#ULTCPReorderingPacketRatio_seg_3_1st# and ultcpreorderingpacket/outputpacket&lt;#ULTCPReorderingPacketRatio_seg_3_2nd# then 1 else null end)</t>
    </r>
  </si>
  <si>
    <r>
      <rPr>
        <sz val="9"/>
        <color rgb="FF000000"/>
        <rFont val="微软雅黑"/>
        <charset val="134"/>
      </rPr>
      <t>ULTCPReorderingPacketRatio_seg_4</t>
    </r>
  </si>
  <si>
    <r>
      <rPr>
        <sz val="9"/>
        <color rgb="FF000000"/>
        <rFont val="微软雅黑"/>
        <charset val="134"/>
      </rPr>
      <t>上行TCP乱序占比_seg_4</t>
    </r>
  </si>
  <si>
    <r>
      <rPr>
        <sz val="9"/>
        <color rgb="FF000000"/>
        <rFont val="微软雅黑"/>
        <charset val="134"/>
      </rPr>
      <t>count(case when ultcpreorderingpacket/outputpacket&gt;=#ULTCPReorderingPacketRatio_seg_4_1st# and ultcpreorderingpacket/outputpacket&lt;#ULTCPReorderingPacketRatio_seg_4_2nd# then 1 else null end)</t>
    </r>
  </si>
  <si>
    <r>
      <rPr>
        <sz val="9"/>
        <color rgb="FF000000"/>
        <rFont val="微软雅黑"/>
        <charset val="134"/>
      </rPr>
      <t>ULTCPReorderingPacketRatio_seg_5</t>
    </r>
  </si>
  <si>
    <r>
      <rPr>
        <sz val="9"/>
        <color rgb="FF000000"/>
        <rFont val="微软雅黑"/>
        <charset val="134"/>
      </rPr>
      <t>上行TCP乱序占比_seg_5</t>
    </r>
  </si>
  <si>
    <r>
      <rPr>
        <sz val="9"/>
        <color rgb="FF000000"/>
        <rFont val="微软雅黑"/>
        <charset val="134"/>
      </rPr>
      <t>count(case when ultcpreorderingpacket/outputpacket&gt;=#ULTCPReorderingPacketRatio_seg_5_1st# and ultcpreorderingpacket/outputpacket&lt;#ULTCPReorderingPacketRatio_seg_5_2nd# then 1 else null end)</t>
    </r>
  </si>
  <si>
    <r>
      <rPr>
        <sz val="9"/>
        <color rgb="FF000000"/>
        <rFont val="微软雅黑"/>
        <charset val="134"/>
      </rPr>
      <t>DLTCPReorderingPacketRatio</t>
    </r>
  </si>
  <si>
    <r>
      <rPr>
        <sz val="9"/>
        <color rgb="FF000000"/>
        <rFont val="微软雅黑"/>
        <charset val="134"/>
      </rPr>
      <t>下行TCP乱序占比</t>
    </r>
  </si>
  <si>
    <t>sum(dltcpreorderingpacket)/sum(inputpacket)</t>
  </si>
  <si>
    <r>
      <rPr>
        <sz val="9"/>
        <color rgb="FF000000"/>
        <rFont val="微软雅黑"/>
        <charset val="134"/>
      </rPr>
      <t>DLTCPReorderingPacketRatio_seg_1</t>
    </r>
  </si>
  <si>
    <r>
      <rPr>
        <sz val="9"/>
        <color rgb="FF000000"/>
        <rFont val="微软雅黑"/>
        <charset val="134"/>
      </rPr>
      <t>下行TCP乱序占比_seg_1</t>
    </r>
  </si>
  <si>
    <r>
      <rPr>
        <sz val="9"/>
        <color rgb="FF000000"/>
        <rFont val="微软雅黑"/>
        <charset val="134"/>
      </rPr>
      <t>count(case when dltcpreorderingpacket/inputpacket&gt;=#DLTCPReorderingPacketRatio_seg_1_1st# and dltcpreorderingpacket/inputpacket&lt;#DLTCPReorderingPacketRatio_seg_1_2nd# then 1 else null end)</t>
    </r>
  </si>
  <si>
    <r>
      <rPr>
        <sz val="9"/>
        <color rgb="FF000000"/>
        <rFont val="微软雅黑"/>
        <charset val="134"/>
      </rPr>
      <t>DLTCPReorderingPacketRatio_seg_2</t>
    </r>
  </si>
  <si>
    <r>
      <rPr>
        <sz val="9"/>
        <color rgb="FF000000"/>
        <rFont val="微软雅黑"/>
        <charset val="134"/>
      </rPr>
      <t>下行TCP乱序占比_seg_2</t>
    </r>
  </si>
  <si>
    <r>
      <rPr>
        <sz val="9"/>
        <color rgb="FF000000"/>
        <rFont val="微软雅黑"/>
        <charset val="134"/>
      </rPr>
      <t>count(case when dltcpreorderingpacket/inputpacket&gt;=#DLTCPReorderingPacketRatio_seg_2_1st# and dltcpreorderingpacket/inputpacket&lt;#DLTCPReorderingPacketRatio_seg_2_2nd# then 1 else null end)</t>
    </r>
  </si>
  <si>
    <r>
      <rPr>
        <sz val="9"/>
        <color rgb="FF000000"/>
        <rFont val="微软雅黑"/>
        <charset val="134"/>
      </rPr>
      <t>DLTCPReorderingPacketRatio_seg_3</t>
    </r>
  </si>
  <si>
    <r>
      <rPr>
        <sz val="9"/>
        <color rgb="FF000000"/>
        <rFont val="微软雅黑"/>
        <charset val="134"/>
      </rPr>
      <t>下行TCP乱序占比_seg_3</t>
    </r>
  </si>
  <si>
    <r>
      <rPr>
        <sz val="9"/>
        <color rgb="FF000000"/>
        <rFont val="微软雅黑"/>
        <charset val="134"/>
      </rPr>
      <t>count(case when dltcpreorderingpacket/inputpacket&gt;=#DLTCPReorderingPacketRatio_seg_3_1st# and dltcpreorderingpacket/inputpacket&lt;#DLTCPReorderingPacketRatio_seg_3_2nd# then 1 else null end)</t>
    </r>
  </si>
  <si>
    <r>
      <rPr>
        <sz val="9"/>
        <color rgb="FF000000"/>
        <rFont val="微软雅黑"/>
        <charset val="134"/>
      </rPr>
      <t>DLTCPReorderingPacketRatio_seg_4</t>
    </r>
  </si>
  <si>
    <r>
      <rPr>
        <sz val="9"/>
        <color rgb="FF000000"/>
        <rFont val="微软雅黑"/>
        <charset val="134"/>
      </rPr>
      <t>下行TCP乱序占比_seg_4</t>
    </r>
  </si>
  <si>
    <r>
      <rPr>
        <sz val="9"/>
        <color rgb="FF000000"/>
        <rFont val="微软雅黑"/>
        <charset val="134"/>
      </rPr>
      <t>count(case when dltcpreorderingpacket/inputpacket&gt;=#DLTCPReorderingPacketRatio_seg_4_1st# and dltcpreorderingpacket/inputpacket&lt;#DLTCPReorderingPacketRatio_seg_4_2nd# then 1 else null end)</t>
    </r>
  </si>
  <si>
    <r>
      <rPr>
        <sz val="9"/>
        <color rgb="FF000000"/>
        <rFont val="微软雅黑"/>
        <charset val="134"/>
      </rPr>
      <t>DLTCPReorderingPacketRatio_seg_5</t>
    </r>
  </si>
  <si>
    <r>
      <rPr>
        <sz val="9"/>
        <color rgb="FF000000"/>
        <rFont val="微软雅黑"/>
        <charset val="134"/>
      </rPr>
      <t>下行TCP乱序占比_seg_5</t>
    </r>
  </si>
  <si>
    <r>
      <rPr>
        <sz val="9"/>
        <color rgb="FF000000"/>
        <rFont val="微软雅黑"/>
        <charset val="134"/>
      </rPr>
      <t>count(case when dltcpreorderingpacket/inputpacket&gt;=#DLTCPReorderingPacketRatio_seg_5_1st# and dltcpreorderingpacket/inputpacket&lt;#DLTCPReorderingPacketRatio_seg_5_2nd# then 1 else null end)</t>
    </r>
  </si>
  <si>
    <r>
      <rPr>
        <sz val="9"/>
        <color rgb="FF000000"/>
        <rFont val="微软雅黑"/>
        <charset val="134"/>
      </rPr>
      <t>TCP_RetransPacketRatio</t>
    </r>
  </si>
  <si>
    <r>
      <rPr>
        <sz val="9"/>
        <color rgb="FF000000"/>
        <rFont val="微软雅黑"/>
        <charset val="134"/>
      </rPr>
      <t>TCP重传占比</t>
    </r>
  </si>
  <si>
    <t>sum(ultcp_retranspacket+dltcp_retranspacket)/sum(inputpacket+outputpacket))</t>
  </si>
  <si>
    <r>
      <rPr>
        <sz val="9"/>
        <color rgb="FF000000"/>
        <rFont val="微软雅黑"/>
        <charset val="134"/>
      </rPr>
      <t>TCP_RetransPacketRatio_seg_1</t>
    </r>
  </si>
  <si>
    <r>
      <rPr>
        <sz val="9"/>
        <color rgb="FF000000"/>
        <rFont val="微软雅黑"/>
        <charset val="134"/>
      </rPr>
      <t>TCP重传占比_seg_1</t>
    </r>
  </si>
  <si>
    <r>
      <rPr>
        <sz val="9"/>
        <color rgb="FF000000"/>
        <rFont val="微软雅黑"/>
        <charset val="134"/>
      </rPr>
      <t>count(case when (ultcp_retranspacket+dltcp_retranspacket)/(inputpacket+outputpacket)&gt;=#TCP_RetransPacketRatio_seg_1_1st# and (ultcp_retranspacket+dltcp_retranspacket)/(inputpacket+outputpacket)&lt;#TCP_RetransPacketRatio_seg_1_2nd# then 1 else null end)</t>
    </r>
  </si>
  <si>
    <r>
      <rPr>
        <sz val="9"/>
        <color rgb="FF000000"/>
        <rFont val="微软雅黑"/>
        <charset val="134"/>
      </rPr>
      <t>TCP_RetransPacketRatio_seg_2</t>
    </r>
  </si>
  <si>
    <r>
      <rPr>
        <sz val="9"/>
        <color rgb="FF000000"/>
        <rFont val="微软雅黑"/>
        <charset val="134"/>
      </rPr>
      <t>TCP重传占比_seg_2</t>
    </r>
  </si>
  <si>
    <r>
      <rPr>
        <sz val="9"/>
        <color rgb="FF000000"/>
        <rFont val="微软雅黑"/>
        <charset val="134"/>
      </rPr>
      <t>count(case when (ultcp_retranspacket+dltcp_retranspacket)/(inputpacket+outputpacket)&gt;=#TCP_RetransPacketRatio_seg_2_1st# and (ultcp_retranspacket+dltcp_retranspacket)/(inputpacket+outputpacket)&lt;#TCP_RetransPacketRatio_seg_2_2nd# then 1 else null end)</t>
    </r>
  </si>
  <si>
    <r>
      <rPr>
        <sz val="9"/>
        <color rgb="FF000000"/>
        <rFont val="微软雅黑"/>
        <charset val="134"/>
      </rPr>
      <t>TCP_RetransPacketRatio_seg_3</t>
    </r>
  </si>
  <si>
    <r>
      <rPr>
        <sz val="9"/>
        <color rgb="FF000000"/>
        <rFont val="微软雅黑"/>
        <charset val="134"/>
      </rPr>
      <t>TCP重传占比_seg_3</t>
    </r>
  </si>
  <si>
    <r>
      <rPr>
        <sz val="9"/>
        <color rgb="FF000000"/>
        <rFont val="微软雅黑"/>
        <charset val="134"/>
      </rPr>
      <t>count(case when (ultcp_retranspacket+dltcp_retranspacket)/(inputpacket+outputpacket)&gt;=#TCP_RetransPacketRatio_seg_3_1st# and (ultcp_retranspacket+dltcp_retranspacket)/(inputpacket+outputpacket)&lt;#TCP_RetransPacketRatio_seg_3_2nd# then 1 else null end)</t>
    </r>
  </si>
  <si>
    <r>
      <rPr>
        <sz val="9"/>
        <color rgb="FF000000"/>
        <rFont val="微软雅黑"/>
        <charset val="134"/>
      </rPr>
      <t>TCP_RetransPacketRatio_seg_4</t>
    </r>
  </si>
  <si>
    <r>
      <rPr>
        <sz val="9"/>
        <color rgb="FF000000"/>
        <rFont val="微软雅黑"/>
        <charset val="134"/>
      </rPr>
      <t>TCP重传占比_seg_4</t>
    </r>
  </si>
  <si>
    <r>
      <rPr>
        <sz val="9"/>
        <color rgb="FF000000"/>
        <rFont val="微软雅黑"/>
        <charset val="134"/>
      </rPr>
      <t>count(case when (ultcp_retranspacket+dltcp_retranspacket)/(inputpacket+outputpacket)&gt;=#TCP_RetransPacketRatio_seg_4_1st# and (ultcp_retranspacket+dltcp_retranspacket)/(inputpacket+outputpacket)&lt;#TCP_RetransPacketRatio_seg_4_2nd# then 1 else null end)</t>
    </r>
  </si>
  <si>
    <r>
      <rPr>
        <sz val="9"/>
        <color rgb="FF000000"/>
        <rFont val="微软雅黑"/>
        <charset val="134"/>
      </rPr>
      <t>TCP_RetransPacketRatio_seg_5</t>
    </r>
  </si>
  <si>
    <r>
      <rPr>
        <sz val="9"/>
        <color rgb="FF000000"/>
        <rFont val="微软雅黑"/>
        <charset val="134"/>
      </rPr>
      <t>TCP重传占比_seg_5</t>
    </r>
  </si>
  <si>
    <r>
      <rPr>
        <sz val="9"/>
        <color rgb="FF000000"/>
        <rFont val="微软雅黑"/>
        <charset val="134"/>
      </rPr>
      <t>count(case when (ultcp_retranspacket+dltcp_retranspacket)/(inputpacket+outputpacket)&gt;=#TCP_RetransPacketRatio_seg_5_1st# and (ultcp_retranspacket+dltcp_retranspacket)/(inputpacket+outputpacket)&lt;#TCP_RetransPacketRatio_seg_5_2nd# then 1 else null end)</t>
    </r>
  </si>
  <si>
    <r>
      <rPr>
        <sz val="9"/>
        <color rgb="FF000000"/>
        <rFont val="微软雅黑"/>
        <charset val="134"/>
      </rPr>
      <t>ULTCP_RetransPacketRatio</t>
    </r>
  </si>
  <si>
    <r>
      <rPr>
        <sz val="9"/>
        <color rgb="FF000000"/>
        <rFont val="微软雅黑"/>
        <charset val="134"/>
      </rPr>
      <t>上行TCP重传占比</t>
    </r>
  </si>
  <si>
    <r>
      <rPr>
        <sz val="9"/>
        <color rgb="FF000000"/>
        <rFont val="微软雅黑"/>
        <charset val="134"/>
      </rPr>
      <t>sum(ultcp_retranspacket)/sum(outputpacket)</t>
    </r>
  </si>
  <si>
    <r>
      <rPr>
        <sz val="9"/>
        <color rgb="FF000000"/>
        <rFont val="微软雅黑"/>
        <charset val="134"/>
      </rPr>
      <t>ULTCP_RetransPacketRatio_seg_1</t>
    </r>
  </si>
  <si>
    <r>
      <rPr>
        <sz val="9"/>
        <color rgb="FF000000"/>
        <rFont val="微软雅黑"/>
        <charset val="134"/>
      </rPr>
      <t>上行TCP重传占比_seg_1</t>
    </r>
  </si>
  <si>
    <r>
      <rPr>
        <sz val="9"/>
        <color rgb="FF000000"/>
        <rFont val="微软雅黑"/>
        <charset val="134"/>
      </rPr>
      <t>count(case when ultcp_retranspacket/outputpacket&gt;=#ULTCP_RetransPacketRatio_seg_1_1st# and ultcp_retranspacket/outputpacket&lt;#ULTCP_RetransPacketRatio_seg_1_2nd# then 1 else null end)</t>
    </r>
  </si>
  <si>
    <r>
      <rPr>
        <sz val="9"/>
        <color rgb="FF000000"/>
        <rFont val="微软雅黑"/>
        <charset val="134"/>
      </rPr>
      <t>ULTCP_RetransPacketRatio_seg_2</t>
    </r>
  </si>
  <si>
    <r>
      <rPr>
        <sz val="9"/>
        <color rgb="FF000000"/>
        <rFont val="微软雅黑"/>
        <charset val="134"/>
      </rPr>
      <t>上行TCP重传占比_seg_2</t>
    </r>
  </si>
  <si>
    <r>
      <rPr>
        <sz val="9"/>
        <color rgb="FF000000"/>
        <rFont val="微软雅黑"/>
        <charset val="134"/>
      </rPr>
      <t>count(case when ultcp_retranspacket/outputpacket&gt;=#ULTCP_RetransPacketRatio_seg_2_1st# and ultcp_retranspacket/outputpacket&lt;#ULTCP_RetransPacketRatio_seg_2_2nd# then 1 else null end)</t>
    </r>
  </si>
  <si>
    <r>
      <rPr>
        <sz val="9"/>
        <color rgb="FF000000"/>
        <rFont val="微软雅黑"/>
        <charset val="134"/>
      </rPr>
      <t>ULTCP_RetransPacketRatio_seg_3</t>
    </r>
  </si>
  <si>
    <r>
      <rPr>
        <sz val="9"/>
        <color rgb="FF000000"/>
        <rFont val="微软雅黑"/>
        <charset val="134"/>
      </rPr>
      <t>上行TCP重传占比_seg_3</t>
    </r>
  </si>
  <si>
    <r>
      <rPr>
        <sz val="9"/>
        <color rgb="FF000000"/>
        <rFont val="微软雅黑"/>
        <charset val="134"/>
      </rPr>
      <t>count(case when ultcp_retranspacket/outputpacket&gt;=#ULTCP_RetransPacketRatio_seg_3_1st# and ultcp_retranspacket/outputpacket&lt;#ULTCP_RetransPacketRatio_seg_3_2nd# then 1 else null end)</t>
    </r>
  </si>
  <si>
    <r>
      <rPr>
        <sz val="9"/>
        <color rgb="FF000000"/>
        <rFont val="微软雅黑"/>
        <charset val="134"/>
      </rPr>
      <t>ULTCP_RetransPacketRatio_seg_4</t>
    </r>
  </si>
  <si>
    <r>
      <rPr>
        <sz val="9"/>
        <color rgb="FF000000"/>
        <rFont val="微软雅黑"/>
        <charset val="134"/>
      </rPr>
      <t>上行TCP重传占比_seg_4</t>
    </r>
  </si>
  <si>
    <r>
      <rPr>
        <sz val="9"/>
        <color rgb="FF000000"/>
        <rFont val="微软雅黑"/>
        <charset val="134"/>
      </rPr>
      <t>count(case when ultcp_retranspacket/outputpacket&gt;=#ULTCP_RetransPacketRatio_seg_4_1st# and ultcp_retranspacket/outputpacket&lt;#ULTCP_RetransPacketRatio_seg_4_2nd# then 1 else null end)</t>
    </r>
  </si>
  <si>
    <r>
      <rPr>
        <sz val="9"/>
        <color rgb="FF000000"/>
        <rFont val="微软雅黑"/>
        <charset val="134"/>
      </rPr>
      <t>ULTCP_RetransPacketRatio_seg_5</t>
    </r>
  </si>
  <si>
    <r>
      <rPr>
        <sz val="9"/>
        <color rgb="FF000000"/>
        <rFont val="微软雅黑"/>
        <charset val="134"/>
      </rPr>
      <t>上行TCP重传占比_seg_5</t>
    </r>
  </si>
  <si>
    <r>
      <rPr>
        <sz val="9"/>
        <color rgb="FF000000"/>
        <rFont val="微软雅黑"/>
        <charset val="134"/>
      </rPr>
      <t>count(case when ultcp_retranspacket/outputpacket&gt;=#ULTCP_RetransPacketRatio_seg_5_1st# and ultcp_retranspacket/outputpacket&lt;#ULTCP_RetransPacketRatio_seg_5_2nd# then 1 else null end)</t>
    </r>
  </si>
  <si>
    <r>
      <rPr>
        <sz val="9"/>
        <color rgb="FF000000"/>
        <rFont val="微软雅黑"/>
        <charset val="134"/>
      </rPr>
      <t>DLTCP_RetransPacketRatio</t>
    </r>
  </si>
  <si>
    <r>
      <rPr>
        <sz val="9"/>
        <color rgb="FF000000"/>
        <rFont val="微软雅黑"/>
        <charset val="134"/>
      </rPr>
      <t>下行TCP重传占比</t>
    </r>
  </si>
  <si>
    <r>
      <rPr>
        <sz val="9"/>
        <color rgb="FF000000"/>
        <rFont val="微软雅黑"/>
        <charset val="134"/>
      </rPr>
      <t>sum(dltcp_retranspacket)/sum(inputpacket)</t>
    </r>
  </si>
  <si>
    <r>
      <rPr>
        <sz val="9"/>
        <color rgb="FF000000"/>
        <rFont val="微软雅黑"/>
        <charset val="134"/>
      </rPr>
      <t>DLTCP_RetransPacketRatio_seg_1</t>
    </r>
  </si>
  <si>
    <r>
      <rPr>
        <sz val="9"/>
        <color rgb="FF000000"/>
        <rFont val="微软雅黑"/>
        <charset val="134"/>
      </rPr>
      <t>下行TCP重传占比_seg_1</t>
    </r>
  </si>
  <si>
    <r>
      <rPr>
        <sz val="9"/>
        <color rgb="FF000000"/>
        <rFont val="微软雅黑"/>
        <charset val="134"/>
      </rPr>
      <t>count(case when dltcp_retranspacket/inputpacket&gt;=#DLTCP_RetransPacketRatio_seg_1_1st# and dltcp_retranspacket/inputpacket&lt;#DLTCP_RetransPacketRatio_seg_1_2nd# then 1 else null end)</t>
    </r>
  </si>
  <si>
    <r>
      <rPr>
        <sz val="9"/>
        <color rgb="FF000000"/>
        <rFont val="微软雅黑"/>
        <charset val="134"/>
      </rPr>
      <t>DLTCP_RetransPacketRatio_seg_2</t>
    </r>
  </si>
  <si>
    <r>
      <rPr>
        <sz val="9"/>
        <color rgb="FF000000"/>
        <rFont val="微软雅黑"/>
        <charset val="134"/>
      </rPr>
      <t>下行TCP重传占比_seg_2</t>
    </r>
  </si>
  <si>
    <r>
      <rPr>
        <sz val="9"/>
        <color rgb="FF000000"/>
        <rFont val="微软雅黑"/>
        <charset val="134"/>
      </rPr>
      <t>count(case when dltcp_retranspacket/inputpacket&gt;=#DLTCP_RetransPacketRatio_seg_2_1st# and dltcp_retranspacket/inputpacket&lt;#DLTCP_RetransPacketRatio_seg_2_2nd# then 1 else null end)</t>
    </r>
  </si>
  <si>
    <r>
      <rPr>
        <sz val="9"/>
        <color rgb="FF000000"/>
        <rFont val="微软雅黑"/>
        <charset val="134"/>
      </rPr>
      <t>DLTCP_RetransPacketRatio_seg_3</t>
    </r>
  </si>
  <si>
    <r>
      <rPr>
        <sz val="9"/>
        <color rgb="FF000000"/>
        <rFont val="微软雅黑"/>
        <charset val="134"/>
      </rPr>
      <t>下行TCP重传占比_seg_3</t>
    </r>
  </si>
  <si>
    <r>
      <rPr>
        <sz val="9"/>
        <color rgb="FF000000"/>
        <rFont val="微软雅黑"/>
        <charset val="134"/>
      </rPr>
      <t>count(case when dltcp_retranspacket/inputpacket&gt;=#DLTCP_RetransPacketRatio_seg_3_1st# and dltcp_retranspacket/inputpacket&lt;#DLTCP_RetransPacketRatio_seg_3_2nd# then 1 else null end)</t>
    </r>
  </si>
  <si>
    <r>
      <rPr>
        <sz val="9"/>
        <color rgb="FF000000"/>
        <rFont val="微软雅黑"/>
        <charset val="134"/>
      </rPr>
      <t>DLTCP_RetransPacketRatio_seg_4</t>
    </r>
  </si>
  <si>
    <r>
      <rPr>
        <sz val="9"/>
        <color rgb="FF000000"/>
        <rFont val="微软雅黑"/>
        <charset val="134"/>
      </rPr>
      <t>下行TCP重传占比_seg_4</t>
    </r>
  </si>
  <si>
    <r>
      <rPr>
        <sz val="9"/>
        <color rgb="FF000000"/>
        <rFont val="微软雅黑"/>
        <charset val="134"/>
      </rPr>
      <t>count(case when dltcp_retranspacket/inputpacket&gt;=#DLTCP_RetransPacketRatio_seg_4_1st# and dltcp_retranspacket/inputpacket&lt;#DLTCP_RetransPacketRatio_seg_4_2nd# then 1 else null end)</t>
    </r>
  </si>
  <si>
    <r>
      <rPr>
        <sz val="9"/>
        <color rgb="FF000000"/>
        <rFont val="微软雅黑"/>
        <charset val="134"/>
      </rPr>
      <t>DLTCP_RetransPacketRatio_seg_5</t>
    </r>
  </si>
  <si>
    <r>
      <rPr>
        <sz val="9"/>
        <color rgb="FF000000"/>
        <rFont val="微软雅黑"/>
        <charset val="134"/>
      </rPr>
      <t>下行TCP重传占比_seg_5</t>
    </r>
  </si>
  <si>
    <r>
      <rPr>
        <sz val="9"/>
        <color rgb="FF000000"/>
        <rFont val="微软雅黑"/>
        <charset val="134"/>
      </rPr>
      <t>count(case when dltcp_retranspacket/inputpacket&gt;=#DLTCP_RetransPacketRatio_seg_5_1st# and dltcp_retranspacket/inputpacket&lt;#DLTCP_RetransPacketRatio_seg_5_2nd# then 1 else null end)</t>
    </r>
  </si>
  <si>
    <r>
      <rPr>
        <sz val="9"/>
        <color rgb="FF000000"/>
        <rFont val="微软雅黑"/>
        <charset val="134"/>
      </rPr>
      <t>http_throughput_under500_duartion</t>
    </r>
  </si>
  <si>
    <r>
      <rPr>
        <sz val="9"/>
        <color rgb="FF000000"/>
        <rFont val="微软雅黑"/>
        <charset val="134"/>
      </rPr>
      <t>小页面显示总时长（内容&lt;500KB）</t>
    </r>
  </si>
  <si>
    <t>case when   SYNtime&gt;0 and Lastpacktime-SYNtime&gt;0 then (Lastpacktime-SYNtime)/1000 else null end as http_throughput_duartion
sum(case when  InputOctets&lt;500*1024 and http_throughput_duartion&lt;3600  then http_throughput_duartion*1000 else 0 end)</t>
  </si>
  <si>
    <r>
      <rPr>
        <sz val="9"/>
        <color rgb="FF000000"/>
        <rFont val="微软雅黑"/>
        <charset val="134"/>
      </rPr>
      <t>http_throughput_under500_suc_cnt</t>
    </r>
  </si>
  <si>
    <r>
      <rPr>
        <sz val="9"/>
        <color rgb="FF000000"/>
        <rFont val="微软雅黑"/>
        <charset val="134"/>
      </rPr>
      <t>小页面显示成功次数（内容&lt;500KB）</t>
    </r>
  </si>
  <si>
    <t>case when   SYNtime&gt;0 and Lastpacktime-SYNtime&gt;0 then (Lastpacktime-SYNtime)/1000 else null end as http_throughput_duartion
sum(case when  InputOctets&lt;500*1024 and http_throughput_duartion&lt;3600 and http_throughput_duartion&gt;0  then 1 else 0 end)</t>
  </si>
  <si>
    <r>
      <rPr>
        <sz val="9"/>
        <color rgb="FF000000"/>
        <rFont val="微软雅黑"/>
        <charset val="134"/>
      </rPr>
      <t>http_throughput_above500_duartion_sum</t>
    </r>
  </si>
  <si>
    <r>
      <rPr>
        <sz val="9"/>
        <color rgb="FF000000"/>
        <rFont val="微软雅黑"/>
        <charset val="134"/>
      </rPr>
      <t>HTTP下载时长（s）（内容&gt;=500KB）</t>
    </r>
  </si>
  <si>
    <t>case when   SYNtime&gt;0 and Lastpacktime-SYNtime&gt;0 then (Lastpacktime-SYNtime)/1000 else null end as http_throughput_duartion
sum(case when InputOctets&gt;=500*1024 then  http_throughput_duartion else 0 end)</t>
  </si>
  <si>
    <r>
      <rPr>
        <sz val="9"/>
        <color rgb="FF000000"/>
        <rFont val="微软雅黑"/>
        <charset val="134"/>
      </rPr>
      <t>times_excellentrspdelay</t>
    </r>
  </si>
  <si>
    <r>
      <rPr>
        <sz val="9"/>
        <color rgb="FF000000"/>
        <rFont val="微软雅黑"/>
        <charset val="134"/>
      </rPr>
      <t>首屏时延优秀次数</t>
    </r>
  </si>
  <si>
    <t>CASE WHEN SYNtime is not null AND FirstScreenFinTime &gt; SYNtime THEN FirstScreenFinTime-SYNtime  ELSE null END as httpwebscreendelay
count(case when httpwebscreendelay&gt;=#times_excellentrspdelay_seg_1_1st# and httpwebscreendelay&lt;#times_excellentrspdelay_seg_1_2nd# then 1 else null end)</t>
  </si>
  <si>
    <r>
      <rPr>
        <sz val="9"/>
        <color rgb="FF000000"/>
        <rFont val="微软雅黑"/>
        <charset val="134"/>
      </rPr>
      <t>times_inferiorrspdelay</t>
    </r>
  </si>
  <si>
    <r>
      <rPr>
        <sz val="9"/>
        <color rgb="FF000000"/>
        <rFont val="微软雅黑"/>
        <charset val="134"/>
      </rPr>
      <t>首屏时延质差次数</t>
    </r>
  </si>
  <si>
    <t>CASE WHEN SYNtime is not null AND FirstScreenFinTime &gt; SYNtime THEN FirstScreenFinTime-SYNtime  ELSE null END as httpwebscreendelay
count(case when httpwebscreendelay&gt;=#times_inferiorrspdelay_seg_1_1st# and httpwebscreendelay&lt;#times_inferiorrspdelay_seg_1_2nd# then 1 else null end)</t>
  </si>
  <si>
    <r>
      <rPr>
        <sz val="9"/>
        <color rgb="FF000000"/>
        <rFont val="微软雅黑"/>
        <charset val="134"/>
      </rPr>
      <t>times_wellrspdelay</t>
    </r>
  </si>
  <si>
    <r>
      <rPr>
        <sz val="9"/>
        <color rgb="FF000000"/>
        <rFont val="微软雅黑"/>
        <charset val="134"/>
      </rPr>
      <t>首屏时延良好次数</t>
    </r>
  </si>
  <si>
    <t>CASE WHEN SYNtime is not null AND FirstScreenFinTime &gt; SYNtime THEN FirstScreenFinTime-SYNtime  ELSE null END as httpwebscreendelay
count(case when httpwebscreendelay&gt;=#times_wellrspdelay_seg_1_1st# and httpwebscreendelay&lt;#times_wellrspdelay_seg_1_2nd# then 1 else null end)</t>
  </si>
  <si>
    <r>
      <rPr>
        <sz val="9"/>
        <color rgb="FF000000"/>
        <rFont val="微软雅黑"/>
        <charset val="134"/>
      </rPr>
      <t>times_excellentcmpltdelay</t>
    </r>
  </si>
  <si>
    <r>
      <rPr>
        <sz val="9"/>
        <color rgb="FF000000"/>
        <rFont val="微软雅黑"/>
        <charset val="134"/>
      </rPr>
      <t>打开时延优秀次数</t>
    </r>
  </si>
  <si>
    <t>CASE WHEN SYNtime is not null AND LastAcktime &gt; SYNtime THEN LastAcktime-SYNtime  ELSE null END as httpwebdspdelay
count(case when httpwebdspdelay&gt;=#times_excellentcmpltdelay_seg_1_1st# and httpwebdspdelay&lt;#times_excellentcmpltdelay_seg_1_2nd# then 1 else null end)</t>
  </si>
  <si>
    <r>
      <rPr>
        <sz val="9"/>
        <color rgb="FF000000"/>
        <rFont val="微软雅黑"/>
        <charset val="134"/>
      </rPr>
      <t>times_inferiorcmpltdelay</t>
    </r>
  </si>
  <si>
    <r>
      <rPr>
        <sz val="9"/>
        <color rgb="FF000000"/>
        <rFont val="微软雅黑"/>
        <charset val="134"/>
      </rPr>
      <t>打开时延质差次数</t>
    </r>
  </si>
  <si>
    <t>CASE WHEN SYNtime is not null AND LastAcktime &gt; SYNtime THEN LastAcktime-SYNtime  ELSE null END as httpwebdspdelay
count(case when httpwebdspdelay&gt;=#times_inferiorcmpltdelay_seg_1_1st# and httpwebdspdelay&lt;#times_inferiorcmpltdelay_seg_1_2nd# then 1 else null end)</t>
  </si>
  <si>
    <r>
      <rPr>
        <sz val="9"/>
        <color rgb="FF000000"/>
        <rFont val="微软雅黑"/>
        <charset val="134"/>
      </rPr>
      <t>times_wellcmpltdelay</t>
    </r>
  </si>
  <si>
    <r>
      <rPr>
        <sz val="9"/>
        <color rgb="FF000000"/>
        <rFont val="微软雅黑"/>
        <charset val="134"/>
      </rPr>
      <t>打开时延良好次数</t>
    </r>
  </si>
  <si>
    <t>CASE WHEN SYNtime is not null AND LastAcktime &gt; SYNtime THEN LastAcktime-SYNtime  ELSE null END as httpwebdspdelay
count(case when httpwebdspdelay&gt;=#times_wellcmpltdelay_seg_1_1st# and httpwebdspdelay&lt;#times_wellcmpltdelay_seg_1_2nd# then 1 else null end)</t>
  </si>
  <si>
    <r>
      <rPr>
        <sz val="9"/>
        <color rgb="FF000000"/>
        <rFont val="微软雅黑"/>
        <charset val="134"/>
      </rPr>
      <t>times_excellentsentrate</t>
    </r>
  </si>
  <si>
    <r>
      <rPr>
        <sz val="9"/>
        <color rgb="FF000000"/>
        <rFont val="微软雅黑"/>
        <charset val="134"/>
      </rPr>
      <t>消息发送成功次数</t>
    </r>
  </si>
  <si>
    <r>
      <rPr>
        <sz val="9"/>
        <color rgb="FF000000"/>
        <rFont val="微软雅黑"/>
        <charset val="134"/>
      </rPr>
      <t>times_inferiorsentrate</t>
    </r>
  </si>
  <si>
    <r>
      <rPr>
        <sz val="9"/>
        <color rgb="FF000000"/>
        <rFont val="微软雅黑"/>
        <charset val="134"/>
      </rPr>
      <t>消息发送失败次数</t>
    </r>
  </si>
  <si>
    <t>count(1)-sum(if(HTTPStatus &lt; 400,1,0) )</t>
  </si>
  <si>
    <r>
      <rPr>
        <sz val="9"/>
        <color rgb="FF000000"/>
        <rFont val="微软雅黑"/>
        <charset val="134"/>
      </rPr>
      <t>times_excellentgamedelay</t>
    </r>
  </si>
  <si>
    <r>
      <rPr>
        <sz val="9"/>
        <color rgb="FF000000"/>
        <rFont val="微软雅黑"/>
        <charset val="134"/>
      </rPr>
      <t>游戏交互时延优秀次数</t>
    </r>
  </si>
  <si>
    <t>CASE WHEN TCPSetupResponseDelay is not null AND TCPSetupACKDelay is not null THEN TCPSetupResponseDelay+TCPSetupACKDelay  ELSE null END as tcpsetupdelay
count(case when tcpsetupdelay&gt;=#times_excellentgamedelay_seg_1_1st# and tcpsetupdelay&lt;#times_excellentgamedelay_seg_1_2nd# then 1 else null end)</t>
  </si>
  <si>
    <r>
      <rPr>
        <sz val="9"/>
        <color rgb="FF000000"/>
        <rFont val="微软雅黑"/>
        <charset val="134"/>
      </rPr>
      <t>times_inferiorgamedelay</t>
    </r>
  </si>
  <si>
    <r>
      <rPr>
        <sz val="9"/>
        <color rgb="FF000000"/>
        <rFont val="微软雅黑"/>
        <charset val="134"/>
      </rPr>
      <t>游戏交互时延劣质次数</t>
    </r>
  </si>
  <si>
    <t>CASE WHEN TCPSetupResponseDelay is not null AND TCPSetupACKDelay is not null THEN TCPSetupResponseDelay+TCPSetupACKDelay  ELSE null END as tcpsetupdelay
count(case when tcpsetupdelay&gt;=#times_inferiorgamedelay_seg_1_1st# and tcpsetupdelay&lt;#times_inferiorgamedelay_seg_1_2nd# then 1 else null end)</t>
  </si>
  <si>
    <r>
      <rPr>
        <sz val="9"/>
        <color rgb="FF000000"/>
        <rFont val="微软雅黑"/>
        <charset val="134"/>
      </rPr>
      <t>times_wellgamedelay</t>
    </r>
  </si>
  <si>
    <r>
      <rPr>
        <sz val="9"/>
        <color rgb="FF000000"/>
        <rFont val="微软雅黑"/>
        <charset val="134"/>
      </rPr>
      <t>游戏交互时延良好次数</t>
    </r>
  </si>
  <si>
    <t>CASE WHEN TCPSetupResponseDelay is not null AND TCPSetupACKDelay is not null THEN TCPSetupResponseDelay+TCPSetupACKDelay  ELSE null END as tcpsetupdelay
count(case when tcpsetupdelay&gt;=#times_wellgamedelay_seg_1_1st# and tcpsetupdelay&lt;#times_wellgamedelay_seg_1_2nd# then 1 else null end)</t>
  </si>
  <si>
    <r>
      <rPr>
        <sz val="9"/>
        <color rgb="FF000000"/>
        <rFont val="微软雅黑"/>
        <charset val="134"/>
      </rPr>
      <t>xdr_suc_cnt_sum</t>
    </r>
  </si>
  <si>
    <r>
      <rPr>
        <sz val="9"/>
        <color rgb="FF000000"/>
        <rFont val="微软雅黑"/>
        <charset val="134"/>
      </rPr>
      <t>xdr成功条数</t>
    </r>
  </si>
  <si>
    <t>sum(case when tcpconnectstate=0 or sessionstopflag=1 then 1 else 0 end)</t>
  </si>
  <si>
    <r>
      <rPr>
        <sz val="9"/>
        <color rgb="FF000000"/>
        <rFont val="微软雅黑"/>
        <charset val="134"/>
      </rPr>
      <t>httpwebdspcount</t>
    </r>
  </si>
  <si>
    <r>
      <rPr>
        <sz val="9"/>
        <color rgb="FF000000"/>
        <rFont val="微软雅黑"/>
        <charset val="134"/>
      </rPr>
      <t>http请求完成次数</t>
    </r>
  </si>
  <si>
    <t>sum(case when HTTPStatus&gt;0 and HTTPStatus&lt;400 and  cast (Lastpacktime as bigint)&gt;0 then 1 else 0 end)</t>
  </si>
  <si>
    <t>is_poor_ultcp_retranspacket_num</t>
  </si>
  <si>
    <r>
      <rPr>
        <sz val="9"/>
        <rFont val="微软雅黑"/>
        <charset val="134"/>
      </rPr>
      <t>tcp上行重传率质差话单数</t>
    </r>
  </si>
  <si>
    <t>sum(CASE WHEN (ultcp_retranspacket)/(outputpacket) &gt;= 0.1 THEN 1  ELSE 0 END )</t>
  </si>
  <si>
    <r>
      <rPr>
        <sz val="9"/>
        <color rgb="FF000000"/>
        <rFont val="微软雅黑"/>
        <charset val="134"/>
      </rPr>
      <t>个</t>
    </r>
  </si>
  <si>
    <r>
      <rPr>
        <sz val="9"/>
        <color rgb="FF000000"/>
        <rFont val="微软雅黑"/>
        <charset val="134"/>
      </rPr>
      <t>is_poor_dltcp_retranspacket_num</t>
    </r>
  </si>
  <si>
    <r>
      <rPr>
        <sz val="9"/>
        <rFont val="微软雅黑"/>
        <charset val="134"/>
      </rPr>
      <t>tcp下行重传率质差话单数</t>
    </r>
  </si>
  <si>
    <t>sum(CASE WHEN (dltcp_retranspacket)/(inputpacket) &gt;= 0.1 THEN 1  ELSE 0 END)</t>
  </si>
  <si>
    <r>
      <rPr>
        <sz val="9"/>
        <color rgb="FF000000"/>
        <rFont val="微软雅黑"/>
        <charset val="134"/>
      </rPr>
      <t>is_poor_ultcpreorderingpacket_num</t>
    </r>
  </si>
  <si>
    <r>
      <rPr>
        <sz val="9"/>
        <rFont val="微软雅黑"/>
        <charset val="134"/>
      </rPr>
      <t>tcp上行乱序率质差话单数</t>
    </r>
  </si>
  <si>
    <t>sum(CASE WHEN (ultcpreorderingpacket)/(outputpacket) &gt;= 0.05 THEN 1  ELSE 0 END )</t>
  </si>
  <si>
    <r>
      <rPr>
        <sz val="9"/>
        <color rgb="FF000000"/>
        <rFont val="微软雅黑"/>
        <charset val="134"/>
      </rPr>
      <t>is_poor_dltcpreorderingpacket_num</t>
    </r>
  </si>
  <si>
    <r>
      <rPr>
        <sz val="9"/>
        <rFont val="微软雅黑"/>
        <charset val="134"/>
      </rPr>
      <t>tcp下行乱序率质差话单数</t>
    </r>
  </si>
  <si>
    <t>sum(CASE WHEN (dltcpreorderingpacket)/(inputpacket) &gt;= 0.05 THEN 1  ELSE 0 END )</t>
  </si>
  <si>
    <r>
      <rPr>
        <sz val="9"/>
        <color rgb="FF000000"/>
        <rFont val="微软雅黑"/>
        <charset val="134"/>
      </rPr>
      <t>is_poor_tcpsetupresponsedelay_num</t>
    </r>
  </si>
  <si>
    <r>
      <rPr>
        <sz val="9"/>
        <rFont val="微软雅黑"/>
        <charset val="134"/>
      </rPr>
      <t>tcp建链响应时延质差话单数</t>
    </r>
  </si>
  <si>
    <t>sum(if(tcpsetupresponsedelay &gt;= 100,1,0))</t>
  </si>
  <si>
    <r>
      <rPr>
        <sz val="9"/>
        <color rgb="FF000000"/>
        <rFont val="微软雅黑"/>
        <charset val="134"/>
      </rPr>
      <t>is_poor_tcpsetupackdelay_num</t>
    </r>
  </si>
  <si>
    <r>
      <rPr>
        <sz val="9"/>
        <rFont val="微软雅黑"/>
        <charset val="134"/>
      </rPr>
      <t>tcp建链确认时延质差话单数</t>
    </r>
  </si>
  <si>
    <t>sum(if(tcpsetupackdelay &gt;= 100,1,0)  )</t>
  </si>
  <si>
    <t>is_poorquality_num</t>
  </si>
  <si>
    <t>质差话单数</t>
  </si>
  <si>
    <t>前6个只要一个质差则置1否则0</t>
  </si>
  <si>
    <r>
      <rPr>
        <sz val="9"/>
        <color rgb="FF000000"/>
        <rFont val="微软雅黑"/>
        <charset val="134"/>
      </rPr>
      <t>total_num</t>
    </r>
  </si>
  <si>
    <r>
      <rPr>
        <sz val="9"/>
        <color rgb="FF000000"/>
        <rFont val="微软雅黑"/>
        <charset val="134"/>
      </rPr>
      <t>总话单数</t>
    </r>
  </si>
  <si>
    <r>
      <rPr>
        <sz val="9"/>
        <color rgb="FF000000"/>
        <rFont val="微软雅黑"/>
        <charset val="134"/>
      </rPr>
      <t>p_provincecode</t>
    </r>
  </si>
  <si>
    <r>
      <rPr>
        <sz val="9"/>
        <color rgb="FF000000"/>
        <rFont val="微软雅黑"/>
        <charset val="134"/>
      </rPr>
      <t>省分区</t>
    </r>
  </si>
  <si>
    <r>
      <rPr>
        <sz val="9"/>
        <color rgb="FF000000"/>
        <rFont val="微软雅黑"/>
        <charset val="134"/>
      </rPr>
      <t>p_date</t>
    </r>
  </si>
  <si>
    <r>
      <rPr>
        <sz val="9"/>
        <color rgb="FF000000"/>
        <rFont val="微软雅黑"/>
        <charset val="134"/>
      </rPr>
      <t>天分区</t>
    </r>
  </si>
  <si>
    <r>
      <rPr>
        <sz val="9"/>
        <color rgb="FF000000"/>
        <rFont val="微软雅黑"/>
        <charset val="134"/>
      </rPr>
      <t>p_hour</t>
    </r>
  </si>
  <si>
    <r>
      <rPr>
        <sz val="9"/>
        <color rgb="FF000000"/>
        <rFont val="微软雅黑"/>
        <charset val="134"/>
      </rPr>
      <t>小时分区</t>
    </r>
  </si>
  <si>
    <t>时刻分区</t>
  </si>
  <si>
    <t>4G HTTPS基础时刻表</t>
  </si>
  <si>
    <t>B</t>
  </si>
  <si>
    <t>timestamp</t>
  </si>
  <si>
    <t>上报时间，具体到天</t>
  </si>
  <si>
    <t>hour</t>
  </si>
  <si>
    <t>小时</t>
  </si>
  <si>
    <t>0-23</t>
  </si>
  <si>
    <t>时刻</t>
  </si>
  <si>
    <t>0-3</t>
  </si>
  <si>
    <t>360000-360000</t>
  </si>
  <si>
    <t>城市编码</t>
  </si>
  <si>
    <t>-99-361181</t>
  </si>
  <si>
    <t>区县编码</t>
  </si>
  <si>
    <t>-659-842333</t>
  </si>
  <si>
    <t>APN</t>
  </si>
  <si>
    <t>tai</t>
  </si>
  <si>
    <t>跟踪区标识</t>
  </si>
  <si>
    <t>0-0</t>
  </si>
  <si>
    <t>无线接入类型</t>
  </si>
  <si>
    <t>0-10</t>
  </si>
  <si>
    <t>nodebid</t>
  </si>
  <si>
    <t>eNodeBID</t>
  </si>
  <si>
    <t>4097-14560394</t>
  </si>
  <si>
    <t>cellid</t>
  </si>
  <si>
    <t>小区ID</t>
  </si>
  <si>
    <t>0-217872534</t>
  </si>
  <si>
    <t>永久用户标识</t>
  </si>
  <si>
    <t>手机号码</t>
  </si>
  <si>
    <t>8613001224774-861410493568079</t>
  </si>
  <si>
    <t>tacid</t>
  </si>
  <si>
    <t>终端类型标识</t>
  </si>
  <si>
    <t>0-99999999</t>
  </si>
  <si>
    <t>home_province</t>
  </si>
  <si>
    <t>归属省份</t>
  </si>
  <si>
    <t>110000-650000</t>
  </si>
  <si>
    <t>业务应用</t>
  </si>
  <si>
    <t>1000100-88888888</t>
  </si>
  <si>
    <t>duration_sum</t>
  </si>
  <si>
    <t>持续时间，单位毫秒，根据业务流开始和结束统计得出的时间</t>
  </si>
  <si>
    <t>sum(duration)</t>
  </si>
  <si>
    <t>毫秒</t>
  </si>
  <si>
    <t>0-40685867792</t>
  </si>
  <si>
    <t>tcpsetupresponsedelay_sum</t>
  </si>
  <si>
    <t>TCP建链响应时延_sum</t>
  </si>
  <si>
    <t>sum(TCPSetupResponseDelay)</t>
  </si>
  <si>
    <t>0-49658730</t>
  </si>
  <si>
    <t>tcpsetupackdelay_sum</t>
  </si>
  <si>
    <t>TCP建链确认时延_sum</t>
  </si>
  <si>
    <t>sum(TCPSetupACKDelay)</t>
  </si>
  <si>
    <t>0-34873883</t>
  </si>
  <si>
    <t>outputoctets_sum</t>
  </si>
  <si>
    <t>上行流量(byte)</t>
  </si>
  <si>
    <t>SUM(OutputOctets)</t>
  </si>
  <si>
    <t>byte</t>
  </si>
  <si>
    <t>-1626927039-46995408955</t>
  </si>
  <si>
    <t>inputoctets_sum</t>
  </si>
  <si>
    <t>下行流量(byte)</t>
  </si>
  <si>
    <t>SUM(InputOctets)</t>
  </si>
  <si>
    <t>-4263811793-126795723462</t>
  </si>
  <si>
    <t>inputpacket_sum</t>
  </si>
  <si>
    <t>发给用户的业务数据包数量</t>
  </si>
  <si>
    <t>SUM(InputPacket)</t>
  </si>
  <si>
    <t>0-100848595</t>
  </si>
  <si>
    <t>outputpacket_sum</t>
  </si>
  <si>
    <t>用户发出的业务数据包数量</t>
  </si>
  <si>
    <t>SUM(OutputPacket)</t>
  </si>
  <si>
    <t>0-101114039</t>
  </si>
  <si>
    <t>timeusage_sum</t>
  </si>
  <si>
    <t>实际产生流量的时长，单位为毫秒。</t>
  </si>
  <si>
    <t>SUM(duration)</t>
  </si>
  <si>
    <t>0-856815505</t>
  </si>
  <si>
    <t>ultcpreorderingpacket_sum</t>
  </si>
  <si>
    <t>上行TCP乱序报文数，L4协议，非TCP传输时，此字段填0</t>
  </si>
  <si>
    <t>sum(ULTCPReorderingPacket)</t>
  </si>
  <si>
    <t>0-3123316</t>
  </si>
  <si>
    <t>dltcpreorderingpacket_sum</t>
  </si>
  <si>
    <t>下行TCP乱序报文数，非TCP传输时，此字段填0</t>
  </si>
  <si>
    <t>sum(DLTCPReorderingPacket)</t>
  </si>
  <si>
    <t>0-16708843</t>
  </si>
  <si>
    <t>ultcp_retranspacket_sum</t>
  </si>
  <si>
    <t>上行TCP重传报文数，非TCP传输时，此字段填0</t>
  </si>
  <si>
    <t>sum(ULTCP_RetransPacket)</t>
  </si>
  <si>
    <t>0-326777</t>
  </si>
  <si>
    <t>dltcp_retranspacket_sum</t>
  </si>
  <si>
    <t>下行TCP重传报文数，非TCP传输时，此字段填0</t>
  </si>
  <si>
    <t>sum(DLTCP_RetransPacket)</t>
  </si>
  <si>
    <t>0-1089931</t>
  </si>
  <si>
    <t>tcpsynnumber_sum</t>
  </si>
  <si>
    <t>TCP建链尝试次数</t>
  </si>
  <si>
    <t>sum(TCPSynNumber)</t>
  </si>
  <si>
    <t>次</t>
  </si>
  <si>
    <t>-88-1031021</t>
  </si>
  <si>
    <t>tcpconnectsuccnumber_sum</t>
  </si>
  <si>
    <t>TCP连接成功次数</t>
  </si>
  <si>
    <t>sum(case when TCPConnectState =0 then TCPSynNumber else 0 end)</t>
  </si>
  <si>
    <t>-88-46278</t>
  </si>
  <si>
    <t>ulipfragpacks_sum</t>
  </si>
  <si>
    <t>UL_IP_FRAG_PACKETS</t>
  </si>
  <si>
    <t>sum(ULIPFragPacks)</t>
  </si>
  <si>
    <t>0-95384</t>
  </si>
  <si>
    <t>dlipfragpacks_sum</t>
  </si>
  <si>
    <t>DL_IP_FRAG_PACKETS</t>
  </si>
  <si>
    <t>sum(DLIPFragPacks)</t>
  </si>
  <si>
    <t>0-342840</t>
  </si>
  <si>
    <t>dnsqueryreqcount</t>
  </si>
  <si>
    <t>DNS查询请求次数</t>
  </si>
  <si>
    <t>count(case when DNSQueryTime is not null then 1 else null end)</t>
  </si>
  <si>
    <t>0-6281884000</t>
  </si>
  <si>
    <t>dnsqueryrspcount</t>
  </si>
  <si>
    <t>DNS查询响应次数</t>
  </si>
  <si>
    <t>count(case when DNSResponseTime is not null then 1 else null end)</t>
  </si>
  <si>
    <t>0-1026373</t>
  </si>
  <si>
    <t>tcpsetupresponsedelay_avg</t>
  </si>
  <si>
    <t>TCP建链响应时延_avg</t>
  </si>
  <si>
    <t>avg(TCPSetupResponseDelay)</t>
  </si>
  <si>
    <t>0-8552224</t>
  </si>
  <si>
    <t>tcpsetupackdelay_avg</t>
  </si>
  <si>
    <t>TCP建链确认时延_avg</t>
  </si>
  <si>
    <t>avg(TCPSetupACKDelay)</t>
  </si>
  <si>
    <t>0-11864496</t>
  </si>
  <si>
    <t>tcpsetupdelay_avg</t>
  </si>
  <si>
    <t>TCP建立时延(ms)_avg</t>
  </si>
  <si>
    <t>avg(tcpsetupdelay)</t>
  </si>
  <si>
    <t>0-14629757</t>
  </si>
  <si>
    <t>delay_setup_firsttransaction_avg</t>
  </si>
  <si>
    <t>TCP建链成功到第一条事务请求的时延_avg（ms）</t>
  </si>
  <si>
    <t>avg(Delay_Setup_FirstTransaction)</t>
  </si>
  <si>
    <t>0-3475307</t>
  </si>
  <si>
    <t>delay_firsttransaction_firstrespackt_avg</t>
  </si>
  <si>
    <t>第一条事务请求到其第一个响应包时延_avg（ms）</t>
  </si>
  <si>
    <t>avg(Delay_FirstTransaction_FirstResPackt)</t>
  </si>
  <si>
    <t>0-600017</t>
  </si>
  <si>
    <t>tcpsynnumber_avg</t>
  </si>
  <si>
    <t>TCP建链尝试次数_avg</t>
  </si>
  <si>
    <t>avg(TCPSynNumber)</t>
  </si>
  <si>
    <t>-22-37</t>
  </si>
  <si>
    <t>dnsquerydelay_avg</t>
  </si>
  <si>
    <t>DNS查询时延_avg</t>
  </si>
  <si>
    <t>avg(dnsquerydelay)</t>
  </si>
  <si>
    <t>0-822315</t>
  </si>
  <si>
    <t>delay_syntime_dnsresponsetime_avg</t>
  </si>
  <si>
    <t>DNS到TCP建链的时延_avg</t>
  </si>
  <si>
    <t>avg(delay_SYNtime_DNSResponseTime)</t>
  </si>
  <si>
    <t>0-1711072841095</t>
  </si>
  <si>
    <t>httpwebrspdelay_avg</t>
  </si>
  <si>
    <t>网页响应(首包)时延_avg(ms)</t>
  </si>
  <si>
    <t>avg(httpwebrspdelay)</t>
  </si>
  <si>
    <t>0-1711072841335</t>
  </si>
  <si>
    <t>httpwebdspdelay_avg</t>
  </si>
  <si>
    <t>网页显示(打开)时长_avg(ms)</t>
  </si>
  <si>
    <t>avg(httpwebdspdelay)</t>
  </si>
  <si>
    <t>0-1711072841379</t>
  </si>
  <si>
    <t>httpwebscreendelay_avg</t>
  </si>
  <si>
    <t>网页首屏时延_avg(ms)</t>
  </si>
  <si>
    <t>avg(httpwebscreendelay)</t>
  </si>
  <si>
    <t>0-762937789</t>
  </si>
  <si>
    <t>delay_acktime_actiontime_avg</t>
  </si>
  <si>
    <t>TCP建链成功到首个HTTP请求的时延_avg（ms）</t>
  </si>
  <si>
    <t>置null</t>
  </si>
  <si>
    <t>0-466236844</t>
  </si>
  <si>
    <t>delay_actiontime_firstpackettime_avg</t>
  </si>
  <si>
    <t>首个HTTP请求到第一个数据响应包的时延_avg（ms）</t>
  </si>
  <si>
    <t>0-6701867</t>
  </si>
  <si>
    <t>delay_actiontime_firstresptime_avg</t>
  </si>
  <si>
    <t>首个HTTP请求到第一个HTTP响应包的时延_avg（ms）</t>
  </si>
  <si>
    <t>-121392--1</t>
  </si>
  <si>
    <t>delay_lastpacktime_dnsortcp_avg</t>
  </si>
  <si>
    <t>首个HTTP请求到最后一个数据包的时延_avg</t>
  </si>
  <si>
    <t>1-1711072841378</t>
  </si>
  <si>
    <t>delay_firstresptime_lastpacktime_avg</t>
  </si>
  <si>
    <t>第一个HTTP响应包到最后一个数据包时延_avg</t>
  </si>
  <si>
    <t>0-604797006</t>
  </si>
  <si>
    <t>delay_firstpackettime_lastpacktime_avg</t>
  </si>
  <si>
    <t>第一个数据响应包到最后一个数据包的时延_avg</t>
  </si>
  <si>
    <t>delay_lastpacktime_lastacktime_avg</t>
  </si>
  <si>
    <t>最后一个数据包到最后一个ACK的时延_avg</t>
  </si>
  <si>
    <t>0-135414944</t>
  </si>
  <si>
    <t>delay_firstfinacktime_lastacktime_avg</t>
  </si>
  <si>
    <t>最后一个ACK到首次挥手的时延_avg</t>
  </si>
  <si>
    <t>0-5095574</t>
  </si>
  <si>
    <t>tcpreorderingpacketratio</t>
  </si>
  <si>
    <t>TCP乱序占比</t>
  </si>
  <si>
    <t>sum(ULTCPReorderingPacket+DLTCPReorderingPacket)/sum(OutputPacket+InputPacket)</t>
  </si>
  <si>
    <t>率</t>
  </si>
  <si>
    <t>0-1</t>
  </si>
  <si>
    <t>ultcpreorderingpacketratio</t>
  </si>
  <si>
    <t>上行TCP乱序占比</t>
  </si>
  <si>
    <t>sum(ULTCPReorderingPacket)/sum(OutputPacket)</t>
  </si>
  <si>
    <t>dltcpreorderingpacketratio</t>
  </si>
  <si>
    <t>下行TCP乱序占比</t>
  </si>
  <si>
    <t>sum(DLTCPReorderingPacket)/sum(InputPacket)</t>
  </si>
  <si>
    <t>tcp_retranspacketratio</t>
  </si>
  <si>
    <t>TCP重传占比</t>
  </si>
  <si>
    <t>sum(ULTCP_RetransPacket+DLTCP_RetransPacket)/sum(OutputPacket+InputPacket)</t>
  </si>
  <si>
    <t>0-2.625</t>
  </si>
  <si>
    <t>ultcp_retranspacketratio</t>
  </si>
  <si>
    <t>上行TCP重传占比</t>
  </si>
  <si>
    <t>sum(ULTCP_RetransPacket)/sum(OutputPacket)</t>
  </si>
  <si>
    <t>0-92</t>
  </si>
  <si>
    <t>dltcp_retranspacketratio</t>
  </si>
  <si>
    <t>下行TCP重传占比</t>
  </si>
  <si>
    <t>sum(DLTCP_RetransPacket)/sum(InputPacket)</t>
  </si>
  <si>
    <t>0-40</t>
  </si>
  <si>
    <t>tcpconnfail_sum</t>
  </si>
  <si>
    <t>TCP连接失败次数</t>
  </si>
  <si>
    <t>0-56415</t>
  </si>
  <si>
    <t>tcpconnreq_sum</t>
  </si>
  <si>
    <t>上行TCP建立请求次数</t>
  </si>
  <si>
    <t>0-1025853</t>
  </si>
  <si>
    <t>tcpconnulsuc_sum</t>
  </si>
  <si>
    <t>上行TCP建立成功次数</t>
  </si>
  <si>
    <t>0-1025656</t>
  </si>
  <si>
    <t>tcpconndlsuc_sum</t>
  </si>
  <si>
    <t>下行TCP建立成功次数</t>
  </si>
  <si>
    <t>sum(case when TCPSetupResponseDelay&gt;0 and TCPSetupACKDelay&gt;0 then  1 else 0 end)</t>
  </si>
  <si>
    <t>0-1025571</t>
  </si>
  <si>
    <t>tcpsetupdelay_sum</t>
  </si>
  <si>
    <t>TCP建立时延(ms)_求和</t>
  </si>
  <si>
    <t>sum(TCPSetupResponseDelay+TCPSetupACKDelay)</t>
  </si>
  <si>
    <t>MS</t>
  </si>
  <si>
    <t>0-57058750</t>
  </si>
  <si>
    <t>tcpsetupresponsedelay_seg_1</t>
  </si>
  <si>
    <t>TCP建链响应时延_seg_1</t>
  </si>
  <si>
    <t>count( case when TCPSetupResponseDelay&gt;#tcpsetupresponsedelay_seg_1_1st# and TCPSetupResponseDelay&lt;=#tcpsetupresponsedelay_seg_1_2nd# then 1 else null end)</t>
  </si>
  <si>
    <t>0-1130906</t>
  </si>
  <si>
    <t>tcpsetupresponsedelay_seg_2</t>
  </si>
  <si>
    <t>TCP建链响应时延_seg_2</t>
  </si>
  <si>
    <t>count( case when TCPSetupResponseDelay&gt;#tcpsetupresponsedelay_seg_2_1st# and TCPSetupResponseDelay&lt;=#tcpsetupresponsedelay_seg_2_2nd# then 1 else null end)</t>
  </si>
  <si>
    <t>0-114728</t>
  </si>
  <si>
    <t>tcpsetupresponsedelay_seg_3</t>
  </si>
  <si>
    <t>TCP建链响应时延_seg_3</t>
  </si>
  <si>
    <t>count( case when TCPSetupResponseDelay&gt;#tcpsetupresponsedelay_seg_3_1st# and TCPSetupResponseDelay&lt;=#tcpsetupresponsedelay_seg_3_2nd# then 1 else null end)</t>
  </si>
  <si>
    <t>0-17747</t>
  </si>
  <si>
    <t>tcpsetupresponsedelay_seg_4</t>
  </si>
  <si>
    <t>TCP建链响应时延_seg_4</t>
  </si>
  <si>
    <t>count( case when TCPSetupResponseDelay&gt;#tcpsetupresponsedelay_seg_4_1st# and TCPSetupResponseDelay&lt;=#tcpsetupresponsedelay_seg_4_2nd# then 1 else null end)</t>
  </si>
  <si>
    <t>0-31478</t>
  </si>
  <si>
    <t>tcpsetupresponsedelay_seg_5</t>
  </si>
  <si>
    <t>TCP建链响应时延_seg_5</t>
  </si>
  <si>
    <t>count( case when TCPSetupResponseDelay&gt;#tcpsetupresponsedelay_seg_5_1st# and TCPSetupResponseDelay&lt;=#tcpsetupresponsedelay_seg_5_2nd# then 1 else null end)</t>
  </si>
  <si>
    <t>0-46164</t>
  </si>
  <si>
    <t>tcpsetupackdelay_seg_1</t>
  </si>
  <si>
    <t>TCP建链确认时延_seg_1</t>
  </si>
  <si>
    <t>count( case when tcpsetupackdelay&gt;#tcpsetupackdelay_seg_1_1st# and tcpsetupackdelay&lt;=#tcpsetupackdelay_seg_1_2nd# then 1 else null end)</t>
  </si>
  <si>
    <t>0-1113938</t>
  </si>
  <si>
    <t>tcpsetupackdelay_seg_2</t>
  </si>
  <si>
    <t>TCP建链确认时延_seg_2</t>
  </si>
  <si>
    <t>count( case when tcpsetupackdelay&gt;#tcpsetupackdelay_seg_2_1st# and tcpsetupackdelay&lt;=#tcpsetupackdelay_seg_2_2nd# then 1 else null end)</t>
  </si>
  <si>
    <t>0-160409</t>
  </si>
  <si>
    <t>tcpsetupackdelay_seg_3</t>
  </si>
  <si>
    <t>TCP建链确认时延_seg_3</t>
  </si>
  <si>
    <t>count( case when tcpsetupackdelay&gt;#tcpsetupackdelay_seg_3_1st# and tcpsetupackdelay&lt;=#tcpsetupackdelay_seg_3_2nd# then 1 else null end)</t>
  </si>
  <si>
    <t>0-10726</t>
  </si>
  <si>
    <t>tcpsetupackdelay_seg_4</t>
  </si>
  <si>
    <t>TCP建链确认时延_seg_4</t>
  </si>
  <si>
    <t>count( case when tcpsetupackdelay&gt;#tcpsetupackdelay_seg_4_1st# and tcpsetupackdelay&lt;=#tcpsetupackdelay_seg_4_2nd# then 1 else null end)</t>
  </si>
  <si>
    <t>0-3855</t>
  </si>
  <si>
    <t>tcpsetupackdelay_seg_5</t>
  </si>
  <si>
    <t>TCP建链确认时延_seg_5</t>
  </si>
  <si>
    <t>count( case when tcpsetupackdelay&gt;#tcpsetupackdelay_seg_5_1st# and tcpsetupackdelay&lt;=#tcpsetupackdelay_seg_5_2nd# then 1 else null end)</t>
  </si>
  <si>
    <t>0-8725</t>
  </si>
  <si>
    <t>tcpsetupresponsedelay_cnt</t>
  </si>
  <si>
    <t>TCP建链响应次数</t>
  </si>
  <si>
    <t>tcpsetupackdelay_cnt</t>
  </si>
  <si>
    <t>TCP建链确认次数</t>
  </si>
  <si>
    <t>sum(case when tcpsetupackdelay&gt;0   then 1 else 0  end)</t>
  </si>
  <si>
    <t>0-1025727</t>
  </si>
  <si>
    <t>delay_setup_firsttransaction_sum</t>
  </si>
  <si>
    <t>TCP建链成功到第一条事务请求的时延_sum（ms）</t>
  </si>
  <si>
    <t>0-238232115</t>
  </si>
  <si>
    <t>delay_setup_firsttransaction_cnt_sum</t>
  </si>
  <si>
    <t>TCP事务首次请求次数</t>
  </si>
  <si>
    <t>sum(case when Delay_Setup_FirstTransaction&gt;0 then 1 else 0 end)</t>
  </si>
  <si>
    <t>0-953527</t>
  </si>
  <si>
    <t>delay_firsttransaction_firstrespackt_sum</t>
  </si>
  <si>
    <t>第一条事务请求到其第一个响应包时延_sum（ms）</t>
  </si>
  <si>
    <t>0-16900389</t>
  </si>
  <si>
    <t>delay_firsttransaction_firstrespackt_cnt_sum</t>
  </si>
  <si>
    <t>TCP事务首次响应次数</t>
  </si>
  <si>
    <t>sum(case when Delay_FirstTransaction_FirstResPackt&gt;0 then 1 else 0 end)</t>
  </si>
  <si>
    <t>0-1025496</t>
  </si>
  <si>
    <t>outputoctets_above500_sum</t>
  </si>
  <si>
    <t>大包业务上行流量(&gt;=500KB)</t>
  </si>
  <si>
    <t>sum(case when outputoctets&gt;=500*1024 then outputoctets  else 0 end)</t>
  </si>
  <si>
    <t>0-18487483785</t>
  </si>
  <si>
    <t>outputoctets_above500_cnt_sum</t>
  </si>
  <si>
    <t>上行大包条数(&gt;=500KB)</t>
  </si>
  <si>
    <t>sum(case when outputoctets&gt;=500*1024 then 1  else 0 end)</t>
  </si>
  <si>
    <t>0-751</t>
  </si>
  <si>
    <t>outputoctets_above500_highdelay_cnt</t>
  </si>
  <si>
    <t>上行大包高时延条数（&gt;100ms）</t>
  </si>
  <si>
    <t>0-70</t>
  </si>
  <si>
    <t>inputoctets_above500_sum</t>
  </si>
  <si>
    <t>大包业务下行流量(&gt;=500KB)</t>
  </si>
  <si>
    <t>sum(case when inputoctets&gt;=500*1024 then inputoctets  else 0 end)</t>
  </si>
  <si>
    <t>0-45023524772</t>
  </si>
  <si>
    <t>inputoctets_above500_cnt_sum</t>
  </si>
  <si>
    <t>下行大包条数(&gt;=500KB)</t>
  </si>
  <si>
    <t>sum(case when inputoctets&gt;=500*1024 then 1  else 0 end)</t>
  </si>
  <si>
    <t>0-21956</t>
  </si>
  <si>
    <t>inputoctets_above500_highdelay_cnt</t>
  </si>
  <si>
    <t>下行大包高时延条数（&gt;100ms）</t>
  </si>
  <si>
    <t>0-905</t>
  </si>
  <si>
    <t>firstscreenfin_cnt_sum</t>
  </si>
  <si>
    <t>网页首屏完成次数</t>
  </si>
  <si>
    <t>sum(case when cast(FirstScreenFinTime as bigint)&gt;0 and (cast(DNSQueryTime as bigint)&gt;0 or cast(SynTime as bigint)&gt;0) then 1 else 0 end)</t>
  </si>
  <si>
    <t>firstscreenfindelay_sum</t>
  </si>
  <si>
    <t>网页首屏总时延(ms)</t>
  </si>
  <si>
    <t>sum(case when cast(FirstScreenFinTime as bigint)&gt;0 and cast(DNSQueryTime as bigint)&gt;0 then cast(FirstScreenFinTime as bigint)-cast(DNSQueryTime as bigint)  when cast(FirstScreenFinTime as bigint)&gt;0 and cast(SynTime as bigint)&gt;0 then cast(FirstScreenFinTime as bigint)-cast(SynTime as bigint)  else 0 end)</t>
  </si>
  <si>
    <t>0-71917695</t>
  </si>
  <si>
    <t>xdr_suc_cnt_sum</t>
  </si>
  <si>
    <t>xdr成功条数</t>
  </si>
  <si>
    <t>tcp上行重传率质差话单数</t>
  </si>
  <si>
    <t>is_poor_dltcp_retranspacket_num</t>
  </si>
  <si>
    <t>tcp下行重传率质差话单数</t>
  </si>
  <si>
    <t>is_poor_ultcpreorderingpacket_num</t>
  </si>
  <si>
    <t>tcp上行乱序率质差话单数</t>
  </si>
  <si>
    <t>is_poor_dltcpreorderingpacket_num</t>
  </si>
  <si>
    <t>tcp下行乱序率质差话单数</t>
  </si>
  <si>
    <t>is_poor_tcpsetupresponsedelay_num</t>
  </si>
  <si>
    <t>tcp建链响应时延质差话单数</t>
  </si>
  <si>
    <t>is_poor_tcpsetupackdelay_num</t>
  </si>
  <si>
    <t>tcp建链确认时延质差话单数</t>
  </si>
  <si>
    <t>total_num</t>
  </si>
  <si>
    <t>小时分区</t>
  </si>
  <si>
    <t>0-24</t>
  </si>
  <si>
    <t>5G终端占用的4G HTTP数据时刻表</t>
  </si>
  <si>
    <t>筛选条件：syntime is not null</t>
  </si>
  <si>
    <t>ncgi_ecgi</t>
  </si>
  <si>
    <t>supi</t>
  </si>
  <si>
    <t>pei</t>
  </si>
  <si>
    <t>left(pei,8)</t>
  </si>
  <si>
    <t>upfip</t>
  </si>
  <si>
    <t>gnbip</t>
  </si>
  <si>
    <t>dnn_apn</t>
  </si>
  <si>
    <t>sum(case when dnsquery_time &gt;0  then 1 else 0 end)</t>
  </si>
  <si>
    <t>sum(case when dnsresponse_time &gt;0 and dnsquery_time&gt;0 then 1 else 0 end)</t>
  </si>
  <si>
    <t>CASE WHEN count(1) != 0 THEN COUNT(CASE WHEN SYNtime is not null AND last_acktime &gt; SYNtime THEN last_acktime-SYNtime  ELSE null END)/count(1)  ELSE null END</t>
  </si>
  <si>
    <t>sum(tcpsetupdelay)</t>
  </si>
  <si>
    <t>sum(CASE WHEN DNSQuery_Time is not null AND DNSResponse_Time &gt; DNSQuery_Time THEN DNSResponse_Time-DNSQuery_Time  ELSE 0 END )</t>
  </si>
  <si>
    <t>avg(CASE WHEN DNSQuery_Time is not null AND DNSResponse_Time &gt; DNSQuery_Time THEN DNSResponse_Time-DNSQuery_Time  ELSE 0 END )</t>
  </si>
  <si>
    <t>CASE WHEN DNSQuery_Time is not null AND DNSResponse_Time &gt; DNSQuery_Time THEN DNSResponse_Time-DNSQuery_Time  ELSE 0 END 
count(case when dnsquerydelay&gt;=#dnsquerydelay_seg_1_1st# and dnsquerydelay&lt;#dnsquerydelay_seg_1_2nd# then 1 else null end)</t>
  </si>
  <si>
    <t>CASE WHEN DNSQuery_Time is not null AND DNSResponse_Time &gt; DNSQuery_Time THEN DNSResponse_Time-DNSQuery_Time  ELSE 0 END 
count(case when dnsquerydelay&gt;=#dnsquerydelay_seg_2_1st# and dnsquerydelay&lt;#dnsquerydelay_seg_2_2nd# then 1 else null end)</t>
  </si>
  <si>
    <t>CASE WHEN DNSQuery_Time is not null AND DNSResponse_Time &gt; DNSQuery_Time THEN DNSResponse_Time-DNSQuery_Time  ELSE 0 END 
count(case when dnsquerydelay&gt;=#dnsquerydelay_seg_3_1st# and dnsquerydelay&lt;#dnsquerydelay_seg_3_2nd# then 1 else null end)</t>
  </si>
  <si>
    <t>CASE WHEN DNSQuery_Time is not null AND DNSResponse_Time &gt; DNSQuery_Time THEN DNSResponse_Time-DNSQuery_Time  ELSE 0 END 
count(case when dnsquerydelay&gt;=#dnsquerydelay_seg_4_1st# and dnsquerydelay&lt;#dnsquerydelay_seg_4_2nd# then 1 else null end)</t>
  </si>
  <si>
    <t>CASE WHEN DNSQuery_Time is not null AND DNSResponse_Time &gt; DNSQuery_Time THEN DNSResponse_Time-DNSQuery_Time  ELSE 0 END 
count(case when dnsquerydelay&gt;=#dnsquerydelay_seg_5_1st# and dnsquerydelay&lt;#dnsquerydelay_seg_5_2nd# then 1 else null end)</t>
  </si>
  <si>
    <t>sum(CASE WHEN DNSResponse_Time is not null AND SYNtime &gt; DNSResponse_Time THEN SYNtime-DNSResponse_Time  ELSE null END)</t>
  </si>
  <si>
    <t>avg(CASE WHEN DNSResponse_Time is not null AND SYNtime &gt; DNSResponse_Time THEN SYNtime-DNSResponse_Time  ELSE null END)</t>
  </si>
  <si>
    <t>CASE WHEN DNSResponse_Time is not null AND SYNtime &gt; DNSResponse_Time THEN SYNtime-DNSResponse_Time  ELSE null END
count(case when delay_SYNtime_DNSResponse_Time&gt;=#delay_SYNtime_DNSResponse_Time_seg_1_1st# and delay_SYNtime_DNSResponse_Time&lt;#delay_SYNtime_DNSResponse_Time_seg_1_2nd# then 1 else null end)</t>
  </si>
  <si>
    <t>CASE WHEN DNSResponse_Time is not null AND SYNtime &gt; DNSResponse_Time THEN SYNtime-DNSResponse_Time  ELSE null END
count(case when delay_SYNtime_DNSResponse_Time&gt;=#delay_SYNtime_DNSResponse_Time_seg_2_1st# and delay_SYNtime_DNSResponse_Time&lt;#delay_SYNtime_DNSResponse_Time_seg_2_2nd# then 1 else null end)</t>
  </si>
  <si>
    <t>CASE WHEN DNSResponse_Time is not null AND SYNtime &gt; DNSResponse_Time THEN SYNtime-DNSResponse_Time  ELSE null END
count(case when delay_SYNtime_DNSResponse_Time&gt;=#delay_SYNtime_DNSResponse_Time_seg_3_1st# and delay_SYNtime_DNSResponse_Time&lt;#delay_SYNtime_DNSResponse_Time_seg_3_2nd# then 1 else null end)</t>
  </si>
  <si>
    <t>CASE WHEN DNSResponse_Time is not null AND SYNtime &gt; DNSResponse_Time THEN SYNtime-DNSResponse_Time  ELSE null END
count(case when delay_SYNtime_DNSResponse_Time&gt;=#delay_SYNtime_DNSResponse_Time_seg_4_1st# and delay_SYNtime_DNSResponse_Time&lt;#delay_SYNtime_DNSResponse_Time_seg_4_2nd# then 1 else null end)</t>
  </si>
  <si>
    <t>CASE WHEN DNSResponse_Time is not null AND SYNtime &gt; DNSResponse_Time THEN SYNtime-DNSResponse_Time  ELSE null END
count(case when delay_SYNtime_DNSResponse_Time&gt;=#delay_SYNtime_DNSResponse_Time_seg_5_1st# and delay_SYNtime_DNSResponse_Time&lt;#delay_SYNtime_DNSResponse_Time_seg_5_2nd# then 1 else null end)</t>
  </si>
  <si>
    <t>sum(CASE WHEN SYNtime is not null AND First_Packet_Time &gt; SYNtime THEN First_Packet_Time-SYNtime  ELSE null END)</t>
  </si>
  <si>
    <t>avg(CASE WHEN SYNtime is not null AND First_Packet_Time &gt; SYNtime THEN First_Packet_Time-SYNtime  ELSE null END)</t>
  </si>
  <si>
    <t>CASE WHEN SYNtime is not null AND First_Packet_Time &gt; SYNtime THEN First_Packet_Time-SYNtime  ELSE null END AS httpwebrspdelay
count(case when httpwebrspdelay&gt;=#httpwebrspdelay_seg_1_1st# and httpwebrspdelay&lt;#httpwebrspdelay_seg_1_2nd# then 1 else null end)</t>
  </si>
  <si>
    <t>CASE WHEN SYNtime is not null AND First_Packet_Time &gt; SYNtime THEN First_Packet_Time-SYNtime  ELSE null END AS httpwebrspdelay
count(case when httpwebrspdelay&gt;=#httpwebrspdelay_seg_2_1st# and httpwebrspdelay&lt;#httpwebrspdelay_seg_2_2nd# then 1 else null end)</t>
  </si>
  <si>
    <t>CASE WHEN SYNtime is not null AND First_Packet_Time &gt; SYNtime THEN First_Packet_Time-SYNtime  ELSE null END AS httpwebrspdelay
count(case when httpwebrspdelay&gt;=#httpwebrspdelay_seg_3_1st# and httpwebrspdelay&lt;#httpwebrspdelay_seg_3_2nd# then 1 else null end)</t>
  </si>
  <si>
    <t>CASE WHEN SYNtime is not null AND First_Packet_Time &gt; SYNtime THEN First_Packet_Time-SYNtime  ELSE null END AS httpwebrspdelay
count(case when httpwebrspdelay&gt;=#httpwebrspdelay_seg_4_1st# and httpwebrspdelay&lt;#httpwebrspdelay_seg_4_2nd# then 1 else null end)</t>
  </si>
  <si>
    <t>CASE WHEN SYNtime is not null AND First_Packet_Time &gt; SYNtime THEN First_Packet_Time-SYNtime  ELSE null END AS httpwebrspdelay
count(case when httpwebrspdelay&gt;=#httpwebrspdelay_seg_5_1st# and httpwebrspdelay&lt;#httpwebrspdelay_seg_5_2nd# then 1 else null end)</t>
  </si>
  <si>
    <t>sum(CASE WHEN SYNtime is not null AND Last_Acktime &gt; SYNtime THEN Last_Acktime-SYNtime  ELSE null END)</t>
  </si>
  <si>
    <t>avg(CASE WHEN SYNtime is not null AND Last_Acktime &gt; SYNtime THEN Last_Acktime-SYNtime  ELSE null END)</t>
  </si>
  <si>
    <t>CASE WHEN SYNtime is not null AND Last_Acktime &gt; SYNtime THEN Last_Acktime-SYNtime  ELSE null END as httpwebdspdelay
count(case when httpwebdspdelay&gt;=#httpwebdspdelay_seg_1_1st# and httpwebdspdelay&lt;#httpwebdspdelay_seg_1_2nd# then 1 else null end)</t>
  </si>
  <si>
    <t>CASE WHEN SYNtime is not null AND Last_Acktime &gt; SYNtime THEN Last_Acktime-SYNtime  ELSE null END as httpwebdspdelay
count(case when httpwebdspdelay&gt;=#httpwebdspdelay_seg_2_1st# and httpwebdspdelay&lt;#httpwebdspdelay_seg_2_2nd# then 1 else null end)</t>
  </si>
  <si>
    <t>CASE WHEN SYNtime is not null AND Last_Acktime &gt; SYNtime THEN Last_Acktime-SYNtime  ELSE null END as httpwebdspdelay
count(case when httpwebdspdelay&gt;=#httpwebdspdelay_seg_3_1st# and httpwebdspdelay&lt;#httpwebdspdelay_seg_3_2nd# then 1 else null end)</t>
  </si>
  <si>
    <t>CASE WHEN SYNtime is not null AND Last_Acktime &gt; SYNtime THEN Last_Acktime-SYNtime  ELSE null END as httpwebdspdelay
count(case when httpwebdspdelay&gt;=#httpwebdspdelay_seg_4_1st# and httpwebdspdelay&lt;#httpwebdspdelay_seg_4_2nd# then 1 else null end)</t>
  </si>
  <si>
    <t>CASE WHEN SYNtime is not null AND Last_Acktime &gt; SYNtime THEN Last_Acktime-SYNtime  ELSE null END as httpwebdspdelay
count(case when httpwebdspdelay&gt;=#httpwebdspdelay_seg_5_1st# and httpwebdspdelay&lt;#httpwebdspdelay_seg_5_2nd# then 1 else null end)</t>
  </si>
  <si>
    <t>sum(case when cast(First_Screen_Fin_Time as bigint)&gt;0 and (cast(DNSQuery_Time as bigint)&gt;0 or cast(SynTime as bigint)&gt;0) then 1 else 0 end)</t>
  </si>
  <si>
    <t>sum(CASE WHEN SYNtime is not null AND First_Screen_Fin_Time &gt; SYNtime THEN First_Screen_Fin_Time-SYNtime  ELSE null END )</t>
  </si>
  <si>
    <t>avg(CASE WHEN SYNtime is not null AND First_Screen_Fin_Time &gt; SYNtime THEN First_Screen_Fin_Time-SYNtime  ELSE null END )</t>
  </si>
  <si>
    <t>CASE WHEN SYNtime is not null AND First_Screen_Fin_Time &gt; SYNtime THEN First_Screen_Fin_Time-SYNtime  ELSE null END  as httpwebscreendelay
count(case when httpwebscreendelay&gt;=#httpwebscreendelay_seg_1_1st# and httpwebscreendelay&lt;#httpwebscreendelay_seg_1_2nd# then 1 else null end)</t>
  </si>
  <si>
    <t>CASE WHEN SYNtime is not null AND First_Screen_Fin_Time &gt; SYNtime THEN First_Screen_Fin_Time-SYNtime  ELSE null END  as httpwebscreendelay
count(case when httpwebscreendelay&gt;=#httpwebscreendelay_seg_2_1st# and httpwebscreendelay&lt;#httpwebscreendelay_seg_2_2nd# then 1 else null end)</t>
  </si>
  <si>
    <t>CASE WHEN SYNtime is not null AND First_Screen_Fin_Time &gt; SYNtime THEN First_Screen_Fin_Time-SYNtime  ELSE null END  as httpwebscreendelay
count(case when httpwebscreendelay&gt;=#httpwebscreendelay_seg_3_1st# and httpwebscreendelay&lt;#httpwebscreendelay_seg_3_2nd# then 1 else null end)</t>
  </si>
  <si>
    <t>CASE WHEN SYNtime is not null AND First_Screen_Fin_Time &gt; SYNtime THEN First_Screen_Fin_Time-SYNtime  ELSE null END  as httpwebscreendelay
count(case when httpwebscreendelay&gt;=#httpwebscreendelay_seg_4_1st# and httpwebscreendelay&lt;#httpwebscreendelay_seg_4_2nd# then 1 else null end)</t>
  </si>
  <si>
    <t>CASE WHEN SYNtime is not null AND First_Screen_Fin_Time &gt; SYNtime THEN First_Screen_Fin_Time-SYNtime  ELSE null END  as httpwebscreendelay
count(case when httpwebscreendelay&gt;=#httpwebscreendelay_seg_5_1st# and httpwebscreendelay&lt;#httpwebscreendelay_seg_5_2nd# then 1 else null end)</t>
  </si>
  <si>
    <t>sum(CASE WHEN Action_Time is not null AND Action_Time &gt; ACKtime THEN Action_Time-ACKtime  ELSE null END)</t>
  </si>
  <si>
    <t>avg(CASE WHEN Action_Time is not null AND Action_Time &gt; ACKtime THEN Action_Time-ACKtime  ELSE null END)</t>
  </si>
  <si>
    <t>CASE WHEN Action_Time is not null AND Action_Time &gt; ACKtime THEN Action_Time-ACKtime  ELSE null END as  delay_acktime_actiontime
count(case when delay_acktime_actiontime&gt;=#delay_acktime_actiontime_seg_1_1st# and delay_acktime_actiontime&lt;#delay_acktime_actiontime_seg_1_2nd# then 1 else null end)</t>
  </si>
  <si>
    <t>CASE WHEN Action_Time is not null AND Action_Time &gt; ACKtime THEN Action_Time-ACKtime  ELSE null END as  delay_acktime_actiontime
count(case when delay_acktime_actiontime&gt;=#delay_acktime_actiontime_seg_2_1st# and delay_acktime_actiontime&lt;#delay_acktime_actiontime_seg_2_2nd# then 1 else null end)</t>
  </si>
  <si>
    <t>CASE WHEN Action_Time is not null AND Action_Time &gt; ACKtime THEN Action_Time-ACKtime  ELSE null END as  delay_acktime_actiontime
count(case when delay_acktime_actiontime&gt;=#delay_acktime_actiontime_seg_3_1st# and delay_acktime_actiontime&lt;#delay_acktime_actiontime_seg_3_2nd# then 1 else null end)</t>
  </si>
  <si>
    <t>CASE WHEN Action_Time is not null AND Action_Time &gt; ACKtime THEN Action_Time-ACKtime  ELSE null END as  delay_acktime_actiontime
count(case when delay_acktime_actiontime&gt;=#delay_acktime_actiontime_seg_4_1st# and delay_acktime_actiontime&lt;#delay_acktime_actiontime_seg_4_2nd# then 1 else null end)</t>
  </si>
  <si>
    <t>CASE WHEN Action_Time is not null AND Action_Time &gt; ACKtime THEN Action_Time-ACKtime  ELSE null END as  delay_acktime_actiontime
count(case when delay_acktime_actiontime&gt;=#delay_acktime_actiontime_seg_5_1st# and delay_acktime_actiontime&lt;#delay_acktime_actiontime_seg_5_2nd# then 1 else null end)</t>
  </si>
  <si>
    <t>sum(CASE WHEN Action_Time &lt; First_Packet_Time AND First_Packet_Time is not null THEN First_Packet_Time-Action_Time  ELSE null END)</t>
  </si>
  <si>
    <t>avg(CASE WHEN Action_Time &lt; First_Packet_Time AND First_Packet_Time is not null THEN First_Packet_Time-Action_Time  ELSE null END)</t>
  </si>
  <si>
    <t>CASE WHEN Action_Time &lt; First_Packet_Time AND First_Packet_Time is not null THEN First_Packet_Time-Action_Time  ELSE null END as delay_actiontime_firstpackettime
count(case when delay_actiontime_firstpackettime&gt;=#delay_actiontime_firstpackettime_seg_1_1st# and delay_actiontime_firstpackettime&lt;#delay_actiontime_firstpackettime_seg_1_2nd# then 1 else null end)</t>
  </si>
  <si>
    <t>CASE WHEN Action_Time &lt; First_Packet_Time AND First_Packet_Time is not null THEN First_Packet_Time-Action_Time  ELSE null END as delay_actiontime_firstpackettime
count(case when delay_actiontime_firstpackettime&gt;=#delay_actiontime_firstpackettime_seg_2_1st# and delay_actiontime_firstpackettime&lt;#delay_actiontime_firstpackettime_seg_2_2nd# then 1 else null end)</t>
  </si>
  <si>
    <t>CASE WHEN Action_Time &lt; First_Packet_Time AND First_Packet_Time is not null THEN First_Packet_Time-Action_Time  ELSE null END as delay_actiontime_firstpackettime
count(case when delay_actiontime_firstpackettime&gt;=#delay_actiontime_firstpackettime_seg_3_1st# and delay_actiontime_firstpackettime&lt;#delay_actiontime_firstpackettime_seg_3_2nd# then 1 else null end)</t>
  </si>
  <si>
    <t>CASE WHEN Action_Time &lt; First_Packet_Time AND First_Packet_Time is not null THEN First_Packet_Time-Action_Time  ELSE null END as delay_actiontime_firstpackettime
count(case when delay_actiontime_firstpackettime&gt;=#delay_actiontime_firstpackettime_seg_4_1st# and delay_actiontime_firstpackettime&lt;#delay_actiontime_firstpackettime_seg_4_2nd# then 1 else null end)</t>
  </si>
  <si>
    <t>CASE WHEN Action_Time &lt; First_Packet_Time AND First_Packet_Time is not null THEN First_Packet_Time-Action_Time  ELSE null END as delay_actiontime_firstpackettime
count(case when delay_actiontime_firstpackettime&gt;=#delay_actiontime_firstpackettime_seg_5_1st# and delay_actiontime_firstpackettime&lt;#delay_actiontime_firstpackettime_seg_5_2nd# then 1 else null end)</t>
  </si>
  <si>
    <t>sum(CASE WHEN Action_Time &gt; First_Resptime AND First_Resptime is not null THEN First_Resptime-Action_Time  ELSE null END)</t>
  </si>
  <si>
    <t>avg(CASE WHEN Action_Time &gt; First_Resptime AND First_Resptime is not null THEN First_Resptime-Action_Time  ELSE null END)</t>
  </si>
  <si>
    <t>CASE WHEN Action_Time &gt; First_Resptime AND First_Resptime is not null THEN First_Resptime-Action_Time  ELSE null END as delay_actiontime_firstresptime
count(case when delay_actiontime_firstresptime&gt;=#delay_actiontime_firstresptime_seg_1_1st# and delay_actiontime_firstresptime&lt;#delay_actiontime_firstresptime_seg_1_2nd# then 1 else null end)</t>
  </si>
  <si>
    <t>CASE WHEN Action_Time &gt; First_Resptime AND First_Resptime is not null THEN First_Resptime-Action_Time  ELSE null END as delay_actiontime_firstresptime
count(case when delay_actiontime_firstresptime&gt;=#delay_actiontime_firstresptime_seg_2_1st# and delay_actiontime_firstresptime&lt;#delay_actiontime_firstresptime_seg_2_2nd# then 1 else null end)</t>
  </si>
  <si>
    <t>CASE WHEN Action_Time &gt; First_Resptime AND First_Resptime is not null THEN First_Resptime-Action_Time  ELSE null END as delay_actiontime_firstresptime
count(case when delay_actiontime_firstresptime&gt;=#delay_actiontime_firstresptime_seg_3_1st# and delay_actiontime_firstresptime&lt;#delay_actiontime_firstresptime_seg_3_2nd# then 1 else null end)</t>
  </si>
  <si>
    <t>CASE WHEN Action_Time &gt; First_Resptime AND First_Resptime is not null THEN First_Resptime-Action_Time  ELSE null END as delay_actiontime_firstresptime
count(case when delay_actiontime_firstresptime&gt;=#delay_actiontime_firstresptime_seg_4_1st# and delay_actiontime_firstresptime&lt;#delay_actiontime_firstresptime_seg_4_2nd# then 1 else null end)</t>
  </si>
  <si>
    <t>CASE WHEN Action_Time &gt; First_Resptime AND First_Resptime is not null THEN First_Resptime-Action_Time  ELSE null END as delay_actiontime_firstresptime
count(case when delay_actiontime_firstresptime&gt;=#delay_actiontime_firstresptime_seg_5_1st# and delay_actiontime_firstresptime&lt;#delay_actiontime_firstresptime_seg_5_2nd# then 1 else null end)</t>
  </si>
  <si>
    <t>sum(CASE WHEN First_Resptime is not null AND lastpacktime &gt; First_Resptime THEN lastpacktime-First_Resptime  ELSE null END)</t>
  </si>
  <si>
    <t>avg(CASE WHEN First_Resptime is not null AND lastpacktime &gt; First_Resptime THEN lastpacktime-First_Resptime  ELSE null END)</t>
  </si>
  <si>
    <t>CASE WHEN First_Resptime is not null AND lastpacktime &gt; First_Resptime THEN lastpacktime-First_Resptime  ELSE null END as delay_firstresptime_lastpacktime
count(case when delay_firstresptime_lastpacktime&gt;=#delay_firstresptime_lastpacktime_seg_1_1st# and delay_firstresptime_lastpacktime&lt;#delay_firstresptime_lastpacktime_seg_1_2nd# then 1 else null end)</t>
  </si>
  <si>
    <t>CASE WHEN First_Resptime is not null AND lastpacktime &gt; First_Resptime THEN lastpacktime-First_Resptime  ELSE null END as delay_firstresptime_lastpacktime
count(case when delay_firstresptime_lastpacktime&gt;=#delay_firstresptime_lastpacktime_seg_2_1st# and delay_firstresptime_lastpacktime&lt;#delay_firstresptime_lastpacktime_seg_2_2nd# then 1 else null end)</t>
  </si>
  <si>
    <t>CASE WHEN First_Resptime is not null AND lastpacktime &gt; First_Resptime THEN lastpacktime-First_Resptime  ELSE null END as delay_firstresptime_lastpacktime
count(case when delay_firstresptime_lastpacktime&gt;=#delay_firstresptime_lastpacktime_seg_3_1st# and delay_firstresptime_lastpacktime&lt;#delay_firstresptime_lastpacktime_seg_3_2nd# then 1 else null end)</t>
  </si>
  <si>
    <t>CASE WHEN First_Resptime is not null AND lastpacktime &gt; First_Resptime THEN lastpacktime-First_Resptime  ELSE null END as delay_firstresptime_lastpacktime
count(case when delay_firstresptime_lastpacktime&gt;=#delay_firstresptime_lastpacktime_seg_4_1st# and delay_firstresptime_lastpacktime&lt;#delay_firstresptime_lastpacktime_seg_4_2nd# then 1 else null end)</t>
  </si>
  <si>
    <t>CASE WHEN First_Resptime is not null AND lastpacktime &gt; First_Resptime THEN lastpacktime-First_Resptime  ELSE null END as delay_firstresptime_lastpacktime
count(case when delay_firstresptime_lastpacktime&gt;=#delay_firstresptime_lastpacktime_seg_5_1st# and delay_firstresptime_lastpacktime&lt;#delay_firstresptime_lastpacktime_seg_5_2nd# then 1 else null end)</t>
  </si>
  <si>
    <t>sum(CASE WHEN first_packet_time is not null AND lastpacktime &gt; first_packet_time THEN lastpacktime-first_packet_time  ELSE null END)</t>
  </si>
  <si>
    <t>avg(CASE WHEN first_packet_time is not null AND lastpacktime &gt; first_packet_time THEN lastpacktime-first_packet_time  ELSE null END)</t>
  </si>
  <si>
    <t>CASE WHEN first_packet_time is not null AND lastpacktime &gt; first_packet_time THEN lastpacktime-first_packet_time  ELSE null END as delay_firstpackettime_lastpacktime
count(case when delay_firstpackettime_lastpacktime&gt;=#delay_firstpackettime_lastpacktime_seg_1_1st# and delay_firstpackettime_lastpacktime&lt;#delay_firstpackettime_lastpacktime_seg_1_2nd# then 1 else null end)</t>
  </si>
  <si>
    <t>CASE WHEN first_packet_time is not null AND lastpacktime &gt; first_packet_time THEN lastpacktime-first_packet_time  ELSE null END as delay_firstpackettime_lastpacktime
count(case when delay_firstpackettime_lastpacktime&gt;=#delay_firstpackettime_lastpacktime_seg_2_1st# and delay_firstpackettime_lastpacktime&lt;#delay_firstpackettime_lastpacktime_seg_2_2nd# then 1 else null end)</t>
  </si>
  <si>
    <t>CASE WHEN first_packet_time is not null AND lastpacktime &gt; first_packet_time THEN lastpacktime-first_packet_time  ELSE null END as delay_firstpackettime_lastpacktime
count(case when delay_firstpackettime_lastpacktime&gt;=#delay_firstpackettime_lastpacktime_seg_3_1st# and delay_firstpackettime_lastpacktime&lt;#delay_firstpackettime_lastpacktime_seg_3_2nd# then 1 else null end)</t>
  </si>
  <si>
    <t>CASE WHEN first_packet_time is not null AND lastpacktime &gt; first_packet_time THEN lastpacktime-first_packet_time  ELSE null END as delay_firstpackettime_lastpacktime
count(case when delay_firstpackettime_lastpacktime&gt;=#delay_firstpackettime_lastpacktime_seg_4_1st# and delay_firstpackettime_lastpacktime&lt;#delay_firstpackettime_lastpacktime_seg_4_2nd# then 1 else null end)</t>
  </si>
  <si>
    <t>CASE WHEN first_packet_time is not null AND lastpacktime &gt; first_packet_time THEN lastpacktime-first_packet_time  ELSE null END as delay_firstpackettime_lastpacktime
count(case when delay_firstpackettime_lastpacktime&gt;=#delay_firstpackettime_lastpacktime_seg_5_1st# and delay_firstpackettime_lastpacktime&lt;#delay_firstpackettime_lastpacktime_seg_5_2nd# then 1 else null end)</t>
  </si>
  <si>
    <t>sum(CASE WHEN lastacktime is not null AND First_Fin_Ack_Time &gt; lastacktime THEN First_Fin_Ack_Time-lastacktime  ELSE null END)</t>
  </si>
  <si>
    <t>avg(CASE WHEN lastacktime is not null AND First_Fin_Ack_Time &gt; lastacktime THEN First_Fin_Ack_Time-lastacktime  ELSE null END)</t>
  </si>
  <si>
    <t>CASE WHEN lastacktime is not null AND First_Fin_Ack_Time &gt; lastacktime THEN First_Fin_Ack_Time-lastacktime  ELSE null END as delay_FirstFinAckTime_lastacktime
CASE WHEN lastacktime is not null AND First_Fin_Ack_Time &gt; lastacktime THEN First_Fin_Ack_Time-lastacktime  ELSE null END as delay_FirstFinAckTime_lastacktime
count(case when delay_FirstFinAckTime_lastacktime&gt;=#delay_FirstFinAckTime_lastacktime_seg_1_1st# and delay_FirstFinAckTime_lastacktime&lt;#delay_FirstFinAckTime_lastacktime_seg_1_2nd# then 1 else null end)</t>
  </si>
  <si>
    <t>CASE WHEN lastacktime is not null AND First_Fin_Ack_Time &gt; lastacktime THEN First_Fin_Ack_Time-lastacktime  ELSE null END as delay_FirstFinAckTime_lastacktime
count(case when delay_FirstFinAckTime_lastacktime&gt;=#delay_FirstFinAckTime_lastacktime_seg_2_1st# and delay_FirstFinAckTime_lastacktime&lt;#delay_FirstFinAckTime_lastacktime_seg_2_2nd# then 1 else null end)</t>
  </si>
  <si>
    <t>CASE WHEN lastacktime is not null AND First_Fin_Ack_Time &gt; lastacktime THEN First_Fin_Ack_Time-lastacktime  ELSE null END as delay_FirstFinAckTime_lastacktime
count(case when delay_FirstFinAckTime_lastacktime&gt;=#delay_FirstFinAckTime_lastacktime_seg_3_1st# and delay_FirstFinAckTime_lastacktime&lt;#delay_FirstFinAckTime_lastacktime_seg_3_2nd# then 1 else null end)</t>
  </si>
  <si>
    <t>CASE WHEN lastacktime is not null AND First_Fin_Ack_Time &gt; lastacktime THEN First_Fin_Ack_Time-lastacktime  ELSE null END as delay_FirstFinAckTime_lastacktime
count(case when delay_FirstFinAckTime_lastacktime&gt;=#delay_FirstFinAckTime_lastacktime_seg_4_1st# and delay_FirstFinAckTime_lastacktime&lt;#delay_FirstFinAckTime_lastacktime_seg_4_2nd# then 1 else null end)</t>
  </si>
  <si>
    <t>CASE WHEN lastacktime is not null AND First_Fin_Ack_Time &gt; lastacktime THEN First_Fin_Ack_Time-lastacktime  ELSE null END as delay_FirstFinAckTime_lastacktime
count(case when delay_FirstFinAckTime_lastacktime&gt;=#delay_FirstFinAckTime_lastacktime_seg_5_1st# and delay_FirstFinAckTime_lastacktime&lt;#delay_FirstFinAckTime_lastacktime_seg_5_2nd# then 1 else null end)</t>
  </si>
  <si>
    <t>sum( resp_delay)</t>
  </si>
  <si>
    <t>avg(resp_delay)</t>
  </si>
  <si>
    <t>count(case when resp_delay&gt;=#respdelay_seg_1_1st# and resp_delay&lt;#respdelay_seg_1_2nd# then 1 else null end)</t>
  </si>
  <si>
    <t>count(case when resp_delay&gt;=#respdelay_seg_2_1st# and resp_delay&lt;#respdelay_seg_2_2nd# then 1 else null end)</t>
  </si>
  <si>
    <t>count(case when resp_delay&gt;=#respdelay_seg_3_1st# and resp_delay&lt;#respdelay_seg_3_2nd# then 1 else null end)</t>
  </si>
  <si>
    <t>count(case when resp_delay&gt;=#respdelay_seg_4_1st# and resp_delay&lt;#respdelay_seg_4_2nd# then 1 else null end)</t>
  </si>
  <si>
    <t>count(case when resp_delay&gt;=#respdelay_seg_5_1st# and resp_delay&lt;#respdelay_seg_5_2nd# then 1 else null end)</t>
  </si>
  <si>
    <t>sum(ultcpreorderingpacket)/sum(outputpacket)</t>
  </si>
  <si>
    <t>CASE WHEN SYNtime is not null AND First_Screen_Fin_Time &gt; SYNtime THEN First_Screen_Fin_Time -SYNtime  ELSE null END as httpwebscreendelay
count(case when httpwebscreendelay&gt;=#times_excellentrspdelay_seg_1_1st# and httpwebscreendelay&lt;#times_excellentrspdelay_seg_1_2nd# then 1 else null end)</t>
  </si>
  <si>
    <t>CASE WHEN SYNtime is not null AND First_Screen_Fin_Time  &gt; SYNtime THEN First_Screen_Fin_Time -SYNtime  ELSE null END as httpwebscreendelay
count(case when httpwebscreendelay&gt;=#times_inferiorrspdelay_seg_1_1st# and httpwebscreendelay&lt;#times_inferiorrspdelay_seg_1_2nd# then 1 else null end)</t>
  </si>
  <si>
    <t>CASE WHEN SYNtime is not null AND First_Screen_Fin_Time  &gt; SYNtime THEN First_Screen_Fin_Time -SYNtime  ELSE null END as httpwebscreendelay
count(case when httpwebscreendelay&gt;=#times_wellrspdelay_seg_1_1st# and httpwebscreendelay&lt;#times_wellrspdelay_seg_1_2nd# then 1 else null end)</t>
  </si>
  <si>
    <t>CASE WHEN SYNtime is not null AND Last_Acktime &gt; SYNtime THEN  Last_Acktime-SYNtime  ELSE null END as httpwebdspdelay
count(case when httpwebdspdelay&gt;=#times_excellentcmpltdelay_seg_1_1st# and httpwebdspdelay&lt;#times_excellentcmpltdelay_seg_1_2nd# then 1 else null end)</t>
  </si>
  <si>
    <t>CASE WHEN SYNtime is not null AND  Last_Acktime &gt; SYNtime THEN  Last_Acktime-SYNtime  ELSE null END as httpwebdspdelay
count(case when httpwebdspdelay&gt;=#times_inferiorcmpltdelay_seg_1_1st# and httpwebdspdelay&lt;#times_inferiorcmpltdelay_seg_1_2nd# then 1 else null end)</t>
  </si>
  <si>
    <t>CASE WHEN SYNtime is not null AND  Last_Acktime &gt; SYNtime THEN  Last_Acktime-SYNtime  ELSE null END as httpwebdspdelay
count(case when httpwebdspdelay&gt;=#times_wellcmpltdelay_seg_1_1st# and httpwebdspdelay&lt;#times_wellcmpltdelay_seg_1_2nd# then 1 else null end)</t>
  </si>
  <si>
    <t>5G终端占用的4G HTTPS数据时刻表</t>
  </si>
  <si>
    <t>count(case when DNSQuery_Time is not null then 1 else null end)</t>
  </si>
  <si>
    <t>count(case when DNSResponse_Time is not null then 1 else null end)</t>
  </si>
  <si>
    <t>sum(case when cast(First_Screen_Fin_Time as bigint)&gt;0 and cast(DNSQuery_Time as bigint)&gt;0 then cast(First_Screen_Fin_Time as bigint)-cast(DNSQuery_Time as bigint)  when cast(First_Screen_Fin_Time as bigint)&gt;0 and cast(SynTime as bigint)&gt;0 then cast(First_Screen_Fin_Time as bigint)-cast(SynTime as bigint)  else 0 end)</t>
  </si>
  <si>
    <t>4G VIDEO业务基础时刻表</t>
  </si>
  <si>
    <t>日期，分区字段</t>
  </si>
  <si>
    <t>15分钟</t>
  </si>
  <si>
    <t>interface</t>
  </si>
  <si>
    <t>接口类型：1、S1-U，4、S11，6、S5/S8，100、N3</t>
  </si>
  <si>
    <t>1-100</t>
  </si>
  <si>
    <t>enodebid</t>
  </si>
  <si>
    <t>4GeNodeBID/5GgNBID</t>
  </si>
  <si>
    <t>21-7324220</t>
  </si>
  <si>
    <t>永久用户标识，永久用户标识。4G填写用户IMSI。</t>
  </si>
  <si>
    <t>业务应用分类ID</t>
  </si>
  <si>
    <t>归属省</t>
  </si>
  <si>
    <t>videotype</t>
  </si>
  <si>
    <t>流媒体类型</t>
  </si>
  <si>
    <t>0-8</t>
  </si>
  <si>
    <t>省编码</t>
  </si>
  <si>
    <t>拜访地plmn编码</t>
  </si>
  <si>
    <t>outputoctets</t>
  </si>
  <si>
    <t>sum(inputoctets)</t>
  </si>
  <si>
    <t>outputpacket</t>
  </si>
  <si>
    <t>sum(outputpacket)</t>
  </si>
  <si>
    <t>inputpacket</t>
  </si>
  <si>
    <t>sum(inputpacket)</t>
  </si>
  <si>
    <t>ultcpreorderingpacket</t>
  </si>
  <si>
    <t>sum(ultcpreorderingpacket)</t>
  </si>
  <si>
    <t>dltcpreorderingpacket</t>
  </si>
  <si>
    <t>sum(dltcpreorderingpacket)</t>
  </si>
  <si>
    <t>ultcpretranspacket_sum</t>
  </si>
  <si>
    <t>ultcp_retranspacket</t>
  </si>
  <si>
    <t>sum(ultcp_retranspacket)</t>
  </si>
  <si>
    <t>0-749656</t>
  </si>
  <si>
    <t>dltcpretranspacket_sum</t>
  </si>
  <si>
    <t>dltcp_retranspacket</t>
  </si>
  <si>
    <t>sum(dltcp_retranspacket)</t>
  </si>
  <si>
    <t>0-22340863</t>
  </si>
  <si>
    <t>TCP建链响应时延</t>
  </si>
  <si>
    <t>tcpsetupresponsedelay</t>
  </si>
  <si>
    <t>TCP建链确认时延</t>
  </si>
  <si>
    <t>tcpsetupackdelay</t>
  </si>
  <si>
    <t>sum(tcpsetupackdelay)</t>
  </si>
  <si>
    <t>tcpsetupresponsedelay、tcpsetupackdelay</t>
  </si>
  <si>
    <t>sum(tcpsetupresponsedelay+tcpsetupackdelay)</t>
  </si>
  <si>
    <t>TCP建链成功到第一条事务请求的时延（ms）</t>
  </si>
  <si>
    <t>delay_setup_firsttransaction</t>
  </si>
  <si>
    <t>sum(delay_setup_firsttransaction)</t>
  </si>
  <si>
    <t>第一条事务请求到其第一个响应包时延（ms）</t>
  </si>
  <si>
    <t>delay_firsttransaction_firstrespackt</t>
  </si>
  <si>
    <t>sum(delay_firsttransaction_firstrespackt)</t>
  </si>
  <si>
    <t>tcpsynnumber</t>
  </si>
  <si>
    <t>sum(tcpsynnumber)</t>
  </si>
  <si>
    <t>tcpconnectstate</t>
  </si>
  <si>
    <t>sum(case when tcpconnectstate=0 then 1 else 0 end)</t>
  </si>
  <si>
    <t>ulipfragpacks</t>
  </si>
  <si>
    <t>sum(ulipfragpacks)</t>
  </si>
  <si>
    <t>dlipfragpacks</t>
  </si>
  <si>
    <t>sum(dlipfragpacks)</t>
  </si>
  <si>
    <t>videoplayrequestcount</t>
  </si>
  <si>
    <t>视频播放请求次数</t>
  </si>
  <si>
    <t>1-38319</t>
  </si>
  <si>
    <t>videoplaysuccesscount</t>
  </si>
  <si>
    <t>视频播放成功次数</t>
  </si>
  <si>
    <t>videoplaysuccess</t>
  </si>
  <si>
    <t>sum(case when videoplaysuccess=1 then 1 else 0 end)</t>
  </si>
  <si>
    <t>0-32510</t>
  </si>
  <si>
    <t>videoplayfailurecount</t>
  </si>
  <si>
    <t>视频播放失败次数</t>
  </si>
  <si>
    <t>count(1)-sum(case when videoplaysuccess=1 then 1 else 0 end)</t>
  </si>
  <si>
    <t>0-8047</t>
  </si>
  <si>
    <t>videoplaysuccessratio</t>
  </si>
  <si>
    <t>视频播放成功率</t>
  </si>
  <si>
    <t>sum(case when videoplaysuccess=1 then 1 else 0 end)/count(1)</t>
  </si>
  <si>
    <t>videoplayhaltcount</t>
  </si>
  <si>
    <t>视频播放卡顿次数</t>
  </si>
  <si>
    <t>sum(videoplayhaltcount)</t>
  </si>
  <si>
    <t>0-22652</t>
  </si>
  <si>
    <t>videoplaynohaltcount</t>
  </si>
  <si>
    <t>视频播放0卡顿的次数</t>
  </si>
  <si>
    <t>sum(case when videoplayhaltcount=0 then 1 else 0 end)</t>
  </si>
  <si>
    <t>0-35900</t>
  </si>
  <si>
    <t>videoplaytime_sum</t>
  </si>
  <si>
    <t>视频播放总时长，单位秒</t>
  </si>
  <si>
    <t>sum(case when length(firstdatapkgtime)&gt;12 and firstdatapkgtime&gt;0 and lastdatapkgtime-firstdatapkgtime&gt;0 then  lastdatapkgtime-firstdatapkgtime end)</t>
  </si>
  <si>
    <t>0-3173523638</t>
  </si>
  <si>
    <t>videoplaytime_without_halt_sum</t>
  </si>
  <si>
    <t>视频播放时长，不含卡顿时长，单位毫秒</t>
  </si>
  <si>
    <t>sum(CASE WHEN InputOctets &gt; 0 AND VideoBitRate &gt; 0 THEN (InputOctets*8000)/(VideoBitRate*1024)  ELSE null END)</t>
  </si>
  <si>
    <t>videorecovertime_sum</t>
  </si>
  <si>
    <t>视频卡顿时长，单位毫秒</t>
  </si>
  <si>
    <t>videorecovertime</t>
  </si>
  <si>
    <t>sum(videorecovertime)</t>
  </si>
  <si>
    <t>0-1059204189</t>
  </si>
  <si>
    <t>videorecovertimeratio</t>
  </si>
  <si>
    <t>视频卡顿时长占比，单位百分比</t>
  </si>
  <si>
    <t>videorecovertime、videoplaytime_without_halt</t>
  </si>
  <si>
    <t>sum(videorecovertime)/sum(case when length(firstdatapkgtime)&gt;12 and firstdatapkgtime&gt;0 and lastdatapkgtime-firstdatapkgtime&gt;0 then  lastdatapkgtime-firstdatapkgtime end)</t>
  </si>
  <si>
    <t>0-12218</t>
  </si>
  <si>
    <t>videoplaywaittime_sum</t>
  </si>
  <si>
    <t>视频播放等待时长，单位毫秒</t>
  </si>
  <si>
    <t>videoplaywaittime</t>
  </si>
  <si>
    <t>sum(videoplaywaittime)</t>
  </si>
  <si>
    <t>0-83055519</t>
  </si>
  <si>
    <t>videoplaywaittimeratio</t>
  </si>
  <si>
    <t>视频播放等待时长占比</t>
  </si>
  <si>
    <t>videoplaywaittime、videoplaytime_without_halt</t>
  </si>
  <si>
    <t>sum(videoplaywaittime)/sum(case when length(firstdatapkgtime)&gt;12 and firstdatapkgtime&gt;0 and lastdatapkgtime-firstdatapkgtime&gt;0 then  lastdatapkgtime-firstdatapkgtime end)</t>
  </si>
  <si>
    <t>0-11151</t>
  </si>
  <si>
    <t>videocachethroughput_total</t>
  </si>
  <si>
    <t>视频下载速率算数求和</t>
  </si>
  <si>
    <t>sum(case when videoplaysuccess=1 and videocachethroughput&gt;0 and videocachethroughput&lt;307200  then videocachethroughput else null end)</t>
  </si>
  <si>
    <t>kbps</t>
  </si>
  <si>
    <t>0-395218971</t>
  </si>
  <si>
    <t>videocachethroughput_cnt</t>
  </si>
  <si>
    <t>视频下载次数</t>
  </si>
  <si>
    <t>sum(case when videoplaysuccess=1 and videocachethroughput&gt;0 and videocachethroughput&lt;307200  then 1 else null end)</t>
  </si>
  <si>
    <t>videocachethroughput</t>
  </si>
  <si>
    <t>avg(videocachethroughput)</t>
  </si>
  <si>
    <t>0-849368</t>
  </si>
  <si>
    <t>videothroughput_bitrate_ratio_total</t>
  </si>
  <si>
    <t>速率码率比分子</t>
  </si>
  <si>
    <t>sum(case when videobitrate&gt;0 and videocachethroughput&gt;0 and videocachethroughput&lt;307200 then videocachethroughput/videobitrate else null end)</t>
  </si>
  <si>
    <t>0.000200140098068648-1287326.06327709</t>
  </si>
  <si>
    <t>videothroughput_bitrate_ratio_cnt</t>
  </si>
  <si>
    <t>速率码率比分母</t>
  </si>
  <si>
    <t>sum(case when videobitrate&gt;0 and videocachethroughput&gt;0 and videocachethroughput&lt;307200 then 1 else null end)</t>
  </si>
  <si>
    <t>videothroughput_bitrate_ratio</t>
  </si>
  <si>
    <t>速率码率比</t>
  </si>
  <si>
    <t>sum(case when videobitrate&gt;0 and videocachethroughput&gt;0 and videocachethroughput&lt;307200 then videocachethroughput/videobitrate else null end)/sum(case when videobitrate&gt;0 and videocachethroughput&gt;0 and videocachethroughput&lt;307200 then 1 else null end)</t>
  </si>
  <si>
    <t>0.000200140098068648-22759</t>
  </si>
  <si>
    <t>videobitrate_total</t>
  </si>
  <si>
    <t>视频码率总和</t>
  </si>
  <si>
    <t>sum(case when videobitrate is not null and videobitrate&lt;&gt;''  then videobitrate else null end)</t>
  </si>
  <si>
    <t>videobitrate_cnt</t>
  </si>
  <si>
    <t>视频码率次数</t>
  </si>
  <si>
    <t>sum(case when videobitrate is not null and videobitrate&lt;&gt;''  then 1 else null end)</t>
  </si>
  <si>
    <t>videobitrate</t>
  </si>
  <si>
    <t>视频质量，即视频平均码率，单位Kbps</t>
  </si>
  <si>
    <t>sum(case when videobitrate is not null and videobitrate&lt;&gt;''  then videobitrate else null end)/sum(case when videobitrate is not null and videobitrate&lt;&gt;''  then 1 else null end)</t>
  </si>
  <si>
    <t>0-326860</t>
  </si>
  <si>
    <t>cachedvideosize_sum</t>
  </si>
  <si>
    <t>缓冲段视频大小</t>
  </si>
  <si>
    <t>cachedvideosize</t>
  </si>
  <si>
    <t>sum(case when CachedVideoSize is not null and CachedVideoDuration is not null then CachedVideoSize else null end)</t>
  </si>
  <si>
    <t>78-19403705321</t>
  </si>
  <si>
    <t>cachedvideoduration_sum</t>
  </si>
  <si>
    <t>缓冲段视频下载时长</t>
  </si>
  <si>
    <t>cachedvideoduration</t>
  </si>
  <si>
    <t>sum(case when CachedVideoSize is not null and CachedVideoDuration is not null then CachedVideoDuration else null end)</t>
  </si>
  <si>
    <t>1-231021918</t>
  </si>
  <si>
    <t>videoplayhaltratio_total</t>
  </si>
  <si>
    <t>视频播放卡顿频次_分子</t>
  </si>
  <si>
    <t>sum(case when videoplaysuccess=1  and videocachethroughput&gt;0 and videocachethroughput&lt;307200  and inputoctets&gt;0 and videobitrate&gt;0 and videoplayhaltcount/(cast(inputoctets as bigint)*8/(videobitrate*1000)/60)&lt;=10 then videoplayhaltcount/(cast(inputoctets as bigint)*8/(videobitrate*1000)/60)  else null end)</t>
  </si>
  <si>
    <t>0-4133.21525569111</t>
  </si>
  <si>
    <t>videoplayhaltratio_cnt</t>
  </si>
  <si>
    <t>视频播放卡顿频次_分母</t>
  </si>
  <si>
    <t>sum(case when videoplaysuccess=1  and videocachethroughput&gt;0 and videocachethroughput&lt;307200  and inputoctets&gt;0 and videobitrate&gt;0 and videoplayhaltcount/(cast(inputoctets as bigint)*8/(videobitrate*1000)/60)&lt;=10 then 1  else null end)</t>
  </si>
  <si>
    <t>videoplayhaltcountpermin</t>
  </si>
  <si>
    <t>视频播放卡顿频次，单位次/分钟</t>
  </si>
  <si>
    <t>sum(case when videoplaysuccess=1  and videocachethroughput&gt;0 and videocachethroughput&lt;307200  and inputoctets&gt;0 and videobitrate&gt;0 and videoplayhaltcount/(cast(inputoctets as bigint)*8/(videobitrate*1000)/60)&lt;=10 then videoplayhaltcount/(cast(inputoctets as bigint)*8/(videobitrate*1000)/60)  else null end)/sum(case when videoplaysuccess=1  and videocachethroughput&gt;0 and videocachethroughput&lt;307200  and inputoctets&gt;0 and videobitrate&gt;0 and videoplayhaltcount/(cast(inputoctets as bigint)*8/(videobitrate*1000)/60)&lt;=10 then 1  else null end)</t>
  </si>
  <si>
    <t>0-3008</t>
  </si>
  <si>
    <t>CachedVideo_req_cnt</t>
  </si>
  <si>
    <t>初始缓冲请求次数</t>
  </si>
  <si>
    <t>CachedVideoDuration</t>
  </si>
  <si>
    <t>sum(cae when CachedVideoDuration&gt;0 then  1  else 0 end)</t>
  </si>
  <si>
    <t>0-770</t>
  </si>
  <si>
    <t>CachedVideo_suc_cnt</t>
  </si>
  <si>
    <t>初始缓冲成功次数</t>
  </si>
  <si>
    <t>sum(cae when CachedVideoDuration&gt;0 and videoplaysuccess=1 then  1 end)</t>
  </si>
  <si>
    <t>1-769</t>
  </si>
  <si>
    <t>videoplayhaltservcount</t>
  </si>
  <si>
    <t>发生卡顿业务次数</t>
  </si>
  <si>
    <t>sum(case when   videobitrate&gt;0 AND (CachedVideoDuration&gt;0 or CachedVideoDuration is null)  and  videoplayhaltcount&gt;0 then  1 else 0 end)</t>
  </si>
  <si>
    <t>0-34</t>
  </si>
  <si>
    <t>videoservcount</t>
  </si>
  <si>
    <t>具备卡顿业务次数</t>
  </si>
  <si>
    <t>sum(case when  videobitrate&gt;0 AND (CachedVideoDuration&gt;0 or CachedVideoDuration is null) then 1 else 0  end)</t>
  </si>
  <si>
    <t>videosize_above500</t>
  </si>
  <si>
    <t>视频流文件大小（内容&gt;=500KB）</t>
  </si>
  <si>
    <t>sum(case when cast(videosize as bigint)&gt;=500*1024  and (videoplayhaltcount is not null or videoplayhaltcount&lt;&gt;'') and videoplaysuccess=1  and cast(videocachethroughput as double)&gt;=0 and cast(videocachethroughput as double)&lt;300*1024 and cast(videobitrate as double)&gt;0 then cast(videosize as double)  else 0 end)</t>
  </si>
  <si>
    <t>0-3605939752</t>
  </si>
  <si>
    <t>VideoDuration_above500</t>
  </si>
  <si>
    <t>视频流下载时长(ms)（内容&gt;=500KB）</t>
  </si>
  <si>
    <t>sum(case when cast(videosize as bigint)&gt;=500*1024  and (videoplayhaltcount is not null or videoplayhaltcount&lt;&gt;'') and videoplaysuccess=1  and cast(videocachethroughput as double)&gt;=0 and cast(videocachethroughput as double)&lt;300*1024 and cast(videobitrate as double)&gt;0 then download_duration  else 0 end)</t>
  </si>
  <si>
    <t>0-34637420</t>
  </si>
  <si>
    <t>sum(case when tcpconnectstate=1 then  1 else 0 end)</t>
  </si>
  <si>
    <t>sum(case when tcpsynnumber&gt;0 then 1  else 0 end)</t>
  </si>
  <si>
    <t>sum(case when tcpsynnumber&gt;0 and tcpsetupresponsedelay&gt;0 then  1 else 0 end)</t>
  </si>
  <si>
    <t>sum(case when tcpsetupresponsedelay&gt;0 and tcpsetupackdelay&gt;0 then  1 else 0 end)</t>
  </si>
  <si>
    <t>TCPSetupResponseDelay</t>
  </si>
  <si>
    <t>sum(case when delay_setup_firsttransaction&gt;0 then 1 else 0 end)</t>
  </si>
  <si>
    <t>sum(case when delay_firsttransaction_firstrespackt&gt;0 then 1 else 0 end)</t>
  </si>
  <si>
    <t>inputoctets</t>
  </si>
  <si>
    <t>sum(case when inputoctets&gt;=500*1024 then inputoctets else 0 end)</t>
  </si>
  <si>
    <t>videocachethroughput_above500_cnt</t>
  </si>
  <si>
    <t>视频下载速率条数(videosize&gt;=500KB)</t>
  </si>
  <si>
    <t>sum(case when cast(videosize as bigint)&gt;=500*1024  and (videoplayhaltcount is not null or videoplayhaltcount&lt;&gt;'') and videoplaysuccess=1 and cast(videocachethroughput as double)&gt;=0 and cast(videocachethroughput as double)&lt;300*1024 and cast(videobitrate as double)&gt;0 then 1 else 0 end)</t>
  </si>
  <si>
    <t>0-698</t>
  </si>
  <si>
    <t>videocachethroughput_above500_sum</t>
  </si>
  <si>
    <t>视频下载总速率(Kbps)(videosize&gt;=500KB)</t>
  </si>
  <si>
    <t>sum(case when cast(videosize as bigint)&gt;=500*1024  and (videoplayhaltcount is not null or videoplayhaltcount&lt;&gt;'') and videoplaysuccess=1 and cast(videocachethroughput as double)&gt;=0 and cast(videocachethroughput as double)&lt;300*1024 and cast(videobitrate as double)&gt;0 then videocachethroughput else 0 end)</t>
  </si>
  <si>
    <t>0-9949975</t>
  </si>
  <si>
    <t>xdr_suc_cnt</t>
  </si>
  <si>
    <t>1-770</t>
  </si>
  <si>
    <t>videosize_sum</t>
  </si>
  <si>
    <t>视频文件大小</t>
  </si>
  <si>
    <t>videosize</t>
  </si>
  <si>
    <t>sum(videosize)</t>
  </si>
  <si>
    <t>2696-58542212658</t>
  </si>
  <si>
    <t>times_excellentdownlink</t>
  </si>
  <si>
    <t>视频下载速率优秀次数</t>
  </si>
  <si>
    <t>count(case when videocachethroughput&gt;=#times_excellentcachethroughput_seg_1_1st# and videocachethroughput&lt;#times_excellentcachethroughput_seg_1_2nd# then 1 else null end)</t>
  </si>
  <si>
    <t>0-36940</t>
  </si>
  <si>
    <t>times_inferiordownlink</t>
  </si>
  <si>
    <t>视频下载速率劣质次数</t>
  </si>
  <si>
    <t>count(case when videocachethroughput&gt;=#times_inferiorcachethroughput_seg_1_1st# and videocachethroughput&lt;#times_inferiorcachethroughput_seg_1_2nd# then 1 else null end)</t>
  </si>
  <si>
    <t>0-2818</t>
  </si>
  <si>
    <t>times_welldownlink</t>
  </si>
  <si>
    <t>视频下载速率良好次数</t>
  </si>
  <si>
    <t>count(case when videocachethroughput&gt;=#times_wellcachethroughput_seg_1_1st# and videocachethroughput&lt;#times_wellcachethroughput_seg_1_2nd# then 1 else null end)</t>
  </si>
  <si>
    <t>0-5051</t>
  </si>
  <si>
    <t>times_excellentstallfrequ</t>
  </si>
  <si>
    <t>卡顿频次优秀次数</t>
  </si>
  <si>
    <t>case when InputOctets &gt;0 and VideoBitRate &gt;0  then  videoplayhaltcount/((inputoctets*8)/(videobitrate*1000)/60) else 0 end as VideoPlayHaltCountPerMin
count(case when VideoPlayHaltCountPerMin&gt;=#times_excellentHaltCountPerMin_seg_1_1st# and VideoPlayHaltCountPerMin&lt;#times_excellentHaltCountPerMin_seg_1_2nd# then 1 else null end)</t>
  </si>
  <si>
    <t>0-35929</t>
  </si>
  <si>
    <t>times_inferiorstallfrequ</t>
  </si>
  <si>
    <t>卡顿频次质差次数</t>
  </si>
  <si>
    <t>case when InputOctets &gt;0 and VideoBitRate &gt;0  then  videoplayhaltcount/((inputoctets*8)/(videobitrate*1000)/60) else 0 end as VideoPlayHaltCountPerMin
count(case when VideoPlayHaltCountPerMin&gt;=#times_inferiorHaltCountPerMin_seg_1_1st# and VideoPlayHaltCountPerMin&lt;#times_inferiorHaltCountPerMin_seg_1_2nd# then 1 else null end)</t>
  </si>
  <si>
    <t>0-2162</t>
  </si>
  <si>
    <t>times_wellstallfrequ</t>
  </si>
  <si>
    <t>卡顿频次良好次数</t>
  </si>
  <si>
    <t>case when InputOctets &gt;0 and VideoBitRate &gt;0  then  videoplayhaltcount/((inputoctets*8)/(videobitrate*1000)/60) else 0 end as VideoPlayHaltCountPerMin
count(case when VideoPlayHaltCountPerMin&gt;=#times_wellHaltCountPerMin_seg_1_1st# and VideoPlayHaltCountPerMin&lt;#times_wellHaltCountPerMin_seg_1_2nd# then 1 else null end)</t>
  </si>
  <si>
    <t>0-236</t>
  </si>
  <si>
    <t>count(case when tcpsetupresponsedelay&gt;=#tcpsetupresponsedelay_seg_1_1st# and tcpsetupresponsedelay&lt;#tcpsetupresponsedelay_seg_1_2nd# then 1 else null end)</t>
  </si>
  <si>
    <t>count(case when tcpsetupresponsedelay&gt;=#tcpsetupresponsedelay_seg_2_1st# and tcpsetupresponsedelay&lt;#tcpsetupresponsedelay_seg_2_2nd# then 1 else null end)</t>
  </si>
  <si>
    <t>count(case when tcpsetupresponsedelay&gt;=#tcpsetupresponsedelay_seg_3_1st# and tcpsetupresponsedelay&lt;#tcpsetupresponsedelay_seg_3_2nd# then 1 else null end)</t>
  </si>
  <si>
    <t>count(case when tcpsetupresponsedelay&gt;=#tcpsetupresponsedelay_seg_4_1st# and tcpsetupresponsedelay&lt;#tcpsetupresponsedelay_seg_4_2nd# then 1 else null end)</t>
  </si>
  <si>
    <t>count(case when tcpsetupresponsedelay&gt;=#tcpsetupresponsedelay_seg_5_1st# and tcpsetupresponsedelay&lt;#tcpsetupresponsedelay_seg_5_2nd# then 1 else null end)</t>
  </si>
  <si>
    <t>avg(tcpsetupackdelay)</t>
  </si>
  <si>
    <t>count(case when tcpsetupackdelay&gt;=#tcpsetupackdelay_seg_1_1st# and tcpsetupackdelay&lt;#tcpsetupackdelay_seg_1_2nd# then 1 else null end)</t>
  </si>
  <si>
    <t>count(case when tcpsetupackdelay&gt;=#tcpsetupackdelay_seg_2_1st# and tcpsetupackdelay&lt;#tcpsetupackdelay_seg_2_2nd# then 1 else null end)</t>
  </si>
  <si>
    <t>count(case when tcpsetupackdelay&gt;=#tcpsetupackdelay_seg_3_1st# and tcpsetupackdelay&lt;#tcpsetupackdelay_seg_3_2nd# then 1 else null end)</t>
  </si>
  <si>
    <t>count(case when tcpsetupackdelay&gt;=#tcpsetupackdelay_seg_4_1st# and tcpsetupackdelay&lt;#tcpsetupackdelay_seg_4_2nd# then 1 else null end)</t>
  </si>
  <si>
    <t>count(case when tcpsetupackdelay&gt;=#tcpsetupackdelay_seg_5_1st# and tcpsetupackdelay&lt;#tcpsetupackdelay_seg_5_2nd# then 1 else null end)</t>
  </si>
  <si>
    <t>tcpsetupdelay</t>
  </si>
  <si>
    <t>avg(case when TCPSetupResponseDelay is not null and TCPSetupACKDelay is not null then  TCPSetupResponseDelay+TCPSetupACKDelay else null end)</t>
  </si>
  <si>
    <t>tcpsetupdelay_seg_1</t>
  </si>
  <si>
    <t>TCP建立时延(ms)_seg_1</t>
  </si>
  <si>
    <t>case when TCPSetupResponseDelay is not null and TCPSetupACKDelay is not null then  TCPSetupResponseDelay+TCPSetupACKDelay else null end as tcpsetupdelay
count(case when tcpsetupdelay&gt;=#tcpsetupdelay_seg_1_1st# and tcpsetupdelay&lt;#tcpsetupdelay_seg_1_2nd# then 1 else null end)</t>
  </si>
  <si>
    <t>0-924246</t>
  </si>
  <si>
    <t>tcpsetupdelay_seg_2</t>
  </si>
  <si>
    <t>TCP建立时延(ms)_seg_2</t>
  </si>
  <si>
    <t>case when TCPSetupResponseDelay is not null and TCPSetupACKDelay is not null then  TCPSetupResponseDelay+TCPSetupACKDelay else null end as tcpsetupdelay
count(case when tcpsetupdelay&gt;=#tcpsetupdelay_seg_2_1st# and tcpsetupdelay&lt;#tcpsetupdelay_seg_2_2nd# then 1 else null end)</t>
  </si>
  <si>
    <t>0-591253</t>
  </si>
  <si>
    <t>tcpsetupdelay_seg_3</t>
  </si>
  <si>
    <t>TCP建立时延(ms)_seg_3</t>
  </si>
  <si>
    <t>case when TCPSetupResponseDelay is not null and TCPSetupACKDelay is not null then  TCPSetupResponseDelay+TCPSetupACKDelay else null end as tcpsetupdelay
count(case when tcpsetupdelay&gt;=#tcpsetupdelay_seg_3_1st# and tcpsetupdelay&lt;#tcpsetupdelay_seg_3_2nd# then 1 else null end)</t>
  </si>
  <si>
    <t>0-67844</t>
  </si>
  <si>
    <t>tcpsetupdelay_seg_4</t>
  </si>
  <si>
    <t>TCP建立时延(ms)_seg_4</t>
  </si>
  <si>
    <t>case when TCPSetupResponseDelay is not null and TCPSetupACKDelay is not null then  TCPSetupResponseDelay+TCPSetupACKDelay else null end as tcpsetupdelay
count(case when tcpsetupdelay&gt;=#tcpsetupdelay_seg_4_1st# and tcpsetupdelay&lt;#tcpsetupdelay_seg_4_2nd# then 1 else null end)</t>
  </si>
  <si>
    <t>0-29925</t>
  </si>
  <si>
    <t>tcpsetupdelay_seg_5</t>
  </si>
  <si>
    <t>TCP建立时延(ms)_seg_5</t>
  </si>
  <si>
    <t>case when TCPSetupResponseDelay is not null and TCPSetupACKDelay is not null then  TCPSetupResponseDelay+TCPSetupACKDelay else null end as tcpsetupdelay
count(case when tcpsetupdelay&gt;=#tcpsetupdelay_seg_5_1st# and tcpsetupdelay&lt;#tcpsetupdelay_seg_5_2nd# then 1 else null end)</t>
  </si>
  <si>
    <t>0-48769</t>
  </si>
  <si>
    <t>videoplayhaltcount_avg</t>
  </si>
  <si>
    <t>视频播放卡顿次数_avg</t>
  </si>
  <si>
    <t>avg(videoplayhaltcount)</t>
  </si>
  <si>
    <t>0-1985</t>
  </si>
  <si>
    <t>videoplayhaltcount_seg_1</t>
  </si>
  <si>
    <t>视频播放卡顿次数_seg_1</t>
  </si>
  <si>
    <t>count(case when videoplayhaltcount&gt;=#videoplayhaltcount_seg_1_1st# and videoplayhaltcount&lt;#videoplayhaltcount_seg_1_2nd# then 1 else null end)</t>
  </si>
  <si>
    <t>videoplayhaltcount_seg_2</t>
  </si>
  <si>
    <t>视频播放卡顿次数_seg_2</t>
  </si>
  <si>
    <t>count(case when videoplayhaltcount&gt;=#videoplayhaltcount_seg_2_1st# and videoplayhaltcount&lt;#videoplayhaltcount_seg_2_2nd# then 1 else null end)</t>
  </si>
  <si>
    <t>0-2359</t>
  </si>
  <si>
    <t>videoplayhaltcount_seg_3</t>
  </si>
  <si>
    <t>视频播放卡顿次数_seg_3</t>
  </si>
  <si>
    <t>count(case when videoplayhaltcount&gt;=#videoplayhaltcount_seg_3_1st# and videoplayhaltcount&lt;#videoplayhaltcount_seg_3_2nd# then 1 else null end)</t>
  </si>
  <si>
    <t>0-102</t>
  </si>
  <si>
    <t>videoplayhaltcount_seg_4</t>
  </si>
  <si>
    <t>视频播放卡顿次数_seg_4</t>
  </si>
  <si>
    <t>count(case when videoplayhaltcount&gt;=#videoplayhaltcount_seg_4_1st# and videoplayhaltcount&lt;#videoplayhaltcount_seg_4_2nd# then 1 else null end)</t>
  </si>
  <si>
    <t>0-47</t>
  </si>
  <si>
    <t>videoplayhaltcount_seg_5</t>
  </si>
  <si>
    <t>视频播放卡顿次数_seg_5</t>
  </si>
  <si>
    <t>count(case when videoplayhaltcount&gt;=#videoplayhaltcount_seg_5_1st# and videoplayhaltcount&lt;#videoplayhaltcount_seg_5_2nd# then 1 else null end)</t>
  </si>
  <si>
    <t>0-126</t>
  </si>
  <si>
    <t>VideoPlayHaltCountPerMin_avg</t>
  </si>
  <si>
    <t>视频播放卡顿频次_avg</t>
  </si>
  <si>
    <t>avg(case when InputOctets &gt;0 and VideoBitRate &gt;0  then  videoplayhaltcount/((inputoctets*8)/(videobitrate*1000)/60) else 0 end)</t>
  </si>
  <si>
    <t>0-156.828027854907</t>
  </si>
  <si>
    <t>VideoPlayHaltCountPerMin_seg_1</t>
  </si>
  <si>
    <t>视频播放卡顿频次_seg_1</t>
  </si>
  <si>
    <t>case when InputOctets &gt;0 and VideoBitRate &gt;0  then  videoplayhaltcount/((inputoctets*8)/(videobitrate*1000)/60) else 0 end as VideoPlayHaltCountPerMin
count(case when VideoPlayHaltCountPerMin&gt;=#VideoPlayHaltCountPerMin_seg_1_1st# and VideoPlayHaltCountPerMin&lt;#VideoPlayHaltCountPerMin_seg_1_2nd# then 1 else null end)</t>
  </si>
  <si>
    <t>0-36767</t>
  </si>
  <si>
    <t>VideoPlayHaltCountPerMin_seg_2</t>
  </si>
  <si>
    <t>视频播放卡顿频次_seg_2</t>
  </si>
  <si>
    <t>case when InputOctets &gt;0 and VideoBitRate &gt;0  then  videoplayhaltcount/((inputoctets*8)/(videobitrate*1000)/60) else 0 end as VideoPlayHaltCountPerMin
count(case when VideoPlayHaltCountPerMin&gt;=#VideoPlayHaltCountPerMin_seg_2_1st# and VideoPlayHaltCountPerMin&lt;#VideoPlayHaltCountPerMin_seg_2_2nd# then 1 else null end)</t>
  </si>
  <si>
    <t>0-843</t>
  </si>
  <si>
    <t>VideoPlayHaltCountPerMin_seg_3</t>
  </si>
  <si>
    <t>视频播放卡顿频次_seg_3</t>
  </si>
  <si>
    <t>case when InputOctets &gt;0 and VideoBitRate &gt;0  then  videoplayhaltcount/((inputoctets*8)/(videobitrate*1000)/60) else 0 end as VideoPlayHaltCountPerMin
count(case when VideoPlayHaltCountPerMin&gt;=#VideoPlayHaltCountPerMin_seg_3_1st# and VideoPlayHaltCountPerMin&lt;#VideoPlayHaltCountPerMin_seg_3_2nd# then 1 else null end)</t>
  </si>
  <si>
    <t>0-389</t>
  </si>
  <si>
    <t>VideoPlayHaltCountPerMin_seg_4</t>
  </si>
  <si>
    <t>视频播放卡顿频次_seg_4</t>
  </si>
  <si>
    <t>case when InputOctets &gt;0 and VideoBitRate &gt;0  then  videoplayhaltcount/((inputoctets*8)/(videobitrate*1000)/60) else 0 end as VideoPlayHaltCountPerMin
count(case when VideoPlayHaltCountPerMin&gt;=#VideoPlayHaltCountPerMin_seg_4_1st# and VideoPlayHaltCountPerMin&lt;#VideoPlayHaltCountPerMin_seg_4_2nd# then 1 else null end)</t>
  </si>
  <si>
    <t>0-223</t>
  </si>
  <si>
    <t>VideoPlayHaltCountPerMin_seg_5</t>
  </si>
  <si>
    <t>视频播放卡顿频次_seg_5</t>
  </si>
  <si>
    <t>case when InputOctets &gt;0 and VideoBitRate &gt;0  then  videoplayhaltcount/((inputoctets*8)/(videobitrate*1000)/60) else 0 end as VideoPlayHaltCountPerMin
count(case when VideoPlayHaltCountPerMin&gt;=#VideoPlayHaltCountPerMin_seg_5_1st# and VideoPlayHaltCountPerMin&lt;#VideoPlayHaltCountPerMin_seg_5_2nd# then 1 else null end)</t>
  </si>
  <si>
    <t>0-172</t>
  </si>
  <si>
    <t>videoplaywaittime_avg</t>
  </si>
  <si>
    <t>视频播放等待时长_avg，单位毫秒</t>
  </si>
  <si>
    <t>avg(videoplaywaittime)</t>
  </si>
  <si>
    <t>0-6517298</t>
  </si>
  <si>
    <t>videoplaywaittime_seg_1</t>
  </si>
  <si>
    <t>视频播放等待时长_seg_1</t>
  </si>
  <si>
    <t>count(case when videoplaywaittime&gt;=#videoplaywaittime_seg_1_1st# and videoplaywaittime&lt;#videoplaywaittime_seg_1_2nd# then 1 else null end)</t>
  </si>
  <si>
    <t>0-29005</t>
  </si>
  <si>
    <t>videoplaywaittime_seg_2</t>
  </si>
  <si>
    <t>视频播放等待时长_seg_2</t>
  </si>
  <si>
    <t>count(case when videoplaywaittime&gt;=#videoplaywaittime_seg_2_1st# and videoplaywaittime&lt;#videoplaywaittime_seg_2_2nd# then 1 else null end)</t>
  </si>
  <si>
    <t>0-2398</t>
  </si>
  <si>
    <t>videoplaywaittime_seg_3</t>
  </si>
  <si>
    <t>视频播放等待时长_seg_3</t>
  </si>
  <si>
    <t>count(case when videoplaywaittime&gt;=#videoplaywaittime_seg_3_1st# and videoplaywaittime&lt;#videoplaywaittime_seg_3_2nd# then 1 else null end)</t>
  </si>
  <si>
    <t>0-978</t>
  </si>
  <si>
    <t>videoplaywaittime_seg_4</t>
  </si>
  <si>
    <t>视频播放等待时长_seg_4</t>
  </si>
  <si>
    <t>count(case when videoplaywaittime&gt;=#videoplaywaittime_seg_4_1st# and videoplaywaittime&lt;#videoplaywaittime_seg_4_2nd# then 1 else null end)</t>
  </si>
  <si>
    <t>0-810</t>
  </si>
  <si>
    <t>videoplaywaittime_seg_5</t>
  </si>
  <si>
    <t>视频播放等待时长_seg_5</t>
  </si>
  <si>
    <t>count(case when videoplaywaittime&gt;=#videoplaywaittime_seg_5_1st# and videoplaywaittime&lt;#videoplaywaittime_seg_5_2nd# then 1 else null end)</t>
  </si>
  <si>
    <t>0-1878</t>
  </si>
  <si>
    <t>videorecovertime_avg</t>
  </si>
  <si>
    <t>视频卡顿时长_avg，单位毫秒</t>
  </si>
  <si>
    <t>avg(videorecovertime)</t>
  </si>
  <si>
    <t>0-59895833</t>
  </si>
  <si>
    <t>videorecovertime_seg_1</t>
  </si>
  <si>
    <t>视频卡顿时长_seg_1</t>
  </si>
  <si>
    <t>count(case when videorecovertime&gt;=#videorecovertime_seg_1_1st# and videorecovertime&lt;#videorecovertime_seg_1_2nd# then 1 else null end)</t>
  </si>
  <si>
    <t>0-37282</t>
  </si>
  <si>
    <t>videorecovertime_seg_2</t>
  </si>
  <si>
    <t>视频卡顿时长_seg_2</t>
  </si>
  <si>
    <t>count(case when videorecovertime&gt;=#videorecovertime_seg_2_1st# and videorecovertime&lt;#videorecovertime_seg_2_2nd# then 1 else null end)</t>
  </si>
  <si>
    <t>0-197</t>
  </si>
  <si>
    <t>videorecovertime_seg_3</t>
  </si>
  <si>
    <t>视频卡顿时长_seg_3</t>
  </si>
  <si>
    <t>count(case when videorecovertime&gt;=#videorecovertime_seg_3_1st# and videorecovertime&lt;#videorecovertime_seg_3_2nd# then 1 else null end)</t>
  </si>
  <si>
    <t>0-110</t>
  </si>
  <si>
    <t>videorecovertime_seg_4</t>
  </si>
  <si>
    <t>视频卡顿时长_seg_4</t>
  </si>
  <si>
    <t>count(case when videorecovertime&gt;=#videorecovertime_seg_4_1st# and videorecovertime&lt;#videorecovertime_seg_4_2nd# then 1 else null end)</t>
  </si>
  <si>
    <t>0-100</t>
  </si>
  <si>
    <t>videorecovertime_seg_5</t>
  </si>
  <si>
    <t>视频卡顿时长_seg_5</t>
  </si>
  <si>
    <t>count(case when videorecovertime&gt;=#videorecovertime_seg_5_1st# and videorecovertime&lt;#videorecovertime_seg_5_2nd# then 1 else null end)</t>
  </si>
  <si>
    <t>0-679</t>
  </si>
  <si>
    <t>videocachethroughput_avg</t>
  </si>
  <si>
    <t>视频缓冲段下载速率。算法见《中国电信移动互联网业务感知质量评价细则》</t>
  </si>
  <si>
    <t>videocachethroughput_total、videocachethroughput_cnt</t>
  </si>
  <si>
    <t>1-989130</t>
  </si>
  <si>
    <t>videocachethroughput_seg_1</t>
  </si>
  <si>
    <t>视频缓冲段下载速率_根据IP报文统计_seg_1</t>
  </si>
  <si>
    <t>count(case when videocachethroughput&gt;=#videocachethroughput_seg_1_1st# and videocachethroughput&lt;#videocachethroughput_seg_1_2nd# then 1 else null end)</t>
  </si>
  <si>
    <t>0-861</t>
  </si>
  <si>
    <t>videocachethroughput_seg_2</t>
  </si>
  <si>
    <t>视频缓冲段下载速率_根据IP报文统计_seg_2</t>
  </si>
  <si>
    <t>count(case when videocachethroughput&gt;=#videocachethroughput_seg_2_1st# and videocachethroughput&lt;#videocachethroughput_seg_2_2nd# then 1 else null end)</t>
  </si>
  <si>
    <t>0-1957</t>
  </si>
  <si>
    <t>videocachethroughput_seg_3</t>
  </si>
  <si>
    <t>视频缓冲段下载速率_根据IP报文统计_seg_3</t>
  </si>
  <si>
    <t>count(case when videocachethroughput&gt;=#videocachethroughput_seg_3_1st# and videocachethroughput&lt;#videocachethroughput_seg_3_2nd# then 1 else null end)</t>
  </si>
  <si>
    <t>0-2312</t>
  </si>
  <si>
    <t>videocachethroughput_seg_4</t>
  </si>
  <si>
    <t>视频缓冲段下载速率_根据IP报文统计_seg_4</t>
  </si>
  <si>
    <t>count(case when videocachethroughput&gt;=#videocachethroughput_seg_4_1st# and videocachethroughput&lt;#videocachethroughput_seg_4_2nd# then 1 else null end)</t>
  </si>
  <si>
    <t>0-3626</t>
  </si>
  <si>
    <t>videocachethroughput_seg_5</t>
  </si>
  <si>
    <t>视频缓冲段下载速率_根据IP报文统计_seg_5</t>
  </si>
  <si>
    <t>count(case when videocachethroughput&gt;=#videocachethroughput_seg_5_1st# and videocachethroughput&lt;#videocachethroughput_seg_5_2nd# then 1 else null end)</t>
  </si>
  <si>
    <t>cachedvideoduration_avg</t>
  </si>
  <si>
    <t>缓冲段视频下载时长_avg</t>
  </si>
  <si>
    <t>avg(cachedvideoduration)</t>
  </si>
  <si>
    <t>0.00819672131147541-49211351</t>
  </si>
  <si>
    <t>cachedvideoduration_seg_1</t>
  </si>
  <si>
    <t>缓冲段视频下载时长_seg_1</t>
  </si>
  <si>
    <t>count(case when cachedvideoduration&gt;=#cachedvideoduration_seg_1_1st# and cachedvideoduration&lt;#cachedvideoduration_seg_1_2nd# then 1 else null end)</t>
  </si>
  <si>
    <t>0-31297</t>
  </si>
  <si>
    <t>cachedvideoduration_seg_2</t>
  </si>
  <si>
    <t>缓冲段视频下载时长_seg_2</t>
  </si>
  <si>
    <t>count(case when cachedvideoduration&gt;=#cachedvideoduration_seg_2_1st# and cachedvideoduration&lt;#cachedvideoduration_seg_2_2nd# then 1 else null end)</t>
  </si>
  <si>
    <t>0-1922</t>
  </si>
  <si>
    <t>cachedvideoduration_seg_3</t>
  </si>
  <si>
    <t>缓冲段视频下载时长_seg_3</t>
  </si>
  <si>
    <t>count(case when cachedvideoduration&gt;=#cachedvideoduration_seg_3_1st# and cachedvideoduration&lt;#cachedvideoduration_seg_3_2nd# then 1 else null end)</t>
  </si>
  <si>
    <t>0-1400</t>
  </si>
  <si>
    <t>cachedvideoduration_seg_4</t>
  </si>
  <si>
    <t>缓冲段视频下载时长_seg_4</t>
  </si>
  <si>
    <t>count(case when cachedvideoduration&gt;=#cachedvideoduration_seg_4_1st# and cachedvideoduration&lt;#cachedvideoduration_seg_4_2nd# then 1 else null end)</t>
  </si>
  <si>
    <t>0-845</t>
  </si>
  <si>
    <t>cachedvideoduration_seg_5</t>
  </si>
  <si>
    <t>缓冲段视频下载时长_seg_5</t>
  </si>
  <si>
    <t>count(case when cachedvideoduration&gt;=#cachedvideoduration_seg_5_1st# and cachedvideoduration&lt;#cachedvideoduration_seg_5_2nd# then 1 else null end)</t>
  </si>
  <si>
    <t>0-4839</t>
  </si>
  <si>
    <t>videothroughput_bitrate_ratio_avg</t>
  </si>
  <si>
    <t>0.00169370034428548-16991</t>
  </si>
  <si>
    <t>videothroughput_bitrate_ratio_seg_1</t>
  </si>
  <si>
    <t>速率码率比_seg_1</t>
  </si>
  <si>
    <t>case when videobitrate&gt;0 and videocachethroughput&gt;0 and videocachethroughput&lt;307200 then videocachethroughput/videobitrate else null end as videothroughput_bitrate_ratio
count(case when videothroughput_bitrate_ratio&gt;=#videothroughput_bitrate_ratio_seg_1_1st# and videothroughput_bitrate_ratio&lt;#videothroughput_bitrate_ratio_seg_1_2nd# then 1 else null end)</t>
  </si>
  <si>
    <t>0-9</t>
  </si>
  <si>
    <t>videothroughput_bitrate_ratio_seg_2</t>
  </si>
  <si>
    <t>速率码率比_seg_2</t>
  </si>
  <si>
    <t>case when videobitrate&gt;0 and videocachethroughput&gt;0 and videocachethroughput&lt;307200 then videocachethroughput/videobitrate else null end as videothroughput_bitrate_ratio
count(case when videothroughput_bitrate_ratio&gt;=#videothroughput_bitrate_ratio_seg_2_1st# and videothroughput_bitrate_ratio&lt;#videothroughput_bitrate_ratio_seg_2_2nd# then 1 else null end)</t>
  </si>
  <si>
    <t>videothroughput_bitrate_ratio_seg_3</t>
  </si>
  <si>
    <t>速率码率比_seg_3</t>
  </si>
  <si>
    <t>case when videobitrate&gt;0 and videocachethroughput&gt;0 and videocachethroughput&lt;307200 then videocachethroughput/videobitrate else null end as videothroughput_bitrate_ratio
count(case when videothroughput_bitrate_ratio&gt;=#videothroughput_bitrate_ratio_seg_3_1st# and videothroughput_bitrate_ratio&lt;#videothroughput_bitrate_ratio_seg_3_2nd# then 1 else null end)</t>
  </si>
  <si>
    <t>0-54</t>
  </si>
  <si>
    <t>videothroughput_bitrate_ratio_seg_4</t>
  </si>
  <si>
    <t>速率码率比_seg_4</t>
  </si>
  <si>
    <t>case when videobitrate&gt;0 and videocachethroughput&gt;0 and videocachethroughput&lt;307200 then videocachethroughput/videobitrate else null end as videothroughput_bitrate_ratio
count(case when videothroughput_bitrate_ratio&gt;=#videothroughput_bitrate_ratio_seg_4_1st# and videothroughput_bitrate_ratio&lt;#videothroughput_bitrate_ratio_seg_4_2nd# then 1 else null end)</t>
  </si>
  <si>
    <t>0-62</t>
  </si>
  <si>
    <t>videothroughput_bitrate_ratio_seg_5</t>
  </si>
  <si>
    <t>速率码率比_seg_5</t>
  </si>
  <si>
    <t>case when videobitrate&gt;0 and videocachethroughput&gt;0 and videocachethroughput&lt;307200 then videocachethroughput/videobitrate else null end as videothroughput_bitrate_ratio
count(case when videothroughput_bitrate_ratio&gt;=#videothroughput_bitrate_ratio_seg_5_1st# and videothroughput_bitrate_ratio&lt;#videothroughput_bitrate_ratio_seg_5_2nd# then 1 else null end)</t>
  </si>
  <si>
    <t>0-38251</t>
  </si>
  <si>
    <t>TCPReorderingPacketRatio</t>
  </si>
  <si>
    <t>ultcpreorderingpacket、dltcpreorderingpacket、inputpacket、outputpacket</t>
  </si>
  <si>
    <t>sum(ultcpreorderingpacket+dltcpreorderingpacket)/sum(outputpacket+inputpacket)</t>
  </si>
  <si>
    <t>TCPReorderingPacketRatio_seg_1</t>
  </si>
  <si>
    <t>TCP乱序占比_seg_1</t>
  </si>
  <si>
    <t>count(case when TCPReorderingPacketRatio&gt;=#TCPReorderingPacketRatio_seg_1_1st# and TCPReorderingPacketRatio&lt;#TCPReorderingPacketRatio_seg_1_2nd# then 1 else null end)</t>
  </si>
  <si>
    <t>0-1026263</t>
  </si>
  <si>
    <t>TCPReorderingPacketRatio_seg_2</t>
  </si>
  <si>
    <t>TCP乱序占比_seg_2</t>
  </si>
  <si>
    <t>count(case when TCPReorderingPacketRatio&gt;=#TCPReorderingPacketRatio_seg_2_1st# and TCPReorderingPacketRatio&lt;#TCPReorderingPacketRatio_seg_2_2nd# then 1 else null end)</t>
  </si>
  <si>
    <t>0-29226</t>
  </si>
  <si>
    <t>TCPReorderingPacketRatio_seg_3</t>
  </si>
  <si>
    <t>TCP乱序占比_seg_3</t>
  </si>
  <si>
    <t>count(case when TCPReorderingPacketRatio&gt;=#TCPReorderingPacketRatio_seg_3_1st# and TCPReorderingPacketRatio&lt;#TCPReorderingPacketRatio_seg_3_2nd# then 1 else null end)</t>
  </si>
  <si>
    <t>0-23366</t>
  </si>
  <si>
    <t>TCPReorderingPacketRatio_seg_4</t>
  </si>
  <si>
    <t>TCP乱序占比_seg_4</t>
  </si>
  <si>
    <t>count(case when TCPReorderingPacketRatio&gt;=#TCPReorderingPacketRatio_seg_4_1st# and TCPReorderingPacketRatio&lt;#TCPReorderingPacketRatio_seg_4_2nd# then 1 else null end)</t>
  </si>
  <si>
    <t>0-4971</t>
  </si>
  <si>
    <t>TCPReorderingPacketRatio_seg_5</t>
  </si>
  <si>
    <t>TCP乱序占比_seg_5</t>
  </si>
  <si>
    <t>count(case when TCPReorderingPacketRatio&gt;=#TCPReorderingPacketRatio_seg_5_1st# and TCPReorderingPacketRatio&lt;#TCPReorderingPacketRatio_seg_5_2nd# then 1 else null end)</t>
  </si>
  <si>
    <t>0-972</t>
  </si>
  <si>
    <t>ULTCPReorderingPacketRatio</t>
  </si>
  <si>
    <t>ultcpreorderingpacket、outputpacket</t>
  </si>
  <si>
    <t>ULTCPReorderingPacketRatio_seg_1</t>
  </si>
  <si>
    <t>上行TCP乱序占比_seg_1</t>
  </si>
  <si>
    <t>count(case when ULTCPReorderingPacketRatio&gt;=#ULTCPReorderingPacketRatio_seg_1_1st# and ULTCPReorderingPacketRatio&lt;#ULTCPReorderingPacketRatio_seg_1_2nd# then 1 else null end)</t>
  </si>
  <si>
    <t>0-1130942</t>
  </si>
  <si>
    <t>ULTCPReorderingPacketRatio_seg_2</t>
  </si>
  <si>
    <t>上行TCP乱序占比_seg_2</t>
  </si>
  <si>
    <t>count(case when ULTCPReorderingPacketRatio&gt;=#ULTCPReorderingPacketRatio_seg_2_1st# and ULTCPReorderingPacketRatio&lt;#ULTCPReorderingPacketRatio_seg_2_2nd# then 1 else null end)</t>
  </si>
  <si>
    <t>0-16833</t>
  </si>
  <si>
    <t>ULTCPReorderingPacketRatio_seg_3</t>
  </si>
  <si>
    <t>上行TCP乱序占比_seg_3</t>
  </si>
  <si>
    <t>count(case when ULTCPReorderingPacketRatio&gt;=#ULTCPReorderingPacketRatio_seg_3_1st# and ULTCPReorderingPacketRatio&lt;#ULTCPReorderingPacketRatio_seg_3_2nd# then 1 else null end)</t>
  </si>
  <si>
    <t>0-38526</t>
  </si>
  <si>
    <t>ULTCPReorderingPacketRatio_seg_4</t>
  </si>
  <si>
    <t>上行TCP乱序占比_seg_4</t>
  </si>
  <si>
    <t>count(case when ULTCPReorderingPacketRatio&gt;=#ULTCPReorderingPacketRatio_seg_4_1st# and ULTCPReorderingPacketRatio&lt;#ULTCPReorderingPacketRatio_seg_4_2nd# then 1 else null end)</t>
  </si>
  <si>
    <t>0-17991</t>
  </si>
  <si>
    <t>ULTCPReorderingPacketRatio_seg_5</t>
  </si>
  <si>
    <t>上行TCP乱序占比_seg_5</t>
  </si>
  <si>
    <t>count(case when ULTCPReorderingPacketRatio&gt;=#ULTCPReorderingPacketRatio_seg_5_1st# and ULTCPReorderingPacketRatio&lt;#ULTCPReorderingPacketRatio_seg_5_2nd# then 1 else null end)</t>
  </si>
  <si>
    <t>0-4900</t>
  </si>
  <si>
    <t>DLTCPReorderingPacketRatio</t>
  </si>
  <si>
    <t>dltcpreorderingpacket、inputpacket</t>
  </si>
  <si>
    <t>DLTCPReorderingPacketRatio_seg_1</t>
  </si>
  <si>
    <t>下行TCP乱序占比_seg_1</t>
  </si>
  <si>
    <t>count(case when DLTCPReorderingPacketRatio&gt;=#DLTCPReorderingPacketRatio_seg_1_1st# and DLTCPReorderingPacketRatio&lt;#DLTCPReorderingPacketRatio_seg_1_2nd# then 1 else null end)</t>
  </si>
  <si>
    <t>0-1130939</t>
  </si>
  <si>
    <t>DLTCPReorderingPacketRatio_seg_2</t>
  </si>
  <si>
    <t>下行TCP乱序占比_seg_2</t>
  </si>
  <si>
    <t>count(case when DLTCPReorderingPacketRatio&gt;=#DLTCPReorderingPacketRatio_seg_2_1st# and DLTCPReorderingPacketRatio&lt;#DLTCPReorderingPacketRatio_seg_2_2nd# then 1 else null end)</t>
  </si>
  <si>
    <t>0-26034</t>
  </si>
  <si>
    <t>DLTCPReorderingPacketRatio_seg_3</t>
  </si>
  <si>
    <t>下行TCP乱序占比_seg_3</t>
  </si>
  <si>
    <t>count(case when DLTCPReorderingPacketRatio&gt;=#DLTCPReorderingPacketRatio_seg_3_1st# and DLTCPReorderingPacketRatio&lt;#DLTCPReorderingPacketRatio_seg_3_2nd# then 1 else null end)</t>
  </si>
  <si>
    <t>0-28683</t>
  </si>
  <si>
    <t>DLTCPReorderingPacketRatio_seg_4</t>
  </si>
  <si>
    <t>下行TCP乱序占比_seg_4</t>
  </si>
  <si>
    <t>count(case when DLTCPReorderingPacketRatio&gt;=#DLTCPReorderingPacketRatio_seg_4_1st# and DLTCPReorderingPacketRatio&lt;#DLTCPReorderingPacketRatio_seg_4_2nd# then 1 else null end)</t>
  </si>
  <si>
    <t>0-24618</t>
  </si>
  <si>
    <t>DLTCPReorderingPacketRatio_seg_5</t>
  </si>
  <si>
    <t>下行TCP乱序占比_seg_5</t>
  </si>
  <si>
    <t>count(case when DLTCPReorderingPacketRatio&gt;=#DLTCPReorderingPacketRatio_seg_5_1st# and DLTCPReorderingPacketRatio&lt;#DLTCPReorderingPacketRatio_seg_5_2nd# then 1 else null end)</t>
  </si>
  <si>
    <t>0-38245</t>
  </si>
  <si>
    <t>TCPRetransPacketRatio</t>
  </si>
  <si>
    <t>ultcpretranspacket、dltcpretranspacket、inputpacket、outputpacket</t>
  </si>
  <si>
    <t>sum(ultcpretranspacket+dltcpretranspacket)/sum(outputpacket+inputpacket)</t>
  </si>
  <si>
    <t>TCPRetransPacketRatio_seg_1</t>
  </si>
  <si>
    <t>TCP重传占比_seg_1</t>
  </si>
  <si>
    <t>count(case when TCPRetransPacketRatio&gt;=#TCPRetransPacketRatio_seg_1_1st# and TCPRetransPacketRatio&lt;#TCPRetransPacketRatio_seg_1_2nd# then 1 else null end)</t>
  </si>
  <si>
    <t>0-37707</t>
  </si>
  <si>
    <t>TCPRetransPacketRatio_seg_2</t>
  </si>
  <si>
    <t>TCP重传占比_seg_2</t>
  </si>
  <si>
    <t>count(case when TCPRetransPacketRatio&gt;=#TCPRetransPacketRatio_seg_2_1st# and TCPRetransPacketRatio&lt;#TCPRetransPacketRatio_seg_2_2nd# then 1 else null end)</t>
  </si>
  <si>
    <t>0-758</t>
  </si>
  <si>
    <t>TCPRetransPacketRatio_seg_3</t>
  </si>
  <si>
    <t>TCP重传占比_seg_3</t>
  </si>
  <si>
    <t>count(case when TCPRetransPacketRatio&gt;=#TCPRetransPacketRatio_seg_3_1st# and TCPRetransPacketRatio&lt;#TCPRetransPacketRatio_seg_3_2nd# then 1 else null end)</t>
  </si>
  <si>
    <t>0-1173</t>
  </si>
  <si>
    <t>TCPRetransPacketRatio_seg_4</t>
  </si>
  <si>
    <t>TCP重传占比_seg_4</t>
  </si>
  <si>
    <t>count(case when TCPRetransPacketRatio&gt;=#TCPRetransPacketRatio_seg_4_1st# and TCPRetransPacketRatio&lt;#TCPRetransPacketRatio_seg_4_2nd# then 1 else null end)</t>
  </si>
  <si>
    <t>0-1596</t>
  </si>
  <si>
    <t>TCPRetransPacketRatio_seg_5</t>
  </si>
  <si>
    <t>TCP重传占比_seg_5</t>
  </si>
  <si>
    <t>count(case when TCPRetransPacketRatio&gt;=#TCPRetransPacketRatio_seg_5_1st# and TCPRetransPacketRatio&lt;#TCPRetransPacketRatio_seg_5_2nd# then 1 else null end)</t>
  </si>
  <si>
    <t>0-282</t>
  </si>
  <si>
    <t>ULTCPRetransPacketRatio</t>
  </si>
  <si>
    <t>ultcpretranspacket、outputpacket</t>
  </si>
  <si>
    <t>sum(ultcpretranspacket)/sum(outputpacket)</t>
  </si>
  <si>
    <t>ULTCPRetransPacketRatio_seg_1</t>
  </si>
  <si>
    <t>上行TCP重传占比_seg_1</t>
  </si>
  <si>
    <t>count(case when ULTCPRetransPacketRatio&gt;=#ULTCPRetransPacketRatio_seg_1_1st# and ULTCPRetransPacketRatio&lt;#ULTCPRetransPacketRatio_seg_1_2nd# then 1 else null end)</t>
  </si>
  <si>
    <t>0-1129449</t>
  </si>
  <si>
    <t>ULTCPRetransPacketRatio_seg_2</t>
  </si>
  <si>
    <t>上行TCP重传占比_seg_2</t>
  </si>
  <si>
    <t>count(case when ULTCPRetransPacketRatio&gt;=#ULTCPRetransPacketRatio_seg_2_1st# and ULTCPRetransPacketRatio&lt;#ULTCPRetransPacketRatio_seg_2_2nd# then 1 else null end)</t>
  </si>
  <si>
    <t>0-13522</t>
  </si>
  <si>
    <t>ULTCPRetransPacketRatio_seg_3</t>
  </si>
  <si>
    <t>上行TCP重传占比_seg_3</t>
  </si>
  <si>
    <t>count(case when ULTCPRetransPacketRatio&gt;=#ULTCPRetransPacketRatio_seg_3_1st# and ULTCPRetransPacketRatio&lt;#ULTCPRetransPacketRatio_seg_3_2nd# then 1 else null end)</t>
  </si>
  <si>
    <t>0-49627</t>
  </si>
  <si>
    <t>ULTCPRetransPacketRatio_seg_4</t>
  </si>
  <si>
    <t>上行TCP重传占比_seg_4</t>
  </si>
  <si>
    <t>count(case when ULTCPRetransPacketRatio&gt;=#ULTCPRetransPacketRatio_seg_4_1st# and ULTCPRetransPacketRatio&lt;#ULTCPRetransPacketRatio_seg_4_2nd# then 1 else null end)</t>
  </si>
  <si>
    <t>0-45634</t>
  </si>
  <si>
    <t>ULTCPRetransPacketRatio_seg_5</t>
  </si>
  <si>
    <t>上行TCP重传占比_seg_5</t>
  </si>
  <si>
    <t>count(case when ULTCPRetransPacketRatio&gt;=#ULTCPRetransPacketRatio_seg_5_1st# and ULTCPRetransPacketRatio&lt;#ULTCPRetransPacketRatio_seg_5_2nd# then 1 else null end)</t>
  </si>
  <si>
    <t>0-44623</t>
  </si>
  <si>
    <t>DLTCPRetransPacketRatio</t>
  </si>
  <si>
    <t>dltcpretranspacket、inputpacket</t>
  </si>
  <si>
    <t>sum(dltcpretranspacket)/sum(inputpacket)</t>
  </si>
  <si>
    <t>DLTCPRetransPacketRatio_seg_1</t>
  </si>
  <si>
    <t>下行TCP重传占比_seg_1</t>
  </si>
  <si>
    <t>count(case when DLTCPRetransPacketRatio&gt;=#DLTCPRetransPacketRatio_seg_1_1st# and DLTCPRetransPacketRatio&lt;#DLTCPRetransPacketRatio_seg_1_2nd# then 1 else null end)</t>
  </si>
  <si>
    <t>0-1130138</t>
  </si>
  <si>
    <t>DLTCPRetransPacketRatio_seg_2</t>
  </si>
  <si>
    <t>下行TCP重传占比_seg_2</t>
  </si>
  <si>
    <t>count(case when DLTCPRetransPacketRatio&gt;=#DLTCPRetransPacketRatio_seg_2_1st# and DLTCPRetransPacketRatio&lt;#DLTCPRetransPacketRatio_seg_2_2nd# then 1 else null end)</t>
  </si>
  <si>
    <t>0-13089</t>
  </si>
  <si>
    <t>DLTCPRetransPacketRatio_seg_3</t>
  </si>
  <si>
    <t>下行TCP重传占比_seg_3</t>
  </si>
  <si>
    <t>count(case when DLTCPRetransPacketRatio&gt;=#DLTCPRetransPacketRatio_seg_3_1st# and DLTCPRetransPacketRatio&lt;#DLTCPRetransPacketRatio_seg_3_2nd# then 1 else null end)</t>
  </si>
  <si>
    <t>0-35163</t>
  </si>
  <si>
    <t>DLTCPRetransPacketRatio_seg_4</t>
  </si>
  <si>
    <t>下行TCP重传占比_seg_4</t>
  </si>
  <si>
    <t>count(case when DLTCPRetransPacketRatio&gt;=#DLTCPRetransPacketRatio_seg_4_1st# and DLTCPRetransPacketRatio&lt;#DLTCPRetransPacketRatio_seg_4_2nd# then 1 else null end)</t>
  </si>
  <si>
    <t>0-32632</t>
  </si>
  <si>
    <t>DLTCPRetransPacketRatio_seg_5</t>
  </si>
  <si>
    <t>下行TCP重传占比_seg_5</t>
  </si>
  <si>
    <t>count(case when DLTCPRetransPacketRatio&gt;=#DLTCPRetransPacketRatio_seg_5_1st# and DLTCPRetransPacketRatio&lt;#DLTCPRetransPacketRatio_seg_5_2nd# then 1 else null end)</t>
  </si>
  <si>
    <t>0-19509</t>
  </si>
  <si>
    <t>videothroughput_sum</t>
  </si>
  <si>
    <t>视频下载速率总值</t>
  </si>
  <si>
    <t>sum(case when VideoPlaySuccess=1  then videothroughput end)</t>
  </si>
  <si>
    <t>videothroughput_avg</t>
  </si>
  <si>
    <t>视频平均下载速率</t>
  </si>
  <si>
    <t>sum(case when VideoPlaySuccess=1  then videothroughput end)/sum(VideoPlaySuccess)</t>
  </si>
  <si>
    <t>VideoThroughput_seg_1</t>
  </si>
  <si>
    <t>视频下载速率_根据IP报文统计_seg_1</t>
  </si>
  <si>
    <t xml:space="preserve">COUNT(case WHEN videothroughput &gt;= ${VideoThroughput_seg_1_1} AND videothroughput &lt; ${VideoThroughput_seg_1_2} THEN 1 else null end) </t>
  </si>
  <si>
    <t>VideoThroughput_seg_2</t>
  </si>
  <si>
    <t>视频下载速率_根据IP报文统计_seg_2</t>
  </si>
  <si>
    <t xml:space="preserve">COUNT(case WHEN videothroughput &gt;= ${VideoThroughput_seg_2_1} AND videothroughput &lt; ${VideoThroughput_seg_2_2} THEN 1 else null end) </t>
  </si>
  <si>
    <t>VideoThroughput_seg_3</t>
  </si>
  <si>
    <t>视频下载速率_根据IP报文统计_seg_3</t>
  </si>
  <si>
    <t xml:space="preserve">COUNT(case WHEN videothroughput &gt;= ${VideoThroughput_seg_3_1} AND videothroughput &lt; ${VideoThroughput_seg_3_2} THEN 1 else null end) </t>
  </si>
  <si>
    <t>VideoThroughput_seg_4</t>
  </si>
  <si>
    <t>视频下载速率_根据IP报文统计_seg_4</t>
  </si>
  <si>
    <t xml:space="preserve">COUNT(case WHEN videothroughput &gt;= ${VideoThroughput_seg_4_1} AND videothroughput &lt; ${VideoThroughput_seg_4_2} THEN 1 else null end) </t>
  </si>
  <si>
    <t>VideoThroughput_seg_5</t>
  </si>
  <si>
    <t>视频下载速率_根据IP报文统计_seg_5</t>
  </si>
  <si>
    <t xml:space="preserve">COUNT(case WHEN videothroughput &gt;= ${VideoThroughput_seg_5_1} AND videothroughput &lt; ${VideoThroughput_seg_5_2} THEN 1 else null end) </t>
  </si>
  <si>
    <t>tcp建链响应时延&gt;=100ms次数</t>
  </si>
  <si>
    <t>sum(if(tcpsetupresponsedelay &gt;= 100,1,0) )</t>
  </si>
  <si>
    <t>tcp建链确认时延&gt;=100ms次数</t>
  </si>
  <si>
    <t>sum(if(tcpsetupackdelay &gt;= 100,1,0)    )</t>
  </si>
  <si>
    <t>tcp上行重传率&gt;=10%次数</t>
  </si>
  <si>
    <t>sum(CASE WHEN (ultcp_retranspacket)/(outputpacket) &gt;= 0.1 THEN 1  ELSE 0 END)</t>
  </si>
  <si>
    <t>tcp下行重传率&gt;=10%次数</t>
  </si>
  <si>
    <t>sum(CASE WHEN (dltcp_retranspacket)/(inputpacket) &gt;= 0.1 THEN 1  ELSE 0 END ）</t>
  </si>
  <si>
    <t>tcp上行乱序率&gt;=5%次数</t>
  </si>
  <si>
    <t>sum(CASE WHEN (ultcpreorderingpacket)/(outputpacket) &gt;= 0.05 THEN 1  ELSE 0 END)</t>
  </si>
  <si>
    <t>tcp下行乱序率&gt;=5%次数</t>
  </si>
  <si>
    <t>sum(CASE WHEN (dltcpreorderingpacket)/(inputpacket) &gt;= 0.05 THEN 1  ELSE 0 END)</t>
  </si>
  <si>
    <t>本表</t>
  </si>
  <si>
    <t>前6种类型质差，满足其一则为质差话单</t>
  </si>
  <si>
    <t>sum(CASE WHEN (is_poor_tcpsetupresponsedelay + is_poor_tcpsetupackdelay + is_poor_ultcp_retranspacket + is_poor_dltcp_retranspacket + is_poor_ultcpreorderingpacket+ is_poor_dltcpreorderingpacket) &gt;= 1 THEN 1  ELSE 0 END)</t>
  </si>
  <si>
    <t>用户小区维度MR时刻指标</t>
  </si>
  <si>
    <t>原算法mr只取周期性上报的mr</t>
  </si>
  <si>
    <r>
      <rPr>
        <sz val="11"/>
        <color rgb="FF000000"/>
        <rFont val="等线"/>
        <charset val="134"/>
      </rPr>
      <t>lte_cm_projdata</t>
    </r>
  </si>
  <si>
    <r>
      <rPr>
        <sz val="9"/>
        <color rgb="FF000000"/>
        <rFont val="微软雅黑"/>
        <charset val="134"/>
      </rPr>
      <t>B</t>
    </r>
  </si>
  <si>
    <r>
      <rPr>
        <sz val="9"/>
        <color rgb="FF000000"/>
        <rFont val="微软雅黑"/>
        <charset val="134"/>
      </rPr>
      <t>cellkey关联，得到freq,再根据freq判断频段800M或1.8G2.1G，汇聚分频段的mr点数</t>
    </r>
  </si>
  <si>
    <r>
      <rPr>
        <sz val="9"/>
        <color rgb="FF000000"/>
        <rFont val="微软雅黑"/>
        <charset val="134"/>
      </rPr>
      <t>p_quarter</t>
    </r>
  </si>
  <si>
    <r>
      <rPr>
        <sz val="9"/>
        <color rgb="FF000000"/>
        <rFont val="微软雅黑"/>
        <charset val="134"/>
      </rPr>
      <t>cellkey</t>
    </r>
  </si>
  <si>
    <t>concat(enodebid,'_',cellid)</t>
  </si>
  <si>
    <r>
      <rPr>
        <sz val="9"/>
        <color rgb="FF000000"/>
        <rFont val="微软雅黑"/>
        <charset val="134"/>
      </rPr>
      <t>电话号码</t>
    </r>
  </si>
  <si>
    <r>
      <rPr>
        <sz val="9"/>
        <color rgb="FF000000"/>
        <rFont val="微软雅黑"/>
        <charset val="134"/>
      </rPr>
      <t>totalmrlon</t>
    </r>
  </si>
  <si>
    <r>
      <rPr>
        <sz val="9"/>
        <color rgb="FF000000"/>
        <rFont val="微软雅黑"/>
        <charset val="134"/>
      </rPr>
      <t>mr经度总值</t>
    </r>
  </si>
  <si>
    <t>SUM(mrlon) totalmrlon</t>
  </si>
  <si>
    <r>
      <rPr>
        <sz val="9"/>
        <color rgb="FF000000"/>
        <rFont val="微软雅黑"/>
        <charset val="134"/>
      </rPr>
      <t>totalmrlat</t>
    </r>
  </si>
  <si>
    <r>
      <rPr>
        <sz val="9"/>
        <color rgb="FF000000"/>
        <rFont val="微软雅黑"/>
        <charset val="134"/>
      </rPr>
      <t>mr纬度总值</t>
    </r>
  </si>
  <si>
    <t>SUM(mrlat) totalmrlat</t>
  </si>
  <si>
    <r>
      <rPr>
        <sz val="9"/>
        <color rgb="FF000000"/>
        <rFont val="微软雅黑"/>
        <charset val="134"/>
      </rPr>
      <t>validlonlat_totalmrcount</t>
    </r>
  </si>
  <si>
    <r>
      <rPr>
        <sz val="9"/>
        <color rgb="FF000000"/>
        <rFont val="微软雅黑"/>
        <charset val="134"/>
      </rPr>
      <t>有效mr总数</t>
    </r>
  </si>
  <si>
    <t>count(case when mrlon is not null and mrlat is not null then 1 else null end)</t>
  </si>
  <si>
    <r>
      <rPr>
        <sz val="9"/>
        <color rgb="FF000000"/>
        <rFont val="微软雅黑"/>
        <charset val="134"/>
      </rPr>
      <t>avr_mrlon</t>
    </r>
  </si>
  <si>
    <r>
      <rPr>
        <sz val="9"/>
        <color rgb="FF000000"/>
        <rFont val="微软雅黑"/>
        <charset val="134"/>
      </rPr>
      <t>mr经度平均值</t>
    </r>
  </si>
  <si>
    <t>avg(mrlon)</t>
  </si>
  <si>
    <r>
      <rPr>
        <sz val="9"/>
        <color rgb="FF000000"/>
        <rFont val="微软雅黑"/>
        <charset val="134"/>
      </rPr>
      <t>avr_mrlat</t>
    </r>
  </si>
  <si>
    <r>
      <rPr>
        <sz val="9"/>
        <color rgb="FF000000"/>
        <rFont val="微软雅黑"/>
        <charset val="134"/>
      </rPr>
      <t>mr纬度平均值</t>
    </r>
  </si>
  <si>
    <t>avg(mrlat)</t>
  </si>
  <si>
    <r>
      <rPr>
        <sz val="9"/>
        <color rgb="FF000000"/>
        <rFont val="微软雅黑"/>
        <charset val="134"/>
      </rPr>
      <t>avg_rsrp</t>
    </r>
  </si>
  <si>
    <r>
      <rPr>
        <sz val="9"/>
        <color rgb="FF000000"/>
        <rFont val="微软雅黑"/>
        <charset val="134"/>
      </rPr>
      <t>平均rsrp</t>
    </r>
  </si>
  <si>
    <t>avg(rsrp)</t>
  </si>
  <si>
    <r>
      <rPr>
        <sz val="9"/>
        <color rgb="FF000000"/>
        <rFont val="微软雅黑"/>
        <charset val="134"/>
      </rPr>
      <t>total_rsrp_cnt</t>
    </r>
  </si>
  <si>
    <r>
      <rPr>
        <sz val="9"/>
        <color rgb="FF000000"/>
        <rFont val="微软雅黑"/>
        <charset val="134"/>
      </rPr>
      <t>rsrp总采样点数</t>
    </r>
  </si>
  <si>
    <t xml:space="preserve">SUM(case when rsrp is not null then 1 end) </t>
  </si>
  <si>
    <r>
      <rPr>
        <sz val="9"/>
        <color rgb="FF000000"/>
        <rFont val="微软雅黑"/>
        <charset val="134"/>
      </rPr>
      <t>less110_rsrp_cnt</t>
    </r>
  </si>
  <si>
    <r>
      <rPr>
        <sz val="9"/>
        <color rgb="FF000000"/>
        <rFont val="微软雅黑"/>
        <charset val="134"/>
      </rPr>
      <t>rsrp小于等于-110采样点数</t>
    </r>
  </si>
  <si>
    <t xml:space="preserve">SUM(case when rsrp&lt;=-110 then 1 end) </t>
  </si>
  <si>
    <r>
      <rPr>
        <sz val="9"/>
        <color rgb="FF000000"/>
        <rFont val="微软雅黑"/>
        <charset val="134"/>
      </rPr>
      <t>less105_rsrp_cnt</t>
    </r>
  </si>
  <si>
    <r>
      <rPr>
        <sz val="9"/>
        <color rgb="FF000000"/>
        <rFont val="微软雅黑"/>
        <charset val="134"/>
      </rPr>
      <t>rsrp小于等于-105采样点数</t>
    </r>
  </si>
  <si>
    <t xml:space="preserve">SUM(case when rsrp&lt;=-105 then 1 end) </t>
  </si>
  <si>
    <r>
      <rPr>
        <sz val="9"/>
        <color rgb="FF000000"/>
        <rFont val="微软雅黑"/>
        <charset val="134"/>
      </rPr>
      <t>less110_rsrp_ratio</t>
    </r>
  </si>
  <si>
    <r>
      <rPr>
        <sz val="9"/>
        <color rgb="FF000000"/>
        <rFont val="微软雅黑"/>
        <charset val="134"/>
      </rPr>
      <t>rsrp小于等于-110采样点占比</t>
    </r>
  </si>
  <si>
    <t xml:space="preserve">SUM(case when rsrp&lt;=-110 then 1 end) /SUM(case when rsrp is not null then 1 end) </t>
  </si>
  <si>
    <r>
      <rPr>
        <sz val="9"/>
        <color rgb="FF000000"/>
        <rFont val="微软雅黑"/>
        <charset val="134"/>
      </rPr>
      <t>less105_rsrp_ratio</t>
    </r>
  </si>
  <si>
    <r>
      <rPr>
        <sz val="9"/>
        <color rgb="FF000000"/>
        <rFont val="微软雅黑"/>
        <charset val="134"/>
      </rPr>
      <t>rsrp小于等于-105采样点占比</t>
    </r>
  </si>
  <si>
    <t xml:space="preserve">SUM(case when rsrp&lt;=-105 then 1 end) /SUM(case when rsrp is not null then 1 end) </t>
  </si>
  <si>
    <r>
      <rPr>
        <sz val="9"/>
        <color rgb="FF000000"/>
        <rFont val="微软雅黑"/>
        <charset val="134"/>
      </rPr>
      <t>avg_rsrq</t>
    </r>
  </si>
  <si>
    <r>
      <rPr>
        <sz val="9"/>
        <color rgb="FF000000"/>
        <rFont val="微软雅黑"/>
        <charset val="134"/>
      </rPr>
      <t>平均rsrq</t>
    </r>
  </si>
  <si>
    <t>avg(rsrq)</t>
  </si>
  <si>
    <r>
      <rPr>
        <sz val="9"/>
        <color rgb="FF000000"/>
        <rFont val="微软雅黑"/>
        <charset val="134"/>
      </rPr>
      <t>total_rsrq_cnt</t>
    </r>
  </si>
  <si>
    <r>
      <rPr>
        <sz val="9"/>
        <color rgb="FF000000"/>
        <rFont val="微软雅黑"/>
        <charset val="134"/>
      </rPr>
      <t>rsrq总采样点数</t>
    </r>
  </si>
  <si>
    <t xml:space="preserve">SUM(case when rsrq is not null then 1 end) </t>
  </si>
  <si>
    <r>
      <rPr>
        <sz val="9"/>
        <color rgb="FF000000"/>
        <rFont val="微软雅黑"/>
        <charset val="134"/>
      </rPr>
      <t>less13_rsrq_cnt</t>
    </r>
  </si>
  <si>
    <r>
      <rPr>
        <sz val="9"/>
        <color rgb="FF000000"/>
        <rFont val="微软雅黑"/>
        <charset val="134"/>
      </rPr>
      <t>rsrq小于等于-13采样点数</t>
    </r>
  </si>
  <si>
    <t xml:space="preserve">SUM(case when rsrq&lt;=-13 then 1 end) </t>
  </si>
  <si>
    <r>
      <rPr>
        <sz val="9"/>
        <color rgb="FF000000"/>
        <rFont val="微软雅黑"/>
        <charset val="134"/>
      </rPr>
      <t>less13_rsrq_ratio</t>
    </r>
  </si>
  <si>
    <r>
      <rPr>
        <sz val="9"/>
        <color rgb="FF000000"/>
        <rFont val="微软雅黑"/>
        <charset val="134"/>
      </rPr>
      <t>rsrq小于等于-13采样点占比</t>
    </r>
  </si>
  <si>
    <t xml:space="preserve">SUM(case when rsrq&lt;=-13 then 1 end) /SUM(case when rsrq is not null then 1 end) </t>
  </si>
  <si>
    <r>
      <rPr>
        <sz val="9"/>
        <color rgb="FF000000"/>
        <rFont val="微软雅黑"/>
        <charset val="134"/>
      </rPr>
      <t>avg_ulsinr</t>
    </r>
  </si>
  <si>
    <r>
      <rPr>
        <sz val="9"/>
        <color rgb="FF000000"/>
        <rFont val="微软雅黑"/>
        <charset val="134"/>
      </rPr>
      <t>平均ulsinr</t>
    </r>
  </si>
  <si>
    <r>
      <rPr>
        <sz val="9"/>
        <color rgb="FF000000"/>
        <rFont val="微软雅黑"/>
        <charset val="134"/>
      </rPr>
      <t>total_ulsinr_cnt</t>
    </r>
  </si>
  <si>
    <r>
      <rPr>
        <sz val="9"/>
        <color rgb="FF000000"/>
        <rFont val="微软雅黑"/>
        <charset val="134"/>
      </rPr>
      <t>ulsinr总采样点数</t>
    </r>
  </si>
  <si>
    <r>
      <rPr>
        <sz val="9"/>
        <color rgb="FF000000"/>
        <rFont val="微软雅黑"/>
        <charset val="134"/>
      </rPr>
      <t>less0_ulsinr_cnt</t>
    </r>
  </si>
  <si>
    <r>
      <rPr>
        <sz val="9"/>
        <color rgb="FF000000"/>
        <rFont val="微软雅黑"/>
        <charset val="134"/>
      </rPr>
      <t>ulsinr小于0采样点数</t>
    </r>
  </si>
  <si>
    <r>
      <rPr>
        <sz val="9"/>
        <color rgb="FF000000"/>
        <rFont val="微软雅黑"/>
        <charset val="134"/>
      </rPr>
      <t>less0_ulsinr_ratio</t>
    </r>
  </si>
  <si>
    <r>
      <rPr>
        <sz val="9"/>
        <color rgb="FF000000"/>
        <rFont val="微软雅黑"/>
        <charset val="134"/>
      </rPr>
      <t>ulsinr小于0采样占比</t>
    </r>
  </si>
  <si>
    <r>
      <rPr>
        <sz val="9"/>
        <color rgb="FF000000"/>
        <rFont val="微软雅黑"/>
        <charset val="134"/>
      </rPr>
      <t>avg_phr</t>
    </r>
  </si>
  <si>
    <r>
      <rPr>
        <sz val="9"/>
        <color rgb="FF000000"/>
        <rFont val="微软雅黑"/>
        <charset val="134"/>
      </rPr>
      <t>平均phr</t>
    </r>
  </si>
  <si>
    <r>
      <rPr>
        <sz val="9"/>
        <color rgb="FF000000"/>
        <rFont val="微软雅黑"/>
        <charset val="134"/>
      </rPr>
      <t>total_phr_cnt</t>
    </r>
  </si>
  <si>
    <r>
      <rPr>
        <sz val="9"/>
        <color rgb="FF000000"/>
        <rFont val="微软雅黑"/>
        <charset val="134"/>
      </rPr>
      <t>phr总采样点数</t>
    </r>
  </si>
  <si>
    <r>
      <rPr>
        <sz val="9"/>
        <color rgb="FF000000"/>
        <rFont val="微软雅黑"/>
        <charset val="134"/>
      </rPr>
      <t>less0_phr_cnt</t>
    </r>
  </si>
  <si>
    <r>
      <rPr>
        <sz val="9"/>
        <color rgb="FF000000"/>
        <rFont val="微软雅黑"/>
        <charset val="134"/>
      </rPr>
      <t>phr小于0采样点数</t>
    </r>
  </si>
  <si>
    <r>
      <rPr>
        <sz val="9"/>
        <color rgb="FF000000"/>
        <rFont val="微软雅黑"/>
        <charset val="134"/>
      </rPr>
      <t>less0_phr_ratio</t>
    </r>
  </si>
  <si>
    <r>
      <rPr>
        <sz val="9"/>
        <color rgb="FF000000"/>
        <rFont val="微软雅黑"/>
        <charset val="134"/>
      </rPr>
      <t>phr小于0采样点占比</t>
    </r>
  </si>
  <si>
    <r>
      <rPr>
        <sz val="9"/>
        <color rgb="FF000000"/>
        <rFont val="微软雅黑"/>
        <charset val="134"/>
      </rPr>
      <t>avg_cqi</t>
    </r>
  </si>
  <si>
    <r>
      <rPr>
        <sz val="9"/>
        <color rgb="FF000000"/>
        <rFont val="微软雅黑"/>
        <charset val="134"/>
      </rPr>
      <t>平均cqi</t>
    </r>
  </si>
  <si>
    <r>
      <rPr>
        <sz val="9"/>
        <color rgb="FF000000"/>
        <rFont val="微软雅黑"/>
        <charset val="134"/>
      </rPr>
      <t>total_cqi_cnt</t>
    </r>
  </si>
  <si>
    <r>
      <rPr>
        <sz val="9"/>
        <color rgb="FF000000"/>
        <rFont val="微软雅黑"/>
        <charset val="134"/>
      </rPr>
      <t>cqi总采样点数</t>
    </r>
  </si>
  <si>
    <r>
      <rPr>
        <sz val="9"/>
        <color rgb="FF000000"/>
        <rFont val="微软雅黑"/>
        <charset val="134"/>
      </rPr>
      <t>less7_cqi_cnt</t>
    </r>
  </si>
  <si>
    <r>
      <rPr>
        <sz val="9"/>
        <color rgb="FF000000"/>
        <rFont val="微软雅黑"/>
        <charset val="134"/>
      </rPr>
      <t>cqi小于7采样点数</t>
    </r>
  </si>
  <si>
    <r>
      <rPr>
        <sz val="9"/>
        <color rgb="FF000000"/>
        <rFont val="微软雅黑"/>
        <charset val="134"/>
      </rPr>
      <t>less7_cqi_ratio</t>
    </r>
  </si>
  <si>
    <r>
      <rPr>
        <sz val="9"/>
        <color rgb="FF000000"/>
        <rFont val="微软雅黑"/>
        <charset val="134"/>
      </rPr>
      <t>cqi小于7采样点占比</t>
    </r>
  </si>
  <si>
    <r>
      <rPr>
        <sz val="9"/>
        <color rgb="FF000000"/>
        <rFont val="微软雅黑"/>
        <charset val="134"/>
      </rPr>
      <t>rsrpless110_rsrqless13_cnt</t>
    </r>
  </si>
  <si>
    <r>
      <rPr>
        <sz val="9"/>
        <color rgb="FF000000"/>
        <rFont val="微软雅黑"/>
        <charset val="134"/>
      </rPr>
      <t>rsrp小于等于-110&amp;rsrq小于-13采样点数</t>
    </r>
  </si>
  <si>
    <t>sum(case when rsrp&lt;=-110 and rsrq&lt;=-13 then 1 end)</t>
  </si>
  <si>
    <t>rsrpless110_rsrqmorethan13_cnt</t>
  </si>
  <si>
    <r>
      <rPr>
        <sz val="9"/>
        <color rgb="FF000000"/>
        <rFont val="微软雅黑"/>
        <charset val="134"/>
      </rPr>
      <t>rsrp小于等于-110&amp;rsrq大于-13采样点数</t>
    </r>
  </si>
  <si>
    <t>sum(case when rsrp&lt;=-110 and rsrq&gt;-13 then 1 end)</t>
  </si>
  <si>
    <r>
      <rPr>
        <sz val="9"/>
        <color rgb="FF000000"/>
        <rFont val="微软雅黑"/>
        <charset val="134"/>
      </rPr>
      <t>rsrpmorethan110_rsrqless13_cnt</t>
    </r>
  </si>
  <si>
    <r>
      <rPr>
        <sz val="9"/>
        <color rgb="FF000000"/>
        <rFont val="微软雅黑"/>
        <charset val="134"/>
      </rPr>
      <t>rsrp大于-105&amp;rsrq小于-13采样点数</t>
    </r>
  </si>
  <si>
    <t>sum(case when rsrp&gt;-105 and rsrq&lt;=-13 then 1 end)</t>
  </si>
  <si>
    <r>
      <rPr>
        <sz val="9"/>
        <color rgb="FF000000"/>
        <rFont val="微软雅黑"/>
        <charset val="134"/>
      </rPr>
      <t>rsrpmorethan110_rsrqmorethan13_cnt</t>
    </r>
  </si>
  <si>
    <r>
      <rPr>
        <sz val="9"/>
        <color rgb="FF000000"/>
        <rFont val="微软雅黑"/>
        <charset val="134"/>
      </rPr>
      <t>rsrp大于-105&amp;rsrq大于-13采样点数</t>
    </r>
  </si>
  <si>
    <t>sum(case when rsrp&gt;-105 and rsrq&gt;-13 then 1 end)</t>
  </si>
  <si>
    <r>
      <rPr>
        <sz val="9"/>
        <color rgb="FF000000"/>
        <rFont val="微软雅黑"/>
        <charset val="134"/>
      </rPr>
      <t>rsrpless110_rsrqless13_ratio</t>
    </r>
  </si>
  <si>
    <r>
      <rPr>
        <sz val="9"/>
        <color rgb="FF000000"/>
        <rFont val="微软雅黑"/>
        <charset val="134"/>
      </rPr>
      <t>rsrp小于等于-110&amp;rsrq小于-13采样点占比</t>
    </r>
  </si>
  <si>
    <t>sum(case when rsrp&lt;=-110 and rsrq&lt;=-13 then 1 end)/count(case when mrlon is not null and mrlat is not null then 1 else null end)</t>
  </si>
  <si>
    <r>
      <rPr>
        <sz val="9"/>
        <color rgb="FF000000"/>
        <rFont val="微软雅黑"/>
        <charset val="134"/>
      </rPr>
      <t>rsrpless110_rsrqmorethan13_ratio</t>
    </r>
  </si>
  <si>
    <r>
      <rPr>
        <sz val="9"/>
        <color rgb="FF000000"/>
        <rFont val="微软雅黑"/>
        <charset val="134"/>
      </rPr>
      <t>rsrp小于等于-110&amp;rsrq大于-13采样点占比</t>
    </r>
  </si>
  <si>
    <t>sum(case when rsrp&lt;=-110 and rsrq&gt;-13 then 1 end)/count(case when mrlon is not null and mrlat is not null then 1 else null end)</t>
  </si>
  <si>
    <r>
      <rPr>
        <sz val="9"/>
        <color rgb="FF000000"/>
        <rFont val="微软雅黑"/>
        <charset val="134"/>
      </rPr>
      <t>rsrpmorethan110_rsrqless13_ratio</t>
    </r>
  </si>
  <si>
    <r>
      <rPr>
        <sz val="9"/>
        <color rgb="FF000000"/>
        <rFont val="微软雅黑"/>
        <charset val="134"/>
      </rPr>
      <t>rsrp大于-105&amp;rsrq小于-13采样点占比</t>
    </r>
  </si>
  <si>
    <t>sum(case when rsrp&gt;-105 and rsrq&lt;=-13 then 1 end)/count(case when mrlon is not null and mrlat is not null then 1 else null end)</t>
  </si>
  <si>
    <r>
      <rPr>
        <sz val="9"/>
        <color rgb="FF000000"/>
        <rFont val="微软雅黑"/>
        <charset val="134"/>
      </rPr>
      <t>rsrpmorethan110_rsrqmorethan13_ratio</t>
    </r>
  </si>
  <si>
    <r>
      <rPr>
        <sz val="9"/>
        <color rgb="FF000000"/>
        <rFont val="微软雅黑"/>
        <charset val="134"/>
      </rPr>
      <t>rsrp大于-105&amp;rsrq大于-13采样点占比</t>
    </r>
  </si>
  <si>
    <t>sum(case when rsrp&gt;-105 and rsrq&gt;-13 then 1 end)/count(case when mrlon is not null and mrlat is not null then 1 else null end)</t>
  </si>
  <si>
    <r>
      <rPr>
        <sz val="9"/>
        <color rgb="FF000000"/>
        <rFont val="微软雅黑"/>
        <charset val="134"/>
      </rPr>
      <t>weakcover_mrcount</t>
    </r>
  </si>
  <si>
    <r>
      <rPr>
        <sz val="9"/>
        <color rgb="FF000000"/>
        <rFont val="微软雅黑"/>
        <charset val="134"/>
      </rPr>
      <t>弱覆盖采样点总数</t>
    </r>
  </si>
  <si>
    <t>sum(case when rsrp&lt;=-110  then 1 end)</t>
  </si>
  <si>
    <t>从dito取的算法</t>
  </si>
  <si>
    <r>
      <rPr>
        <sz val="9"/>
        <color rgb="FF000000"/>
        <rFont val="微软雅黑"/>
        <charset val="134"/>
      </rPr>
      <t>overlap_mrcount</t>
    </r>
  </si>
  <si>
    <r>
      <rPr>
        <sz val="9"/>
        <color rgb="FF000000"/>
        <rFont val="微软雅黑"/>
        <charset val="134"/>
      </rPr>
      <t>重叠覆盖采样点总数</t>
    </r>
  </si>
  <si>
    <r>
      <rPr>
        <sz val="9"/>
        <color rgb="FF000000"/>
        <rFont val="微软雅黑"/>
        <charset val="134"/>
      </rPr>
      <t>overshoot_mrcount</t>
    </r>
  </si>
  <si>
    <r>
      <rPr>
        <sz val="9"/>
        <color rgb="FF000000"/>
        <rFont val="微软雅黑"/>
        <charset val="134"/>
      </rPr>
      <t>过覆盖采样点总数</t>
    </r>
  </si>
  <si>
    <r>
      <rPr>
        <sz val="9"/>
        <color rgb="FF000000"/>
        <rFont val="微软雅黑"/>
        <charset val="134"/>
      </rPr>
      <t>mod3interfer_mrcount</t>
    </r>
  </si>
  <si>
    <r>
      <rPr>
        <sz val="9"/>
        <color rgb="FF000000"/>
        <rFont val="微软雅黑"/>
        <charset val="134"/>
      </rPr>
      <t>MOD3干扰采样点总数</t>
    </r>
  </si>
  <si>
    <r>
      <rPr>
        <sz val="9"/>
        <color rgb="FF000000"/>
        <rFont val="微软雅黑"/>
        <charset val="134"/>
      </rPr>
      <t>weakcover_ratio</t>
    </r>
  </si>
  <si>
    <r>
      <rPr>
        <sz val="9"/>
        <color rgb="FF000000"/>
        <rFont val="微软雅黑"/>
        <charset val="134"/>
      </rPr>
      <t>弱覆盖采样点占比</t>
    </r>
  </si>
  <si>
    <r>
      <rPr>
        <sz val="9"/>
        <color rgb="FF000000"/>
        <rFont val="微软雅黑"/>
        <charset val="134"/>
      </rPr>
      <t>overlap_ratio</t>
    </r>
  </si>
  <si>
    <r>
      <rPr>
        <sz val="9"/>
        <color rgb="FF000000"/>
        <rFont val="微软雅黑"/>
        <charset val="134"/>
      </rPr>
      <t>重叠覆盖采样点占比</t>
    </r>
  </si>
  <si>
    <r>
      <rPr>
        <sz val="9"/>
        <color rgb="FF000000"/>
        <rFont val="微软雅黑"/>
        <charset val="134"/>
      </rPr>
      <t>overshoot_ratio</t>
    </r>
  </si>
  <si>
    <r>
      <rPr>
        <sz val="9"/>
        <color rgb="FF000000"/>
        <rFont val="微软雅黑"/>
        <charset val="134"/>
      </rPr>
      <t>过覆盖采样点占比</t>
    </r>
  </si>
  <si>
    <r>
      <rPr>
        <sz val="9"/>
        <color rgb="FF000000"/>
        <rFont val="微软雅黑"/>
        <charset val="134"/>
      </rPr>
      <t>mod3interfer_ratio</t>
    </r>
  </si>
  <si>
    <r>
      <rPr>
        <sz val="9"/>
        <color rgb="FF000000"/>
        <rFont val="微软雅黑"/>
        <charset val="134"/>
      </rPr>
      <t>MOD3干扰采样点占比</t>
    </r>
  </si>
  <si>
    <r>
      <rPr>
        <sz val="9"/>
        <color rgb="FF000000"/>
        <rFont val="微软雅黑"/>
        <charset val="134"/>
      </rPr>
      <t>overload_mrcount</t>
    </r>
  </si>
  <si>
    <r>
      <rPr>
        <sz val="9"/>
        <color rgb="FF000000"/>
        <rFont val="微软雅黑"/>
        <charset val="134"/>
      </rPr>
      <t>高负荷MR</t>
    </r>
  </si>
  <si>
    <r>
      <rPr>
        <sz val="9"/>
        <color rgb="FF000000"/>
        <rFont val="微软雅黑"/>
        <charset val="134"/>
      </rPr>
      <t>rssi_mrcount</t>
    </r>
  </si>
  <si>
    <r>
      <rPr>
        <sz val="9"/>
        <color rgb="FF000000"/>
        <rFont val="微软雅黑"/>
        <charset val="134"/>
      </rPr>
      <t>高干扰MR</t>
    </r>
  </si>
  <si>
    <r>
      <rPr>
        <sz val="9"/>
        <color rgb="FF000000"/>
        <rFont val="微软雅黑"/>
        <charset val="134"/>
      </rPr>
      <t>bad_mrcount</t>
    </r>
  </si>
  <si>
    <r>
      <rPr>
        <sz val="9"/>
        <color rgb="FF000000"/>
        <rFont val="微软雅黑"/>
        <charset val="134"/>
      </rPr>
      <t>质差MR点</t>
    </r>
  </si>
  <si>
    <r>
      <rPr>
        <sz val="9"/>
        <color rgb="FF000000"/>
        <rFont val="微软雅黑"/>
        <charset val="134"/>
      </rPr>
      <t>mrnum_800m</t>
    </r>
  </si>
  <si>
    <r>
      <rPr>
        <sz val="9"/>
        <color rgb="FF000000"/>
        <rFont val="微软雅黑"/>
        <charset val="134"/>
      </rPr>
      <t>800Mmr点数量</t>
    </r>
  </si>
  <si>
    <t>AB</t>
  </si>
  <si>
    <t xml:space="preserve">a表cellkey关联b表获取频段，再按频段统计mr点数  </t>
  </si>
  <si>
    <r>
      <rPr>
        <sz val="9"/>
        <color rgb="FF000000"/>
        <rFont val="微软雅黑"/>
        <charset val="134"/>
      </rPr>
      <t>mrnum_18_21g</t>
    </r>
  </si>
  <si>
    <r>
      <rPr>
        <sz val="9"/>
        <color rgb="FF000000"/>
        <rFont val="微软雅黑"/>
        <charset val="134"/>
      </rPr>
      <t>1.8g2.1gmr点数量</t>
    </r>
  </si>
  <si>
    <t>a表cellkey关联b表获取省</t>
  </si>
  <si>
    <t>用户小区维度TAU\ATTACH时刻指标</t>
  </si>
  <si>
    <t>councat(enbid&amp;"_"&amp;cellid)</t>
  </si>
  <si>
    <t>电话号码</t>
  </si>
  <si>
    <t>attach_req</t>
  </si>
  <si>
    <t>attach请求次数</t>
  </si>
  <si>
    <t>sum(case when procedure_type=1 then 1 else 0 end)</t>
  </si>
  <si>
    <t>attach_suc</t>
  </si>
  <si>
    <t>attach成功次数</t>
  </si>
  <si>
    <t>sum(case when procedure_type=1 and procedure_status=0 then 1 else 0 end)</t>
  </si>
  <si>
    <t>tau_req</t>
  </si>
  <si>
    <t>TAU请求次数</t>
  </si>
  <si>
    <t>sum(case when procedure_type=5 then 1 else 0 end)</t>
  </si>
  <si>
    <t>tau_suc</t>
  </si>
  <si>
    <t>TAU成功次数</t>
  </si>
  <si>
    <t>sum(case when procedure_type=5 and procedure_status=0 then 1 else 0 end)</t>
  </si>
  <si>
    <t>attach_suc_rate</t>
  </si>
  <si>
    <t>attach成功率</t>
  </si>
  <si>
    <t>sum(case when procedure_type=1 and procedure_status=0 then 1 else 0 end)/sum(case when procedure_type=1 then 1 else 0 end)</t>
  </si>
  <si>
    <t>tau_suc_rate</t>
  </si>
  <si>
    <t>TAU成功率</t>
  </si>
  <si>
    <t>sum(case when procedure_type=5 and procedure_status=0 then 1 else 0 end)/sum(case when procedure_type=5 then 1 else 0 end)</t>
  </si>
  <si>
    <t>rrcsetuprequestcount</t>
  </si>
  <si>
    <t>long</t>
  </si>
  <si>
    <t>RRC建立请求次数</t>
  </si>
  <si>
    <t>count(case when setuptype=0 and rrcsetupprocess=1 then 1 else null end) as rrcsetuprequestcount,</t>
  </si>
  <si>
    <t>rrcsetupfailcount</t>
  </si>
  <si>
    <t>RRC建立失败次数</t>
  </si>
  <si>
    <t>count(case when setuptype=0 and rrcsetupprocess=1 and rrcsetupresult=1 then 1 else null end) as rrcsetupfailcount,</t>
  </si>
  <si>
    <t>rrcsetupsuccesscount</t>
  </si>
  <si>
    <t>RRC建立成功次数</t>
  </si>
  <si>
    <t>count(case when setuptype=0 and rrcsetupprocess=1 and rrcsetupresult=0 then 1 else null end) as rrcsetupsuccesscount,</t>
  </si>
  <si>
    <t>s1setuprequestcount</t>
  </si>
  <si>
    <t>S1建立请求次数</t>
  </si>
  <si>
    <t>count(case when setuptype=0 and s1setupprocess=1 then 1 else null end) as s1setuprequestcount,</t>
  </si>
  <si>
    <t>s1setupfailcount</t>
  </si>
  <si>
    <t>S1建立失败次数</t>
  </si>
  <si>
    <t>count(case when setuptype=0 and s1setupprocess=1 and s1setupresult=1 then 1 else null end) as s1setupfailcount,</t>
  </si>
  <si>
    <t>s1setupsuccesscount</t>
  </si>
  <si>
    <t>S1建立成功次数</t>
  </si>
  <si>
    <t>count(case when setuptype=0 and s1setupprocess=1 and s1setupresult=0 then 1 else null end) as s1setupsuccesscount,</t>
  </si>
  <si>
    <t>setuprequestcount</t>
  </si>
  <si>
    <t>建立请求次数</t>
  </si>
  <si>
    <t>count(case when setuptype=0 or setuptype=1 then 1 else null end) as setuprequestcount,</t>
  </si>
  <si>
    <t>setupfailcount</t>
  </si>
  <si>
    <t>建立失败次数</t>
  </si>
  <si>
    <t>count(case when (setuptype=0 or setuptype=1) and result!=0 then 1 else null end) as setupfailcount,</t>
  </si>
  <si>
    <t>setupsuccesscount</t>
  </si>
  <si>
    <t>建立成功次数</t>
  </si>
  <si>
    <t>count(case when (setuptype=0 or setuptype=1) and result=0 then 1 else null end) as setupsuccesscount,</t>
  </si>
  <si>
    <t>resetuprequestcount</t>
  </si>
  <si>
    <t>重建立请求次数</t>
  </si>
  <si>
    <t>count(case when setuptype=1 then 1 else null end) as resetuprequestcount,</t>
  </si>
  <si>
    <t>resetupfailcount</t>
  </si>
  <si>
    <t>重建立失败次数</t>
  </si>
  <si>
    <t>count(case when setuptype=1 and result = 1 then 1 else null end) as resetupfailcount,</t>
  </si>
  <si>
    <t>resetupsuccesscount</t>
  </si>
  <si>
    <t>重建立成功次数</t>
  </si>
  <si>
    <t>count(case when setuptype=1 and result = 0 then 1 else null end) as resetupsuccesscount,</t>
  </si>
  <si>
    <t>rrcreleasecount</t>
  </si>
  <si>
    <t>RRC释放次数</t>
  </si>
  <si>
    <t>count(case when result = 0 or result = 1 then 1 else null end) as rrcreleasecount,</t>
  </si>
  <si>
    <t>rrcreleasesuccesscount</t>
  </si>
  <si>
    <t>RRC释放成功次数</t>
  </si>
  <si>
    <t>count(case when result = 0 then 1 else null end) as rrcreleasesuccesscount,</t>
  </si>
  <si>
    <t>rrccalldropcount</t>
  </si>
  <si>
    <t>RRC异常释放次数</t>
  </si>
  <si>
    <t>count(case when result = 1 then 1 else null end) as rrccalldropcount,</t>
  </si>
  <si>
    <t>s1mme_total_cnt</t>
  </si>
  <si>
    <t>s1mme话单总数</t>
  </si>
  <si>
    <t>5G HTTP基础时刻表</t>
  </si>
  <si>
    <t>门限配置</t>
  </si>
  <si>
    <t>根据解析的cellkey,关联工参回填</t>
  </si>
  <si>
    <t>拜访地区县</t>
  </si>
  <si>
    <t>城市名称</t>
  </si>
  <si>
    <t>接口</t>
  </si>
  <si>
    <t>RATType</t>
  </si>
  <si>
    <t>TAI</t>
  </si>
  <si>
    <t>解析出gnbid</t>
  </si>
  <si>
    <t>解析出cellid</t>
  </si>
  <si>
    <t>小区cellkey</t>
  </si>
  <si>
    <t>解析出gnbid、cellid,再用"_"连接</t>
  </si>
  <si>
    <t>imsi_supi</t>
  </si>
  <si>
    <t>MSInternationalPSTN/ISDNNumber(ISDN)</t>
  </si>
  <si>
    <t>永久设备标识</t>
  </si>
  <si>
    <t>NSSAI_SST</t>
  </si>
  <si>
    <t>SliceServiceType(SST)</t>
  </si>
  <si>
    <t>0-255</t>
  </si>
  <si>
    <t>NSSAI_SD</t>
  </si>
  <si>
    <t>SliceDifferentiator（SD）</t>
  </si>
  <si>
    <t>0-16777215</t>
  </si>
  <si>
    <t>网络接入标识</t>
  </si>
  <si>
    <t>5qi</t>
  </si>
  <si>
    <t>5-9</t>
  </si>
  <si>
    <t>UPF的IPv4或IPv6地址</t>
  </si>
  <si>
    <t>gNB的IPv4或IPv6地址</t>
  </si>
  <si>
    <t>0-12</t>
  </si>
  <si>
    <t>perception_type</t>
  </si>
  <si>
    <t>话单类型</t>
  </si>
  <si>
    <t>暂为1，后续通过解析URL获取</t>
  </si>
  <si>
    <t>1-1</t>
  </si>
  <si>
    <t>ServiceType</t>
  </si>
  <si>
    <t>sourceip_type</t>
  </si>
  <si>
    <t>用户访问外部网络时使用的IP类型（IPv4/IPv6）</t>
  </si>
  <si>
    <t>sourceip</t>
  </si>
  <si>
    <t>根据SourceIP回填属于IPV6/IPV4</t>
  </si>
  <si>
    <t>OutputOctets_sum</t>
  </si>
  <si>
    <t>InputOctets_sum</t>
  </si>
  <si>
    <t>outputoctets_above500_highdelay_sum</t>
  </si>
  <si>
    <t>tcpsetupresponsedelay_highdelay：100</t>
  </si>
  <si>
    <t>0-65</t>
  </si>
  <si>
    <t>ul_above500_throughput_low_cnt</t>
  </si>
  <si>
    <t>上行大包低速率条数(&lt;1M)</t>
  </si>
  <si>
    <t>sum(case when outputoctets&gt;=500*1024 and outputoctets/ul_data_transduration*8*1000/1024/1024&lt;#ul_above500_throughput_low#  then 1 else 0 end)</t>
  </si>
  <si>
    <t>ul_above500_throughput_low：1</t>
  </si>
  <si>
    <t>0-444</t>
  </si>
  <si>
    <t>inputoctets_above500_highdelay_sum</t>
  </si>
  <si>
    <t>tcpsetupackdelay_highdelay：100</t>
  </si>
  <si>
    <t>0-725</t>
  </si>
  <si>
    <t>dl_above500_throughput_low_cnt</t>
  </si>
  <si>
    <t>下行大包低速率条数(&lt;1M)</t>
  </si>
  <si>
    <t>sum(case when inputoctets&gt;=500*1024 and inputoctets/dl_datatransduration*8*1000/1024/1024&lt;#dl_above500_throughput_low#  then 1 else 0 end)</t>
  </si>
  <si>
    <t>dl_above500_throughput_low：1</t>
  </si>
  <si>
    <t>0-12427</t>
  </si>
  <si>
    <t>dl_above500_throughput_inferior_cnt</t>
  </si>
  <si>
    <t>下行大包低速率条数(&lt;3M)</t>
  </si>
  <si>
    <t>sum(case when inputoctets&gt;=500*1024 and inputoctets/dl_datatransduration*8*1000/1024/1024&lt;#dl_above500_throughput_inferior#  then 1 else 0 end)</t>
  </si>
  <si>
    <t>dl_above500_throughput_inferior：3</t>
  </si>
  <si>
    <t>0-15120</t>
  </si>
  <si>
    <t>InputPacket_sum</t>
  </si>
  <si>
    <t>OutputPacket_sum</t>
  </si>
  <si>
    <t>ULTCPReorderingPacket_sum</t>
  </si>
  <si>
    <t>DLTCPReorderingPacket_sum</t>
  </si>
  <si>
    <t>ULTCPRetransPacket_sum</t>
  </si>
  <si>
    <t>DLTCPRetransPacket_sum</t>
  </si>
  <si>
    <t>TCPSynNumber_sum</t>
  </si>
  <si>
    <t>TCPConnectSuccNumber_sum</t>
  </si>
  <si>
    <t>sum(tcpconnectstate)</t>
  </si>
  <si>
    <t>ULIPFragPacks_sum</t>
  </si>
  <si>
    <t>DLIPFragPacks_sum</t>
  </si>
  <si>
    <t>UL_Data_TransDuration_sum</t>
  </si>
  <si>
    <t>TCP上行数传时长，单位为毫秒</t>
  </si>
  <si>
    <t>sum(UL_Data_TransDuration)</t>
  </si>
  <si>
    <t>0-4015786923</t>
  </si>
  <si>
    <t>UL_Data_TransDuration_cnt</t>
  </si>
  <si>
    <t>TCP上行数传时长条数</t>
  </si>
  <si>
    <t>sum(case when ul_data_transduration&gt;0 then 1 else 0 end)</t>
  </si>
  <si>
    <t>0-1025552</t>
  </si>
  <si>
    <t>DL_DataTransDuration_sum</t>
  </si>
  <si>
    <t>TCP下行数传时长，单位为毫秒</t>
  </si>
  <si>
    <t>sum(DL_Data_TransDuration)</t>
  </si>
  <si>
    <t>0-3774068320</t>
  </si>
  <si>
    <t>DL_Data_TransDuration_cnt</t>
  </si>
  <si>
    <t>TCP下行数传时长条数</t>
  </si>
  <si>
    <t>sum(case when dl_data_transduration&gt;0 then 1 else 0 end)</t>
  </si>
  <si>
    <t>0-1025927</t>
  </si>
  <si>
    <t>outputoctets_above500_duration_sum</t>
  </si>
  <si>
    <t>大包上行时间持续总时长(&gt;=500KB)</t>
  </si>
  <si>
    <t>sum(case when ul_data_transduration&gt;0 and  OutputOctets&gt;=500*1024 then ul_data_transduration else 0 end)</t>
  </si>
  <si>
    <t>0-106429756</t>
  </si>
  <si>
    <t>sum(case when outputoctets&gt;=500*1024 then outputoctets else 0 end)</t>
  </si>
  <si>
    <t>inputoctets_above500_duration_sum</t>
  </si>
  <si>
    <t>大包下行时间持续总时长(&gt;=500KB)</t>
  </si>
  <si>
    <t>sum(case when dl_data_transduration&gt;0 and  inputoctets&gt;=500*1024 then dl_data_transduration else 0 end)</t>
  </si>
  <si>
    <t>0-529992869</t>
  </si>
  <si>
    <t>UL_Packet_Number_STG1_sum</t>
  </si>
  <si>
    <t>UDP上行包大小个数：包大小&lt;15Byte</t>
  </si>
  <si>
    <t>sum(UL_Packet_Number_STG1)</t>
  </si>
  <si>
    <t>0-167984</t>
  </si>
  <si>
    <t>UL_Packet_Number_STG2_sum</t>
  </si>
  <si>
    <t>UDP上行包大小个数：15Byte&lt;包大小&lt;36Byte</t>
  </si>
  <si>
    <t>sum(UL_Packet_Number_STG2)</t>
  </si>
  <si>
    <t>0-1212949</t>
  </si>
  <si>
    <t>UL_Packet_Number_STG3_sum</t>
  </si>
  <si>
    <t>UDP上行包大小个数：36Byte&lt;=包大小&lt;=56Byte</t>
  </si>
  <si>
    <t>sum(UL_Packet_Number_STG3)</t>
  </si>
  <si>
    <t>0-545797</t>
  </si>
  <si>
    <t>UL_Packet_Number_STG4_sum</t>
  </si>
  <si>
    <t>UDP上行包大小个数：包大小&gt;56Byte</t>
  </si>
  <si>
    <t>sum(UL_Packet_Number_STG4)</t>
  </si>
  <si>
    <t>0-2067446</t>
  </si>
  <si>
    <t>DL_Packet_Number_STG1_sum</t>
  </si>
  <si>
    <t>UDP下行包大小个数：包大小&lt;15Byte</t>
  </si>
  <si>
    <t>sum(DL_Packet_Number_STG1)</t>
  </si>
  <si>
    <t>0-74018</t>
  </si>
  <si>
    <t>DL_Packet_Number_STG2_sum</t>
  </si>
  <si>
    <t>UDP下行包大小个数：15Byte&lt;包大小&lt;36Byte</t>
  </si>
  <si>
    <t>sum(DL_Packet_Number_STG2)</t>
  </si>
  <si>
    <t>0-358987</t>
  </si>
  <si>
    <t>DL_Packet_Number_STG3_sum</t>
  </si>
  <si>
    <t>UDP下行包大小个数：36Byte&lt;=包大小&lt;=56Byte</t>
  </si>
  <si>
    <t>sum(DL_Packet_Number_STG3)</t>
  </si>
  <si>
    <t>0-209110</t>
  </si>
  <si>
    <t>DL_Packet_Number_STG4_sum</t>
  </si>
  <si>
    <t>UDP下行包大小个数：包大小&gt;56Byte</t>
  </si>
  <si>
    <t>sum(DL_Packet_Number_STG4)</t>
  </si>
  <si>
    <t>0-2790831</t>
  </si>
  <si>
    <t>UL_Average_Packet_Size_avg</t>
  </si>
  <si>
    <t>UDP上行平均包大小</t>
  </si>
  <si>
    <t>avg(UL_Average_Packet_Size)</t>
  </si>
  <si>
    <t>0-7944</t>
  </si>
  <si>
    <t>DL_Average_Packet_Size_avg</t>
  </si>
  <si>
    <t>UDP下行平均包大小</t>
  </si>
  <si>
    <t>avg(DL_Average_Packet_Size)</t>
  </si>
  <si>
    <t>0-17006</t>
  </si>
  <si>
    <t>sum(case when dnsquery_time is not null then 1 else 0 end)</t>
  </si>
  <si>
    <t>DNS查询响应次数，无法准确定义</t>
  </si>
  <si>
    <t>sum(case when dnsresponse_time is not null then 1 else 0 end)</t>
  </si>
  <si>
    <t>httpwebreqcount</t>
  </si>
  <si>
    <t>Http请求次数</t>
  </si>
  <si>
    <t>1-1130942</t>
  </si>
  <si>
    <t>httpwebrspcount</t>
  </si>
  <si>
    <t>Http请求成功次数</t>
  </si>
  <si>
    <t>0-1931588</t>
  </si>
  <si>
    <t>httpwebrsprate</t>
  </si>
  <si>
    <t>网页响应成功率(%)</t>
  </si>
  <si>
    <t>throughput</t>
  </si>
  <si>
    <t>下载速率_根据IP报文统计</t>
  </si>
  <si>
    <t>sum(InputOctets*8/1024)/sum(case when  SYNtime&gt;0 and Lastpacktime-SYNtime&gt;0 then (Lastpacktime-SYNtime)/1000 else null end)</t>
  </si>
  <si>
    <t>-111798158-187138148</t>
  </si>
  <si>
    <t>throughput_seg_1</t>
  </si>
  <si>
    <t>下载速率_根据IP报文统计_seg_1，统计下载速率在seg_1中的次数</t>
  </si>
  <si>
    <t>count( case when InputOctets*8/1024&gt;#throughput_seg_1_1st# and InputOctets*8/1024&lt;=#throughput_seg_1_2nd# then 1 else null end)</t>
  </si>
  <si>
    <t>0-1129968</t>
  </si>
  <si>
    <t>throughput_seg_2</t>
  </si>
  <si>
    <t>下载速率_根据IP报文统计_seg_2</t>
  </si>
  <si>
    <t>count( case when InputOctets*8/1024&gt;#throughput_seg_2_1st# and InputOctets*8/1024&lt;=#throughput_seg_2_2nd# then 1 else null end)</t>
  </si>
  <si>
    <t>0-42638</t>
  </si>
  <si>
    <t>throughput_seg_3</t>
  </si>
  <si>
    <t>下载速率_根据IP报文统计_seg_3</t>
  </si>
  <si>
    <t>count( case when InputOctets*8/1024&gt;#throughput_seg_3_1st# and InputOctets*8/1024&lt;=#throughput_seg_3_2nd# then 1 else null end)</t>
  </si>
  <si>
    <t>0-10474</t>
  </si>
  <si>
    <t>throughput_seg_4</t>
  </si>
  <si>
    <t>下载速率_根据IP报文统计_seg_4</t>
  </si>
  <si>
    <t>count( case when InputOctets*8/1024&gt;#throughput_seg_4_1st# and InputOctets*8/1024&lt;=#throughput_seg_4_2nd# then 1 else null end)</t>
  </si>
  <si>
    <t>0-21270</t>
  </si>
  <si>
    <t>throughput_seg_5</t>
  </si>
  <si>
    <t>下载速率_根据IP报文统计_seg_5</t>
  </si>
  <si>
    <t>count( case when InputOctets*8/1024&gt;#throughput_seg_5_1st# and InputOctets*8/1024&lt;=#throughput_seg_5_2nd# then 1 else null end)</t>
  </si>
  <si>
    <t>0-109266</t>
  </si>
  <si>
    <t>TCPSetupResponseDelay_sum</t>
  </si>
  <si>
    <t>TCPSetupResponseDelay_avg</t>
  </si>
  <si>
    <t>TCPSetupResponseDelay_seg_1</t>
  </si>
  <si>
    <t>count(case when tcpsetupresponsedelay&gt;=#TCPSetupResponseDelay_seg_1_1st# and tcpsetupresponsedelay&lt;#TCPSetupResponseDelay_seg_1_2nd# then 1 else null end)</t>
  </si>
  <si>
    <t>TCPSetupResponseDelay_seg_2</t>
  </si>
  <si>
    <t>count(case when tcpsetupresponsedelay&gt;=#TCPSetupResponseDelay_seg_2_1st# and tcpsetupresponsedelay&lt;#TCPSetupResponseDelay_seg_2_2nd# then 1 else null end)</t>
  </si>
  <si>
    <t>TCPSetupResponseDelay_seg_3</t>
  </si>
  <si>
    <t>count(case when tcpsetupresponsedelay&gt;=#TCPSetupResponseDelay_seg_3_1st# and tcpsetupresponsedelay&lt;#TCPSetupResponseDelay_seg_3_2nd# then 1 else null end)</t>
  </si>
  <si>
    <t>TCPSetupResponseDelay_seg_4</t>
  </si>
  <si>
    <t>count(case when tcpsetupresponsedelay&gt;=#TCPSetupResponseDelay_seg_4_1st# and tcpsetupresponsedelay&lt;#TCPSetupResponseDelay_seg_4_2nd# then 1 else null end)</t>
  </si>
  <si>
    <t>TCPSetupResponseDelay_seg_5</t>
  </si>
  <si>
    <t>count(case when tcpsetupresponsedelay&gt;=#TCPSetupResponseDelay_seg_5_1st# and tcpsetupresponsedelay&lt;#TCPSetupResponseDelay_seg_5_2nd# then 1 else null end)</t>
  </si>
  <si>
    <t>TCPSetupACKDelay_sum</t>
  </si>
  <si>
    <t>TCPSetupACKDelay_avg</t>
  </si>
  <si>
    <t>TCPSetupACKDelay_seg_1</t>
  </si>
  <si>
    <t>TCPSetupACKDelay_seg_2</t>
  </si>
  <si>
    <t>TCPSetupACKDelay_seg_3</t>
  </si>
  <si>
    <t>TCPSetupACKDelay_seg_4</t>
  </si>
  <si>
    <t>TCPSetupACKDelay_seg_5</t>
  </si>
  <si>
    <t>TCP建立时延(ms)_sum</t>
  </si>
  <si>
    <t>sum(case when TCPSetupResponseDelay &gt;=0  and TCPSetupACKDelay &gt;=0 then  TCPSetupResponseDelay+TCPSetupACKDelay else null end)</t>
  </si>
  <si>
    <t>avg(case when TCPSetupResponseDelay &gt;=0  and TCPSetupACKDelay &gt;=0 then  TCPSetupResponseDelay+TCPSetupACKDelay else null end)</t>
  </si>
  <si>
    <t>case when TCPSetupResponseDelay &gt;=0  and TCPSetupACKDelay &gt;=0 then  TCPSetupResponseDelay+TCPSetupACKDelay else null end as tcpsetupdelay
count(case when tcpsetupdelay&gt;=#tcpsetupdelay_seg_1_1st# and tcpsetupdelay&lt;#tcpsetupdelay_seg_1_2nd# then 1 else null end)</t>
  </si>
  <si>
    <t>case when TCPSetupResponseDelay &gt;=0  and TCPSetupACKDelay &gt;=0 then  TCPSetupResponseDelay+TCPSetupACKDelay else null end as tcpsetupdelay
count(case when tcpsetupdelay&gt;=#tcpsetupdelay_seg_2_1st# and tcpsetupdelay&lt;#tcpsetupdelay_seg_2_2nd# then 1 else null end)</t>
  </si>
  <si>
    <t>case when TCPSetupResponseDelay &gt;=0  and TCPSetupACKDelay &gt;=0 then  TCPSetupResponseDelay+TCPSetupACKDelay else null end as tcpsetupdelay
count(case when tcpsetupdelay&gt;=#tcpsetupdelay_seg_3_1st# and tcpsetupdelay&lt;#tcpsetupdelay_seg_3_2nd# then 1 else null end)</t>
  </si>
  <si>
    <t>case when TCPSetupResponseDelay &gt;=0  and TCPSetupACKDelay &gt;=0 then  TCPSetupResponseDelay+TCPSetupACKDelay else null end as tcpsetupdelay
count(case when tcpsetupdelay&gt;=#tcpsetupdelay_seg_4_1st# and tcpsetupdelay&lt;#tcpsetupdelay_seg_4_2nd# then 1 else null end)</t>
  </si>
  <si>
    <t>case when TCPSetupResponseDelay &gt;=0  and TCPSetupACKDelay &gt;=0 then  TCPSetupResponseDelay+TCPSetupACKDelay else null end as tcpsetupdelay
count(case when tcpsetupdelay&gt;=#tcpsetupdelay_seg_5_1st# and tcpsetupdelay&lt;#tcpsetupdelay_seg_5_2nd# then 1 else null end)</t>
  </si>
  <si>
    <t>Delay_Setup_FirstTransaction_sum</t>
  </si>
  <si>
    <t>Delay_Setup_FirstTransaction_avg</t>
  </si>
  <si>
    <t>avg(delay_setup_firsttransaction)</t>
  </si>
  <si>
    <t>Delay_Setup_FirstTransaction_seg_1</t>
  </si>
  <si>
    <t>TCP建链成功到第一条事务请求的时延_seg_1</t>
  </si>
  <si>
    <t>count(case when delay_setup_firsttransaction&gt;=#delay_setup_firsttransaction_seg_1_1st# and delay_setup_firsttransaction&lt;#delay_setup_firsttransaction_seg_1_2nd# then 1 else null end)</t>
  </si>
  <si>
    <t>0-995479</t>
  </si>
  <si>
    <t>Delay_Setup_FirstTransaction_seg_2</t>
  </si>
  <si>
    <t>TCP建链成功到第一条事务请求的时延_seg_2</t>
  </si>
  <si>
    <t>count(case when delay_setup_firsttransaction&gt;=#delay_setup_firsttransaction_seg_2_1st# and delay_setup_firsttransaction&lt;#delay_setup_firsttransaction_seg_2_2nd# then 1 else null end)</t>
  </si>
  <si>
    <t>0-12001</t>
  </si>
  <si>
    <t>Delay_Setup_FirstTransaction_seg_3</t>
  </si>
  <si>
    <t>TCP建链成功到第一条事务请求的时延_seg_3</t>
  </si>
  <si>
    <t>count(case when delay_setup_firsttransaction&gt;=#delay_setup_firsttransaction_seg_3_1st# and delay_setup_firsttransaction&lt;#delay_setup_firsttransaction_seg_3_2nd# then 1 else null end)</t>
  </si>
  <si>
    <t>0-7969</t>
  </si>
  <si>
    <t>Delay_Setup_FirstTransaction_seg_4</t>
  </si>
  <si>
    <t>TCP建链成功到第一条事务请求的时延_seg_4</t>
  </si>
  <si>
    <t>count(case when delay_setup_firsttransaction&gt;=#delay_setup_firsttransaction_seg_4_1st# and delay_setup_firsttransaction&lt;#delay_setup_firsttransaction_seg_4_2nd# then 1 else null end)</t>
  </si>
  <si>
    <t>0-10456</t>
  </si>
  <si>
    <t>Delay_Setup_FirstTransaction_seg_5</t>
  </si>
  <si>
    <t>TCP建链成功到第一条事务请求的时延_seg_5</t>
  </si>
  <si>
    <t>count(case when delay_setup_firsttransaction&gt;=#delay_setup_firsttransaction_seg_5_1st# and delay_setup_firsttransaction&lt;#delay_setup_firsttransaction_seg_5_2nd# then 1 else null end)</t>
  </si>
  <si>
    <t>0-37191</t>
  </si>
  <si>
    <t>Delay_FirstTransaction_FirstResPackt_sum</t>
  </si>
  <si>
    <t>Delay_FirstTransaction_FirstResPackt_avg</t>
  </si>
  <si>
    <t>avg(delay_firsttransaction_firstrespackt)</t>
  </si>
  <si>
    <t>Delay_FirstTransaction_FirstResPackt_seg_1</t>
  </si>
  <si>
    <t>第一条事务请求到其第一个响应包时延_seg_1</t>
  </si>
  <si>
    <t>count(case when delay_firsttransaction_firstrespackt&gt;=#delay_firsttransaction_firstrespackt_seg_1_1st# and delay_firsttransaction_firstrespackt&lt;#delay_firsttransaction_firstrespackt_seg_1_2nd# then 1 else null end)</t>
  </si>
  <si>
    <t>0-1025380</t>
  </si>
  <si>
    <t>Delay_FirstTransaction_FirstResPackt_seg_2</t>
  </si>
  <si>
    <t>第一条事务请求到其第一个响应包时延_seg_2</t>
  </si>
  <si>
    <t>count(case when delay_firsttransaction_firstrespackt&gt;=#delay_firsttransaction_firstrespackt_seg_2_1st# and delay_firsttransaction_firstrespackt&lt;#delay_firsttransaction_firstrespackt_seg_2_2nd# then 1 else null end)</t>
  </si>
  <si>
    <t>0-36576</t>
  </si>
  <si>
    <t>Delay_FirstTransaction_FirstResPackt_seg_3</t>
  </si>
  <si>
    <t>第一条事务请求到其第一个响应包时延_seg_3</t>
  </si>
  <si>
    <t>count(case when delay_firsttransaction_firstrespackt&gt;=#delay_firsttransaction_firstrespackt_seg_3_1st# and delay_firsttransaction_firstrespackt&lt;#delay_firsttransaction_firstrespackt_seg_3_2nd# then 1 else null end)</t>
  </si>
  <si>
    <t>0-22475</t>
  </si>
  <si>
    <t>Delay_FirstTransaction_FirstResPackt_seg_4</t>
  </si>
  <si>
    <t>第一条事务请求到其第一个响应包时延_seg_4</t>
  </si>
  <si>
    <t>count(case when delay_firsttransaction_firstrespackt&gt;=#delay_firsttransaction_firstrespackt_seg_4_1st# and delay_firsttransaction_firstrespackt&lt;#delay_firsttransaction_firstrespackt_seg_4_2nd# then 1 else null end)</t>
  </si>
  <si>
    <t>Delay_FirstTransaction_FirstResPackt_seg_5</t>
  </si>
  <si>
    <t>第一条事务请求到其第一个响应包时延_seg_5</t>
  </si>
  <si>
    <t>count(case when delay_firsttransaction_firstrespackt&gt;=#delay_firsttransaction_firstrespackt_seg_5_1st# and delay_firsttransaction_firstrespackt&lt;#delay_firsttransaction_firstrespackt_seg_5_2nd# then 1 else null end)</t>
  </si>
  <si>
    <t>0-16003</t>
  </si>
  <si>
    <t>dnsquerydelay_sum</t>
  </si>
  <si>
    <t>DNS查询时延_sum</t>
  </si>
  <si>
    <t>sum(case when  dnsquery_time&gt;0 and dnsresponse_time&gt;dnsquery_time then  dnsresponse_time-dnsquery_time else null end)</t>
  </si>
  <si>
    <t>1-16820676</t>
  </si>
  <si>
    <t>avg(case when  dnsquery_time&gt;0 and dnsresponse_time&gt;dnsquery_time then  dnsresponse_time-dnsquery_time else null end)</t>
  </si>
  <si>
    <t>dnsquerydelay_seg_1</t>
  </si>
  <si>
    <t>DNS查询时延_seg_1</t>
  </si>
  <si>
    <t>avg(case when  dnsquery_time&gt;0 and dnsresponse_time&gt;dnsquery_time then  dnsresponse_time-dnsquery_time else null end) as dnsquerydelay
count(case when dnsquerydelay&gt;=#dnsquerydelay_seg_1_1st# and dnsquerydelay&lt;#dnsquerydelay_seg_1_2nd# then 1 else null end)</t>
  </si>
  <si>
    <t>0-142810</t>
  </si>
  <si>
    <t>dnsquerydelay_seg_2</t>
  </si>
  <si>
    <t>DNS查询时延_seg_2</t>
  </si>
  <si>
    <t>0-17593</t>
  </si>
  <si>
    <t>dnsquerydelay_seg_3</t>
  </si>
  <si>
    <t>DNS查询时延_seg_3</t>
  </si>
  <si>
    <t>0-2489</t>
  </si>
  <si>
    <t>dnsquerydelay_seg_4</t>
  </si>
  <si>
    <t>DNS查询时延_seg_4</t>
  </si>
  <si>
    <t>0-16755</t>
  </si>
  <si>
    <t>dnsquerydelay_seg_5</t>
  </si>
  <si>
    <t>DNS查询时延_seg_5</t>
  </si>
  <si>
    <t>0-10159</t>
  </si>
  <si>
    <t>delay_SYNtime_DNSResponseTime_sum</t>
  </si>
  <si>
    <t>DNS到TCP建链的时延_sum</t>
  </si>
  <si>
    <t>sum(case when  dnsresponse_time&gt;0 and SYNtime&gt;dnsresponse_time then  SYNtime-dnsresponse_time else null end)</t>
  </si>
  <si>
    <t>1-209146253902</t>
  </si>
  <si>
    <t>delay_SYNtime_DNSResponseTime_avg</t>
  </si>
  <si>
    <t>avg(case when  dnsresponse_time&gt;0 and SYNtime&gt;dnsresponse_time then  SYNtime-dnsresponse_time else null end)</t>
  </si>
  <si>
    <t>delay_SYNtime_DNSResponseTime_seg_1</t>
  </si>
  <si>
    <t>DNS到TCP建链的时延_seg_1</t>
  </si>
  <si>
    <t>case when  dnsresponse_time&gt;0 and SYNtime&gt;dnsresponse_time then  SYNtime-dnsresponse_time else null end as delay_SYNtime_dnsresponse_time
count(case when delay_SYNtime_dnsresponse_time&gt;=#delay_SYNtime_dnsresponse_time_seg_1_1st# and delay_SYNtime_dnsresponse_time&lt;#delay_SYNtime_dnsresponse_time_seg_1_2nd# then 1 else null end)</t>
  </si>
  <si>
    <t>0-78483</t>
  </si>
  <si>
    <t>delay_SYNtime_DNSResponseTime_seg_2</t>
  </si>
  <si>
    <t>DNS到TCP建链的时延_seg_2</t>
  </si>
  <si>
    <t>case when  dnsresponse_time&gt;0 and SYNtime&gt;dnsresponse_time then  SYNtime-dnsresponse_time else null end as delay_SYNtime_dnsresponse_time
count(case when delay_SYNtime_dnsresponse_time&gt;=#delay_SYNtime_dnsresponse_time_seg_2_1st# and delay_SYNtime_dnsresponse_time&lt;#delay_SYNtime_dnsresponse_time_seg_2_2nd# then 1 else null end)</t>
  </si>
  <si>
    <t>0-8353</t>
  </si>
  <si>
    <t>delay_SYNtime_DNSResponseTime_seg_3</t>
  </si>
  <si>
    <t>DNS到TCP建链的时延_seg_3</t>
  </si>
  <si>
    <t>case when  dnsresponse_time&gt;0 and SYNtime&gt;dnsresponse_time then  SYNtime-dnsresponse_time else null end as delay_SYNtime_dnsresponse_time
count(case when delay_SYNtime_dnsresponse_time&gt;=#delay_SYNtime_dnsresponse_time_seg_3_1st# and delay_SYNtime_dnsresponse_time&lt;#delay_SYNtime_dnsresponse_time_seg_3_2nd# then 1 else null end)</t>
  </si>
  <si>
    <t>0-6558</t>
  </si>
  <si>
    <t>delay_SYNtime_DNSResponseTime_seg_4</t>
  </si>
  <si>
    <t>DNS到TCP建链的时延_seg_4</t>
  </si>
  <si>
    <t>case when  dnsresponse_time&gt;0 and SYNtime&gt;dnsresponse_time then  SYNtime-dnsresponse_time else null end as delay_SYNtime_dnsresponse_time
count(case when delay_SYNtime_dnsresponse_time&gt;=#delay_SYNtime_dnsresponse_time_seg_4_1st# and delay_SYNtime_dnsresponse_time&lt;#delay_SYNtime_dnsresponse_time_seg_4_2nd# then 1 else null end)</t>
  </si>
  <si>
    <t>0-2473</t>
  </si>
  <si>
    <t>delay_SYNtime_DNSResponseTime_seg_5</t>
  </si>
  <si>
    <t>DNS到TCP建链的时延_seg_5</t>
  </si>
  <si>
    <t>case when  dnsresponse_time&gt;0 and SYNtime&gt;dnsresponse_time then  SYNtime-dnsresponse_time else null end as delay_SYNtime_dnsresponse_time
count(case when delay_SYNtime_dnsresponse_time&gt;=#delay_SYNtime_dnsresponse_time_seg_5_1st# and delay_SYNtime_dnsresponse_time&lt;#delay_SYNtime_dnsresponse_time_seg_5_2nd# then 1 else null end)</t>
  </si>
  <si>
    <t>0-131008</t>
  </si>
  <si>
    <t>网页响应(首包)时延_sum(ms)</t>
  </si>
  <si>
    <t>sum(case when  SYNtime&gt;0 and first_packet_time&gt;SYNtime then first_packet_time-SYNtime   else null end)</t>
  </si>
  <si>
    <t>1-19150129228681</t>
  </si>
  <si>
    <t>avg(case when  SYNtime&gt;0 and first_packet_time&gt;SYNtime then first_packet_time-SYNtime   else null end)</t>
  </si>
  <si>
    <t>httpwebrspdelay_seg_1</t>
  </si>
  <si>
    <t>网页响应(首包)时延_seg_1</t>
  </si>
  <si>
    <t>case when  SYNtime&gt;0 and first_packet_time&gt;SYNtime then first_packet_time-SYNtime   else null end as httpwebrspdelay
count(case when httpwebrspdelay&gt;=#httpwebrspdelay_seg_1_1st# and httpwebrspdelay&lt;#httpwebrspdelay_seg_1_2nd# then 1 else null end)</t>
  </si>
  <si>
    <t>0-960570</t>
  </si>
  <si>
    <t>httpwebrspdelay_seg_2</t>
  </si>
  <si>
    <t>网页响应(首包)时延_seg_2</t>
  </si>
  <si>
    <t>case when  SYNtime&gt;0 and first_packet_time&gt;SYNtime then first_packet_time-SYNtime   else null end as httpwebrspdelay
count(case when httpwebrspdelay&gt;=#httpwebrspdelay_seg_2_1st# and httpwebrspdelay&lt;#httpwebrspdelay_seg_2_2nd# then 1 else null end)</t>
  </si>
  <si>
    <t>0-475715</t>
  </si>
  <si>
    <t>httpwebrspdelay_seg_3</t>
  </si>
  <si>
    <t>网页响应(首包)时延_seg_3</t>
  </si>
  <si>
    <t>case when  SYNtime&gt;0 and first_packet_time&gt;SYNtime then first_packet_time-SYNtime   else null end as httpwebrspdelay
count(case when httpwebrspdelay&gt;=#httpwebrspdelay_seg_3_1st# and httpwebrspdelay&lt;#httpwebrspdelay_seg_3_2nd# then 1 else null end)</t>
  </si>
  <si>
    <t>0-74394</t>
  </si>
  <si>
    <t>httpwebrspdelay_seg_4</t>
  </si>
  <si>
    <t>网页响应(首包)时延_seg_4</t>
  </si>
  <si>
    <t>case when  SYNtime&gt;0 and first_packet_time&gt;SYNtime then first_packet_time-SYNtime   else null end as httpwebrspdelay
count(case when httpwebrspdelay&gt;=#httpwebrspdelay_seg_4_1st# and httpwebrspdelay&lt;#httpwebrspdelay_seg_4_2nd# then 1 else null end)</t>
  </si>
  <si>
    <t>0-183590</t>
  </si>
  <si>
    <t>httpwebrspdelay_seg_5</t>
  </si>
  <si>
    <t>网页响应(首包)时延_seg_5</t>
  </si>
  <si>
    <t>case when  SYNtime&gt;0 and first_packet_time&gt;SYNtime then first_packet_time-SYNtime   else null end as httpwebrspdelay
count(case when httpwebrspdelay&gt;=#httpwebrspdelay_seg_5_1st# and httpwebrspdelay&lt;#httpwebrspdelay_seg_5_2nd# then 1 else null end)</t>
  </si>
  <si>
    <t>0-131378</t>
  </si>
  <si>
    <t>httpwebdspdelay_sum</t>
  </si>
  <si>
    <t>网页显示(打开)时长_sum(ms)</t>
  </si>
  <si>
    <t>sum(case when SYNtime&gt;0 and Lastpacktime&gt;SYNtime then  Lastpacktime-SYNtime   else null end)</t>
  </si>
  <si>
    <t>1-19150129698147</t>
  </si>
  <si>
    <t>avg(case when SYNtime&gt;0 and Lastpacktime&gt;SYNtime then  Lastpacktime-SYNtime   else null end)</t>
  </si>
  <si>
    <t>httpwebdspdelay_seg_1</t>
  </si>
  <si>
    <t>网页显示(打开)时长_seg_1</t>
  </si>
  <si>
    <t>case when SYNtime&gt;0 and Lastpacktime&gt;SYNtime then  Lastpacktime-SYNtime   else null end as httpwebdspdelay
count(case when httpwebdspdelay&gt;=#httpwebdspdelay_seg_1_1st# and httpwebdspdelay&lt;#httpwebdspdelay_seg_1_2nd# then 1 else null end)</t>
  </si>
  <si>
    <t>0-1079966</t>
  </si>
  <si>
    <t>httpwebdspdelay_seg_2</t>
  </si>
  <si>
    <t>网页显示(打开)时长_seg_2</t>
  </si>
  <si>
    <t>case when SYNtime&gt;0 and Lastpacktime&gt;SYNtime then  Lastpacktime-SYNtime   else null end as httpwebdspdelay
count(case when httpwebdspdelay&gt;=#httpwebdspdelay_seg_2_1st# and httpwebdspdelay&lt;#httpwebdspdelay_seg_2_2nd# then 1 else null end)</t>
  </si>
  <si>
    <t>0-110780</t>
  </si>
  <si>
    <t>httpwebdspdelay_seg_3</t>
  </si>
  <si>
    <t>网页显示(打开)时长_seg_3</t>
  </si>
  <si>
    <t>case when SYNtime&gt;0 and Lastpacktime&gt;SYNtime then  Lastpacktime-SYNtime   else null end as httpwebdspdelay
count(case when httpwebdspdelay&gt;=#httpwebdspdelay_seg_3_1st# and httpwebdspdelay&lt;#httpwebdspdelay_seg_3_2nd# then 1 else null end)</t>
  </si>
  <si>
    <t>0-24223</t>
  </si>
  <si>
    <t>httpwebdspdelay_seg_4</t>
  </si>
  <si>
    <t>网页显示(打开)时长_seg_4</t>
  </si>
  <si>
    <t>case when SYNtime&gt;0 and Lastpacktime&gt;SYNtime then  Lastpacktime-SYNtime   else null end as httpwebdspdelay
count(case when httpwebdspdelay&gt;=#httpwebdspdelay_seg_4_1st# and httpwebdspdelay&lt;#httpwebdspdelay_seg_4_2nd# then 1 else null end)</t>
  </si>
  <si>
    <t>0-18709</t>
  </si>
  <si>
    <t>httpwebdspdelay_seg_5</t>
  </si>
  <si>
    <t>网页显示(打开)时长_seg_5</t>
  </si>
  <si>
    <t>case when SYNtime&gt;0 and Lastpacktime&gt;SYNtime then  Lastpacktime-SYNtime   else null end as httpwebdspdelay
count(case when httpwebdspdelay&gt;=#httpwebdspdelay_seg_5_1st# and httpwebdspdelay&lt;#httpwebdspdelay_seg_5_2nd# then 1 else null end)</t>
  </si>
  <si>
    <t>0-85818</t>
  </si>
  <si>
    <t>httpwebscreencnt_sum</t>
  </si>
  <si>
    <t>网页首屏完成次数_sum</t>
  </si>
  <si>
    <t>sum(case when cast(First_Screen_Fin_Time as bigint)&gt;0 and  cast(SynTime as bigint)&gt;0  then 1 else 0 end)</t>
  </si>
  <si>
    <t>httpwebscreendelay_sum</t>
  </si>
  <si>
    <t>网页首屏时延_sum(ms)</t>
  </si>
  <si>
    <t>sum(case when  SYNtime &gt;0  and first_screen_fin_time&gt;SYNtime then first_screen_fin_time-SYNtime   else null end)</t>
  </si>
  <si>
    <t>1-97132824067</t>
  </si>
  <si>
    <t>avg(case when  SYNtime &gt;0  and first_screen_fin_time&gt;SYNtime then first_screen_fin_time-SYNtime   else null end)</t>
  </si>
  <si>
    <t>httpwebscreendelay_seg_1</t>
  </si>
  <si>
    <t>网页首屏时延_seg_1</t>
  </si>
  <si>
    <t>case when  SYNtime &gt;0  and first_screen_fin_time&gt;SYNtime then first_screen_fin_time-SYNtime   else null end as httpwebscreendelay
count(case when httpwebscreendelay&gt;=#httpwebscreendelay_seg_1_1st# and httpwebscreendelay&lt;#httpwebscreendelay_seg_1_2nd# then 1 else null end)</t>
  </si>
  <si>
    <t>0-988318</t>
  </si>
  <si>
    <t>httpwebscreendelay_seg_2</t>
  </si>
  <si>
    <t>网页首屏时延_seg_2</t>
  </si>
  <si>
    <t>case when  SYNtime &gt;0  and first_screen_fin_time&gt;SYNtime then first_screen_fin_time-SYNtime   else null end as httpwebscreendelay
count(case when httpwebscreendelay&gt;=#httpwebscreendelay_seg_2_1st# and httpwebscreendelay&lt;#httpwebscreendelay_seg_2_2nd# then 1 else null end)</t>
  </si>
  <si>
    <t>0-27806</t>
  </si>
  <si>
    <t>httpwebscreendelay_seg_3</t>
  </si>
  <si>
    <t>网页首屏时延_seg_3</t>
  </si>
  <si>
    <t>case when  SYNtime &gt;0  and first_screen_fin_time&gt;SYNtime then first_screen_fin_time-SYNtime   else null end as httpwebscreendelay
count(case when httpwebscreendelay&gt;=#httpwebscreendelay_seg_3_1st# and httpwebscreendelay&lt;#httpwebscreendelay_seg_3_2nd# then 1 else null end)</t>
  </si>
  <si>
    <t>0-16982</t>
  </si>
  <si>
    <t>httpwebscreendelay_seg_4</t>
  </si>
  <si>
    <t>网页首屏时延_seg_4</t>
  </si>
  <si>
    <t>case when  SYNtime &gt;0  and first_screen_fin_time&gt;SYNtime then first_screen_fin_time-SYNtime   else null end as httpwebscreendelay
count(case when httpwebscreendelay&gt;=#httpwebscreendelay_seg_4_1st# and httpwebscreendelay&lt;#httpwebscreendelay_seg_4_2nd# then 1 else null end)</t>
  </si>
  <si>
    <t>0-107560</t>
  </si>
  <si>
    <t>httpwebscreendelay_seg_5</t>
  </si>
  <si>
    <t>网页首屏时延_seg_5</t>
  </si>
  <si>
    <t>case when  SYNtime &gt;0  and first_screen_fin_time&gt;SYNtime then first_screen_fin_time-SYNtime   else null end as httpwebscreendelay
count(case when httpwebscreendelay&gt;=#httpwebscreendelay_seg_5_1st# and httpwebscreendelay&lt;#httpwebscreendelay_seg_5_2nd# then 1 else null end)</t>
  </si>
  <si>
    <t>0-116976</t>
  </si>
  <si>
    <t>delay_acktime_actiontime_sum</t>
  </si>
  <si>
    <t>TCP建链成功到首个HTTP请求的时延_sum（ms）</t>
  </si>
  <si>
    <t>sum(case when  action_time&gt;0 and action_time&gt;ACKtime then action_time-ACKtime else null end)</t>
  </si>
  <si>
    <t>1-20666920793</t>
  </si>
  <si>
    <t>avg(case when  action_time&gt;0 and action_time&gt;ACKtime then action_time-ACKtime else null end)</t>
  </si>
  <si>
    <t>delay_acktime_actiontime_seg_1</t>
  </si>
  <si>
    <t>TCP建链成功到首个HTTP请求的时延_seg_1</t>
  </si>
  <si>
    <t>case when  action_time&gt;0 and action_time&gt;ACKtime then action_time-ACKtime else null end as delay_acktime_actiontime
count(case when delay_acktime_actiontime&gt;=#delay_acktime_actiontime_seg_1_1st# and delay_acktime_actiontime&lt;#delay_acktime_actiontime_seg_1_2nd# then 1 else null end)</t>
  </si>
  <si>
    <t>0-229630</t>
  </si>
  <si>
    <t>delay_acktime_actiontime_seg_2</t>
  </si>
  <si>
    <t>TCP建链成功到首个HTTP请求的时延_seg_2</t>
  </si>
  <si>
    <t>case when  action_time&gt;0 and action_time&gt;ACKtime then action_time-ACKtime else null end as delay_acktime_actiontime
count(case when delay_acktime_actiontime&gt;=#delay_acktime_actiontime_seg_2_1st# and delay_acktime_actiontime&lt;#delay_acktime_actiontime_seg_2_2nd# then 1 else null end)</t>
  </si>
  <si>
    <t>0-20572</t>
  </si>
  <si>
    <t>delay_acktime_actiontime_seg_3</t>
  </si>
  <si>
    <t>TCP建链成功到首个HTTP请求的时延_seg_3</t>
  </si>
  <si>
    <t>case when  action_time&gt;0 and action_time&gt;ACKtime then action_time-ACKtime else null end as delay_acktime_actiontime
count(case when delay_acktime_actiontime&gt;=#delay_acktime_actiontime_seg_3_1st# and delay_acktime_actiontime&lt;#delay_acktime_actiontime_seg_3_2nd# then 1 else null end)</t>
  </si>
  <si>
    <t>0-10535</t>
  </si>
  <si>
    <t>delay_acktime_actiontime_seg_4</t>
  </si>
  <si>
    <t>TCP建链成功到首个HTTP请求的时延_seg_4</t>
  </si>
  <si>
    <t>case when  action_time&gt;0 and action_time&gt;ACKtime then action_time-ACKtime else null end as delay_acktime_actiontime
count(case when delay_acktime_actiontime&gt;=#delay_acktime_actiontime_seg_4_1st# and delay_acktime_actiontime&lt;#delay_acktime_actiontime_seg_4_2nd# then 1 else null end)</t>
  </si>
  <si>
    <t>0-5966</t>
  </si>
  <si>
    <t>delay_acktime_actiontime_seg_5</t>
  </si>
  <si>
    <t>TCP建链成功到首个HTTP请求的时延_seg_5</t>
  </si>
  <si>
    <t>case when  action_time&gt;0 and action_time&gt;ACKtime then action_time-ACKtime else null end as delay_acktime_actiontime
count(case when delay_acktime_actiontime&gt;=#delay_acktime_actiontime_seg_5_1st# and delay_acktime_actiontime&lt;#delay_acktime_actiontime_seg_5_2nd# then 1 else null end)</t>
  </si>
  <si>
    <t>delay_actiontime_firstpackettime_sum</t>
  </si>
  <si>
    <t>首个HTTP请求到第一个数据响应包的时延_sum（ms）</t>
  </si>
  <si>
    <t>sum(case when  action_time&lt;first_packet_time and first_packet_time&gt;0 then  first_packet_time-action_time else null end)</t>
  </si>
  <si>
    <t>1-65839028</t>
  </si>
  <si>
    <t>avg(case when  action_time&lt;first_packet_time and first_packet_time&gt;0 then  first_packet_time-action_time else null end)</t>
  </si>
  <si>
    <t>delay_actiontime_firstpackettime_seg_1</t>
  </si>
  <si>
    <t>首个HTTP请求到第一个数据响应包的时延_seg_1</t>
  </si>
  <si>
    <t>case when  action_time&lt;first_packet_time and first_packet_time&gt;0 then  first_packet_time-action_time else null end as delay_actiontime_firstpackettime
count(case when delay_actiontime_firstpackettime&gt;=#delay_actiontime_firstpackettime_seg_1_1st# and delay_actiontime_firstpackettime&lt;#delay_actiontime_firstpackettime_seg_1_2nd# then 1 else null end)</t>
  </si>
  <si>
    <t>0-254907</t>
  </si>
  <si>
    <t>delay_actiontime_firstpackettime_seg_2</t>
  </si>
  <si>
    <t>首个HTTP请求到第一个数据响应包的时延_seg_2</t>
  </si>
  <si>
    <t>case when  action_time&lt;first_packet_time and first_packet_time&gt;0 then  first_packet_time-action_time else null end as delay_actiontime_firstpackettime
count(case when delay_actiontime_firstpackettime&gt;=#delay_actiontime_firstpackettime_seg_2_1st# and delay_actiontime_firstpackettime&lt;#delay_actiontime_firstpackettime_seg_2_2nd# then 1 else null end)</t>
  </si>
  <si>
    <t>0-29593</t>
  </si>
  <si>
    <t>delay_actiontime_firstpackettime_seg_3</t>
  </si>
  <si>
    <t>首个HTTP请求到第一个数据响应包的时延_seg_3</t>
  </si>
  <si>
    <t>case when  action_time&lt;first_packet_time and first_packet_time&gt;0 then  first_packet_time-action_time else null end as delay_actiontime_firstpackettime
count(case when delay_actiontime_firstpackettime&gt;=#delay_actiontime_firstpackettime_seg_3_1st# and delay_actiontime_firstpackettime&lt;#delay_actiontime_firstpackettime_seg_3_2nd# then 1 else null end)</t>
  </si>
  <si>
    <t>0-3889</t>
  </si>
  <si>
    <t>delay_actiontime_firstpackettime_seg_4</t>
  </si>
  <si>
    <t>首个HTTP请求到第一个数据响应包的时延_seg_4</t>
  </si>
  <si>
    <t>case when  action_time&lt;first_packet_time and first_packet_time&gt;0 then  first_packet_time-action_time else null end as delay_actiontime_firstpackettime
count(case when delay_actiontime_firstpackettime&gt;=#delay_actiontime_firstpackettime_seg_4_1st# and delay_actiontime_firstpackettime&lt;#delay_actiontime_firstpackettime_seg_4_2nd# then 1 else null end)</t>
  </si>
  <si>
    <t>0-33033</t>
  </si>
  <si>
    <t>delay_actiontime_firstpackettime_seg_5</t>
  </si>
  <si>
    <t>首个HTTP请求到第一个数据响应包的时延_seg_5</t>
  </si>
  <si>
    <t>case when  action_time&lt;first_packet_time and first_packet_time&gt;0 then  first_packet_time-action_time else null end as delay_actiontime_firstpackettime
count(case when delay_actiontime_firstpackettime&gt;=#delay_actiontime_firstpackettime_seg_5_1st# and delay_actiontime_firstpackettime&lt;#delay_actiontime_firstpackettime_seg_5_2nd# then 1 else null end)</t>
  </si>
  <si>
    <t>0-10494</t>
  </si>
  <si>
    <t>delay_actiontime_firstresptime_sum</t>
  </si>
  <si>
    <t>首个HTTP请求到第一个HTTP响应包的时延_sum（ms）</t>
  </si>
  <si>
    <t>sum(case when  action_time&gt;first_resptime and first_resptime&gt;0  then  first_resptime-action_time else null end)</t>
  </si>
  <si>
    <t>-2600823--1</t>
  </si>
  <si>
    <t>avg(case when  action_time&gt;first_resptime and first_resptime&gt;0  then  first_resptime-action_time else null end)</t>
  </si>
  <si>
    <t>delay_actiontime_firstresptime_seg_1</t>
  </si>
  <si>
    <t>首个HTTP请求到第一个HTTP响应包的时延_seg_1</t>
  </si>
  <si>
    <t>case when  action_time&gt;first_resptime and first_resptime&gt;0  then  first_resptime-action_time else null end as delay_actiontime_firstresptime
count(case when delay_actiontime_firstresptime&gt;=#delay_actiontime_firstresptime_seg_1_1st# and delay_actiontime_firstresptime&lt;#delay_actiontime_firstresptime_seg_1_2nd# then 1 else null end)</t>
  </si>
  <si>
    <t>delay_actiontime_firstresptime_seg_2</t>
  </si>
  <si>
    <t>首个HTTP请求到第一个HTTP响应包的时延_seg_2</t>
  </si>
  <si>
    <t>case when  action_time&gt;first_resptime and first_resptime&gt;0  then  first_resptime-action_time else null end as delay_actiontime_firstresptime
count(case when delay_actiontime_firstresptime&gt;=#delay_actiontime_firstresptime_seg_2_1st# and delay_actiontime_firstresptime&lt;#delay_actiontime_firstresptime_seg_2_2nd# then 1 else null end)</t>
  </si>
  <si>
    <t>delay_actiontime_firstresptime_seg_3</t>
  </si>
  <si>
    <t>首个HTTP请求到第一个HTTP响应包的时延_seg_3</t>
  </si>
  <si>
    <t>case when  action_time&gt;first_resptime and first_resptime&gt;0  then  first_resptime-action_time else null end as delay_actiontime_firstresptime
count(case when delay_actiontime_firstresptime&gt;=#delay_actiontime_firstresptime_seg_3_1st# and delay_actiontime_firstresptime&lt;#delay_actiontime_firstresptime_seg_3_2nd# then 1 else null end)</t>
  </si>
  <si>
    <t>delay_actiontime_firstresptime_seg_4</t>
  </si>
  <si>
    <t>首个HTTP请求到第一个HTTP响应包的时延_seg_4</t>
  </si>
  <si>
    <t>case when  action_time&gt;first_resptime and first_resptime&gt;0  then  first_resptime-action_time else null end as delay_actiontime_firstresptime
count(case when delay_actiontime_firstresptime&gt;=#delay_actiontime_firstresptime_seg_4_1st# and delay_actiontime_firstresptime&lt;#delay_actiontime_firstresptime_seg_4_2nd# then 1 else null end)</t>
  </si>
  <si>
    <t>delay_actiontime_firstresptime_seg_5</t>
  </si>
  <si>
    <t>首个HTTP请求到第一个HTTP响应包的时延_seg_5</t>
  </si>
  <si>
    <t>case when  action_time&gt;first_resptime and first_resptime&gt;0  then  first_resptime-action_time else null end as delay_actiontime_firstresptime
count(case when delay_actiontime_firstresptime&gt;=#delay_actiontime_firstresptime_seg_5_1st# and delay_actiontime_firstresptime&lt;#delay_actiontime_firstresptime_seg_5_2nd# then 1 else null end)</t>
  </si>
  <si>
    <t>delay_lastpacktime_dnsortcp_sum</t>
  </si>
  <si>
    <t>首个HTTP请求到最后一个数据包的时延_sum</t>
  </si>
  <si>
    <t>sum(case when SYNtime&gt;0 and lastpacktime&gt;SYNtime then lastpacktime-SYNtime else null end)</t>
  </si>
  <si>
    <t>1-97232387552</t>
  </si>
  <si>
    <t>avg(case when SYNtime&gt;0 and lastpacktime&gt;SYNtime then lastpacktime-SYNtime else null end)</t>
  </si>
  <si>
    <t>delay_lastpacktime_dnsortcp_seg_1</t>
  </si>
  <si>
    <t>首个HTTP请求到最后一个数据包的时延_seg_1</t>
  </si>
  <si>
    <t>case when SYNtime&gt;0 and lastpacktime&gt;SYNtime then lastpacktime-SYNtime else null end as delay_lastpacktime_dnsortcp
count(case when delay_lastpacktime_dnsortcp&gt;=#delay_lastpacktime_dnsortcp_seg_1_1st# and delay_lastpacktime_dnsortcp&lt;#delay_lastpacktime_dnsortcp_seg_1_2nd# then 1 else null end)</t>
  </si>
  <si>
    <t>0-234160</t>
  </si>
  <si>
    <t>delay_lastpacktime_dnsortcp_seg_2</t>
  </si>
  <si>
    <t>首个HTTP请求到最后一个数据包的时延_seg_2</t>
  </si>
  <si>
    <t>case when SYNtime&gt;0 and lastpacktime&gt;SYNtime then lastpacktime-SYNtime else null end as delay_lastpacktime_dnsortcp
count(case when delay_lastpacktime_dnsortcp&gt;=#delay_lastpacktime_dnsortcp_seg_2_1st# and delay_lastpacktime_dnsortcp&lt;#delay_lastpacktime_dnsortcp_seg_2_2nd# then 1 else null end)</t>
  </si>
  <si>
    <t>0-22326</t>
  </si>
  <si>
    <t>delay_lastpacktime_dnsortcp_seg_3</t>
  </si>
  <si>
    <t>首个HTTP请求到最后一个数据包的时延_seg_3</t>
  </si>
  <si>
    <t>case when SYNtime&gt;0 and lastpacktime&gt;SYNtime then lastpacktime-SYNtime else null end as delay_lastpacktime_dnsortcp
count(case when delay_lastpacktime_dnsortcp&gt;=#delay_lastpacktime_dnsortcp_seg_3_1st# and delay_lastpacktime_dnsortcp&lt;#delay_lastpacktime_dnsortcp_seg_3_2nd# then 1 else null end)</t>
  </si>
  <si>
    <t>delay_lastpacktime_dnsortcp_seg_4</t>
  </si>
  <si>
    <t>首个HTTP请求到最后一个数据包的时延_seg_4</t>
  </si>
  <si>
    <t>case when SYNtime&gt;0 and lastpacktime&gt;SYNtime then lastpacktime-SYNtime else null end as delay_lastpacktime_dnsortcp
count(case when delay_lastpacktime_dnsortcp&gt;=#delay_lastpacktime_dnsortcp_seg_4_1st# and delay_lastpacktime_dnsortcp&lt;#delay_lastpacktime_dnsortcp_seg_4_2nd# then 1 else null end)</t>
  </si>
  <si>
    <t>delay_lastpacktime_dnsortcp_seg_5</t>
  </si>
  <si>
    <t>首个HTTP请求到最后一个数据包的时延_seg_5</t>
  </si>
  <si>
    <t>case when SYNtime&gt;0 and lastpacktime&gt;SYNtime then lastpacktime-SYNtime else null end as delay_lastpacktime_dnsortcp
count(case when delay_lastpacktime_dnsortcp&gt;=#delay_lastpacktime_dnsortcp_seg_5_1st# and delay_lastpacktime_dnsortcp&lt;#delay_lastpacktime_dnsortcp_seg_5_2nd# then 1 else null end)</t>
  </si>
  <si>
    <t>delay_firstresptime_lastpacktime_sum</t>
  </si>
  <si>
    <t>第一个HTTP响应包到最后一个数据包时延_sum</t>
  </si>
  <si>
    <t>sum(case when first_resptime&gt;0 and lastpacktime&gt;first_resptime then lastpacktime-first_resptime else null end)</t>
  </si>
  <si>
    <t>1-3189178376</t>
  </si>
  <si>
    <t>avg(case when first_resptime&gt;0 and lastpacktime&gt;first_resptime then lastpacktime-first_resptime else null end)</t>
  </si>
  <si>
    <t>delay_firstresptime_lastpacktime_seg_1</t>
  </si>
  <si>
    <t>第一个HTTP响应包到最后一个数据包时延_seg_1</t>
  </si>
  <si>
    <t>case when first_resptime&gt;0 and lastpacktime&gt;first_resptime then lastpacktime-first_resptime else null end as delay_firstresptime_lastpacktime
count(case when delay_firstresptime_lastpacktime&gt;=#delay_firstresptime_lastpacktime_seg_1_1st# and delay_firstresptime_lastpacktime&lt;#delay_firstresptime_lastpacktime_seg_1_2nd# then 1 else null end)</t>
  </si>
  <si>
    <t>0-67148</t>
  </si>
  <si>
    <t>delay_firstresptime_lastpacktime_seg_2</t>
  </si>
  <si>
    <t>第一个HTTP响应包到最后一个数据包时延_seg_2</t>
  </si>
  <si>
    <t>case when first_resptime&gt;0 and lastpacktime&gt;first_resptime then lastpacktime-first_resptime else null end as delay_firstresptime_lastpacktime
count(case when delay_firstresptime_lastpacktime&gt;=#delay_firstresptime_lastpacktime_seg_2_1st# and delay_firstresptime_lastpacktime&lt;#delay_firstresptime_lastpacktime_seg_2_2nd# then 1 else null end)</t>
  </si>
  <si>
    <t>0-15509</t>
  </si>
  <si>
    <t>delay_firstresptime_lastpacktime_seg_3</t>
  </si>
  <si>
    <t>第一个HTTP响应包到最后一个数据包时延_seg_3</t>
  </si>
  <si>
    <t>case when first_resptime&gt;0 and lastpacktime&gt;first_resptime then lastpacktime-first_resptime else null end as delay_firstresptime_lastpacktime
count(case when delay_firstresptime_lastpacktime&gt;=#delay_firstresptime_lastpacktime_seg_3_1st# and delay_firstresptime_lastpacktime&lt;#delay_firstresptime_lastpacktime_seg_3_2nd# then 1 else null end)</t>
  </si>
  <si>
    <t>0-12194</t>
  </si>
  <si>
    <t>delay_firstresptime_lastpacktime_seg_4</t>
  </si>
  <si>
    <t>第一个HTTP响应包到最后一个数据包时延_seg_4</t>
  </si>
  <si>
    <t>case when first_resptime&gt;0 and lastpacktime&gt;first_resptime then lastpacktime-first_resptime else null end as delay_firstresptime_lastpacktime
count(case when delay_firstresptime_lastpacktime&gt;=#delay_firstresptime_lastpacktime_seg_4_1st# and delay_firstresptime_lastpacktime&lt;#delay_firstresptime_lastpacktime_seg_4_2nd# then 1 else null end)</t>
  </si>
  <si>
    <t>0-10299</t>
  </si>
  <si>
    <t>delay_firstresptime_lastpacktime_seg_5</t>
  </si>
  <si>
    <t>第一个HTTP响应包到最后一个数据包时延_seg_5</t>
  </si>
  <si>
    <t>case when first_resptime&gt;0 and lastpacktime&gt;first_resptime then lastpacktime-first_resptime else null end as delay_firstresptime_lastpacktime
count(case when delay_firstresptime_lastpacktime&gt;=#delay_firstresptime_lastpacktime_seg_5_1st# and delay_firstresptime_lastpacktime&lt;#delay_firstresptime_lastpacktime_seg_5_2nd# then 1 else null end)</t>
  </si>
  <si>
    <t>0-60633</t>
  </si>
  <si>
    <t>delay_firstpackettime_lastpacktime_sum</t>
  </si>
  <si>
    <t>第一个数据响应包到最后一个数据包的时延_sum</t>
  </si>
  <si>
    <t>sum(case when first_packet_time&gt;0 and lastpacktime&gt;first_packet_time then lastpacktime-first_packet_time else null end)</t>
  </si>
  <si>
    <t>1-3189178429</t>
  </si>
  <si>
    <t>avg(case when first_packet_time&gt;0 and lastpacktime&gt;first_packet_time then lastpacktime-first_packet_time else null end)</t>
  </si>
  <si>
    <t>delay_firstpackettime_lastpacktime_seg_1</t>
  </si>
  <si>
    <t>第一个数据响应包到最后一个数据包的时延_seg_1</t>
  </si>
  <si>
    <t>case when first_packet_time&gt;0 and lastpacktime&gt;first_packet_time then lastpacktime-first_packet_time else null end as delay_firstpackettime_lastpacktime
count(case when delay_firstpackettime_lastpacktime&gt;=#delay_firstpackettime_lastpacktime_seg_1_1st# and delay_firstpackettime_lastpacktime&lt;#delay_firstpackettime_lastpacktime_seg_1_2nd# then 1 else null end)</t>
  </si>
  <si>
    <t>0-236959</t>
  </si>
  <si>
    <t>delay_firstpackettime_lastpacktime_seg_2</t>
  </si>
  <si>
    <t>第一个数据响应包到最后一个数据包的时延_seg_2</t>
  </si>
  <si>
    <t>case when first_packet_time&gt;0 and lastpacktime&gt;first_packet_time then lastpacktime-first_packet_time else null end as delay_firstpackettime_lastpacktime
count(case when delay_firstpackettime_lastpacktime&gt;=#delay_firstpackettime_lastpacktime_seg_2_1st# and delay_firstpackettime_lastpacktime&lt;#delay_firstpackettime_lastpacktime_seg_2_2nd# then 1 else null end)</t>
  </si>
  <si>
    <t>0-19089</t>
  </si>
  <si>
    <t>delay_firstpackettime_lastpacktime_seg_3</t>
  </si>
  <si>
    <t>第一个数据响应包到最后一个数据包的时延_seg_3</t>
  </si>
  <si>
    <t>case when first_packet_time&gt;0 and lastpacktime&gt;first_packet_time then lastpacktime-first_packet_time else null end as delay_firstpackettime_lastpacktime
count(case when delay_firstpackettime_lastpacktime&gt;=#delay_firstpackettime_lastpacktime_seg_3_1st# and delay_firstpackettime_lastpacktime&lt;#delay_firstpackettime_lastpacktime_seg_3_2nd# then 1 else null end)</t>
  </si>
  <si>
    <t>0-17484</t>
  </si>
  <si>
    <t>delay_firstpackettime_lastpacktime_seg_4</t>
  </si>
  <si>
    <t>第一个数据响应包到最后一个数据包的时延_seg_4</t>
  </si>
  <si>
    <t>case when first_packet_time&gt;0 and lastpacktime&gt;first_packet_time then lastpacktime-first_packet_time else null end as delay_firstpackettime_lastpacktime
count(case when delay_firstpackettime_lastpacktime&gt;=#delay_firstpackettime_lastpacktime_seg_4_1st# and delay_firstpackettime_lastpacktime&lt;#delay_firstpackettime_lastpacktime_seg_4_2nd# then 1 else null end)</t>
  </si>
  <si>
    <t>0-20218</t>
  </si>
  <si>
    <t>delay_firstpackettime_lastpacktime_seg_5</t>
  </si>
  <si>
    <t>第一个数据响应包到最后一个数据包的时延_seg_5</t>
  </si>
  <si>
    <t>case when first_packet_time&gt;0 and lastpacktime&gt;first_packet_time then lastpacktime-first_packet_time else null end as delay_firstpackettime_lastpacktime
count(case when delay_firstpackettime_lastpacktime&gt;=#delay_firstpackettime_lastpacktime_seg_5_1st# and delay_firstpackettime_lastpacktime&lt;#delay_firstpackettime_lastpacktime_seg_5_2nd# then 1 else null end)</t>
  </si>
  <si>
    <t>0-72233</t>
  </si>
  <si>
    <t>delay_lastpacktime_lastacktime_sum</t>
  </si>
  <si>
    <t>最后一个数据包到最后一个ACK的时延_sum</t>
  </si>
  <si>
    <t>sum(case when lastpacktime&gt;0 and last_acktime&gt;lastpacktime then last_acktime-lastpacktime else null end)</t>
  </si>
  <si>
    <t>1-738995324</t>
  </si>
  <si>
    <t>avg(case when lastpacktime&gt;0 and last_acktime&gt;lastpacktime then last_acktime-lastpacktime else null end)</t>
  </si>
  <si>
    <t>delay_lastpacktime_lastacktime_seg_1</t>
  </si>
  <si>
    <t>最后一个数据包到最后一个ACK的时延_seg_1</t>
  </si>
  <si>
    <t>case when lastpacktime&gt;0 and last_acktime&gt;lastpacktime then last_acktime-lastpacktime else null end as delay_lastpacktime_lastacktime
count(case when delay_lastpacktime_lastacktime&gt;=#delay_lastpacktime_lastacktime_seg_1_1st# and delay_lastpacktime_lastacktime&lt;#delay_lastpacktime_lastacktime_seg_1_2nd# then 1 else null end)</t>
  </si>
  <si>
    <t>0-178354</t>
  </si>
  <si>
    <t>delay_lastpacktime_lastacktime_seg_2</t>
  </si>
  <si>
    <t>最后一个数据包到最后一个ACK的时延_seg_2</t>
  </si>
  <si>
    <t>case when lastpacktime&gt;0 and last_acktime&gt;lastpacktime then last_acktime-lastpacktime else null end as delay_lastpacktime_lastacktime
count(case when delay_lastpacktime_lastacktime&gt;=#delay_lastpacktime_lastacktime_seg_2_1st# and delay_lastpacktime_lastacktime&lt;#delay_lastpacktime_lastacktime_seg_2_2nd# then 1 else null end)</t>
  </si>
  <si>
    <t>0-112275</t>
  </si>
  <si>
    <t>delay_lastpacktime_lastacktime_seg_3</t>
  </si>
  <si>
    <t>最后一个数据包到最后一个ACK的时延_seg_3</t>
  </si>
  <si>
    <t>case when lastpacktime&gt;0 and last_acktime&gt;lastpacktime then last_acktime-lastpacktime else null end as delay_lastpacktime_lastacktime
count(case when delay_lastpacktime_lastacktime&gt;=#delay_lastpacktime_lastacktime_seg_3_1st# and delay_lastpacktime_lastacktime&lt;#delay_lastpacktime_lastacktime_seg_3_2nd# then 1 else null end)</t>
  </si>
  <si>
    <t>0-27017</t>
  </si>
  <si>
    <t>delay_lastpacktime_lastacktime_seg_4</t>
  </si>
  <si>
    <t>最后一个数据包到最后一个ACK的时延_seg_4</t>
  </si>
  <si>
    <t>case when lastpacktime&gt;0 and last_acktime&gt;lastpacktime then last_acktime-lastpacktime else null end as delay_lastpacktime_lastacktime
count(case when delay_lastpacktime_lastacktime&gt;=#delay_lastpacktime_lastacktime_seg_4_1st# and delay_lastpacktime_lastacktime&lt;#delay_lastpacktime_lastacktime_seg_4_2nd# then 1 else null end)</t>
  </si>
  <si>
    <t>0-27007</t>
  </si>
  <si>
    <t>delay_lastpacktime_lastacktime_seg_5</t>
  </si>
  <si>
    <t>最后一个数据包到最后一个ACK的时延_seg_5</t>
  </si>
  <si>
    <t>case when lastpacktime&gt;0 and last_acktime&gt;lastpacktime then last_acktime-lastpacktime else null end as delay_lastpacktime_lastacktime
count(case when delay_lastpacktime_lastacktime&gt;=#delay_lastpacktime_lastacktime_seg_5_1st# and delay_lastpacktime_lastacktime&lt;#delay_lastpacktime_lastacktime_seg_5_2nd# then 1 else null end)</t>
  </si>
  <si>
    <t>0-99742</t>
  </si>
  <si>
    <t>delay_FirstFinAckTime_lastacktime_sum</t>
  </si>
  <si>
    <t>最后一个ACK到首次挥手的时延_sum</t>
  </si>
  <si>
    <t>sum(case when last_acktime&gt;0 and first_fin_ack_time&gt;last_acktime then first_fin_ack_time-last_acktime else null end)</t>
  </si>
  <si>
    <t>1-2090857</t>
  </si>
  <si>
    <t>delay_FirstFinAckTime_lastacktime_avg</t>
  </si>
  <si>
    <t>avg(case when last_acktime&gt;0 and first_fin_ack_time&gt;last_acktime then first_fin_ack_time-last_acktime else null end)</t>
  </si>
  <si>
    <t>delay_FirstFinAckTime_lastacktime_seg_1</t>
  </si>
  <si>
    <t>最后一个ACK到首次挥手的时延_seg_1</t>
  </si>
  <si>
    <t>case when last_acktime&gt;0 and first_fin_ack_time&gt;last_acktime then first_fin_ack_time-last_acktime else null end as delay_FirstFinAckTime_lastacktime
count(case when delay_FirstFinAckTime_lastacktime&gt;=#delay_FirstFinAckTime_lastacktime_seg_1_1st# and delay_FirstFinAckTime_lastacktime&lt;#delay_FirstFinAckTime_lastacktime_seg_1_2nd# then 1 else null end)</t>
  </si>
  <si>
    <t>delay_FirstFinAckTime_lastacktime_seg_2</t>
  </si>
  <si>
    <t>最后一个ACK到首次挥手的时延_seg_2</t>
  </si>
  <si>
    <t>delay_FirstFinAckTime_lastacktime_seg_3</t>
  </si>
  <si>
    <t>最后一个ACK到首次挥手的时延_seg_3</t>
  </si>
  <si>
    <t>0-75</t>
  </si>
  <si>
    <t>delay_FirstFinAckTime_lastacktime_seg_4</t>
  </si>
  <si>
    <t>最后一个ACK到首次挥手的时延_seg_4</t>
  </si>
  <si>
    <t>0-98</t>
  </si>
  <si>
    <t>delay_FirstFinAckTime_lastacktime_seg_5</t>
  </si>
  <si>
    <t>最后一个ACK到首次挥手的时延_seg_5</t>
  </si>
  <si>
    <t>0-3152</t>
  </si>
  <si>
    <t>RESPDELAY_sum</t>
  </si>
  <si>
    <t>响应时延_sum</t>
  </si>
  <si>
    <t>sum(case when HTTPStatus&lt;400 and HTTPStatus&gt;0 then  resp_delay else 0 end)</t>
  </si>
  <si>
    <t>0-176238591</t>
  </si>
  <si>
    <t>RESPDELAY_avg</t>
  </si>
  <si>
    <t>响应时延_avg</t>
  </si>
  <si>
    <t>0-32558329</t>
  </si>
  <si>
    <t>RESPDELAY_seg_1</t>
  </si>
  <si>
    <t>响应时延_seg_1</t>
  </si>
  <si>
    <t>count(case when resp_delay&gt;=#resp_delay_seg_1_1st# and resp_delay&lt;#resp_delay_seg_1_2nd# then 1 else null end)</t>
  </si>
  <si>
    <t>0-700170</t>
  </si>
  <si>
    <t>RESPDELAY_seg_2</t>
  </si>
  <si>
    <t>响应时延_seg_2</t>
  </si>
  <si>
    <t>0-272960</t>
  </si>
  <si>
    <t>RESPDELAY_seg_3</t>
  </si>
  <si>
    <t>响应时延_seg_3</t>
  </si>
  <si>
    <t>0-139831</t>
  </si>
  <si>
    <t>RESPDELAY_seg_4</t>
  </si>
  <si>
    <t>响应时延_seg_4</t>
  </si>
  <si>
    <t>0-65785</t>
  </si>
  <si>
    <t>RESPDELAY_seg_5</t>
  </si>
  <si>
    <t>响应时延_seg_5</t>
  </si>
  <si>
    <t>0-108267</t>
  </si>
  <si>
    <t>count(case when (ultcpreorderingpacket+dltcpreorderingpacket)/(inputpacket+outputpacket)&gt;=#TCPReorderingPacketRatio_seg_1_1st# and (ultcpreorderingpacket+dltcpreorderingpacket)/(inputpacket+outputpacket)&lt;#TCPReorderingPacketRatio_seg_1_2nd# then 1 else null end)</t>
  </si>
  <si>
    <t>count(case when ultcpreorderingpacket/outputpacket&gt;=#ULTCPReorderingPacketRatio_seg_1_1st# and ultcpreorderingpacket/outputpacket&lt;#ULTCPReorderingPacketRatio_seg_1_2nd# then 1 else null end)</t>
  </si>
  <si>
    <t>count(case when dltcpreorderingpacket/inputpacket&gt;=#DLTCPReorderingPacketRatio_seg_1_1st# and dltcpreorderingpacket/inputpacket&lt;#DLTCPReorderingPacketRatio_seg_1_2nd# then 1 else null end)</t>
  </si>
  <si>
    <t>TCP_RetransPacketRatio</t>
  </si>
  <si>
    <t>TCP_RetransPacketRatio_seg_1</t>
  </si>
  <si>
    <t>count(case when (ultcp_retranspacket+dltcp_retranspacket)/(inputpacket+outputpacket)&gt;=#TCP_RetransPacketRatio_seg_1_1st# and (ultcp_retranspacket+dltcp_retranspacket)/(inputpacket+outputpacket)&lt;#TCP_RetransPacketRatio_seg_1_2nd# then 1 else null end)</t>
  </si>
  <si>
    <t>0-1013057</t>
  </si>
  <si>
    <t>TCP_RetransPacketRatio_seg_2</t>
  </si>
  <si>
    <t>0-26648</t>
  </si>
  <si>
    <t>TCP_RetransPacketRatio_seg_3</t>
  </si>
  <si>
    <t>0-35153</t>
  </si>
  <si>
    <t>TCP_RetransPacketRatio_seg_4</t>
  </si>
  <si>
    <t>0-8444</t>
  </si>
  <si>
    <t>TCP_RetransPacketRatio_seg_5</t>
  </si>
  <si>
    <t>0-2826</t>
  </si>
  <si>
    <t>ULTCP_RetransPacketRatio</t>
  </si>
  <si>
    <t>sum(ultcp_retranspacket)/sum(outputpacket)</t>
  </si>
  <si>
    <t>ULTCP_RetransPacketRatio_seg_1</t>
  </si>
  <si>
    <t>count(case when ultcp_retranspacket/outputpacket&gt;=#ULTCP_RetransPacketRatio_seg_1_1st# and ultcp_retranspacket/outputpacket&lt;#ULTCP_RetransPacketRatio_seg_1_2nd# then 1 else null end)</t>
  </si>
  <si>
    <t>0-1012835</t>
  </si>
  <si>
    <t>ULTCP_RetransPacketRatio_seg_2</t>
  </si>
  <si>
    <t>0-11020</t>
  </si>
  <si>
    <t>ULTCP_RetransPacketRatio_seg_3</t>
  </si>
  <si>
    <t>0-35134</t>
  </si>
  <si>
    <t>ULTCP_RetransPacketRatio_seg_4</t>
  </si>
  <si>
    <t>0-21236</t>
  </si>
  <si>
    <t>ULTCP_RetransPacketRatio_seg_5</t>
  </si>
  <si>
    <t>0-2963</t>
  </si>
  <si>
    <t>DLTCP_RetransPacketRatio</t>
  </si>
  <si>
    <t>sum(dltcp_retranspacket)/sum(inputpacket)</t>
  </si>
  <si>
    <t>DLTCP_RetransPacketRatio_seg_1</t>
  </si>
  <si>
    <t>count(case when dltcp_retranspacket/inputpacket&gt;=#DLTCP_RetransPacketRatio_seg_1_1st# and dltcp_retranspacket/inputpacket&lt;#DLTCP_RetransPacketRatio_seg_1_2nd# then 1 else null end)</t>
  </si>
  <si>
    <t>0-1020438</t>
  </si>
  <si>
    <t>DLTCP_RetransPacketRatio_seg_2</t>
  </si>
  <si>
    <t>0-18611</t>
  </si>
  <si>
    <t>DLTCP_RetransPacketRatio_seg_3</t>
  </si>
  <si>
    <t>0-43047</t>
  </si>
  <si>
    <t>DLTCP_RetransPacketRatio_seg_4</t>
  </si>
  <si>
    <t>0-8664</t>
  </si>
  <si>
    <t>DLTCP_RetransPacketRatio_seg_5</t>
  </si>
  <si>
    <t>0-8859</t>
  </si>
  <si>
    <t>http_throughput_under500_duartion</t>
  </si>
  <si>
    <t>小页面显示总时长（内容&lt;500KB）</t>
  </si>
  <si>
    <t>sum(case when  InputOctets&lt;500*1024 and (case when   SYNtime&gt;0 and Lastpacktime-SYNtime&gt;0 then (Lastpacktime-SYNtime)/1000 else null end)&lt;3600  then (case when   SYNtime&gt;0 and Lastpacktime-SYNtime&gt;0 then (Lastpacktime-SYNtime)/1000 else null end)*1000 else 0 end)</t>
  </si>
  <si>
    <t>0-13119209021</t>
  </si>
  <si>
    <t>http_throughput_under500_suc_cnt</t>
  </si>
  <si>
    <t>小页面显示成功次数（内容&lt;500KB）</t>
  </si>
  <si>
    <t>sum(case when  InputOctets&lt;500*1024 and (case when   SYNtime&gt;0 and Lastpacktime-SYNtime&gt;0 then (Lastpacktime-SYNtime)/1000 else null end)&lt;3600 and (case when   SYNtime&gt;0 and Lastpacktime-SYNtime&gt;0 then (Lastpacktime-SYNtime)/1000 else null end)&gt;0  then 1 else 0 end)</t>
  </si>
  <si>
    <t>0-1026322</t>
  </si>
  <si>
    <t>http_throughput_above500_duartion_sum</t>
  </si>
  <si>
    <t>HTTP下载时长（s）（内容&gt;=500KB）</t>
  </si>
  <si>
    <t>sum(case when InputOctets&gt;=500*1024 then  (case when   SYNtime&gt;0 and Lastpacktime-SYNtime&gt;0 then (Lastpacktime-SYNtime)/1000 else null end) else 0 end)</t>
  </si>
  <si>
    <t>0-519467.726999999</t>
  </si>
  <si>
    <t>times_excellentrspdelay</t>
  </si>
  <si>
    <t>首屏时延优秀次数</t>
  </si>
  <si>
    <t>case when SYNtime&gt;0 and Lastpacktime&gt;SYNtime then  Lastpacktime-SYNtime   else null end as httpwebdspdelay
count(case when httpwebdspdelay&gt;=#times_excellentrspdelay_seg_1_1st# and httpwebdspdelay&lt;#times_excellentrspdelay_seg_1_2nd# then 1 else null end)</t>
  </si>
  <si>
    <t>0-994386</t>
  </si>
  <si>
    <t>times_inferiorrspdelay</t>
  </si>
  <si>
    <t>首屏时延质差次数</t>
  </si>
  <si>
    <t>case when SYNtime&gt;0 and Lastpacktime&gt;SYNtime then  Lastpacktime-SYNtime   else null end as httpwebdspdelay
count(case when httpwebdspdelay&gt;=#times_inferiorrspdelay_seg_1_1st# and httpwebdspdelay&lt;#times_inferiorrspdelay_seg_1_2nd# then 1 else null end)</t>
  </si>
  <si>
    <t>0-76834</t>
  </si>
  <si>
    <t>times_wellrspdelay</t>
  </si>
  <si>
    <t>首屏时延良好次数</t>
  </si>
  <si>
    <t>case when SYNtime&gt;0 and Lastpacktime&gt;SYNtime then  Lastpacktime-SYNtime   else null end as httpwebdspdelay
count(case when httpwebdspdelay&gt;=#times_wellrspdelay_seg_1_1st# and httpwebdspdelay&lt;#times_wellrspdelay_seg_1_2nd# then 1 else null end)</t>
  </si>
  <si>
    <t>0-83402</t>
  </si>
  <si>
    <t>times_excellentcmpltdelay</t>
  </si>
  <si>
    <t>打开时延优秀次数</t>
  </si>
  <si>
    <t>case when  SYNtime &gt;0  and first_screen_fin_time&gt;SYNtime then first_screen_fin_time-SYNtime   else null end as httpwebscreendelay
count(case when httpwebscreendelay&gt;=#times_excellentcmpltdelay_seg_1_1st# and httpwebscreendelay&lt;#times_excellentcmpltdelay_seg_1_2nd# then 1 else null end)</t>
  </si>
  <si>
    <t>times_inferiorcmpltdelay</t>
  </si>
  <si>
    <t>打开时延质差次数</t>
  </si>
  <si>
    <t>case when  SYNtime &gt;0  and first_screen_fin_time&gt;SYNtime then first_screen_fin_time-SYNtime   else null end as httpwebscreendelay
count(case when httpwebscreendelay&gt;=#times_inferiorcmpltdelay_seg_1_1st# and httpwebscreendelay&lt;#times_inferiorcmpltdelay_seg_1_2nd# then 1 else null end)</t>
  </si>
  <si>
    <t>0-148320</t>
  </si>
  <si>
    <t>times_wellcmpltdelay</t>
  </si>
  <si>
    <t>打开时延良好次数</t>
  </si>
  <si>
    <t>case when  SYNtime &gt;0  and first_screen_fin_time&gt;SYNtime then first_screen_fin_time-SYNtime   else null end as httpwebscreendelay
count(case when httpwebscreendelay&gt;=#times_wellcmpltdelay_seg_1_1st# and httpwebscreendelay&lt;#times_wellcmpltdelay_seg_1_2nd# then 1 else null end)</t>
  </si>
  <si>
    <t>0-124765</t>
  </si>
  <si>
    <t>times_excellentsentrate</t>
  </si>
  <si>
    <t>消息发送成功次数</t>
  </si>
  <si>
    <t>times_inferiorsentrate</t>
  </si>
  <si>
    <t>消息发送失败次数</t>
  </si>
  <si>
    <t>0-265579</t>
  </si>
  <si>
    <t>times_excellentgamedelay</t>
  </si>
  <si>
    <t>游戏交互时延优秀次数</t>
  </si>
  <si>
    <t>case when TCPSetupResponseDelay &gt;=0  and TCPSetupACKDelay &gt;=0 then  TCPSetupResponseDelay+TCPSetupACKDelay else null end as tcpsetupdelay
count(case when tcpsetupdelay&gt;=#times_excellentgamedelay_seg_1_1st# and tcpsetupdelay&lt;#times_excellentgamedelay_seg_1_2nd# then 1 else null end)</t>
  </si>
  <si>
    <t>0-1127965</t>
  </si>
  <si>
    <t>times_inferiorgamedelay</t>
  </si>
  <si>
    <t>游戏交互时延劣质次数</t>
  </si>
  <si>
    <t>case when TCPSetupResponseDelay &gt;=0  and TCPSetupACKDelay &gt;=0 then  TCPSetupResponseDelay+TCPSetupACKDelay else null end as tcpsetupdelay
count(case when tcpsetupdelay&gt;=#times_inferiorgamedelay_seg_1_1st# and tcpsetupdelay&lt;#times_inferiorgamedelay_seg_1_2nd# then 1 else null end)</t>
  </si>
  <si>
    <t>0-47267</t>
  </si>
  <si>
    <t>times_wellgamedelay</t>
  </si>
  <si>
    <t>游戏交互时延良好次数</t>
  </si>
  <si>
    <t>case when TCPSetupResponseDelay &gt;=0  and TCPSetupACKDelay &gt;=0 then  TCPSetupResponseDelay+TCPSetupACKDelay else null end as tcpsetupdelay
count(case when tcpsetupdelay&gt;=#times_wellgamedelay_seg_1_1st# and tcpsetupdelay&lt;#times_wellgamedelay_seg_1_2nd# then 1 else null end)</t>
  </si>
  <si>
    <t>0-67693</t>
  </si>
  <si>
    <t>business_type</t>
  </si>
  <si>
    <t>业务类型（im、web、game、other）</t>
  </si>
  <si>
    <t>abnormal_cnt</t>
  </si>
  <si>
    <t>质差话单数量</t>
  </si>
  <si>
    <t>sum(case when TCPSetupResponseDelay&gt;= #TCPSetupResponseDelay_seg# or TCPSetupACKDelay&gt;=#TCPSetupACKDelay_seg#  or ultcpreorderingpacket/outputpacket&gt;=#ULTCPReorderingPacketRatio_seg# or dltcpreorderingpacket/inputpacket&gt;=#DLTCPReorderingPacketRatio_seg# or ultcp_retranspacket/outputpacket&gt;=#ULTCP_RetransPacketRatio_seg# or dltcp_retranspacket/inputpacket&gt;=#DLTCP_RetransPacketRatio_seg#  then 1 else 0 end)</t>
  </si>
  <si>
    <t>0-116309</t>
  </si>
  <si>
    <t>httpwebdspcount</t>
  </si>
  <si>
    <t>http请求完成次数</t>
  </si>
  <si>
    <t>regionid</t>
  </si>
  <si>
    <t>x_offset_20</t>
  </si>
  <si>
    <t>x_offset</t>
  </si>
  <si>
    <t>y_offset_20</t>
  </si>
  <si>
    <t>y_offset</t>
  </si>
  <si>
    <t>MainServiceType</t>
  </si>
  <si>
    <t>left(ServiceType,2)</t>
  </si>
  <si>
    <t>selfsevicetype</t>
  </si>
  <si>
    <t>CASE WHEN host = 'jiankangma-1301171536.file.myqcloud.com' or host = 'rio.scdsjzx.cn' THEN 88000100
             WHEN host = 'zfbjkt.scdsjzx.cn' THEN 88000300
             WHEN host = 'servicewechat.com' THEN 88000200
             WHEN host = 'xcweb01.caict.ac.cn' THEN 88000400
             WHEN host = 'xc.caict.ac.cn' THEN 88000500
             WHEN destination_url LIKE '%short.pay.weixin.qq.com%' THEN 99000100
             WHEN host = 'scancode.cdtft.cn' THEN 99000100
             WHEN host = 'cdmetro.cnzhiyuanhui.com' THEN 99000100  ELSE servicetype END</t>
  </si>
  <si>
    <t>与无线关联的MR个数</t>
  </si>
  <si>
    <t>置 0</t>
  </si>
  <si>
    <t>avg_srsrp</t>
  </si>
  <si>
    <t>RSRP均值</t>
  </si>
  <si>
    <t>avg_ssinr</t>
  </si>
  <si>
    <t>SINR均值</t>
  </si>
  <si>
    <t>avg_ulsinr</t>
  </si>
  <si>
    <t>ulsinr均值</t>
  </si>
  <si>
    <t>srsrp_seg_1</t>
  </si>
  <si>
    <t>RSRP_seg_1</t>
  </si>
  <si>
    <t>srsrp_seg_2</t>
  </si>
  <si>
    <t>RSRP_seg_2</t>
  </si>
  <si>
    <t>srsrp_seg_3</t>
  </si>
  <si>
    <t>RSRP_seg_3</t>
  </si>
  <si>
    <t>srsrp_seg_4</t>
  </si>
  <si>
    <t>RSRP_seg_4</t>
  </si>
  <si>
    <t>srsrp_seg_5</t>
  </si>
  <si>
    <t>RSRP_seg_5</t>
  </si>
  <si>
    <t>srsrp_seg_6</t>
  </si>
  <si>
    <t>RSRP_seg_6</t>
  </si>
  <si>
    <t>srsrp_seg_7</t>
  </si>
  <si>
    <t>RSRP_seg_7</t>
  </si>
  <si>
    <t>srsrp_seg_8</t>
  </si>
  <si>
    <t>RSRP_seg_8</t>
  </si>
  <si>
    <t>srsrp_seg_9</t>
  </si>
  <si>
    <t>RSRP_seg_9</t>
  </si>
  <si>
    <t>srsrp_seg_10</t>
  </si>
  <si>
    <t>RSRP_seg_10</t>
  </si>
  <si>
    <t>ssinr_seg_1</t>
  </si>
  <si>
    <t>ssinr_seg_2</t>
  </si>
  <si>
    <t>ssinr_seg_3</t>
  </si>
  <si>
    <t>ssinr_seg_4</t>
  </si>
  <si>
    <t>ssinr_seg_5</t>
  </si>
  <si>
    <t>ssinr_seg_6</t>
  </si>
  <si>
    <t>ssinr_seg_7</t>
  </si>
  <si>
    <t>ssinr_seg_8</t>
  </si>
  <si>
    <t>ssinr_seg_9</t>
  </si>
  <si>
    <t>ssinr_seg_10</t>
  </si>
  <si>
    <t>ul_text_cnt</t>
  </si>
  <si>
    <t>数据流中包含的上行文本消息的个数</t>
  </si>
  <si>
    <t>sum(case when httpaction = 5 then 1 else 0 end)</t>
  </si>
  <si>
    <t>ul_text_succ_cnt</t>
  </si>
  <si>
    <t>数据流中包含的上行文本消息中成功的个数</t>
  </si>
  <si>
    <t>sum(case when  httpaction = 5  and HTTPStatus&gt;0 and HTTPStatus&lt;400 then 1 else 0 end)</t>
  </si>
  <si>
    <t>ul_text_duration</t>
  </si>
  <si>
    <t>数据流中所有上行文本消息时延平均值</t>
  </si>
  <si>
    <t>avg(case when  httpaction = 5 then (case when SYNtime&gt;0 and Lastpacktime&gt;SYNtime then  Lastpacktime-SYNtime   else null end) else null end)</t>
  </si>
  <si>
    <t>dl_text_cnt</t>
  </si>
  <si>
    <t>数据流中包含的下行文本消息的个数</t>
  </si>
  <si>
    <t>sum(case when httpaction =0 then 1 else 0 end)</t>
  </si>
  <si>
    <t>dl_text_succ_cnt</t>
  </si>
  <si>
    <t>数据流中包含的下行文本消息中成功的个数</t>
  </si>
  <si>
    <t>sum(case when  httpaction = 0  and HTTPStatus&gt;0 and HTTPStatus&lt;400  then1 else 0 end)</t>
  </si>
  <si>
    <t>dl_text_duration</t>
  </si>
  <si>
    <t>数据流中所有下行文本消息总时长</t>
  </si>
  <si>
    <t>avg(case when  httpaction = 0 then  (case when SYNtime&gt;0 and Lastpacktime&gt;SYNtime then  Lastpacktime-SYNtime   else null end)  else null end)</t>
  </si>
  <si>
    <t>times_wellsentrate</t>
  </si>
  <si>
    <t>消息发送成功率良好次数</t>
  </si>
  <si>
    <t>COUNT(1)</t>
  </si>
  <si>
    <t>5G HTTPS基础时刻表</t>
  </si>
  <si>
    <t>p_hour                                                                                                                                       AS hour</t>
  </si>
  <si>
    <t>城市</t>
  </si>
  <si>
    <t>nssai_sst</t>
  </si>
  <si>
    <t>网络切片选择辅助信息（切片/服务类型）。若有多个切片，以“,”分隔。</t>
  </si>
  <si>
    <t>nssai_sd</t>
  </si>
  <si>
    <t>网络切片选择辅助信息（切片差分器）。若有多个切片，以“,”分隔。</t>
  </si>
  <si>
    <t>process_num</t>
  </si>
  <si>
    <t>业务发生次数</t>
  </si>
  <si>
    <t>1-41688</t>
  </si>
  <si>
    <t>tcpconnectstate、tcpsynnumber</t>
  </si>
  <si>
    <t>sum(case when tcpconnectstate =0 then tcpsynnumber else 0 end)</t>
  </si>
  <si>
    <t>ul_data_transduration_sum</t>
  </si>
  <si>
    <t>ul_data_transduration</t>
  </si>
  <si>
    <t>sum(ul_data_transduration)</t>
  </si>
  <si>
    <t>dl_data_transduration_sum</t>
  </si>
  <si>
    <t>dl_data_transduration</t>
  </si>
  <si>
    <t>sum(dl_data_transduration)</t>
  </si>
  <si>
    <t>0-180877916</t>
  </si>
  <si>
    <t>ul_packet_number_stg1_sum</t>
  </si>
  <si>
    <t>ul_packet_number_stg1</t>
  </si>
  <si>
    <t>sum(ul_packet_number_stg1)</t>
  </si>
  <si>
    <t>ul_packet_number_stg2_sum</t>
  </si>
  <si>
    <t>ul_packet_number_stg2</t>
  </si>
  <si>
    <t>sum(ul_packet_number_stg2)</t>
  </si>
  <si>
    <t>ul_packet_number_stg3_sum</t>
  </si>
  <si>
    <t>ul_packet_number_stg3</t>
  </si>
  <si>
    <t>sum(ul_packet_number_stg3)</t>
  </si>
  <si>
    <t>ul_packet_number_stg4_sum</t>
  </si>
  <si>
    <t>ul_packet_number_stg4</t>
  </si>
  <si>
    <t>sum(ul_packet_number_stg4)</t>
  </si>
  <si>
    <t>dl_packet_number_stg1_sum</t>
  </si>
  <si>
    <t>dl_packet_number_stg1</t>
  </si>
  <si>
    <t>sum(dl_packet_number_stg1)</t>
  </si>
  <si>
    <t>dl_packet_number_stg2_sum</t>
  </si>
  <si>
    <t>dl_packet_number_stg2</t>
  </si>
  <si>
    <t>sum(dl_packet_number_stg2)</t>
  </si>
  <si>
    <t>dl_packet_number_stg3_sum</t>
  </si>
  <si>
    <t>dl_packet_number_stg3</t>
  </si>
  <si>
    <t>sum(dl_packet_number_stg3)</t>
  </si>
  <si>
    <t>dl_packet_number_stg4_sum</t>
  </si>
  <si>
    <t>dl_packet_number_stg4</t>
  </si>
  <si>
    <t>sum(dl_packet_number_stg4)</t>
  </si>
  <si>
    <t>ul_average_packet_size_avg</t>
  </si>
  <si>
    <t>ul_average_packet_size</t>
  </si>
  <si>
    <t>avg(ul_average_packet_size)</t>
  </si>
  <si>
    <t>dl_average_packet_size_avg</t>
  </si>
  <si>
    <t>dl_average_packet_size</t>
  </si>
  <si>
    <t>avg(dl_average_packet_size)</t>
  </si>
  <si>
    <t>dnsquery_time</t>
  </si>
  <si>
    <t>count(case when dnsquery_time is not null then 1 else null end)</t>
  </si>
  <si>
    <t>dnsresponse_time</t>
  </si>
  <si>
    <t>count(case when dnsresponse_time is not null then 1 else null end)</t>
  </si>
  <si>
    <t>avg(tcpsynnumber)</t>
  </si>
  <si>
    <t>ul_average_interval_avg</t>
  </si>
  <si>
    <t>UDP上行平均包间隔_avg</t>
  </si>
  <si>
    <t>ul_average_interval</t>
  </si>
  <si>
    <t>avg(ul_average_interval)</t>
  </si>
  <si>
    <t>微秒</t>
  </si>
  <si>
    <t>0-208494</t>
  </si>
  <si>
    <t>dl_average_interval_avg</t>
  </si>
  <si>
    <t>UDP下行平均包间隔_avg</t>
  </si>
  <si>
    <t>dl_average_interval</t>
  </si>
  <si>
    <t>avg(dl_average_interval)</t>
  </si>
  <si>
    <t>0-297363</t>
  </si>
  <si>
    <t>ul_average_jitter_avg</t>
  </si>
  <si>
    <t>UDP上行平均包间隔抖动_avg</t>
  </si>
  <si>
    <t>ul_average_jitter</t>
  </si>
  <si>
    <t>avg(ul_average_jitter)</t>
  </si>
  <si>
    <t>0-286549073727</t>
  </si>
  <si>
    <t>dl_average_jitter_avg</t>
  </si>
  <si>
    <t>UDP下行平均包间隔抖动_avg</t>
  </si>
  <si>
    <t>dl_average_jitter</t>
  </si>
  <si>
    <t>avg(dl_average_jitter)</t>
  </si>
  <si>
    <t>0-251594516180</t>
  </si>
  <si>
    <t>dnsquerydelay</t>
  </si>
  <si>
    <t>delay_syntime_dnsresponsetime</t>
  </si>
  <si>
    <t>avg(delay_syntime_dnsresponsetime)</t>
  </si>
  <si>
    <t>httpwebrspdelay</t>
  </si>
  <si>
    <t>httpwebdspdelay</t>
  </si>
  <si>
    <t>httpwebscreendelay</t>
  </si>
  <si>
    <t>delay_acktime_actiontime</t>
  </si>
  <si>
    <t>delay_actiontime_firstresptime</t>
  </si>
  <si>
    <t>delay_lastpacktime_dnsortcp</t>
  </si>
  <si>
    <t>delay_firstresptime_lastpacktime</t>
  </si>
  <si>
    <t>delay_lastpacktime_lastacktime</t>
  </si>
  <si>
    <t>delay_firstfinacktime_lastacktime</t>
  </si>
  <si>
    <t>respdelay_avg</t>
  </si>
  <si>
    <t>ultcpreorderingpacket、dltcpreorderingpacket、outputpacket、inputpacket</t>
  </si>
  <si>
    <t>ultcp_retranspacket、dltcp_retranspacket、outputpacket、inputpacket</t>
  </si>
  <si>
    <t>sum(ultcp_retranspacket+dltcp_retranspacket)/sum(outputpacket+inputpacket)</t>
  </si>
  <si>
    <t>ultcp_retranspacket、outputpacket</t>
  </si>
  <si>
    <t>dltcp_retranspacket、inputpacket</t>
  </si>
  <si>
    <t>sum(case when tcpsetupresponsedelay&gt;0 then  1 else 0 end)</t>
  </si>
  <si>
    <t>sum(case when tcpsetupresponsedelay&gt;0   then 1 else 0  end)</t>
  </si>
  <si>
    <t>5g-门限1(0);5g-门限2(50)</t>
  </si>
  <si>
    <t>count( case when tcpsetupresponsedelay&gt;#tcpsetupresponsedelay_seg_1_1st#  and tcpsetupresponsedelay&lt;=#tcpsetupresponsedelay_seg_1_2nd# then 1 else null end)</t>
  </si>
  <si>
    <t>5g-门限1(50);5g-门限2(100)</t>
  </si>
  <si>
    <t>count( case when tcpsetupresponsedelay&gt;#tcpsetupresponsedelay_seg_2_1st#  and tcpsetupresponsedelay&lt;=#tcpsetupresponsedelay_seg_2_2nd# then 1 else null end)</t>
  </si>
  <si>
    <t>5g-门限1(100);5g-门限2(150)</t>
  </si>
  <si>
    <t>count( case when tcpsetupresponsedelay&gt;#tcpsetupresponsedelay_seg_3_1st#  and tcpsetupresponsedelay&lt;=#tcpsetupresponsedelay_seg_3_2nd# then 1 else null end)</t>
  </si>
  <si>
    <t>5g-门限1(150);5g-门限2(200)</t>
  </si>
  <si>
    <t>count( case when tcpsetupresponsedelay&gt;#tcpsetupresponsedelay_seg_4_1st#  and tcpsetupresponsedelay&lt;=#tcpsetupresponsedelay_seg_4_2nd# then 1 else null end)</t>
  </si>
  <si>
    <t>5g-门限1(200);5g-门限2(200000)</t>
  </si>
  <si>
    <t>count( case when tcpsetupresponsedelay&gt;#tcpsetupresponsedelay_seg_5_1st#  and tcpsetupresponsedelay&lt;=#tcpsetupresponsedelay_seg_5_2nd# then 1 else null end)</t>
  </si>
  <si>
    <t>ul_data_transduration_cnt</t>
  </si>
  <si>
    <t>dl_data_transduration_cnt</t>
  </si>
  <si>
    <t>delay_setup_firsttransaction_cnt</t>
  </si>
  <si>
    <t>TCP建链成功到第一条事务请求的次数</t>
  </si>
  <si>
    <t>0-4082</t>
  </si>
  <si>
    <t>delay_firsttransaction_firstrespackt_cnt</t>
  </si>
  <si>
    <t>第一条事务请求到其第一个响应包次数</t>
  </si>
  <si>
    <t>0-4628</t>
  </si>
  <si>
    <t>outputoctets、ul_data_transduration</t>
  </si>
  <si>
    <t>sum(case when ul_data_transduration&gt;0 and  outputoctets&gt;=500*1024 then ul_data_transduration else 0 end)</t>
  </si>
  <si>
    <t>inputoctets、dl_datatransduration</t>
  </si>
  <si>
    <t>outputoctets_above500_cnt</t>
  </si>
  <si>
    <t>0-206</t>
  </si>
  <si>
    <t>ul_above500_highdelay_cnt</t>
  </si>
  <si>
    <t>outputoctets、tcpsetupresponsedelay</t>
  </si>
  <si>
    <t>0-29</t>
  </si>
  <si>
    <t>inputoctets_above500_cnt</t>
  </si>
  <si>
    <t>0-2300</t>
  </si>
  <si>
    <t>inputoctets、dl_data_transduration</t>
  </si>
  <si>
    <t>sum(case when inputoctets&gt;=500*1024 and inputoctets/dl_data_transduration*8*1000/1024/1024&lt;#dl_above500_throughput_low#  then 1 else 0 end)</t>
  </si>
  <si>
    <t>dl_above500_highdelay_cnt</t>
  </si>
  <si>
    <t>inputoctets、tcpsetupresponsedelay</t>
  </si>
  <si>
    <t>sum(case when inputoctets&gt;=500*1024 and  tcpsetupackdelay&gt;#tcpsetupackdelay_highdelay#  then 1  else 0 end)</t>
  </si>
  <si>
    <t>0-182</t>
  </si>
  <si>
    <t>sum(case when inputoctets&gt;=500*1024 and inputoctets/dl_data_transduration*8*1000/1024/1024&lt;#dl_above500_throughput_inferior#  then 1 else 0 end)</t>
  </si>
  <si>
    <t>firstscreenfin_cnt</t>
  </si>
  <si>
    <t>first_screen_fin_time、syntime</t>
  </si>
  <si>
    <t>sum(case when cast(first_screen_fin_time as bigint)&gt;0 and  cast(first_screen_fin_time as bigint)-cast(syntime as bigint)&gt;0  then 1 else 0 end)</t>
  </si>
  <si>
    <t>0-4478</t>
  </si>
  <si>
    <t>sum(case  when cast(first_screen_fin_time as bigint)&gt;0 and cast(first_screen_fin_time as bigint)-cast(syntime as bigint)&gt;0 then cast(first_screen_fin_time as bigint)-cast(syntime as bigint)  else 0 end)</t>
  </si>
  <si>
    <t>tcpconnectstate、sessionstopflag</t>
  </si>
  <si>
    <t>p_quater</t>
  </si>
  <si>
    <t>DestinationIP</t>
  </si>
  <si>
    <t>小区访问的目标IPv4或IPv6地址</t>
  </si>
  <si>
    <t>置空</t>
  </si>
  <si>
    <t>感知话单类型</t>
  </si>
  <si>
    <t>置1</t>
  </si>
  <si>
    <t>取ServiceType前2位</t>
  </si>
  <si>
    <t>selfServiceType</t>
  </si>
  <si>
    <t>自定义业务应用</t>
  </si>
  <si>
    <t xml:space="preserve">CASE WHEN host = 'jiankangma-1301171536.file.myqcloud.com' or host = 'rio.scdsjzx.cn' THEN 88000100
             WHEN host = 'zfbjkt.scdsjzx.cn' THEN 88000300
             WHEN host = 'servicewechat.com' THEN 88000200
             WHEN host = 'xcweb01.caict.ac.cn' THEN 88000400
             WHEN host = 'xc.caict.ac.cn' THEN 88000500
             WHEN destination_url LIKE '%short.pay.weixin.qq.com%' THEN 99000100
             WHEN host = 'scancode.cdtft.cn' THEN 99000100
             WHEN host = 'cdmetro.cnzhiyuanhui.com' THEN 99000100  ELSE servicetype END </t>
  </si>
  <si>
    <t>http/https</t>
  </si>
  <si>
    <t>%</t>
  </si>
  <si>
    <t>Http请求完成次数</t>
  </si>
  <si>
    <t>sum(inputoctets)*8000/(sum(httpwebdspdelay)*1024)</t>
  </si>
  <si>
    <t>公有指标</t>
  </si>
  <si>
    <t>kbit/s</t>
  </si>
  <si>
    <t>(inputoctets)*8000/((httpwebdspdelay)*1024) as http_throughput
COUNT( CASE WHEN http_throughput &gt; ${throughput_seg_1_1} AND http_throughput &lt;= ${throughput_seg_1_2} THEN 1 ELSE NULL END)                  AS throughput_seg_1</t>
  </si>
  <si>
    <t>(inputoctets)*8000/((httpwebdspdelay)*1024) as http_throughput
COUNT( CASE WHEN http_throughput &gt; ${throughput_seg_2_1} AND http_throughput &lt;= ${throughput_seg_2_2} THEN 1 ELSE NULL END)                  AS throughput_seg_2</t>
  </si>
  <si>
    <t>(inputoctets)*8000/((httpwebdspdelay)*1024) as http_throughput
COUNT( CASE WHEN http_throughput &gt; ${throughput_seg_3_1} AND http_throughput &lt;= ${throughput_seg_3_2} THEN 1 ELSE NULL END)                  AS throughput_seg_3</t>
  </si>
  <si>
    <t>(inputoctets)*8000/((httpwebdspdelay)*1024) as http_throughput
COUNT( CASE WHEN http_throughput &gt; ${throughput_seg_4_1} AND http_throughput &lt;= ${throughput_seg_4_2} THEN 1 ELSE NULL END)                  AS throughput_seg_4</t>
  </si>
  <si>
    <t>(inputoctets)*8000/((httpwebdspdelay)*1024) as http_throughput
COUNT( CASE WHEN http_throughput &gt; ${throughput_seg_5_1} AND http_throughput &lt;= ${throughput_seg_5_2} THEN 1 ELSE NULL END)                  AS throughput_seg_5</t>
  </si>
  <si>
    <t>COUNT(CASE WHEN tcpsetupdelay &gt;= ${tcpsetupdelay_seg_1_1} AND tcpsetupdelay &lt; ${tcpsetupdelay_seg_1_2} THEN 1 ELSE NULL END)                 AS tcpsetupdelay_seg_1</t>
  </si>
  <si>
    <t>COUNT(CASE WHEN tcpsetupdelay &gt;= ${tcpsetupdelay_seg_2_1} AND tcpsetupdelay &lt; ${tcpsetupdelay_seg_2_2} THEN 1 ELSE NULL END)                 AS tcpsetupdelay_seg_2</t>
  </si>
  <si>
    <t>COUNT(CASE WHEN tcpsetupdelay &gt;= ${tcpsetupdelay_seg_3_1} AND tcpsetupdelay &lt; ${tcpsetupdelay_seg_3_2} THEN 1 ELSE NULL END)                 AS tcpsetupdelay_seg_3</t>
  </si>
  <si>
    <t>COUNT(CASE WHEN tcpsetupdelay &gt;= ${tcpsetupdelay_seg_4_1} AND tcpsetupdelay &lt; ${tcpsetupdelay_seg_4_2} THEN 1 ELSE NULL END)                 AS tcpsetupdelay_seg_4</t>
  </si>
  <si>
    <t>COUNT(CASE WHEN tcpsetupdelay &gt;= ${tcpsetupdelay_seg_5_1} AND tcpsetupdelay &lt; ${tcpsetupdelay_seg_5_2} THEN 1 ELSE NULL END)                 AS tcpsetupdelay_seg_5</t>
  </si>
  <si>
    <t>COUNT(CASE WHEN delay_setup_firsttransaction &gt;= ${Delay_Setup_FirstTransaction_seg_1_1} AND delay_setup_firsttransaction &lt; ${Delay_Setup_FirstTransaction_seg_1_2} THEN 1 ELSE NULL END) AS Delay_Setup_FirstTransaction_seg_1</t>
  </si>
  <si>
    <t>COUNT(CASE WHEN delay_setup_firsttransaction &gt;= ${Delay_Setup_FirstTransaction_seg_2_1} AND delay_setup_firsttransaction &lt; ${Delay_Setup_FirstTransaction_seg_2_2} THEN 1 ELSE NULL END) AS Delay_Setup_FirstTransaction_seg_2</t>
  </si>
  <si>
    <t>COUNT(CASE WHEN delay_setup_firsttransaction &gt;= ${Delay_Setup_FirstTransaction_seg_3_1} AND delay_setup_firsttransaction &lt; ${Delay_Setup_FirstTransaction_seg_3_2} THEN 1 ELSE NULL END) AS Delay_Setup_FirstTransaction_seg_3</t>
  </si>
  <si>
    <t>COUNT(CASE WHEN delay_setup_firsttransaction &gt;= ${Delay_Setup_FirstTransaction_seg_4_1} AND delay_setup_firsttransaction &lt; ${Delay_Setup_FirstTransaction_seg_4_2} THEN 1 ELSE NULL END) AS Delay_Setup_FirstTransaction_seg_4</t>
  </si>
  <si>
    <t>COUNT(CASE WHEN delay_setup_firsttransaction &gt;= ${Delay_Setup_FirstTransaction_seg_5_1} AND delay_setup_firsttransaction &lt; ${Delay_Setup_FirstTransaction_seg_5_2} THEN 1 ELSE NULL END) AS Delay_Setup_FirstTransaction_seg_5</t>
  </si>
  <si>
    <t>COUNT(CASE WHEN delay_firsttransaction_firstrespackt &gt;= ${Delay_FirstTransaction_FirstResPackt_seg_1_1} AND delay_firsttransaction_firstrespackt &lt; ${Delay_FirstTransaction_FirstResPackt_seg_1_2} THEN 1 ELSE NULL END) AS Delay_FirstTransaction_FirstResPackt_seg_1</t>
  </si>
  <si>
    <t>COUNT(CASE WHEN delay_firsttransaction_firstrespackt &gt;= ${Delay_FirstTransaction_FirstResPackt_seg_2_1} AND delay_firsttransaction_firstrespackt &lt; ${Delay_FirstTransaction_FirstResPackt_seg_2_2} THEN 1 ELSE NULL END) AS Delay_FirstTransaction_FirstResPackt_seg_2</t>
  </si>
  <si>
    <t>COUNT(CASE WHEN delay_firsttransaction_firstrespackt &gt;= ${Delay_FirstTransaction_FirstResPackt_seg_3_1} AND delay_firsttransaction_firstrespackt &lt; ${Delay_FirstTransaction_FirstResPackt_seg_3_2} THEN 1 ELSE NULL END) AS Delay_FirstTransaction_FirstResPackt_seg_3</t>
  </si>
  <si>
    <t>COUNT(CASE WHEN delay_firsttransaction_firstrespackt &gt;= ${Delay_FirstTransaction_FirstResPackt_seg_4_1} AND delay_firsttransaction_firstrespackt &lt; ${Delay_FirstTransaction_FirstResPackt_seg_4_2} THEN 1 ELSE NULL END) AS Delay_FirstTransaction_FirstResPackt_seg_4</t>
  </si>
  <si>
    <t>COUNT(CASE WHEN delay_firsttransaction_firstrespackt &gt;= ${Delay_FirstTransaction_FirstResPackt_seg_5_1} AND delay_firsttransaction_firstrespackt &lt; ${Delay_FirstTransaction_FirstResPackt_seg_5_2} THEN 1 ELSE NULL END) AS Delay_FirstTransaction_FirstResPackt_seg_5</t>
  </si>
  <si>
    <t>COUNT(CASE WHEN dnsquerydelay &gt;= ${dnsquerydelay_seg_1_1} AND dnsquerydelay &lt; ${dnsquerydelay_seg_1_2} THEN 1 ELSE NULL END)                 AS dnsquerydelay_seg_1</t>
  </si>
  <si>
    <t>COUNT(CASE WHEN dnsquerydelay &gt;= ${dnsquerydelay_seg_2_1} AND dnsquerydelay &lt; ${dnsquerydelay_seg_2_2} THEN 1 ELSE NULL END)                 AS dnsquerydelay_seg_2</t>
  </si>
  <si>
    <t>COUNT(CASE WHEN dnsquerydelay &gt;= ${dnsquerydelay_seg_3_1} AND dnsquerydelay &lt; ${dnsquerydelay_seg_3_2} THEN 1 ELSE NULL END)                 AS dnsquerydelay_seg_3</t>
  </si>
  <si>
    <t>COUNT(CASE WHEN dnsquerydelay &gt;= ${dnsquerydelay_seg_4_1} AND dnsquerydelay &lt; ${dnsquerydelay_seg_4_2} THEN 1 ELSE NULL END)                 AS dnsquerydelay_seg_4</t>
  </si>
  <si>
    <t>COUNT(CASE WHEN dnsquerydelay &gt;= ${dnsquerydelay_seg_5_1} AND dnsquerydelay &lt; ${dnsquerydelay_seg_5_2} THEN 1 ELSE NULL END)                 AS dnsquerydelay_seg_5</t>
  </si>
  <si>
    <t>COUNT(CASE WHEN delay_syntime_dnsresponsetime &gt;= ${delay_SYNtime_DNSResponseTime_seg_1_1} AND delay_syntime_dnsresponsetime &lt; ${delay_SYNtime_DNSResponseTime_seg_1_2} THEN 1 ELSE NULL END) AS delay_SYNtime_DNSResponseTime_seg_1</t>
  </si>
  <si>
    <t>COUNT(CASE WHEN delay_syntime_dnsresponsetime &gt;= ${delay_SYNtime_DNSResponseTime_seg_2_1} AND delay_syntime_dnsresponsetime &lt; ${delay_SYNtime_DNSResponseTime_seg_2_2} THEN 1 ELSE NULL END) AS delay_SYNtime_DNSResponseTime_seg_2</t>
  </si>
  <si>
    <t>COUNT(CASE WHEN delay_syntime_dnsresponsetime &gt;= ${delay_SYNtime_DNSResponseTime_seg_3_1} AND delay_syntime_dnsresponsetime &lt; ${delay_SYNtime_DNSResponseTime_seg_3_2} THEN 1 ELSE NULL END) AS delay_SYNtime_DNSResponseTime_seg_3</t>
  </si>
  <si>
    <t>COUNT(CASE WHEN delay_syntime_dnsresponsetime &gt;= ${delay_SYNtime_DNSResponseTime_seg_4_1} AND delay_syntime_dnsresponsetime &lt; ${delay_SYNtime_DNSResponseTime_seg_4_2} THEN 1 ELSE NULL END) AS delay_SYNtime_DNSResponseTime_seg_4</t>
  </si>
  <si>
    <t>COUNT(CASE WHEN delay_syntime_dnsresponsetime &gt;= ${delay_SYNtime_DNSResponseTime_seg_5_1} AND delay_syntime_dnsresponsetime &lt; ${delay_SYNtime_DNSResponseTime_seg_5_2} THEN 1 ELSE NULL END) AS delay_SYNtime_DNSResponseTime_seg_5</t>
  </si>
  <si>
    <t>COUNT(CASE WHEN httpwebrspdelay &gt;= ${httpwebrspdelay_seg_1_1} AND httpwebrspdelay &lt; ${httpwebrspdelay_seg_1_2} THEN 1 ELSE NULL END)         AS httpwebrspdelay_seg_1</t>
  </si>
  <si>
    <t>COUNT(CASE WHEN httpwebrspdelay &gt;= ${httpwebrspdelay_seg_2_1} AND httpwebrspdelay &lt; ${httpwebrspdelay_seg_2_2} THEN 1 ELSE NULL END)         AS httpwebrspdelay_seg_2</t>
  </si>
  <si>
    <t>COUNT(CASE WHEN httpwebrspdelay &gt;= ${httpwebrspdelay_seg_3_1} AND httpwebrspdelay &lt; ${httpwebrspdelay_seg_3_2} THEN 1 ELSE NULL END)         AS httpwebrspdelay_seg_3</t>
  </si>
  <si>
    <t>COUNT(CASE WHEN httpwebrspdelay &gt;= ${httpwebrspdelay_seg_4_1} AND httpwebrspdelay &lt; ${httpwebrspdelay_seg_4_2} THEN 1 ELSE NULL END)         AS httpwebrspdelay_seg_4</t>
  </si>
  <si>
    <t>COUNT(CASE WHEN httpwebrspdelay &gt;= ${httpwebrspdelay_seg_5_1} AND httpwebrspdelay &lt; ${httpwebrspdelay_seg_5_2} THEN 1 ELSE NULL END)         AS httpwebrspdelay_seg_5</t>
  </si>
  <si>
    <t>COUNT(CASE WHEN httpwebdspdelay &gt;= ${httpwebdspdelay_seg_1_1} AND httpwebdspdelay &lt; ${httpwebdspdelay_seg_1_2} THEN 1 ELSE NULL END)         AS httpwebdspdelay_seg_1</t>
  </si>
  <si>
    <t>COUNT(CASE WHEN httpwebdspdelay &gt;= ${httpwebdspdelay_seg_2_1} AND httpwebdspdelay &lt; ${httpwebdspdelay_seg_2_2} THEN 1 ELSE NULL END)         AS httpwebdspdelay_seg_2</t>
  </si>
  <si>
    <t>COUNT(CASE WHEN httpwebdspdelay &gt;= ${httpwebdspdelay_seg_3_1} AND httpwebdspdelay &lt; ${httpwebdspdelay_seg_3_2} THEN 1 ELSE NULL END)         AS httpwebdspdelay_seg_3</t>
  </si>
  <si>
    <t>COUNT(CASE WHEN httpwebdspdelay &gt;= ${httpwebdspdelay_seg_4_1} AND httpwebdspdelay &lt; ${httpwebdspdelay_seg_4_2} THEN 1 ELSE NULL END)         AS httpwebdspdelay_seg_4</t>
  </si>
  <si>
    <t>COUNT(CASE WHEN httpwebdspdelay &gt;= ${httpwebdspdelay_seg_5_1} AND httpwebdspdelay &lt; ${httpwebdspdelay_seg_5_2} THEN 1 ELSE NULL END)         AS httpwebdspdelay_seg_5</t>
  </si>
  <si>
    <t>COUNT(CASE WHEN httpwebscreendelay &gt;= ${httpwebscreendelay_seg_1_1} AND httpwebscreendelay &lt; ${httpwebscreendelay_seg_1_2} THEN 1 ELSE NULL END) AS httpwebscreendelay_seg_1</t>
  </si>
  <si>
    <t>COUNT(CASE WHEN httpwebscreendelay &gt;= ${httpwebscreendelay_seg_2_1} AND httpwebscreendelay &lt; ${httpwebscreendelay_seg_2_2} THEN 1 ELSE NULL END) AS httpwebscreendelay_seg_2</t>
  </si>
  <si>
    <t>COUNT(CASE WHEN httpwebscreendelay &gt;= ${httpwebscreendelay_seg_3_1} AND httpwebscreendelay &lt; ${httpwebscreendelay_seg_3_2} THEN 1 ELSE NULL END) AS httpwebscreendelay_seg_3</t>
  </si>
  <si>
    <t>COUNT(CASE WHEN httpwebscreendelay &gt;= ${httpwebscreendelay_seg_4_1} AND httpwebscreendelay &lt; ${httpwebscreendelay_seg_4_2} THEN 1 ELSE NULL END) AS httpwebscreendelay_seg_4</t>
  </si>
  <si>
    <t>COUNT(CASE WHEN httpwebscreendelay &gt;= ${httpwebscreendelay_seg_5_1} AND httpwebscreendelay &lt; ${httpwebscreendelay_seg_5_2} THEN 1 ELSE NULL END) AS httpwebscreendelay_seg_5</t>
  </si>
  <si>
    <t>COUNT(CASE WHEN delay_acktime_actiontime &gt;= ${delay_acktime_actiontime_seg_1_1} AND delay_acktime_actiontime &lt; ${delay_acktime_actiontime_seg_1_2} THEN 1 ELSE NULL END) AS delay_acktime_actiontime_seg_1</t>
  </si>
  <si>
    <t>COUNT(CASE WHEN delay_acktime_actiontime &gt;= ${delay_acktime_actiontime_seg_2_1} AND delay_acktime_actiontime &lt; ${delay_acktime_actiontime_seg_2_2} THEN 1 ELSE NULL END) AS delay_acktime_actiontime_seg_2</t>
  </si>
  <si>
    <t>COUNT(CASE WHEN delay_acktime_actiontime &gt;= ${delay_acktime_actiontime_seg_3_1} AND delay_acktime_actiontime &lt; ${delay_acktime_actiontime_seg_3_2} THEN 1 ELSE NULL END) AS delay_acktime_actiontime_seg_3</t>
  </si>
  <si>
    <t>COUNT(CASE WHEN delay_acktime_actiontime &gt;= ${delay_acktime_actiontime_seg_4_1} AND delay_acktime_actiontime &lt; ${delay_acktime_actiontime_seg_4_2} THEN 1 ELSE NULL END) AS delay_acktime_actiontime_seg_4</t>
  </si>
  <si>
    <t>COUNT(CASE WHEN delay_acktime_actiontime &gt;= ${delay_acktime_actiontime_seg_5_1} AND delay_acktime_actiontime &lt; ${delay_acktime_actiontime_seg_5_2} THEN 1 ELSE NULL END) AS delay_acktime_actiontime_seg_5</t>
  </si>
  <si>
    <t>AVG(CASE WHEN action_time &lt; first_resptime AND first_resptime is not null THEN first_resptime-action_time  ELSE null END)                                                                                                        AS delay_actiontime_firstpackettime_avg</t>
  </si>
  <si>
    <t>CASE WHEN action_time &lt; first_resptime AND first_resptime is not null THEN first_resptime-action_time  ELSE null END as delay_actiontime_firstpackettime
COUNT(CASE WHEN delay_actiontime_firstpackettime &gt;= ${delay_actiontime_firstpackettime_seg_1_1} AND delay_actiontime_firstpackettime &lt; ${delay_actiontime_firstpackettime_seg_1_2} THEN 1 ELSE NULL END) AS delay_actiontime_firstpackettime_seg_1</t>
  </si>
  <si>
    <t>CASE WHEN action_time &lt; first_resptime AND first_resptime is not null THEN first_resptime-action_time  ELSE null END as delay_actiontime_firstpackettime
COUNT(CASE WHEN delay_actiontime_firstpackettime &gt;= ${delay_actiontime_firstpackettime_seg_2_1} AND delay_actiontime_firstpackettime &lt; ${delay_actiontime_firstpackettime_seg_2_2} THEN 1 ELSE NULL END) AS delay_actiontime_firstpackettime_seg_2</t>
  </si>
  <si>
    <t>CASE WHEN action_time &lt; first_resptime AND first_resptime is not null THEN first_resptime-action_time  ELSE null END as delay_actiontime_firstpackettime
COUNT(CASE WHEN delay_actiontime_firstpackettime &gt;= ${delay_actiontime_firstpackettime_seg_3_1} AND delay_actiontime_firstpackettime &lt; ${delay_actiontime_firstpackettime_seg_3_2} THEN 1 ELSE NULL END) AS delay_actiontime_firstpackettime_seg_3</t>
  </si>
  <si>
    <t>CASE WHEN action_time &lt; first_resptime AND first_resptime is not null THEN first_resptime-action_time  ELSE null END as delay_actiontime_firstpackettime
COUNT(CASE WHEN delay_actiontime_firstpackettime &gt;= ${delay_actiontime_firstpackettime_seg_4_1} AND delay_actiontime_firstpackettime &lt; ${delay_actiontime_firstpackettime_seg_4_2} THEN 1 ELSE NULL END) AS delay_actiontime_firstpackettime_seg_4</t>
  </si>
  <si>
    <t>CASE WHEN action_time &lt; first_resptime AND first_resptime is not null THEN first_resptime-action_time  ELSE null END as delay_actiontime_firstpackettime
COUNT(CASE WHEN delay_actiontime_firstpackettime &gt;= ${delay_actiontime_firstpackettime_seg_5_1} AND delay_actiontime_firstpackettime &lt; ${delay_actiontime_firstpackettime_seg_5_2} THEN 1 ELSE NULL END) AS delay_actiontime_firstpackettime_seg_5</t>
  </si>
  <si>
    <t>CASE WHEN action_time &gt; first_resptime AND first_resptime is not null THEN first_resptime-action_time  ELSE null END as delay_actiontime_firstresptime
COUNT(CASE WHEN delay_actiontime_firstresptime &gt;= ${delay_actiontime_firstresptime_seg_1_1} AND delay_actiontime_firstresptime &lt; ${delay_actiontime_firstresptime_seg_1_2} THEN 1 ELSE NULL END) AS delay_actiontime_firstresptime_seg_1</t>
  </si>
  <si>
    <t>CASE WHEN action_time &gt; first_resptime AND first_resptime is not null THEN first_resptime-action_time  ELSE null END as delay_actiontime_firstresptime
COUNT(CASE WHEN delay_actiontime_firstresptime &gt;= ${delay_actiontime_firstresptime_seg_2_1} AND delay_actiontime_firstresptime &lt; ${delay_actiontime_firstresptime_seg_2_2} THEN 1 ELSE NULL END) AS delay_actiontime_firstresptime_seg_2</t>
  </si>
  <si>
    <t>CASE WHEN action_time &gt; first_resptime AND first_resptime is not null THEN first_resptime-action_time  ELSE null END as delay_actiontime_firstresptime
COUNT(CASE WHEN delay_actiontime_firstresptime &gt;= ${delay_actiontime_firstresptime_seg_3_1} AND delay_actiontime_firstresptime &lt; ${delay_actiontime_firstresptime_seg_3_2} THEN 1 ELSE NULL END) AS delay_actiontime_firstresptime_seg_3</t>
  </si>
  <si>
    <t>CASE WHEN action_time &gt; first_resptime AND first_resptime is not null THEN first_resptime-action_time  ELSE null END as delay_actiontime_firstresptime
COUNT(CASE WHEN delay_actiontime_firstresptime &gt;= ${delay_actiontime_firstresptime_seg_4_1} AND delay_actiontime_firstresptime &lt; ${delay_actiontime_firstresptime_seg_4_2} THEN 1 ELSE NULL END) AS delay_actiontime_firstresptime_seg_4</t>
  </si>
  <si>
    <t>CASE WHEN action_time &gt; first_resptime AND first_resptime is not null THEN first_resptime-action_time  ELSE null END as delay_actiontime_firstresptime
COUNT(CASE WHEN delay_actiontime_firstresptime &gt;= ${delay_actiontime_firstresptime_seg_5_1} AND delay_actiontime_firstresptime &lt; ${delay_actiontime_firstresptime_seg_5_2} THEN 1 ELSE NULL END) AS delay_actiontime_firstresptime_seg_5</t>
  </si>
  <si>
    <t>CASE WHEN syntime is not null AND lastpacktime &gt; syntime THEN lastpacktime-syntime  ELSE null END as delay_lastpacktime_dnsortcp
COUNT(CASE WHEN delay_lastpacktime_dnsortcp &gt;= ${delay_lastpacktime_dnsortcp_seg_1_1} AND delay_lastpacktime_dnsortcp &lt; ${delay_lastpacktime_dnsortcp_seg_1_2} THEN 1 ELSE NULL END) AS delay_lastpacktime_dnsortcp_seg_1</t>
  </si>
  <si>
    <t>CASE WHEN syntime is not null AND lastpacktime &gt; syntime THEN lastpacktime-syntime  ELSE null END as delay_lastpacktime_dnsortcp
COUNT(CASE WHEN delay_lastpacktime_dnsortcp &gt;= ${delay_lastpacktime_dnsortcp_seg_2_1} AND delay_lastpacktime_dnsortcp &lt; ${delay_lastpacktime_dnsortcp_seg_2_2} THEN 1 ELSE NULL END) AS delay_lastpacktime_dnsortcp_seg_2</t>
  </si>
  <si>
    <t>CASE WHEN syntime is not null AND lastpacktime &gt; syntime THEN lastpacktime-syntime  ELSE null END as delay_lastpacktime_dnsortcp
COUNT(CASE WHEN delay_lastpacktime_dnsortcp &gt;= ${delay_lastpacktime_dnsortcp_seg_3_1} AND delay_lastpacktime_dnsortcp &lt; ${delay_lastpacktime_dnsortcp_seg_3_2} THEN 1 ELSE NULL END) AS delay_lastpacktime_dnsortcp_seg_3</t>
  </si>
  <si>
    <t>CASE WHEN syntime is not null AND lastpacktime &gt; syntime THEN lastpacktime-syntime  ELSE null END as delay_lastpacktime_dnsortcp
COUNT(CASE WHEN delay_lastpacktime_dnsortcp &gt;= ${delay_lastpacktime_dnsortcp_seg_4_1} AND delay_lastpacktime_dnsortcp &lt; ${delay_lastpacktime_dnsortcp_seg_4_2} THEN 1 ELSE NULL END) AS delay_lastpacktime_dnsortcp_seg_4</t>
  </si>
  <si>
    <t>CASE WHEN syntime is not null AND lastpacktime &gt; syntime THEN lastpacktime-syntime  ELSE null END as delay_lastpacktime_dnsortcp
COUNT(CASE WHEN delay_lastpacktime_dnsortcp &gt;= ${delay_lastpacktime_dnsortcp_seg_5_1} AND delay_lastpacktime_dnsortcp &lt; ${delay_lastpacktime_dnsortcp_seg_5_2} THEN 1 ELSE NULL END) AS delay_lastpacktime_dnsortcp_seg_5</t>
  </si>
  <si>
    <t>CASE WHEN first_resptime is not null AND lastpacktime &gt; first_resptime THEN lastpacktime-first_resptime  ELSE null END as  delay_firstresptime_lastpacktime
COUNT(CASE WHEN delay_firstresptime_lastpacktime &gt;= ${delay_firstresptime_lastpacktime_seg_1_1} AND delay_firstresptime_lastpacktime &lt; ${delay_firstresptime_lastpacktime_seg_1_2} THEN 1 ELSE NULL END) AS delay_firstresptime_lastpacktime_seg_1</t>
  </si>
  <si>
    <t>CASE WHEN first_resptime is not null AND lastpacktime &gt; first_resptime THEN lastpacktime-first_resptime  ELSE null END as  delay_firstresptime_lastpacktime
COUNT(CASE WHEN delay_firstresptime_lastpacktime &gt;= ${delay_firstresptime_lastpacktime_seg_2_1} AND delay_firstresptime_lastpacktime &lt; ${delay_firstresptime_lastpacktime_seg_2_2} THEN 1 ELSE NULL END) AS delay_firstresptime_lastpacktime_seg_2</t>
  </si>
  <si>
    <t>CASE WHEN first_resptime is not null AND lastpacktime &gt; first_resptime THEN lastpacktime-first_resptime  ELSE null END as  delay_firstresptime_lastpacktime
COUNT(CASE WHEN delay_firstresptime_lastpacktime &gt;= ${delay_firstresptime_lastpacktime_seg_3_1} AND delay_firstresptime_lastpacktime &lt; ${delay_firstresptime_lastpacktime_seg_3_2} THEN 1 ELSE NULL END) AS delay_firstresptime_lastpacktime_seg_3</t>
  </si>
  <si>
    <t>CASE WHEN first_resptime is not null AND lastpacktime &gt; first_resptime THEN lastpacktime-first_resptime  ELSE null END as  delay_firstresptime_lastpacktime
COUNT(CASE WHEN delay_firstresptime_lastpacktime &gt;= ${delay_firstresptime_lastpacktime_seg_4_1} AND delay_firstresptime_lastpacktime &lt; ${delay_firstresptime_lastpacktime_seg_4_2} THEN 1 ELSE NULL END) AS delay_firstresptime_lastpacktime_seg_4</t>
  </si>
  <si>
    <t>CASE WHEN first_resptime is not null AND lastpacktime &gt; first_resptime THEN lastpacktime-first_resptime  ELSE null END as  delay_firstresptime_lastpacktime
COUNT(CASE WHEN delay_firstresptime_lastpacktime &gt;= ${delay_firstresptime_lastpacktime_seg_5_1} AND delay_firstresptime_lastpacktime &lt; ${delay_firstresptime_lastpacktime_seg_5_2} THEN 1 ELSE NULL END) AS delay_firstresptime_lastpacktime_seg_5</t>
  </si>
  <si>
    <t>AVG(CASE WHEN first_resptime is not null AND lastpacktime &gt; first_resptime THEN lastpacktime-first_resptime  ELSE null END)                                                                                                      AS delay_firstpackettime_lastpacktime_avg</t>
  </si>
  <si>
    <t>CASE WHEN first_resptime is not null AND lastpacktime &gt; first_resptime THEN lastpacktime-first_resptime  ELSE null END as delay_firstpackettime_lastpacktime
COUNT(CASE WHEN delay_firstpackettime_lastpacktime &gt;= ${delay_firstpackettime_lastpacktime_seg_1_1} AND delay_firstpackettime_lastpacktime &lt; ${delay_firstpackettime_lastpacktime_seg_1_2} THEN 1 ELSE NULL END) AS delay_firstpackettime_lastpacktime_seg_1</t>
  </si>
  <si>
    <t>CASE WHEN first_resptime is not null AND lastpacktime &gt; first_resptime THEN lastpacktime-first_resptime  ELSE null END as delay_firstpackettime_lastpacktime
COUNT(CASE WHEN delay_firstpackettime_lastpacktime &gt;= ${delay_firstpackettime_lastpacktime_seg_2_1} AND delay_firstpackettime_lastpacktime &lt; ${delay_firstpackettime_lastpacktime_seg_2_2} THEN 1 ELSE NULL END) AS delay_firstpackettime_lastpacktime_seg_2</t>
  </si>
  <si>
    <t>CASE WHEN first_resptime is not null AND lastpacktime &gt; first_resptime THEN lastpacktime-first_resptime  ELSE null END as delay_firstpackettime_lastpacktime
COUNT(CASE WHEN delay_firstpackettime_lastpacktime &gt;= ${delay_firstpackettime_lastpacktime_seg_3_1} AND delay_firstpackettime_lastpacktime &lt; ${delay_firstpackettime_lastpacktime_seg_3_2} THEN 1 ELSE NULL END) AS delay_firstpackettime_lastpacktime_seg_3</t>
  </si>
  <si>
    <t>CASE WHEN first_resptime is not null AND lastpacktime &gt; first_resptime THEN lastpacktime-first_resptime  ELSE null END as delay_firstpackettime_lastpacktime
COUNT(CASE WHEN delay_firstpackettime_lastpacktime &gt;= ${delay_firstpackettime_lastpacktime_seg_4_1} AND delay_firstpackettime_lastpacktime &lt; ${delay_firstpackettime_lastpacktime_seg_4_2} THEN 1 ELSE NULL END) AS delay_firstpackettime_lastpacktime_seg_4</t>
  </si>
  <si>
    <t>CASE WHEN first_resptime is not null AND lastpacktime &gt; first_resptime THEN lastpacktime-first_resptime  ELSE null END as delay_firstpackettime_lastpacktime
COUNT(CASE WHEN delay_firstpackettime_lastpacktime &gt;= ${delay_firstpackettime_lastpacktime_seg_5_1} AND delay_firstpackettime_lastpacktime &lt; ${delay_firstpackettime_lastpacktime_seg_5_2} THEN 1 ELSE NULL END) AS delay_firstpackettime_lastpacktime_seg_5</t>
  </si>
  <si>
    <t>CASE WHEN lastpacktime is not null AND last_acktime &gt; lastpacktime THEN last_acktime-lastpacktime  ELSE null END as delay_lastpacktime_lastacktime
COUNT(CASE WHEN delay_lastpacktime_lastacktime &gt;= ${delay_lastpacktime_lastacktime_seg_1_1} AND delay_lastpacktime_lastacktime &lt; ${delay_lastpacktime_lastacktime_seg_1_2} THEN 1 ELSE NULL END) AS delay_lastpacktime_lastacktime_seg_1</t>
  </si>
  <si>
    <t>CASE WHEN lastpacktime is not null AND last_acktime &gt; lastpacktime THEN last_acktime-lastpacktime  ELSE null END as delay_lastpacktime_lastacktime
COUNT(CASE WHEN delay_lastpacktime_lastacktime &gt;= ${delay_lastpacktime_lastacktime_seg_2_1} AND delay_lastpacktime_lastacktime &lt; ${delay_lastpacktime_lastacktime_seg_2_2} THEN 1 ELSE NULL END) AS delay_lastpacktime_lastacktime_seg_2</t>
  </si>
  <si>
    <t>CASE WHEN lastpacktime is not null AND last_acktime &gt; lastpacktime THEN last_acktime-lastpacktime  ELSE null END as delay_lastpacktime_lastacktime
COUNT(CASE WHEN delay_lastpacktime_lastacktime &gt;= ${delay_lastpacktime_lastacktime_seg_3_1} AND delay_lastpacktime_lastacktime &lt; ${delay_lastpacktime_lastacktime_seg_3_2} THEN 1 ELSE NULL END) AS delay_lastpacktime_lastacktime_seg_3</t>
  </si>
  <si>
    <t>CASE WHEN lastpacktime is not null AND last_acktime &gt; lastpacktime THEN last_acktime-lastpacktime  ELSE null END as delay_lastpacktime_lastacktime
COUNT(CASE WHEN delay_lastpacktime_lastacktime &gt;= ${delay_lastpacktime_lastacktime_seg_4_1} AND delay_lastpacktime_lastacktime &lt; ${delay_lastpacktime_lastacktime_seg_4_2} THEN 1 ELSE NULL END) AS delay_lastpacktime_lastacktime_seg_4</t>
  </si>
  <si>
    <t>CASE WHEN lastpacktime is not null AND last_acktime &gt; lastpacktime THEN last_acktime-lastpacktime  ELSE null END as delay_lastpacktime_lastacktime
COUNT(CASE WHEN delay_lastpacktime_lastacktime &gt;= ${delay_lastpacktime_lastacktime_seg_5_1} AND delay_lastpacktime_lastacktime &lt; ${delay_lastpacktime_lastacktime_seg_5_2} THEN 1 ELSE NULL END) AS delay_lastpacktime_lastacktime_seg_5</t>
  </si>
  <si>
    <t>CASE WHEN last_acktime is not null AND first_fin_ack_time &gt; last_acktime THEN first_fin_ack_time-last_acktime  ELSE null END as delay_FirstFinAckTime_lastacktime
COUNT(CASE WHEN delay_FirstFinAckTime_lastacktime &gt;= ${delay_FirstFinAckTime_lastacktime_seg_1_1} AND delay_FirstFinAckTime_lastacktime &lt; ${delay_FirstFinAckTime_lastacktime_seg_1_2} THEN 1 ELSE NULL END) AS delay_FirstFinAckTime_lastacktime_seg_1</t>
  </si>
  <si>
    <t>CASE WHEN last_acktime is not null AND first_fin_ack_time &gt; last_acktime THEN first_fin_ack_time-last_acktime  ELSE null END as delay_FirstFinAckTime_lastacktime
COUNT(CASE WHEN delay_FirstFinAckTime_lastacktime &gt;= ${delay_FirstFinAckTime_lastacktime_seg_2_1} AND delay_FirstFinAckTime_lastacktime &lt; ${delay_FirstFinAckTime_lastacktime_seg_2_2} THEN 1 ELSE NULL END) AS delay_FirstFinAckTime_lastacktime_seg_2</t>
  </si>
  <si>
    <t>CASE WHEN last_acktime is not null AND first_fin_ack_time &gt; last_acktime THEN first_fin_ack_time-last_acktime  ELSE null END as delay_FirstFinAckTime_lastacktime
COUNT(CASE WHEN delay_FirstFinAckTime_lastacktime &gt;= ${delay_FirstFinAckTime_lastacktime_seg_3_1} AND delay_FirstFinAckTime_lastacktime &lt; ${delay_FirstFinAckTime_lastacktime_seg_3_2} THEN 1 ELSE NULL END) AS delay_FirstFinAckTime_lastacktime_seg_3</t>
  </si>
  <si>
    <t>CASE WHEN last_acktime is not null AND first_fin_ack_time &gt; last_acktime THEN first_fin_ack_time-last_acktime  ELSE null END as delay_FirstFinAckTime_lastacktime
COUNT(CASE WHEN delay_FirstFinAckTime_lastacktime &gt;= ${delay_FirstFinAckTime_lastacktime_seg_4_1} AND delay_FirstFinAckTime_lastacktime &lt; ${delay_FirstFinAckTime_lastacktime_seg_4_2} THEN 1 ELSE NULL END) AS delay_FirstFinAckTime_lastacktime_seg_4</t>
  </si>
  <si>
    <t>CASE WHEN last_acktime is not null AND first_fin_ack_time &gt; last_acktime THEN first_fin_ack_time-last_acktime  ELSE null END as delay_FirstFinAckTime_lastacktime
COUNT(CASE WHEN delay_FirstFinAckTime_lastacktime &gt;= ${delay_FirstFinAckTime_lastacktime_seg_5_1} AND delay_FirstFinAckTime_lastacktime &lt; ${delay_FirstFinAckTime_lastacktime_seg_5_2} THEN 1 ELSE NULL END) AS delay_FirstFinAckTime_lastacktime_seg_5</t>
  </si>
  <si>
    <t>http</t>
  </si>
  <si>
    <t>COUNT(CASE WHEN (ultcpreorderingpacket + dltcpreorderingpacket)/(inputpacket + outputpacket) &gt;= ${TCPReorderingPacketRatio_seg_1_1} AND (ultcpreorderingpacket + dltcpreorderingpacket)/(inputpacket + outputpacket) &lt; ${TCPReorderingPacketRatio_seg_1_2} THEN 1 ELSE NULL END) AS TCPReorderingPacketRatio_seg_1</t>
  </si>
  <si>
    <t>COUNT(CASE WHEN (ultcpreorderingpacket + dltcpreorderingpacket)/(inputpacket + outputpacket) &gt;= ${TCPReorderingPacketRatio_seg_2_1} AND (ultcpreorderingpacket + dltcpreorderingpacket)/(inputpacket + outputpacket) &lt; ${TCPReorderingPacketRatio_seg_2_2} THEN 1 ELSE NULL END) AS TCPReorderingPacketRatio_seg_2</t>
  </si>
  <si>
    <t>COUNT(CASE WHEN (ultcpreorderingpacket + dltcpreorderingpacket)/(inputpacket + outputpacket) &gt;= ${TCPReorderingPacketRatio_seg_3_1} AND (ultcpreorderingpacket + dltcpreorderingpacket)/(inputpacket + outputpacket) &lt; ${TCPReorderingPacketRatio_seg_3_2} THEN 1 ELSE NULL END) AS TCPReorderingPacketRatio_seg_3</t>
  </si>
  <si>
    <t>COUNT(CASE WHEN (ultcpreorderingpacket + dltcpreorderingpacket)/(inputpacket + outputpacket) &gt;= ${TCPReorderingPacketRatio_seg_4_1} AND (ultcpreorderingpacket + dltcpreorderingpacket)/(inputpacket + outputpacket) &lt; ${TCPReorderingPacketRatio_seg_4_2} THEN 1 ELSE NULL END) AS TCPReorderingPacketRatio_seg_4</t>
  </si>
  <si>
    <t>COUNT(CASE WHEN (ultcpreorderingpacket + dltcpreorderingpacket)/(inputpacket + outputpacket) &gt;= ${TCPReorderingPacketRatio_seg_5_1} AND (ultcpreorderingpacket + dltcpreorderingpacket)/(inputpacket + outputpacket) &lt; ${TCPReorderingPacketRatio_seg_5_2} THEN 1 ELSE NULL END) AS TCPReorderingPacketRatio_seg_5</t>
  </si>
  <si>
    <t>COUNT(CASE WHEN ultcpreorderingpacket / outputpacket &gt;= ${ULTCPReorderingPacketRatio_seg_1_1} AND ultcpreorderingpacket / outputpacket &lt; ${ULTCPReorderingPacketRatio_seg_1_2} THEN 1 ELSE NULL END) AS ULTCPReorderingPacketRatio_seg_1</t>
  </si>
  <si>
    <t>COUNT(CASE WHEN ultcpreorderingpacket / outputpacket &gt;= ${ULTCPReorderingPacketRatio_seg_2_1} AND ultcpreorderingpacket / outputpacket &lt; ${ULTCPReorderingPacketRatio_seg_2_2} THEN 1 ELSE NULL END) AS ULTCPReorderingPacketRatio_seg_2</t>
  </si>
  <si>
    <t>COUNT(CASE WHEN ultcpreorderingpacket / outputpacket &gt;= ${ULTCPReorderingPacketRatio_seg_3_1} AND ultcpreorderingpacket / outputpacket &lt; ${ULTCPReorderingPacketRatio_seg_3_2} THEN 1 ELSE NULL END) AS ULTCPReorderingPacketRatio_seg_3</t>
  </si>
  <si>
    <t>COUNT(CASE WHEN ultcpreorderingpacket / outputpacket &gt;= ${ULTCPReorderingPacketRatio_seg_4_1} AND ultcpreorderingpacket / outputpacket &lt; ${ULTCPReorderingPacketRatio_seg_4_2} THEN 1 ELSE NULL END) AS ULTCPReorderingPacketRatio_seg_4</t>
  </si>
  <si>
    <t>COUNT(CASE WHEN ultcpreorderingpacket / outputpacket &gt;= ${ULTCPReorderingPacketRatio_seg_5_1} AND ultcpreorderingpacket / outputpacket &lt; ${ULTCPReorderingPacketRatio_seg_5_2} THEN 1 ELSE NULL END) AS ULTCPReorderingPacketRatio_seg_5</t>
  </si>
  <si>
    <t>COUNT(CASE WHEN dltcpreorderingpacket / inputpacket &gt;= ${DLTCPReorderingPacketRatio_seg_1_1} AND dltcpreorderingpacket / inputpacket &lt; ${DLTCPReorderingPacketRatio_seg_1_2} THEN 1 ELSE NULL END) AS DLTCPReorderingPacketRatio_seg_1</t>
  </si>
  <si>
    <t>COUNT(CASE WHEN dltcpreorderingpacket / inputpacket &gt;= ${DLTCPReorderingPacketRatio_seg_2_1} AND dltcpreorderingpacket / inputpacket &lt; ${DLTCPReorderingPacketRatio_seg_2_2} THEN 1 ELSE NULL END) AS DLTCPReorderingPacketRatio_seg_2</t>
  </si>
  <si>
    <t>COUNT(CASE WHEN dltcpreorderingpacket / inputpacket &gt;= ${DLTCPReorderingPacketRatio_seg_3_1} AND dltcpreorderingpacket / inputpacket &lt; ${DLTCPReorderingPacketRatio_seg_3_2} THEN 1 ELSE NULL END) AS DLTCPReorderingPacketRatio_seg_3</t>
  </si>
  <si>
    <t>COUNT(CASE WHEN dltcpreorderingpacket / inputpacket &gt;= ${DLTCPReorderingPacketRatio_seg_4_1} AND dltcpreorderingpacket / inputpacket &lt; ${DLTCPReorderingPacketRatio_seg_4_2} THEN 1 ELSE NULL END) AS DLTCPReorderingPacketRatio_seg_4</t>
  </si>
  <si>
    <t>COUNT(CASE WHEN dltcpreorderingpacket / inputpacket &gt;= ${DLTCPReorderingPacketRatio_seg_5_1} AND dltcpreorderingpacket / inputpacket &lt; ${DLTCPReorderingPacketRatio_seg_5_2} THEN 1 ELSE NULL END) AS DLTCPReorderingPacketRatio_seg_5</t>
  </si>
  <si>
    <t>COUNT(CASE WHEN (ultcp_retranspacket + dltcp_retranspacket)/(inputpacket + outputpacket) &gt;= ${TCP_RetransPacketRatio_seg_1_1} AND (ultcp_retranspacket + dltcp_retranspacket)/(inputpacket + outputpacket) &lt; ${TCP_RetransPacketRatio_seg_1_2} THEN 1 ELSE NULL END) AS TCP_RetransPacketRatio_seg_1</t>
  </si>
  <si>
    <t>COUNT(CASE WHEN (ultcp_retranspacket + dltcp_retranspacket)/(inputpacket + outputpacket) &gt;= ${TCP_RetransPacketRatio_seg_2_1} AND (ultcp_retranspacket + dltcp_retranspacket)/(inputpacket + outputpacket) &lt; ${TCP_RetransPacketRatio_seg_2_2} THEN 1 ELSE NULL END) AS TCP_RetransPacketRatio_seg_2</t>
  </si>
  <si>
    <t>COUNT(CASE WHEN (ultcp_retranspacket + dltcp_retranspacket)/(inputpacket + outputpacket) &gt;= ${TCP_RetransPacketRatio_seg_3_1} AND (ultcp_retranspacket + dltcp_retranspacket)/(inputpacket + outputpacket) &lt; ${TCP_RetransPacketRatio_seg_3_2} THEN 1 ELSE NULL END) AS TCP_RetransPacketRatio_seg_3</t>
  </si>
  <si>
    <t>COUNT(CASE WHEN (ultcp_retranspacket + dltcp_retranspacket)/(inputpacket + outputpacket) &gt;= ${TCP_RetransPacketRatio_seg_4_1} AND (ultcp_retranspacket + dltcp_retranspacket)/(inputpacket + outputpacket) &lt; ${TCP_RetransPacketRatio_seg_4_2} THEN 1 ELSE NULL END) AS TCP_RetransPacketRatio_seg_4</t>
  </si>
  <si>
    <t>COUNT(CASE WHEN (ultcp_retranspacket + dltcp_retranspacket)/(inputpacket + outputpacket) &gt;= ${TCP_RetransPacketRatio_seg_5_1} AND (ultcp_retranspacket + dltcp_retranspacket)/(inputpacket + outputpacket) &lt; ${TCP_RetransPacketRatio_seg_5_2} THEN 1 ELSE NULL END) AS TCP_RetransPacketRatio_seg_5</t>
  </si>
  <si>
    <t>COUNT(CASE WHEN ultcp_retranspacket / outputpacket &gt;= ${ULTCP_RetransPacketRatio_seg_1_1} AND ultcp_retranspacket / outputpacket &lt; ${ULTCP_RetransPacketRatio_seg_1_2} THEN 1 ELSE NULL END) AS ULTCP_RetransPacketRatio_seg_1</t>
  </si>
  <si>
    <t>COUNT(CASE WHEN ultcp_retranspacket / outputpacket &gt;= ${ULTCP_RetransPacketRatio_seg_2_1} AND ultcp_retranspacket / outputpacket &lt; ${ULTCP_RetransPacketRatio_seg_2_2} THEN 1 ELSE NULL END) AS ULTCP_RetransPacketRatio_seg_2</t>
  </si>
  <si>
    <t>COUNT(CASE WHEN ultcp_retranspacket / outputpacket &gt;= ${ULTCP_RetransPacketRatio_seg_3_1} AND ultcp_retranspacket / outputpacket &lt; ${ULTCP_RetransPacketRatio_seg_3_2} THEN 1 ELSE NULL END) AS ULTCP_RetransPacketRatio_seg_3</t>
  </si>
  <si>
    <t>COUNT(CASE WHEN ultcp_retranspacket / outputpacket &gt;= ${ULTCP_RetransPacketRatio_seg_4_1} AND ultcp_retranspacket / outputpacket &lt; ${ULTCP_RetransPacketRatio_seg_4_2} THEN 1 ELSE NULL END) AS ULTCP_RetransPacketRatio_seg_4</t>
  </si>
  <si>
    <t>COUNT(CASE WHEN ultcp_retranspacket / outputpacket &gt;= ${ULTCP_RetransPacketRatio_seg_5_1} AND ultcp_retranspacket / outputpacket &lt; ${ULTCP_RetransPacketRatio_seg_5_2} THEN 1 ELSE NULL END) AS ULTCP_RetransPacketRatio_seg_5</t>
  </si>
  <si>
    <t>COUNT(CASE WHEN dltcp_retranspacket / inputpacket &gt;= ${DLTCP_RetransPacketRatio_seg_1_1} AND dltcp_retranspacket / inputpacket &lt; ${DLTCP_RetransPacketRatio_seg_1_2} THEN 1 ELSE NULL END) AS DLTCP_RetransPacketRatio_seg_1</t>
  </si>
  <si>
    <t>COUNT(CASE WHEN dltcp_retranspacket / inputpacket &gt;= ${DLTCP_RetransPacketRatio_seg_2_1} AND dltcp_retranspacket / inputpacket &lt; ${DLTCP_RetransPacketRatio_seg_2_2} THEN 1 ELSE NULL END) AS DLTCP_RetransPacketRatio_seg_2</t>
  </si>
  <si>
    <t>COUNT(CASE WHEN dltcp_retranspacket / inputpacket &gt;= ${DLTCP_RetransPacketRatio_seg_3_1} AND dltcp_retranspacket / inputpacket &lt; ${DLTCP_RetransPacketRatio_seg_3_2} THEN 1 ELSE NULL END) AS DLTCP_RetransPacketRatio_seg_3</t>
  </si>
  <si>
    <t>COUNT(CASE WHEN dltcp_retranspacket / inputpacket &gt;= ${DLTCP_RetransPacketRatio_seg_4_1} AND dltcp_retranspacket / inputpacket &lt; ${DLTCP_RetransPacketRatio_seg_4_2} THEN 1 ELSE NULL END) AS DLTCP_RetransPacketRatio_seg_4</t>
  </si>
  <si>
    <t>COUNT(CASE WHEN dltcp_retranspacket / inputpacket &gt;= ${DLTCP_RetransPacketRatio_seg_5_1} AND dltcp_retranspacket / inputpacket &lt; ${DLTCP_RetransPacketRatio_seg_5_2} THEN 1 ELSE NULL END) AS DLTCP_RetransPacketRatio_seg_5</t>
  </si>
  <si>
    <t>置0</t>
  </si>
  <si>
    <t>COUNT(CASE WHEN httpwebscreendelay &gt;= ${times_excellentrspdelay_1} AND httpwebscreendelay &lt; ${times_excellentrspdelay_2} THEN 1 ELSE NULL END) AS times_excellentrspdelay</t>
  </si>
  <si>
    <t>COUNT(CASE WHEN httpwebscreendelay &gt;= ${times_inferiorrspdelay_1} AND httpwebscreendelay &lt; ${times_inferiorrspdelay_2} THEN 1 ELSE NULL END) AS times_inferiorrspdelay</t>
  </si>
  <si>
    <t>COUNT(CASE WHEN httpwebscreendelay &gt;= ${times_wellrspdelay_1} AND httpwebscreendelay &lt; ${times_wellrspdelay_2} THEN 1 ELSE NULL END)         AS times_wellrspdelay</t>
  </si>
  <si>
    <t>COUNT(CASE WHEN httpwebdspdelay &gt;= ${times_excellentcmpltdelay_1} AND httpwebdspdelay &lt; ${times_excellentcmpltdelay_2} THEN 1 ELSE NULL END) AS times_excellentcmpltdelay</t>
  </si>
  <si>
    <t>COUNT(CASE WHEN httpwebdspdelay &gt;= ${times_inferiorcmpltdelay_1} AND httpwebdspdelay &lt; ${times_inferiorcmpltdelay_2} THEN 1 ELSE NULL END)   AS times_inferiorcmpltdelay</t>
  </si>
  <si>
    <t>COUNT(CASE WHEN httpwebdspdelay &gt;= ${times_wellcmpltdelay_1} AND httpwebdspdelay &lt; ${times_wellcmpltdelay_2} THEN 1 ELSE NULL END)           AS times_wellcmpltdelay</t>
  </si>
  <si>
    <t>SUM(CASE WHEN if(inputoctets &lt;= outputoctets,1,0) THEN 1 ELSE 0 END)                                                                                     AS ul_text_cnt</t>
  </si>
  <si>
    <t>数据流中所有上行文本消息平均时长</t>
  </si>
  <si>
    <t>AVG(CASE WHEN if(inputoctets &lt;= outputoctets,1,0) THEN httpwebdspdelay ELSE NULL END)                                                                               AS ul_text_duration</t>
  </si>
  <si>
    <t>SUM(CASE WHEN if(inputoctets &lt;= outputoctets,1,0)=0 THEN 1 ELSE 0 END)                                                                                     AS ul_text_cnt</t>
  </si>
  <si>
    <t>AVG(CASE WHEN if(inputoctets &lt;= outputoctets,1,0)=0 THEN httpwebdspdelay ELSE NULL END)                                                                               AS ul_text_duration</t>
  </si>
  <si>
    <t>消息发送成功率优秀次数</t>
  </si>
  <si>
    <t>消息发送成功率劣质次数</t>
  </si>
  <si>
    <t>COUNT(CASE WHEN tcpsetupdelay &gt;= ${times_excellentgamedelay_1} AND tcpsetupdelay &lt; ${times_excellentgamedelay_2} THEN 1 ELSE NULL END)       AS times_excellentgamedelay</t>
  </si>
  <si>
    <t>COUNT(CASE WHEN tcpsetupdelay &gt;= ${times_inferiorgamedelay_1} AND tcpsetupdelay &lt; ${times_inferiorgamedelay_2} THEN 1 ELSE NULL END)         AS times_inferiorgamedelay</t>
  </si>
  <si>
    <t>COUNT(CASE WHEN tcpsetupdelay &gt;= ${times_wellgamedelay_1} AND tcpsetupdelay &lt; ${times_wellgamedelay_2} THEN 1 ELSE NULL END)                 AS times_wellgamedelay</t>
  </si>
  <si>
    <t>5G VIDEO基础时刻表</t>
  </si>
  <si>
    <t>5G VIDEO整合层表</t>
  </si>
  <si>
    <t>Interface</t>
  </si>
  <si>
    <t>VisitedPLMNId</t>
  </si>
  <si>
    <t>PEI</t>
  </si>
  <si>
    <t>UPFIP</t>
  </si>
  <si>
    <t>gNBIP</t>
  </si>
  <si>
    <t>Video_Resolution</t>
  </si>
  <si>
    <t>视频分辨率</t>
  </si>
  <si>
    <t>VideoType</t>
  </si>
  <si>
    <t>视频文件格式</t>
  </si>
  <si>
    <t>DNN_APN</t>
  </si>
  <si>
    <t>用户IP类型</t>
  </si>
  <si>
    <t>SourceIP</t>
  </si>
  <si>
    <t>Home_Province</t>
  </si>
  <si>
    <t>拜访地省份名称</t>
  </si>
  <si>
    <t>拜访地地市名称</t>
  </si>
  <si>
    <t>拜访地区县名称</t>
  </si>
  <si>
    <t>业务类型</t>
  </si>
  <si>
    <t>上行包数</t>
  </si>
  <si>
    <t>下行包数</t>
  </si>
  <si>
    <t>dl_datatransduration</t>
  </si>
  <si>
    <t>sum(dl_datatransduration)</t>
  </si>
  <si>
    <t>VideoPlayRequestCount</t>
  </si>
  <si>
    <t>VideoPlaySuccessCount</t>
  </si>
  <si>
    <t>sum(case  when videoplaysuccess=1 then 1 else 0 end)</t>
  </si>
  <si>
    <t>VideoPlayFailureCount</t>
  </si>
  <si>
    <t>count(1)-sum(case  when videoplaysuccess=1 then 1 else 0 end)</t>
  </si>
  <si>
    <t>VideoPlayHaltCount</t>
  </si>
  <si>
    <t>VideoPlayNoHaltCount</t>
  </si>
  <si>
    <t>ConnectionCount</t>
  </si>
  <si>
    <t>每次业务流数</t>
  </si>
  <si>
    <t>connectioncount</t>
  </si>
  <si>
    <t>sum(connectioncount)</t>
  </si>
  <si>
    <t>1-131955</t>
  </si>
  <si>
    <t>视频播放总时长</t>
  </si>
  <si>
    <t>sum(lastdatapkgtimee-firstdatapkgtime)</t>
  </si>
  <si>
    <t>VideoPlayWaitTime_sum</t>
  </si>
  <si>
    <t>VideoRecoverTime_sum</t>
  </si>
  <si>
    <t>videothroughput_total</t>
  </si>
  <si>
    <t>sum(case when videoplaysuccess=1 and videothroughput&lt;1024000 and videothroughput&gt;0 then videothroughput else null end)</t>
  </si>
  <si>
    <t>1-335158112</t>
  </si>
  <si>
    <t>videothroughput_cnt</t>
  </si>
  <si>
    <t>sum(case when videoplaysuccess=1 and videothroughput&lt;1024000 and videothroughput&gt;0   then 1 else null end)</t>
  </si>
  <si>
    <t>1-17295</t>
  </si>
  <si>
    <t>视频缓存下载速率算数求和</t>
  </si>
  <si>
    <t>sum(case when videoplaysuccess=1 and videocachethroughput&lt;1024000 and videocachethroughput&gt;0 then videocachethroughput else null end)</t>
  </si>
  <si>
    <t>视频缓存下载次数</t>
  </si>
  <si>
    <t>sum(case when videoplaysuccess=1 and videocachethroughput&lt;1024000 and videocachethroughput&gt;0 then 1 else null end)</t>
  </si>
  <si>
    <t>VideoSize</t>
  </si>
  <si>
    <t>字节</t>
  </si>
  <si>
    <t>1-69350983525</t>
  </si>
  <si>
    <t>CachedVideoSize</t>
  </si>
  <si>
    <t>CachedVideoSize、CachedVideoDuration</t>
  </si>
  <si>
    <t>0-34414981</t>
  </si>
  <si>
    <t>CachedVideoDuration_sum</t>
  </si>
  <si>
    <t>Video_Resolution_Level_total</t>
  </si>
  <si>
    <t>视频清晰度总和</t>
  </si>
  <si>
    <t>sum(case when Video_Resolution_Level&gt;=100 and Video_Resolution_Level&lt;=500 then Video_Resolution_Level else null end)</t>
  </si>
  <si>
    <t>200-8647500</t>
  </si>
  <si>
    <t>Video_Resolution_Level_cnt</t>
  </si>
  <si>
    <t>视频清晰度次数</t>
  </si>
  <si>
    <t>sum(case when Video_Resolution_Level&gt;=100 and Video_Resolution_Level&lt;=500 then 1 else null end)</t>
  </si>
  <si>
    <t>Video_Resolution_Level</t>
  </si>
  <si>
    <t>视频清晰度，取值范围100~500，分值越高越清晰</t>
  </si>
  <si>
    <t>sum(case when Video_Resolution_Level&gt;=100 and Video_Resolution_Level&lt;=500 then Video_Resolution_Level else null end)/sum(case when Video_Resolution_Level&gt;=100 and Video_Resolution_Level&lt;=500 then 1 else null end)</t>
  </si>
  <si>
    <t>200-500</t>
  </si>
  <si>
    <t>Video_Fluency_Level_total</t>
  </si>
  <si>
    <t>视频流畅度总和</t>
  </si>
  <si>
    <t>sum(case when Video_Fluency_Level&gt;=100 and Video_Fluency_Level&lt;=500 then Video_Fluency_Level else null end)</t>
  </si>
  <si>
    <t>100-3853885</t>
  </si>
  <si>
    <t>Video_Fluency_Level_cnt</t>
  </si>
  <si>
    <t>视频流畅度次数</t>
  </si>
  <si>
    <t>sum(case when Video_Fluency_Level&gt;=100 and Video_Fluency_Level&lt;=500 then 1 else null end)</t>
  </si>
  <si>
    <t>Video_Fluency_Level</t>
  </si>
  <si>
    <t>视频流畅度，取值100~500，分值越高越流畅</t>
  </si>
  <si>
    <t>sum(case when Video_Fluency_Level&gt;=100 and Video_Fluency_Level&lt;=500 then Video_Fluency_Level else null end)/sum(case when Video_Fluency_Level&gt;=100 and Video_Fluency_Level&lt;=500 then 1 else null end)</t>
  </si>
  <si>
    <t>100-500</t>
  </si>
  <si>
    <t>VideoPlaySuccessRatio</t>
  </si>
  <si>
    <t>sum(case  when videoplaysuccess=1 then 1 else 0 end)/count(1)</t>
  </si>
  <si>
    <t>视频卡顿率_分子</t>
  </si>
  <si>
    <t>sum(case when videoplaysuccess=1  and videocachethroughput&lt;1024000 and videocachethroughput&gt;0   and inputoctets&gt;0 and videobitrate&gt;0 and videoplayhaltcount/(cast(inputoctets as bigint)*8/(videobitrate*1000)/60)&lt;=10 then videoplayhaltcount/(cast(inputoctets as bigint)*8/(videobitrate*1000)/60)  else null end)</t>
  </si>
  <si>
    <t>视频卡顿率_分母</t>
  </si>
  <si>
    <t>sum(case when videoplaysuccess=1  and videocachethroughput&lt;1024000 and videocachethroughput&gt;0   and inputoctets&gt;0 and videobitrate&gt;0 and videoplayhaltcount/(cast(inputoctets as bigint)*8/(videobitrate*1000)/60)&lt;=10 then 1 else null end)</t>
  </si>
  <si>
    <t>VideoPlayHaltCountPerMin</t>
  </si>
  <si>
    <t>sum(case when videoplaysuccess=1  and videocachethroughput&lt;1024000 and videocachethroughput&gt;0   and inputoctets&gt;0 and videobitrate&gt;0 and videoplayhaltcount/(cast(inputoctets as bigint)*8/(videobitrate*1000)/60)&lt;=10 then videoplayhaltcount/(cast(inputoctets as bigint)*8/(videobitrate*1000)/60)  else null end)/sum(case when videoplaysuccess=1  and videocachethroughput&lt;1024000 and videocachethroughput&gt;0   and inputoctets&gt;0 and videobitrate&gt;0 and videoplayhaltcount/(cast(inputoctets as bigint)*8/(videobitrate*1000)/60)&lt;=10 then 1 else null end)</t>
  </si>
  <si>
    <t>次/分钟</t>
  </si>
  <si>
    <t>VideoRecoverTimeRatio</t>
  </si>
  <si>
    <t>videoplaytime_without_halt、videorecovertime</t>
  </si>
  <si>
    <t>nvl(sum(videorecovertime)/(sum(videorecovertime)+sum(videoplaytime_without_halt)),0)</t>
  </si>
  <si>
    <t>VideoPlayWaitTimeRatio</t>
  </si>
  <si>
    <t>videoplaytime_without_halt、videoplaywaittime</t>
  </si>
  <si>
    <t>nvl(sum(videoplaywaittime)/(sum(videoplaywaittime)+sum(videoplaytime_without_halt)),0)</t>
  </si>
  <si>
    <t>CachedVideoDurationRatio</t>
  </si>
  <si>
    <t>缓冲段视频下载时长占比</t>
  </si>
  <si>
    <t>videoplaytime_without_halt、cachedvideoduration</t>
  </si>
  <si>
    <t>nvl(sum(cachedvideoduration)/(sum(cachedvideoduration)+sum(videoplaytime_without_halt)),0)</t>
  </si>
  <si>
    <t>0-272374</t>
  </si>
  <si>
    <t>CachedVideoDuration、VideoPlaySuccess</t>
  </si>
  <si>
    <t>sum(cae when CachedVideoDuration&gt;0 and VideoPlaySuccess=1 then  1 end)</t>
  </si>
  <si>
    <t>videoplayhaltcount、videobitrate、CachedVideoDuration</t>
  </si>
  <si>
    <t>sum(case when  videobitrate&gt;0 AND (CachedVideoDuration&gt;0 or CachedVideoDuration is null)  and videoplayhaltcount&gt;0 then  1 else 0 end)</t>
  </si>
  <si>
    <t>videobitrate、CachedVideoDuration</t>
  </si>
  <si>
    <t>videosize、videoplayhaltcount、videoplaysuccess、VideoCacheThroughput、videobitrate</t>
  </si>
  <si>
    <t>sum(case when cast(videosize as bigint)&gt;=500*1024  and (videoplayhaltcount is not null or videoplayhaltcount&lt;&gt;'') and videoplaysuccess=1 and cast(VideoCacheThroughput as double)&gt;=0 and cast(VideoCacheThroughput as double)&lt;1000*1024 and cast(videobitrate as double)&gt;0 then cast(videosize as double)  else 0 end)</t>
  </si>
  <si>
    <t>videosize、videoplayhaltcount、videoplaysuccess、VideoCacheThroughput、videobitrate、FirstDataPkgTime、lastdatapkgtime</t>
  </si>
  <si>
    <t>sum(case when cast(videosize as bigint)&gt;=500*1024  and (videoplayhaltcount is not null or videoplayhaltcount&lt;&gt;'') and videoplaysuccess=1 and cast(VideoCacheThroughput as double)&gt;=0 and cast(VideoCacheThroughput as double)&lt;1000*1024 and cast(videobitrate as double)&gt;0 and FirstDataPkgTime&gt;0 and  lastdatapkgtime-FirstDataPkgTime&gt;0  then lastdatapkgtime - firstdatapkgtime  else 0 end)</t>
  </si>
  <si>
    <t>TCPConnectState</t>
  </si>
  <si>
    <t>sum(case when TCPConnectState=1 then  1 else 0 end)</t>
  </si>
  <si>
    <t>sum(case when tcpsynnumber&gt;0  and TCPSetupResponseDelay&gt;0 then  1 else 0 end)</t>
  </si>
  <si>
    <t>TCPSetupResponseDelay、TCPSetupACKDelay</t>
  </si>
  <si>
    <t>UL_Data_TransDuration</t>
  </si>
  <si>
    <t>sum(case when UL_Data_TransDuration&gt;0 then 1 else 0 end)</t>
  </si>
  <si>
    <t>DL_DataTransDuration_cnt</t>
  </si>
  <si>
    <t>DL_DataTransDuration</t>
  </si>
  <si>
    <t>sum(case when DL_DataTransDuration&gt;0 then 1 else 0 end)</t>
  </si>
  <si>
    <t>Delay_Setup_FirstTransaction_cnt</t>
  </si>
  <si>
    <t>Delay_Setup_FirstTransaction</t>
  </si>
  <si>
    <t>Delay_FirstTransaction_FirstResPackt_cnt</t>
  </si>
  <si>
    <t>Delay_FirstTransaction_FirstResPackt</t>
  </si>
  <si>
    <t>outputoctets、UL_Data_TransDuration</t>
  </si>
  <si>
    <t>sum(case when UL_Data_TransDuration&gt;0 and  OutputOctets&gt;=500*1024 then UL_Data_TransDuration else 0 end)</t>
  </si>
  <si>
    <t>inputoctets、DL_DataTransDuration</t>
  </si>
  <si>
    <t>sum(case when DL_DataTransDuration&gt;0 and  inputoctets&gt;=500*1024 then DL_DataTransDuration else 0 end)</t>
  </si>
  <si>
    <t>videosize、videoplayhaltcount、videoplaysuccess、videocachethroughput、videobitrate</t>
  </si>
  <si>
    <t>sum(case when cast(videosize as bigint)&gt;=500*1024  and (videoplayhaltcount is not null or videoplayhaltcount&lt;&gt;'') and videoplaysuccess=1 and cast(videocachethroughput as double)&gt;=0 and cast(videocachethroughput as double)&lt;1000*1024 and cast(videobitrate as double)&gt;0 then 1 else 0 end)</t>
  </si>
  <si>
    <t>sum(case when cast(videosize as bigint)&gt;=500*1024  and (videoplayhaltcount is not null or videoplayhaltcount&lt;&gt;'') and videoplaysuccess=1 and cast(videocachethroughput as double)&gt;=0 and cast(videocachethroughput as double)&lt;1000*1024 and cast(videobitrate as double)&gt;0 then videocachethroughput else 0 end)</t>
  </si>
  <si>
    <t>videoplaytime_to_videobitrate</t>
  </si>
  <si>
    <t>视频播放时长</t>
  </si>
  <si>
    <t>inputoctets、videobitrate</t>
  </si>
  <si>
    <t>sum(((inputoctets*8/1000)/videobitrate)/60)</t>
  </si>
  <si>
    <t>cachethroughput_bitrate_goodratio</t>
  </si>
  <si>
    <t>速率码率优良率</t>
  </si>
  <si>
    <t>cachethroughput_bitrate_ratio_numerator_custom、cachethroughput_bitrate_ratio_denominator_custom</t>
  </si>
  <si>
    <t>sum(cachethroughput_bitrate_ratio_numerator_custom)/sum(cachethroughput_bitrate_ratio_denominator_custom)</t>
  </si>
  <si>
    <t>count(case when VideoPlayHaltCountPerMin&gt;=#times_excellentHaltCountPerMin_seg_1_1st# and VideoPlayHaltCountPerMin&lt;#times_excellentHaltCountPerMin_seg_1_2nd# then 1 else null end)</t>
  </si>
  <si>
    <t>count(case when VideoPlayHaltCountPerMin&gt;=#times_inferiorHaltCountPerMin_seg_1_1st# and VideoPlayHaltCountPerMin&lt;#times_inferiorHaltCountPerMin_seg_1_2nd# then 1 else null end)</t>
  </si>
  <si>
    <t>count(case when VideoPlayHaltCountPerMin&gt;=#times_wellHaltCountPerMin_seg_1_1st# and VideoPlayHaltCountPerMin&lt;#times_wellHaltCountPerMin_seg_1_2nd# then 1 else null end)</t>
  </si>
  <si>
    <t>throughput_total</t>
  </si>
  <si>
    <t>http下载速率_总速率</t>
  </si>
  <si>
    <t>http_throughput</t>
  </si>
  <si>
    <t>sum(http_throughput)</t>
  </si>
  <si>
    <t>0-111555</t>
  </si>
  <si>
    <t>http下载速率_根据IP报文统计_avg</t>
  </si>
  <si>
    <t>avg(http_throughput)</t>
  </si>
  <si>
    <t>http下载速率_根据IP报文统计_seg_1</t>
  </si>
  <si>
    <t>count(case when http_throughput&gt;=#http_throughput_seg_1_1st# and http_throughput&lt;#http_throughput_seg_1_2nd# then 1 else null end)</t>
  </si>
  <si>
    <t>http下载速率_根据IP报文统计_seg_2</t>
  </si>
  <si>
    <t>count(case when http_throughput&gt;=#http_throughput_seg_2_1st# and http_throughput&lt;#http_throughput_seg_2_2nd# then 1 else null end)</t>
  </si>
  <si>
    <t>http下载速率_根据IP报文统计_seg_3</t>
  </si>
  <si>
    <t>count(case when http_throughput&gt;=#http_throughput_seg_3_1st# and http_throughput&lt;#http_throughput_seg_3_2nd# then 1 else null end)</t>
  </si>
  <si>
    <t>http下载速率_根据IP报文统计_seg_4</t>
  </si>
  <si>
    <t>count(case when http_throughput&gt;=#http_throughput_seg_4_1st# and http_throughput&lt;#http_throughput_seg_4_2nd# then 1 else null end)</t>
  </si>
  <si>
    <t>http下载速率_根据IP报文统计_seg_5</t>
  </si>
  <si>
    <t>count(case when http_throughput&gt;=#http_throughput_seg_5_1st# and http_throughput&lt;#http_throughput_seg_5_2nd# then 1 else null end)</t>
  </si>
  <si>
    <t>count(case when tcpsetupdelay&gt;=#tcpsetupdelay_seg_1_1st# and tcpsetupdelay&lt;#tcpsetupdelay_seg_1_2nd# then 1 else null end)</t>
  </si>
  <si>
    <t>count(case when tcpsetupdelay&gt;=#tcpsetupdelay_seg_2_1st# and tcpsetupdelay&lt;#tcpsetupdelay_seg_2_2nd# then 1 else null end)</t>
  </si>
  <si>
    <t>count(case when tcpsetupdelay&gt;=#tcpsetupdelay_seg_3_1st# and tcpsetupdelay&lt;#tcpsetupdelay_seg_3_2nd# then 1 else null end)</t>
  </si>
  <si>
    <t>count(case when tcpsetupdelay&gt;=#tcpsetupdelay_seg_4_1st# and tcpsetupdelay&lt;#tcpsetupdelay_seg_4_2nd# then 1 else null end)</t>
  </si>
  <si>
    <t>count(case when tcpsetupdelay&gt;=#tcpsetupdelay_seg_5_1st# and tcpsetupdelay&lt;#tcpsetupdelay_seg_5_2nd# then 1 else null end)</t>
  </si>
  <si>
    <t>VideoPlayHaltCount_avg</t>
  </si>
  <si>
    <t>avg(VideoPlayHaltCount)</t>
  </si>
  <si>
    <t>VideoPlayHaltCount_seg_1</t>
  </si>
  <si>
    <t>count(case when VideoPlayHaltCount&gt;=#VideoPlayHaltCount_seg_1_1st# and VideoPlayHaltCount&lt;#VideoPlayHaltCount_seg_1_2nd# then 1 else null end)</t>
  </si>
  <si>
    <t>VideoPlayHaltCount_seg_2</t>
  </si>
  <si>
    <t>count(case when VideoPlayHaltCount&gt;=#VideoPlayHaltCount_seg_2_1st# and VideoPlayHaltCount&lt;#VideoPlayHaltCount_seg_2_2nd# then 1 else null end)</t>
  </si>
  <si>
    <t>VideoPlayHaltCount_seg_3</t>
  </si>
  <si>
    <t>count(case when VideoPlayHaltCount&gt;=#VideoPlayHaltCount_seg_3_1st# and VideoPlayHaltCount&lt;#VideoPlayHaltCount_seg_3_2nd# then 1 else null end)</t>
  </si>
  <si>
    <t>VideoPlayHaltCount_seg_4</t>
  </si>
  <si>
    <t>count(case when VideoPlayHaltCount&gt;=#VideoPlayHaltCount_seg_4_1st# and VideoPlayHaltCount&lt;#VideoPlayHaltCount_seg_4_2nd# then 1 else null end)</t>
  </si>
  <si>
    <t>VideoPlayHaltCount_seg_5</t>
  </si>
  <si>
    <t>count(case when VideoPlayHaltCount&gt;=#VideoPlayHaltCount_seg_5_1st# and VideoPlayHaltCount&lt;#VideoPlayHaltCount_seg_5_2nd# then 1 else null end)</t>
  </si>
  <si>
    <t>videoplayhaltratio_total、videoplayhaltratio_cnt</t>
  </si>
  <si>
    <t>sum(videoplayhaltratio_total)/sum(videoplayhaltratio_cnt)</t>
  </si>
  <si>
    <t>count(case when videoplayhaltcountpermin&gt;=#videoplayhaltcountpermin_seg_1_1st# and videoplayhaltcountpermin&lt;#videoplayhaltcountpermin_seg_1_2nd# then 1 else null end)</t>
  </si>
  <si>
    <t>count(case when videoplayhaltcountpermin&gt;=#videoplayhaltcountpermin_seg_2_1st# and videoplayhaltcountpermin&lt;#videoplayhaltcountpermin_seg_2_2nd# then 1 else null end)</t>
  </si>
  <si>
    <t>count(case when videoplayhaltcountpermin&gt;=#videoplayhaltcountpermin_seg_3_1st# and videoplayhaltcountpermin&lt;#videoplayhaltcountpermin_seg_3_2nd# then 1 else null end)</t>
  </si>
  <si>
    <t>count(case when videoplayhaltcountpermin&gt;=#videoplayhaltcountpermin_seg_4_1st# and videoplayhaltcountpermin&lt;#videoplayhaltcountpermin_seg_4_2nd# then 1 else null end)</t>
  </si>
  <si>
    <t>count(case when videoplayhaltcountpermin&gt;=#videoplayhaltcountpermin_seg_5_1st# and videoplayhaltcountpermin&lt;#videoplayhaltcountpermin_seg_5_2nd# then 1 else null end)</t>
  </si>
  <si>
    <t>VideoPlayWaitTime_avg</t>
  </si>
  <si>
    <t>VideoPlayWaitTime_seg_1</t>
  </si>
  <si>
    <t>VideoPlayWaitTime_seg_2</t>
  </si>
  <si>
    <t>VideoPlayWaitTime_seg_3</t>
  </si>
  <si>
    <t>VideoPlayWaitTime_seg_4</t>
  </si>
  <si>
    <t>VideoPlayWaitTime_seg_5</t>
  </si>
  <si>
    <t>VideoRecoverTime_avg</t>
  </si>
  <si>
    <t>VideoRecoverTime_seg_1</t>
  </si>
  <si>
    <t>VideoRecoverTime_seg_2</t>
  </si>
  <si>
    <t>VideoRecoverTime_seg_3</t>
  </si>
  <si>
    <t>VideoRecoverTime_seg_4</t>
  </si>
  <si>
    <t>VideoRecoverTime_seg_5</t>
  </si>
  <si>
    <t>VideoThroughput_avg</t>
  </si>
  <si>
    <t>视频下载速率_avg</t>
  </si>
  <si>
    <t>videothroughput_total、videothroughput_cnt</t>
  </si>
  <si>
    <t>sum(videothroughput_total)/sum(videothroughput_cnt)</t>
  </si>
  <si>
    <t>Kbps</t>
  </si>
  <si>
    <t>1-1000384</t>
  </si>
  <si>
    <t>videothroughput</t>
  </si>
  <si>
    <t>count(case when videothroughput&gt;=#videothroughput_seg_1_1st# and videothroughput&lt;#videothroughput_seg_1_2nd# then 1 else null end)</t>
  </si>
  <si>
    <t>0-863</t>
  </si>
  <si>
    <t>count(case when videothroughput&gt;=#videothroughput_seg_2_1st# and videothroughput&lt;#videothroughput_seg_2_2nd# then 1 else null end)</t>
  </si>
  <si>
    <t>0-1991</t>
  </si>
  <si>
    <t>count(case when videothroughput&gt;=#videothroughput_seg_3_1st# and videothroughput&lt;#videothroughput_seg_3_2nd# then 1 else null end)</t>
  </si>
  <si>
    <t>0-2309</t>
  </si>
  <si>
    <t>count(case when videothroughput&gt;=#videothroughput_seg_4_1st# and videothroughput&lt;#videothroughput_seg_4_2nd# then 1 else null end)</t>
  </si>
  <si>
    <t>0-2691</t>
  </si>
  <si>
    <t>count(case when videothroughput&gt;=#videothroughput_seg_5_1st# and videothroughput&lt;#videothroughput_seg_5_2nd# then 1 else null end)</t>
  </si>
  <si>
    <t>0-14348</t>
  </si>
  <si>
    <t>VideoCacheThroughput_avg</t>
  </si>
  <si>
    <t>视频缓冲段下载速率_avg。算法见《中国电信移动互联网业务感知质量评价细则》</t>
  </si>
  <si>
    <t>sum(videocachethroughput_total)/sum(videocachethroughput_cnt)</t>
  </si>
  <si>
    <t>VideoCacheThroughput_seg_1</t>
  </si>
  <si>
    <t>VideoCacheThroughput_seg_2</t>
  </si>
  <si>
    <t>VideoCacheThroughput_seg_3</t>
  </si>
  <si>
    <t>VideoCacheThroughput_seg_4</t>
  </si>
  <si>
    <t>VideoCacheThroughput_seg_5</t>
  </si>
  <si>
    <t>VideoBitRate_avg</t>
  </si>
  <si>
    <t>视频质量_avg，即视频平均码率，单位Kbps</t>
  </si>
  <si>
    <t>videobitrate_total、videobitrate_cnt</t>
  </si>
  <si>
    <t>sum(videobitrate_total)/sum(videobitrate_cnt)</t>
  </si>
  <si>
    <t>VideoBitRate_seg_1</t>
  </si>
  <si>
    <t>视频质量_seg_1</t>
  </si>
  <si>
    <t>count(case when videobitrate&gt;=#videobitrate_seg_1_1st# and videobitrate&lt;#videobitrate_seg_1_2nd# then 1 else null end)</t>
  </si>
  <si>
    <t>0-17294</t>
  </si>
  <si>
    <t>VideoBitRate_seg_2</t>
  </si>
  <si>
    <t>视频质量_seg_2</t>
  </si>
  <si>
    <t>count(case when videobitrate&gt;=#videobitrate_seg_2_1st# and videobitrate&lt;#videobitrate_seg_2_2nd# then 1 else null end)</t>
  </si>
  <si>
    <t>0-3517</t>
  </si>
  <si>
    <t>VideoBitRate_seg_3</t>
  </si>
  <si>
    <t>视频质量_seg_3</t>
  </si>
  <si>
    <t>count(case when videobitrate&gt;=#videobitrate_seg_3_1st# and videobitrate&lt;#videobitrate_seg_3_2nd# then 1 else null end)</t>
  </si>
  <si>
    <t>0-2600</t>
  </si>
  <si>
    <t>VideoBitRate_seg_4</t>
  </si>
  <si>
    <t>视频质量_seg_4</t>
  </si>
  <si>
    <t>count(case when videobitrate&gt;=#videobitrate_seg_4_1st# and videobitrate&lt;#videobitrate_seg_4_2nd# then 1 else null end)</t>
  </si>
  <si>
    <t>0-1747</t>
  </si>
  <si>
    <t>VideoBitRate_seg_5</t>
  </si>
  <si>
    <t>视频质量_seg_5</t>
  </si>
  <si>
    <t>count(case when videobitrate&gt;=#videobitrate_seg_5_1st# and videobitrate&lt;#videobitrate_seg_5_2nd# then 1 else null end)</t>
  </si>
  <si>
    <t>0-335</t>
  </si>
  <si>
    <t>CachedVideoDuration_avg</t>
  </si>
  <si>
    <t>CachedVideoDuration_seg_1</t>
  </si>
  <si>
    <t>CachedVideoDuration_seg_2</t>
  </si>
  <si>
    <t>CachedVideoDuration_seg_3</t>
  </si>
  <si>
    <t>CachedVideoDuration_seg_4</t>
  </si>
  <si>
    <t>CachedVideoDuration_seg_5</t>
  </si>
  <si>
    <t>Video_Resolution_Level_avg</t>
  </si>
  <si>
    <t>视频清晰度_avg，取值范围100~500，分值越高越清晰</t>
  </si>
  <si>
    <t>Video_Resolution_Level_total、Video_Resolution_Level_cnt</t>
  </si>
  <si>
    <t>sum(Video_Resolution_Level_total)/sum(Video_Resolution_Level_cnt)</t>
  </si>
  <si>
    <t>Video_Resolution_Level_seg_1</t>
  </si>
  <si>
    <t>视频清晰度_seg_1</t>
  </si>
  <si>
    <t>video_resolution_level</t>
  </si>
  <si>
    <t>count(case when video_resolution_level&gt;=#video_resolution_level_seg_1_1st# and video_resolution_level&lt;#video_resolution_level_seg_1_2nd# then 1 else null end)</t>
  </si>
  <si>
    <t>Video_Resolution_Level_seg_2</t>
  </si>
  <si>
    <t>视频清晰度_seg_2</t>
  </si>
  <si>
    <t>count(case when video_resolution_level&gt;=#video_resolution_level_seg_2_1st# and video_resolution_level&lt;#video_resolution_level_seg_2_2nd# then 1 else null end)</t>
  </si>
  <si>
    <t>Video_Resolution_Level_seg_3</t>
  </si>
  <si>
    <t>视频清晰度_seg_3</t>
  </si>
  <si>
    <t>count(case when video_resolution_level&gt;=#video_resolution_level_seg_3_1st# and video_resolution_level&lt;#video_resolution_level_seg_3_2nd# then 1 else null end)</t>
  </si>
  <si>
    <t>0-1249</t>
  </si>
  <si>
    <t>Video_Resolution_Level_seg_4</t>
  </si>
  <si>
    <t>视频清晰度_seg_4</t>
  </si>
  <si>
    <t>count(case when video_resolution_level&gt;=#video_resolution_level_seg_4_1st# and video_resolution_level&lt;#video_resolution_level_seg_4_2nd# then 1 else null end)</t>
  </si>
  <si>
    <t>0-1459</t>
  </si>
  <si>
    <t>Video_Resolution_Level_seg_5</t>
  </si>
  <si>
    <t>视频清晰度_seg_5</t>
  </si>
  <si>
    <t>count(case when video_resolution_level&gt;=#video_resolution_level_seg_5_1st# and video_resolution_level&lt;#video_resolution_level_seg_5_2nd# then 1 else null end)</t>
  </si>
  <si>
    <t>0-5360</t>
  </si>
  <si>
    <t>Video_Fluency_Level_avg</t>
  </si>
  <si>
    <t>视频流畅度_avg，取值100~500，分值越高越流畅</t>
  </si>
  <si>
    <t>Video_Fluency_Level_total、Video_Fluency_Level_cnt</t>
  </si>
  <si>
    <t>sum(Video_Fluency_Level_total)/sum(Video_Fluency_Level_cnt)</t>
  </si>
  <si>
    <t>Video_Fluency_Level_seg_1</t>
  </si>
  <si>
    <t>视频流畅度_seg_1</t>
  </si>
  <si>
    <t>count(case when Video_Fluency_Level&gt;=#Video_Fluency_Level_seg_1_1st# and Video_Fluency_Level&lt;#Video_Fluency_Level_seg_1_2nd# then 1 else null end)</t>
  </si>
  <si>
    <t>Video_Fluency_Level_seg_2</t>
  </si>
  <si>
    <t>视频流畅度_seg_2</t>
  </si>
  <si>
    <t>count(case when Video_Fluency_Level&gt;=#Video_Fluency_Level_seg_2_1st# and Video_Fluency_Level&lt;#Video_Fluency_Level_seg_2_2nd# then 1 else null end)</t>
  </si>
  <si>
    <t>0-17291</t>
  </si>
  <si>
    <t>Video_Fluency_Level_seg_3</t>
  </si>
  <si>
    <t>视频流畅度_seg_3</t>
  </si>
  <si>
    <t>count(case when Video_Fluency_Level&gt;=#Video_Fluency_Level_seg_3_1st# and Video_Fluency_Level&lt;#Video_Fluency_Level_seg_3_2nd# then 1 else null end)</t>
  </si>
  <si>
    <t>0-1020</t>
  </si>
  <si>
    <t>Video_Fluency_Level_seg_4</t>
  </si>
  <si>
    <t>视频流畅度_seg_4</t>
  </si>
  <si>
    <t>count(case when Video_Fluency_Level&gt;=#Video_Fluency_Level_seg_4_1st# and Video_Fluency_Level&lt;#Video_Fluency_Level_seg_4_2nd# then 1 else null end)</t>
  </si>
  <si>
    <t>0-881</t>
  </si>
  <si>
    <t>Video_Fluency_Level_seg_5</t>
  </si>
  <si>
    <t>视频流畅度_seg_5</t>
  </si>
  <si>
    <t>count(case when Video_Fluency_Level&gt;=#Video_Fluency_Level_seg_5_1st# and Video_Fluency_Level&lt;#Video_Fluency_Level_seg_5_2nd# then 1 else null end)</t>
  </si>
  <si>
    <t>ultcp_retranspacket、dltcp_retranspacket、inputpacket、outputpacket</t>
  </si>
  <si>
    <r>
      <rPr>
        <sz val="11"/>
        <color rgb="FFDCDCAA"/>
        <rFont val="微软雅黑"/>
        <charset val="134"/>
      </rPr>
      <t>cast</t>
    </r>
    <r>
      <rPr>
        <sz val="11"/>
        <color rgb="FFCCCCCC"/>
        <rFont val="微软雅黑"/>
        <charset val="134"/>
      </rPr>
      <t>(substr(servicetype,</t>
    </r>
    <r>
      <rPr>
        <sz val="11"/>
        <color rgb="FFB5CEA8"/>
        <rFont val="微软雅黑"/>
        <charset val="134"/>
      </rPr>
      <t>0</t>
    </r>
    <r>
      <rPr>
        <sz val="11"/>
        <color rgb="FFCCCCCC"/>
        <rFont val="微软雅黑"/>
        <charset val="134"/>
      </rPr>
      <t>,</t>
    </r>
    <r>
      <rPr>
        <sz val="11"/>
        <color rgb="FFB5CEA8"/>
        <rFont val="微软雅黑"/>
        <charset val="134"/>
      </rPr>
      <t>2</t>
    </r>
    <r>
      <rPr>
        <sz val="11"/>
        <color rgb="FFCCCCCC"/>
        <rFont val="微软雅黑"/>
        <charset val="134"/>
      </rPr>
      <t xml:space="preserve">) </t>
    </r>
    <r>
      <rPr>
        <sz val="11"/>
        <color rgb="FF569CD6"/>
        <rFont val="微软雅黑"/>
        <charset val="134"/>
      </rPr>
      <t>AS</t>
    </r>
    <r>
      <rPr>
        <sz val="11"/>
        <color rgb="FFCCCCCC"/>
        <rFont val="微软雅黑"/>
        <charset val="134"/>
      </rPr>
      <t xml:space="preserve"> </t>
    </r>
    <r>
      <rPr>
        <sz val="11"/>
        <color rgb="FF569CD6"/>
        <rFont val="微软雅黑"/>
        <charset val="134"/>
      </rPr>
      <t>int</t>
    </r>
    <r>
      <rPr>
        <sz val="11"/>
        <color rgb="FFCCCCCC"/>
        <rFont val="微软雅黑"/>
        <charset val="134"/>
      </rPr>
      <t xml:space="preserve">)   </t>
    </r>
  </si>
  <si>
    <t>VideoRecoverTimeRatio_seg_1</t>
  </si>
  <si>
    <t>视频卡顿时长占比_seg_1，单位百分比</t>
  </si>
  <si>
    <t>COUNT(case WHEN videorecovertimeratio &gt;= ${VideoRecoverTimeRatio_seg_1_1} AND videorecovertimeratio &lt; ${VideoRecoverTimeRatio_seg_1_2} THEN 1 else null end)</t>
  </si>
  <si>
    <t>Video</t>
  </si>
  <si>
    <t>VideoRecoverTimeRatio_seg_2</t>
  </si>
  <si>
    <t>视频卡顿时长占比_seg_2，单位百分比</t>
  </si>
  <si>
    <t>COUNT(case WHEN videorecovertimeratio &gt;= ${VideoRecoverTimeRatio_seg_2_1} AND videorecovertimeratio &lt; ${VideoRecoverTimeRatio_seg_2_2} THEN 1 else null end)</t>
  </si>
  <si>
    <t>VideoRecoverTimeRatio_seg_3</t>
  </si>
  <si>
    <t>视频卡顿时长占比_seg_3，单位百分比</t>
  </si>
  <si>
    <t>COUNT(case WHEN videorecovertimeratio &gt;= ${VideoRecoverTimeRatio_seg_3_1} AND videorecovertimeratio &lt; ${VideoRecoverTimeRatio_seg_3_2} THEN 1 else null end)</t>
  </si>
  <si>
    <t>VideoRecoverTimeRatio_seg_4</t>
  </si>
  <si>
    <t>视频卡顿时长占比_seg_4，单位百分比</t>
  </si>
  <si>
    <t>COUNT(case WHEN videorecovertimeratio &gt;= ${VideoRecoverTimeRatio_seg_4_1} AND videorecovertimeratio &lt; ${VideoRecoverTimeRatio_seg_4_2} THEN 1 else null end)</t>
  </si>
  <si>
    <t>VideoRecoverTimeRatio_seg_5</t>
  </si>
  <si>
    <t>视频卡顿时长占比_seg_5，单位百分比</t>
  </si>
  <si>
    <t>COUNT(case WHEN videorecovertimeratio &gt;= ${VideoRecoverTimeRatio_seg_5_1} AND videorecovertimeratio &lt; ${VideoRecoverTimeRatio_seg_5_2} THEN 1 else null end)</t>
  </si>
  <si>
    <t>VideoPlayWaitTimeRatio_seg_1</t>
  </si>
  <si>
    <t>视频播放等待时长占比_seg_1</t>
  </si>
  <si>
    <t>COUNT(case WHEN videoplaywaittimeratio &gt;= ${VideoPlayWaitTimeRatio_seg_1_1} AND videoplaywaittimeratio &lt; ${VideoPlayWaitTimeRatio_seg_1_2} THEN 1 else null end)</t>
  </si>
  <si>
    <t>VideoPlayWaitTimeRatio_seg_2</t>
  </si>
  <si>
    <t>视频播放等待时长占比_seg_2</t>
  </si>
  <si>
    <t>COUNT(case WHEN videoplaywaittimeratio &gt;= ${VideoPlayWaitTimeRatio_seg_2_1} AND videoplaywaittimeratio &lt; ${VideoPlayWaitTimeRatio_seg_2_2} THEN 1 else null end)</t>
  </si>
  <si>
    <t>VideoPlayWaitTimeRatio_seg_3</t>
  </si>
  <si>
    <t>视频播放等待时长占比_seg_3</t>
  </si>
  <si>
    <t>COUNT(case WHEN videoplaywaittimeratio &gt;= ${VideoPlayWaitTimeRatio_seg_3_1} AND videoplaywaittimeratio &lt; ${VideoPlayWaitTimeRatio_seg_3_2} THEN 1 else null end)</t>
  </si>
  <si>
    <t>VideoPlayWaitTimeRatio_seg_4</t>
  </si>
  <si>
    <t>视频播放等待时长占比_seg_4</t>
  </si>
  <si>
    <t>COUNT(case WHEN videoplaywaittimeratio &gt;= ${VideoPlayWaitTimeRatio_seg_4_1} AND videoplaywaittimeratio &lt; ${VideoPlayWaitTimeRatio_seg_4_2} THEN 1 else null end)</t>
  </si>
  <si>
    <t>VideoPlayWaitTimeRatio_seg_5</t>
  </si>
  <si>
    <t>视频播放等待时长占比_seg_5</t>
  </si>
  <si>
    <t>COUNT(case WHEN videoplaywaittimeratio &gt;= ${VideoPlayWaitTimeRatio_seg_5_1} AND videoplaywaittimeratio &lt; ${VideoPlayWaitTimeRatio_seg_5_2} THEN 1 else null end)</t>
  </si>
  <si>
    <t>CachedVideoDurationRatio_seg_1</t>
  </si>
  <si>
    <t>缓冲段视频下载时长占比_seg_1</t>
  </si>
  <si>
    <t>COUNT(case WHEN cachedvideodurationratio &gt;= ${CachedVideoDurationRatio_seg_1_1} AND cachedvideodurationratio &lt; ${CachedVideoDurationRatio_seg_1_2} THEN 1 else null end)</t>
  </si>
  <si>
    <t>CachedVideoDurationRatio_seg_2</t>
  </si>
  <si>
    <t>缓冲段视频下载时长占比_seg_2</t>
  </si>
  <si>
    <t>COUNT(case WHEN cachedvideodurationratio &gt;= ${CachedVideoDurationRatio_seg_2_1} AND cachedvideodurationratio &lt; ${CachedVideoDurationRatio_seg_2_2} THEN 1 else null end)</t>
  </si>
  <si>
    <t>CachedVideoDurationRatio_seg_3</t>
  </si>
  <si>
    <t>缓冲段视频下载时长占比_seg_3</t>
  </si>
  <si>
    <t>COUNT(case WHEN cachedvideodurationratio &gt;= ${CachedVideoDurationRatio_seg_3_1} AND cachedvideodurationratio &lt; ${CachedVideoDurationRatio_seg_3_2} THEN 1 else null end)</t>
  </si>
  <si>
    <t>CachedVideoDurationRatio_seg_4</t>
  </si>
  <si>
    <t>缓冲段视频下载时长占比_seg_4</t>
  </si>
  <si>
    <t>COUNT(case WHEN cachedvideodurationratio &gt;= ${CachedVideoDurationRatio_seg_4_1} AND cachedvideodurationratio &lt; ${CachedVideoDurationRatio_seg_4_2} THEN 1 else null end)</t>
  </si>
  <si>
    <t>CachedVideoDurationRatio_seg_5</t>
  </si>
  <si>
    <t>缓冲段视频下载时长占比_seg_5</t>
  </si>
  <si>
    <t>COUNT(case WHEN cachedvideodurationratio &gt;= ${CachedVideoDurationRatio_seg_5_1} AND cachedvideodurationratio &lt; ${CachedVideoDurationRatio_seg_5_2} THEN 1 else null end)</t>
  </si>
  <si>
    <t>avg(VideoThroughput)/avg(VideoBitRate)</t>
  </si>
  <si>
    <t>COUNT(case WHEN videothroughput_bitrate_ratio &gt;= ${videothroughput_bitrate_ratio_seg_1_1} AND videothroughput_bitrate_ratio &lt; ${videothroughput_bitrate_ratio_seg_1_2} THEN 1 else null end)</t>
  </si>
  <si>
    <t>COUNT(case WHEN videothroughput_bitrate_ratio &gt;= ${videothroughput_bitrate_ratio_seg_2_1} AND videothroughput_bitrate_ratio &lt; ${videothroughput_bitrate_ratio_seg_2_2} THEN 1 else null end)</t>
  </si>
  <si>
    <t>COUNT(case WHEN videothroughput_bitrate_ratio &gt;= ${videothroughput_bitrate_ratio_seg_3_1} AND videothroughput_bitrate_ratio &lt; ${videothroughput_bitrate_ratio_seg_3_2} THEN 1 else null end)</t>
  </si>
  <si>
    <t>COUNT(case WHEN videothroughput_bitrate_ratio &gt;= ${videothroughput_bitrate_ratio_seg_4_1} AND videothroughput_bitrate_ratio &lt; ${videothroughput_bitrate_ratio_seg_4_2} THEN 1 else null end)</t>
  </si>
  <si>
    <r>
      <rPr>
        <sz val="11"/>
        <color rgb="FFDCDCAA"/>
        <rFont val="微软雅黑"/>
        <charset val="134"/>
      </rPr>
      <t>COUNT</t>
    </r>
    <r>
      <rPr>
        <sz val="11"/>
        <color rgb="FFCCCCCC"/>
        <rFont val="微软雅黑"/>
        <charset val="134"/>
      </rPr>
      <t>(</t>
    </r>
    <r>
      <rPr>
        <sz val="11"/>
        <color rgb="FF569CD6"/>
        <rFont val="微软雅黑"/>
        <charset val="134"/>
      </rPr>
      <t>case</t>
    </r>
    <r>
      <rPr>
        <sz val="11"/>
        <color rgb="FFCCCCCC"/>
        <rFont val="微软雅黑"/>
        <charset val="134"/>
      </rPr>
      <t xml:space="preserve"> </t>
    </r>
    <r>
      <rPr>
        <sz val="11"/>
        <color rgb="FF569CD6"/>
        <rFont val="微软雅黑"/>
        <charset val="134"/>
      </rPr>
      <t>WHEN</t>
    </r>
    <r>
      <rPr>
        <sz val="11"/>
        <color rgb="FFCCCCCC"/>
        <rFont val="微软雅黑"/>
        <charset val="134"/>
      </rPr>
      <t xml:space="preserve"> videothroughput_bitrate_ratio </t>
    </r>
    <r>
      <rPr>
        <sz val="11"/>
        <color rgb="FFD4D4D4"/>
        <rFont val="微软雅黑"/>
        <charset val="134"/>
      </rPr>
      <t>&gt;=</t>
    </r>
    <r>
      <rPr>
        <sz val="11"/>
        <color rgb="FFCCCCCC"/>
        <rFont val="微软雅黑"/>
        <charset val="134"/>
      </rPr>
      <t xml:space="preserve"> ${videothroughput_bitrate_ratio_seg_5_1} </t>
    </r>
    <r>
      <rPr>
        <sz val="11"/>
        <color rgb="FF569CD6"/>
        <rFont val="微软雅黑"/>
        <charset val="134"/>
      </rPr>
      <t>THEN</t>
    </r>
    <r>
      <rPr>
        <sz val="11"/>
        <color rgb="FFCCCCCC"/>
        <rFont val="微软雅黑"/>
        <charset val="134"/>
      </rPr>
      <t xml:space="preserve"> </t>
    </r>
    <r>
      <rPr>
        <sz val="11"/>
        <color rgb="FFB5CEA8"/>
        <rFont val="微软雅黑"/>
        <charset val="134"/>
      </rPr>
      <t>1</t>
    </r>
    <r>
      <rPr>
        <sz val="11"/>
        <color rgb="FFCCCCCC"/>
        <rFont val="微软雅黑"/>
        <charset val="134"/>
      </rPr>
      <t xml:space="preserve"> </t>
    </r>
    <r>
      <rPr>
        <sz val="11"/>
        <color rgb="FF569CD6"/>
        <rFont val="微软雅黑"/>
        <charset val="134"/>
      </rPr>
      <t>else</t>
    </r>
    <r>
      <rPr>
        <sz val="11"/>
        <color rgb="FFCCCCCC"/>
        <rFont val="微软雅黑"/>
        <charset val="134"/>
      </rPr>
      <t xml:space="preserve"> </t>
    </r>
    <r>
      <rPr>
        <sz val="11"/>
        <color rgb="FF569CD6"/>
        <rFont val="微软雅黑"/>
        <charset val="134"/>
      </rPr>
      <t>null</t>
    </r>
    <r>
      <rPr>
        <sz val="11"/>
        <color rgb="FFCCCCCC"/>
        <rFont val="微软雅黑"/>
        <charset val="134"/>
      </rPr>
      <t xml:space="preserve"> </t>
    </r>
    <r>
      <rPr>
        <sz val="11"/>
        <color rgb="FF569CD6"/>
        <rFont val="微软雅黑"/>
        <charset val="134"/>
      </rPr>
      <t>end</t>
    </r>
    <r>
      <rPr>
        <sz val="11"/>
        <color rgb="FFCCCCCC"/>
        <rFont val="微软雅黑"/>
        <charset val="134"/>
      </rPr>
      <t>)</t>
    </r>
  </si>
  <si>
    <t>concat(gnbid,'_',cellid)</t>
  </si>
  <si>
    <t>totalmrlon</t>
  </si>
  <si>
    <t>MR经度总值</t>
  </si>
  <si>
    <t>sum(mrlon)</t>
  </si>
  <si>
    <t>totalmrlat</t>
  </si>
  <si>
    <t>MR纬度总值</t>
  </si>
  <si>
    <t>sum(mrlat)</t>
  </si>
  <si>
    <t>avgmrlon</t>
  </si>
  <si>
    <t>MR平均经度</t>
  </si>
  <si>
    <t>avgmrlat</t>
  </si>
  <si>
    <t>MR平均纬度</t>
  </si>
  <si>
    <t>validlonlat_totalmrcount</t>
  </si>
  <si>
    <t>经纬度有效的MR数目</t>
  </si>
  <si>
    <t>avg_rsrp</t>
  </si>
  <si>
    <t>平均rsrp</t>
  </si>
  <si>
    <t>avg(nrscssrsrp)</t>
  </si>
  <si>
    <t>total_ssrsrp_cnt</t>
  </si>
  <si>
    <t>ssrsrp总采样点数</t>
  </si>
  <si>
    <t>sum(case when nrscssrsrp is not null then 1 end)</t>
  </si>
  <si>
    <t>less110_ssrsrp_cnt</t>
  </si>
  <si>
    <t>ssrsrp小于等于-110采样点数</t>
  </si>
  <si>
    <t xml:space="preserve">SUM(case when nrscssrsrp&lt;=-110 then 1 end) </t>
  </si>
  <si>
    <t>less105_ssrsrp_cnt</t>
  </si>
  <si>
    <t>ssrsrp小于等于-105采样点数</t>
  </si>
  <si>
    <t xml:space="preserve">SUM(case when nrscssrsrp&lt;=-105 then 1 end) </t>
  </si>
  <si>
    <t>less110_ssrsrp_ratio</t>
  </si>
  <si>
    <t>ssrsrp小于等于-110采样点占比</t>
  </si>
  <si>
    <t xml:space="preserve">SUM(case when nrscssrsrp&lt;=-110 then 1 end) /SUM(case when nrscssrsrp is not null then 1 end) </t>
  </si>
  <si>
    <t>less105_ssrsrp_ratio</t>
  </si>
  <si>
    <t>ssrsrp小于等于-105采样点占比</t>
  </si>
  <si>
    <t xml:space="preserve">SUM(case when nrscssrsrp&lt;=-105 then 1 end) /SUM(case when nrscssrsrp is not null then 1 end) </t>
  </si>
  <si>
    <t>avg_ssrsrq</t>
  </si>
  <si>
    <t>平均ssrsrq</t>
  </si>
  <si>
    <t>avg(nrscssrsrq)</t>
  </si>
  <si>
    <t>total_ssrsrq_cnt</t>
  </si>
  <si>
    <t>ssrsrq总采样点数</t>
  </si>
  <si>
    <t xml:space="preserve">SUM(case when nrscssrsrq is not null then 1 end) </t>
  </si>
  <si>
    <t>less13_ssrsrq_cnt</t>
  </si>
  <si>
    <t>ssrsrq小于等于-13采样点数</t>
  </si>
  <si>
    <t xml:space="preserve">SUM(case when nrscssrsrq&lt;=-13 then 1 end) </t>
  </si>
  <si>
    <t>less13_ssrsrq_ratio</t>
  </si>
  <si>
    <t>ssrsrq小于等于-13采样点占比</t>
  </si>
  <si>
    <t xml:space="preserve">SUM(case when nrscssrsrq&lt;=-13 then 1 end) /SUM(case when nrscssrsrq is not null then 1 end) </t>
  </si>
  <si>
    <t>avg_sssinr</t>
  </si>
  <si>
    <t>平均sssinr</t>
  </si>
  <si>
    <t>total_sssinr_cnt</t>
  </si>
  <si>
    <t>sssinr总采样点数</t>
  </si>
  <si>
    <t>less0_sssinr_cnt</t>
  </si>
  <si>
    <t>sssinr小于0采样点数</t>
  </si>
  <si>
    <t>less0_sssinr_ratio</t>
  </si>
  <si>
    <t>sssinr小于0采样占比</t>
  </si>
  <si>
    <t>ssrsrpless110_sssinrless0_cnt</t>
  </si>
  <si>
    <t>ssrsrp小于等于-110&amp;sssinr小于0采样点数</t>
  </si>
  <si>
    <t>ssrsrpless110_sssinrmorethan0_cnt</t>
  </si>
  <si>
    <t>ssrsrp小于等于-110&amp;sssinr大于0采样点数</t>
  </si>
  <si>
    <t>ssrsrpmorethan110_sssinrless0_cnt</t>
  </si>
  <si>
    <t>ssrsrp大于-105&amp;sssinr小于0采样点数</t>
  </si>
  <si>
    <t>ssrsrpmorethan110_sssinrmorethan0_cnt</t>
  </si>
  <si>
    <t>ssrsrp大于-105&amp;sssinr大于0采样点数</t>
  </si>
  <si>
    <t>ssrsrpless110_sssinrless0_ratio</t>
  </si>
  <si>
    <t>ssrsrp小于等于-110&amp;sssinr小于0采样点占比</t>
  </si>
  <si>
    <t>ssrsrpless110_sssinrmorethan0_ratio</t>
  </si>
  <si>
    <t>ssrsrp小于等于-110&amp;sssinr大于0采样点占比</t>
  </si>
  <si>
    <t>ssrsrpmorethan110_sssinrless0_ratio</t>
  </si>
  <si>
    <t>ssrsrp大于-105&amp;sssinr小于0采样点占比</t>
  </si>
  <si>
    <t>ssrsrpmorethan110_sssinrmorethan0_ratio</t>
  </si>
  <si>
    <t>ssrsrp大于-105&amp;sssinr大于0采样点占比</t>
  </si>
  <si>
    <t>weakcover_cnt</t>
  </si>
  <si>
    <t>综合质差覆盖采样点总数</t>
  </si>
  <si>
    <t>sum(case when nrscssrsrp&lt;=-110  then 1 end)</t>
  </si>
  <si>
    <t>overlap_cnt</t>
  </si>
  <si>
    <t>重叠覆盖采样点总数</t>
  </si>
  <si>
    <t>overshoot_cnt</t>
  </si>
  <si>
    <t>过覆盖采样点总数</t>
  </si>
  <si>
    <t>mod30interfer_cnt</t>
  </si>
  <si>
    <t>MOD30干扰采样点总数</t>
  </si>
  <si>
    <t>weakcover_ratio</t>
  </si>
  <si>
    <t>综合质差覆盖采样点占比</t>
  </si>
  <si>
    <t>overlap_ratio</t>
  </si>
  <si>
    <t>重叠覆盖采样点占比</t>
  </si>
  <si>
    <t>overshoot_ratio</t>
  </si>
  <si>
    <t>过覆盖采样点占比</t>
  </si>
  <si>
    <t>mod30interfer_ratio</t>
  </si>
  <si>
    <t>MOD30干扰采样点占比</t>
  </si>
  <si>
    <t>ci解析出基站、小区再用_连接</t>
  </si>
  <si>
    <t>regis_req</t>
  </si>
  <si>
    <t>regis请求次数</t>
  </si>
  <si>
    <t>sum(case when procedure_type=0 then 1 else 0 end)</t>
  </si>
  <si>
    <t>regis_suc</t>
  </si>
  <si>
    <t>regis成功次数</t>
  </si>
  <si>
    <t>sum(case when procedure_type=0 and procedure_status=0 then 1 else 0 end)</t>
  </si>
  <si>
    <t>regis_suc_rate</t>
  </si>
  <si>
    <t>regis成功率</t>
  </si>
  <si>
    <t>sum(case when procedure_type=0 and procedure_status=0 then 1 else 0 end)/sum(case when procedure_type=0 then 1 else 0 end)</t>
  </si>
  <si>
    <t>C</t>
  </si>
  <si>
    <t>n1n2_total_cnt</t>
  </si>
  <si>
    <t>用户4G小区app等多维度感知时刻表</t>
  </si>
  <si>
    <r>
      <rPr>
        <sz val="9"/>
        <rFont val="微软雅黑"/>
        <charset val="134"/>
      </rPr>
      <t>绿色字段</t>
    </r>
  </si>
  <si>
    <t>待接入</t>
  </si>
  <si>
    <t>D</t>
  </si>
  <si>
    <t>F</t>
  </si>
  <si>
    <t>cfg_dpi_servicetype</t>
  </si>
  <si>
    <t>app维表</t>
  </si>
  <si>
    <t>E</t>
  </si>
  <si>
    <t>上报时间</t>
  </si>
  <si>
    <t>ABCDF</t>
  </si>
  <si>
    <t>小时，0~23</t>
  </si>
  <si>
    <t>时刻(0,15,30,45)</t>
  </si>
  <si>
    <t>市编码</t>
  </si>
  <si>
    <t>小区唯一标识："小区基站号"_"小区编号"</t>
  </si>
  <si>
    <t>concat(enodebid,'_',cellid) as cellkey</t>
  </si>
  <si>
    <t>service_small_category_name</t>
  </si>
  <si>
    <t>IMEI的前8位，移动终端识别码</t>
  </si>
  <si>
    <t>sgwip as upfip</t>
  </si>
  <si>
    <t>拜访位置plmn编码</t>
  </si>
  <si>
    <t>sum(total_num) as total_cnt</t>
  </si>
  <si>
    <t>total_badcnt</t>
  </si>
  <si>
    <t>总质差话单数</t>
  </si>
  <si>
    <t>sum(abnormal_cnt) as total_badcnt</t>
  </si>
  <si>
    <t>total_badcnt_ratio</t>
  </si>
  <si>
    <t>总质差话单占比</t>
  </si>
  <si>
    <t>sum(abnormal_cnt)/count(abnormal_cnt)</t>
  </si>
  <si>
    <t>ultcp_retrans_badcnt</t>
  </si>
  <si>
    <t>sum(is_poor_ultcp_retranspacket_num) as ultcp_retrans_badcnt</t>
  </si>
  <si>
    <t>dltcp_retrans_badcnt</t>
  </si>
  <si>
    <t>sum(is_poor_dltcp_retranspacket_num) as dltcp_retrans_badcnt</t>
  </si>
  <si>
    <t>ultcp_reordering_badcnt</t>
  </si>
  <si>
    <t>sum(is_poor_ultcpreorderingpacket_num) as ultcp_reordering_badcnt</t>
  </si>
  <si>
    <t>dltcp_reordering_badcnt</t>
  </si>
  <si>
    <t>sum(is_poor_dltcpreorderingpacket_num) as dltcp_reordering_badcnt</t>
  </si>
  <si>
    <t>tcpsetupresponsedelay_badcnt</t>
  </si>
  <si>
    <t>sum(is_poor_tcpsetupresponsedelay_num) as tcpsetupresponsedelay_badcnt</t>
  </si>
  <si>
    <t>tcpsetupackdelay_badcnt</t>
  </si>
  <si>
    <t>sum(is_poor_tcpsetupackdelay_num) as tcpsetupackdelay_badcnt</t>
  </si>
  <si>
    <t>sum(duration_sum) as service_duration</t>
  </si>
  <si>
    <t>sum(nvl(inputoctets_sum,0)+nvl(outputoctets_sum,0)) as service_flux</t>
  </si>
  <si>
    <t>tcp上行总包数</t>
  </si>
  <si>
    <t>sum(outputpacket_sum) as outputpacket_sum</t>
  </si>
  <si>
    <t>tcp下行总包数</t>
  </si>
  <si>
    <t>sum(inputpacket_sum) as inputpacket_sum  </t>
  </si>
  <si>
    <t>ultcpretranspacket</t>
  </si>
  <si>
    <t>tcp上行总重传报文数</t>
  </si>
  <si>
    <t>sum(ultcpretranspacket_sum) as ultcpretranspacket_sum</t>
  </si>
  <si>
    <t>dltcpretranspacket</t>
  </si>
  <si>
    <t>tcp下行总重传报文数</t>
  </si>
  <si>
    <t>sum(dltcpretranspacket_sum) as dltcpretranspacket_sum</t>
  </si>
  <si>
    <t>tcp上行总乱序报文数</t>
  </si>
  <si>
    <t>sum(ultcpreorderingpacket_sum) as ultcpreorderingpacket_sum</t>
  </si>
  <si>
    <t>tcp下行总乱序报文数</t>
  </si>
  <si>
    <t>sum(dltcpreorderingpacket_sum) as dltcpreorderingpacket_sum</t>
  </si>
  <si>
    <t>ultcp_retrans_rate</t>
  </si>
  <si>
    <t>tcp上行重传率</t>
  </si>
  <si>
    <t>sum(ultcpretranspacket_sum)/sum(outputpacket_sum)</t>
  </si>
  <si>
    <t>dltcp_retrans_rate</t>
  </si>
  <si>
    <t>tcp下行重传率</t>
  </si>
  <si>
    <t>sum(dltcpretranspacket_sum)/sum(inputpacket_sum) as dltcp_retrans_rate</t>
  </si>
  <si>
    <t>retrans_rate</t>
  </si>
  <si>
    <t>tcp重传率</t>
  </si>
  <si>
    <t>(sum(ultcpretranspacket_sum)+sum(dltcpretranspacket_sum))/(sum(outputpacket_sum)+sum(inputpacket_sum)) as retrans_rate</t>
  </si>
  <si>
    <t>ultcp_reordering_rate</t>
  </si>
  <si>
    <t>tcp上行乱序率</t>
  </si>
  <si>
    <t>sum(ultcpreorderingpacket_sum)/sum(outputpacket_sum) as ultcp_reordering_rate</t>
  </si>
  <si>
    <t>dltcp_reordering_rate</t>
  </si>
  <si>
    <t>tcp下行乱序率</t>
  </si>
  <si>
    <t>sum(dltcpreorderingpacket_sum)/sum(inputpacket_sum) as dltcp_reordering_rate</t>
  </si>
  <si>
    <t>reordering_rate</t>
  </si>
  <si>
    <t>tcp乱序率</t>
  </si>
  <si>
    <t>(sum(ultcpreorderingpacket_sum)+sum(dltcpreorderingpacket_sum))/(sum(outputpacket_sum)+sum(inputpacket_sum)) as reordering_rate</t>
  </si>
  <si>
    <t>tcp总建链响应时延</t>
  </si>
  <si>
    <t>sum(tcpsetupresponsedelay_sum) as tcpsetupresponsedelay_sum</t>
  </si>
  <si>
    <t>tcp总建链确认时延</t>
  </si>
  <si>
    <t>sum(tcpsetupackdelay_avg*TCPConnectSuccNumber_sum) as tcpsetupackdelay_sum</t>
  </si>
  <si>
    <t>tcp总建链响应次数</t>
  </si>
  <si>
    <t>sum(tcpsetupresponsedelay_cnt) as tcpsetupresponsedelay_cnt</t>
  </si>
  <si>
    <t>tcp总建链确认次数</t>
  </si>
  <si>
    <t>sum(tcpsetupackdelay_cnt) as tcpsetupackdelay_cnt</t>
  </si>
  <si>
    <t>avg_tcpsetupresponsedelay</t>
  </si>
  <si>
    <t>平均tcp建链响应时延</t>
  </si>
  <si>
    <t>sum(tcpsetupresponsedelay_avg*tcpsetupresponsedelay_cnt)/sum(tcpsetupresponsedelay_cnt) as avg_tcpsetupresponsedelay</t>
  </si>
  <si>
    <t>avg_tcpsetupackdelay</t>
  </si>
  <si>
    <t>平均tcp建链确认时延</t>
  </si>
  <si>
    <t>sum(tcpsetupackdelay_avg*tcpsetupackdelay_cnt)/sum(tcpsetupackdelay_cnt) as avg_tcpsetupackdelay</t>
  </si>
  <si>
    <t>avg_tcpsetupdelay</t>
  </si>
  <si>
    <t>平均tcp建链时延</t>
  </si>
  <si>
    <t>sum((tcpsetupresponsedelay_avg*tcpsetupresponsedelay_cnt+tcpsetupackdelay_avg*tcpsetupackdelay_cnt)/sum(tcpsetupresponsedelay_cnt+tcpsetupackdelay_cnt)*2 as avg_tcpsetupresponsedelay</t>
  </si>
  <si>
    <t>sum(TCPSynNumber_sum) as TCPSynNumber_sum</t>
  </si>
  <si>
    <t>sum(TCPConnectSuccNumber_sum) as TCPConnectSuccNumber_sum</t>
  </si>
  <si>
    <t>ABCD</t>
  </si>
  <si>
    <t>sum(ULIPFragPacks_sum) as ULIPFragPacks_sum</t>
  </si>
  <si>
    <t>sum(DLIPFragPacks_sum) as DLIPFragPacks_sum</t>
  </si>
  <si>
    <t>sum(dnsqueryreqcount) as dnsqueryreqcount</t>
  </si>
  <si>
    <t>sum(dnsqueryrspcount) as dnsqueryrspcount</t>
  </si>
  <si>
    <t>sum(httpwebreqcount) as httpwebreqcount</t>
  </si>
  <si>
    <t>sum(httpwebrspcount) as httpwebrspcount</t>
  </si>
  <si>
    <t>sum(httpwebrspcount)/sum(httpwebreqcount) as httpwebrsprate</t>
  </si>
  <si>
    <t>sum(InputOctets_sum)*8000/(sum(httpwebdspdelay_avg)*1024) as throughput</t>
  </si>
  <si>
    <t>sum(throughput_seg_1) as throughput_seg_1</t>
  </si>
  <si>
    <t>sum(throughput_seg_2) as throughput_seg_2</t>
  </si>
  <si>
    <t>sum(throughput_seg_3) as throughput_seg_3</t>
  </si>
  <si>
    <t>sum(throughput_seg_4) as throughput_seg_4</t>
  </si>
  <si>
    <t>sum(throughput_seg_5) as throughput_seg_5</t>
  </si>
  <si>
    <t>sum(TCPSetupResponseDelay_avg*httpwebrspcount)/sum(httpwebrspcount) as TCPSetupResponseDelay_avg
F:sum(tcpsetupresponsedelay_sum)/sum(tcpsetupresponsedelay_cnt)</t>
  </si>
  <si>
    <t>sum(TCPSetupResponseDelay_seg_1) as TCPSetupResponseDelay_seg_1</t>
  </si>
  <si>
    <t>sum(TCPSetupResponseDelay_seg_2) as TCPSetupResponseDelay_seg_2</t>
  </si>
  <si>
    <t>sum(TCPSetupResponseDelay_seg_3) as TCPSetupResponseDelay_seg_3</t>
  </si>
  <si>
    <t>sum(TCPSetupResponseDelay_seg_4) as TCPSetupResponseDelay_seg_4</t>
  </si>
  <si>
    <t>sum(TCPSetupResponseDelay_seg_5) as TCPSetupResponseDelay_seg_5</t>
  </si>
  <si>
    <t>sum(TCPSetupACKDelay_avg*httpwebrspcount)/sum(httpwebrspcount) as TCPSetupACKDelay_avg
F:sum(tcpsetupackdelay_sum)/sum(tcpsetupackdelay_cnt)</t>
  </si>
  <si>
    <t>sum(TCPSetupACKDelay_seg_1) as TCPSetupACKDelay_seg_1</t>
  </si>
  <si>
    <t>sum(TCPSetupACKDelay_seg_2) as TCPSetupACKDelay_seg_2</t>
  </si>
  <si>
    <t>sum(TCPSetupACKDelay_seg_3) as TCPSetupACKDelay_seg_3</t>
  </si>
  <si>
    <t>sum(TCPSetupACKDelay_seg_4) as TCPSetupACKDelay_seg_4</t>
  </si>
  <si>
    <t>sum(TCPSetupACKDelay_seg_5) as TCPSetupACKDelay_seg_5</t>
  </si>
  <si>
    <t>sum((tcpsetupresponsedelay_avg*tcpsetupresponsedelay_cnt+tcpsetupackdelay_avg*tcpsetupackdelay_cnt)/sum(tcpsetupresponsedelay_cnt+tcpsetupackdelay_cnt)*2</t>
  </si>
  <si>
    <t>sum(tcpsetupdelay_seg_1) as tcpsetupdelay_seg_1</t>
  </si>
  <si>
    <t>sum(tcpsetupdelay_seg_2) as tcpsetupdelay_seg_2</t>
  </si>
  <si>
    <t>sum(tcpsetupdelay_seg_3) as tcpsetupdelay_seg_3</t>
  </si>
  <si>
    <t>sum(tcpsetupdelay_seg_4) as tcpsetupdelay_seg_4</t>
  </si>
  <si>
    <t>sum(tcpsetupdelay_seg_5) as tcpsetupdelay_seg_5</t>
  </si>
  <si>
    <t>sum(Delay_Setup_FirstTransaction_avg*httpwebrspcount)/sum(httpwebrspcount) as Delay_Setup_FirstTransaction_avg</t>
  </si>
  <si>
    <t>delay_setup_firsttransaction_seg_1</t>
  </si>
  <si>
    <t>sum(Delay_Setup_FirstTransaction_seg_1) as Delay_Setup_FirstTransaction_seg_1</t>
  </si>
  <si>
    <t>delay_setup_firsttransaction_seg_2</t>
  </si>
  <si>
    <t>sum(Delay_Setup_FirstTransaction_seg_2) as Delay_Setup_FirstTransaction_seg_2</t>
  </si>
  <si>
    <t>delay_setup_firsttransaction_seg_3</t>
  </si>
  <si>
    <t>sum(Delay_Setup_FirstTransaction_seg_3) as Delay_Setup_FirstTransaction_seg_3</t>
  </si>
  <si>
    <t>delay_setup_firsttransaction_seg_4</t>
  </si>
  <si>
    <t>sum(Delay_Setup_FirstTransaction_seg_4) as Delay_Setup_FirstTransaction_seg_4</t>
  </si>
  <si>
    <t>delay_setup_firsttransaction_seg_5</t>
  </si>
  <si>
    <t>sum(Delay_Setup_FirstTransaction_seg_5) as Delay_Setup_FirstTransaction_seg_5</t>
  </si>
  <si>
    <t>sum(Delay_FirstTransaction_FirstResPackt_avg*httpwebrspcount)/sum(httpwebrspcount) as Delay_FirstTransaction_FirstResPackt_avg</t>
  </si>
  <si>
    <t>delay_firsttransaction_firstrespackt_seg_1</t>
  </si>
  <si>
    <t>sum(Delay_FirstTransaction_FirstResPackt_seg_1) as Delay_FirstTransaction_FirstResPackt_seg_1</t>
  </si>
  <si>
    <t>delay_firsttransaction_firstrespackt_seg_2</t>
  </si>
  <si>
    <t>sum(Delay_FirstTransaction_FirstResPackt_seg_2) as Delay_FirstTransaction_FirstResPackt_seg_2</t>
  </si>
  <si>
    <t>delay_firsttransaction_firstrespackt_seg_3</t>
  </si>
  <si>
    <t>sum(Delay_FirstTransaction_FirstResPackt_seg_3) as Delay_FirstTransaction_FirstResPackt_seg_3</t>
  </si>
  <si>
    <t>delay_firsttransaction_firstrespackt_seg_4</t>
  </si>
  <si>
    <t>sum(Delay_FirstTransaction_FirstResPackt_seg_4) as Delay_FirstTransaction_FirstResPackt_seg_4</t>
  </si>
  <si>
    <t>delay_firsttransaction_firstrespackt_seg_5</t>
  </si>
  <si>
    <t>sum(Delay_FirstTransaction_FirstResPackt_seg_5) as Delay_FirstTransaction_FirstResPackt_seg_5</t>
  </si>
  <si>
    <t>sum(dnsquerydelay_avg*httpwebrspcount)/sum(httpwebrspcount) as dnsquerydelay_avg</t>
  </si>
  <si>
    <t>sum(dnsquerydelay_seg_1) as dnsquerydelay_seg_1</t>
  </si>
  <si>
    <t>sum(dnsquerydelay_seg_2) as dnsquerydelay_seg_2</t>
  </si>
  <si>
    <t>sum(dnsquerydelay_seg_3) as dnsquerydelay_seg_3</t>
  </si>
  <si>
    <t>sum(dnsquerydelay_seg_4) as dnsquerydelay_seg_4</t>
  </si>
  <si>
    <t>sum(dnsquerydelay_seg_5) as dnsquerydelay_seg_5</t>
  </si>
  <si>
    <t>sum(delay_SYNtime_DNSResponseTime_avg*httpwebrspcount)/sum(httpwebrspcount) as delay_SYNtime_DNSResponseTime_avg</t>
  </si>
  <si>
    <t>delay_syntime_dnsresponsetime_seg_1</t>
  </si>
  <si>
    <t>sum(delay_SYNtime_DNSResponseTime_seg_1) as delay_SYNtime_DNSResponseTime_seg_1</t>
  </si>
  <si>
    <t>delay_syntime_dnsresponsetime_seg_2</t>
  </si>
  <si>
    <t>sum(delay_SYNtime_DNSResponseTime_seg_2) as delay_SYNtime_DNSResponseTime_seg_2</t>
  </si>
  <si>
    <t>delay_syntime_dnsresponsetime_seg_3</t>
  </si>
  <si>
    <t>sum(delay_SYNtime_DNSResponseTime_seg_3) as delay_SYNtime_DNSResponseTime_seg_3</t>
  </si>
  <si>
    <t>delay_syntime_dnsresponsetime_seg_4</t>
  </si>
  <si>
    <t>sum(delay_SYNtime_DNSResponseTime_seg_4) as delay_SYNtime_DNSResponseTime_seg_4</t>
  </si>
  <si>
    <t>delay_syntime_dnsresponsetime_seg_5</t>
  </si>
  <si>
    <t>sum(delay_SYNtime_DNSResponseTime_seg_5) as delay_SYNtime_DNSResponseTime_seg_5</t>
  </si>
  <si>
    <t>sum(httpwebrspdelay_avg*httpwebrspcount)/sum(httpwebrspcount) as httpwebrspdelay_avg</t>
  </si>
  <si>
    <t>sum(httpwebrspdelay_seg_1) as httpwebrspdelay_seg_1</t>
  </si>
  <si>
    <t>sum(httpwebrspdelay_seg_2) as httpwebrspdelay_seg_2</t>
  </si>
  <si>
    <t>sum(httpwebrspdelay_seg_3) as httpwebrspdelay_seg_3</t>
  </si>
  <si>
    <t>sum(httpwebrspdelay_seg_4) as httpwebrspdelay_seg_4</t>
  </si>
  <si>
    <t>sum(httpwebrspdelay_seg_5) as httpwebrspdelay_seg_5</t>
  </si>
  <si>
    <t>sum(httpwebdspdelay_avg*httpwebrspcount)/sum(httpwebrspcount) as httpwebdspdelay_avg</t>
  </si>
  <si>
    <t>sum(httpwebdspdelay_seg_1) as httpwebdspdelay_seg_1</t>
  </si>
  <si>
    <t>sum(httpwebdspdelay_seg_2) as httpwebdspdelay_seg_2</t>
  </si>
  <si>
    <t>sum(httpwebdspdelay_seg_3) as httpwebdspdelay_seg_3</t>
  </si>
  <si>
    <t>sum(httpwebdspdelay_seg_4) as httpwebdspdelay_seg_4</t>
  </si>
  <si>
    <t>sum(httpwebdspdelay_seg_5) as httpwebdspdelay_seg_5</t>
  </si>
  <si>
    <t>sum(httpwebscreendelay_avg*httpwebrspcount)/sum(httpwebrspcount) as httpwebscreendelay_avg</t>
  </si>
  <si>
    <t>sum(httpwebscreendelay_seg_1) as httpwebscreendelay_seg_1</t>
  </si>
  <si>
    <t>sum(httpwebscreendelay_seg_2) as httpwebscreendelay_seg_2</t>
  </si>
  <si>
    <t>sum(httpwebscreendelay_seg_3) as httpwebscreendelay_seg_3</t>
  </si>
  <si>
    <t>sum(httpwebscreendelay_seg_4) as httpwebscreendelay_seg_4</t>
  </si>
  <si>
    <t>sum(httpwebscreendelay_seg_5) as httpwebscreendelay_seg_5</t>
  </si>
  <si>
    <t>sum(delay_acktime_actiontime_avg*httpwebrspcount)/sum(httpwebrspcount) as delay_acktime_actiontime_avg</t>
  </si>
  <si>
    <t>sum(delay_acktime_actiontime_seg_1) as delay_acktime_actiontime_seg_1</t>
  </si>
  <si>
    <t>sum(delay_acktime_actiontime_seg_2) as delay_acktime_actiontime_seg_2</t>
  </si>
  <si>
    <t>sum(delay_acktime_actiontime_seg_3) as delay_acktime_actiontime_seg_3</t>
  </si>
  <si>
    <t>sum(delay_acktime_actiontime_seg_4) as delay_acktime_actiontime_seg_4</t>
  </si>
  <si>
    <t>sum(delay_acktime_actiontime_seg_5) as delay_acktime_actiontime_seg_5</t>
  </si>
  <si>
    <t>sum(delay_actiontime_firstpackettime_avg*httpwebrspcount)/sum(httpwebrspcount) as delay_actiontime_firstpackettime_avg</t>
  </si>
  <si>
    <t>sum(delay_actiontime_firstpackettime_seg_1) as delay_actiontime_firstpackettime_seg_1</t>
  </si>
  <si>
    <t>sum(delay_actiontime_firstpackettime_seg_2) as delay_actiontime_firstpackettime_seg_2</t>
  </si>
  <si>
    <t>sum(delay_actiontime_firstpackettime_seg_3) as delay_actiontime_firstpackettime_seg_3</t>
  </si>
  <si>
    <t>sum(delay_actiontime_firstpackettime_seg_4) as delay_actiontime_firstpackettime_seg_4</t>
  </si>
  <si>
    <t>sum(delay_actiontime_firstpackettime_seg_5) as delay_actiontime_firstpackettime_seg_5</t>
  </si>
  <si>
    <t>sum(delay_actiontime_firstresptime_avg*httpwebrspcount)/sum(httpwebrspcount) as delay_actiontime_firstresptime_avg</t>
  </si>
  <si>
    <t>sum(delay_actiontime_firstresptime_seg_1) as delay_actiontime_firstresptime_seg_1</t>
  </si>
  <si>
    <t>sum(delay_actiontime_firstresptime_seg_2) as delay_actiontime_firstresptime_seg_2</t>
  </si>
  <si>
    <t>sum(delay_actiontime_firstresptime_seg_3) as delay_actiontime_firstresptime_seg_3</t>
  </si>
  <si>
    <t>sum(delay_actiontime_firstresptime_seg_4) as delay_actiontime_firstresptime_seg_4</t>
  </si>
  <si>
    <t>sum(delay_actiontime_firstresptime_seg_5) as delay_actiontime_firstresptime_seg_5</t>
  </si>
  <si>
    <t>sum(delay_lastpacktime_dnsortcp_avg*httpwebrspcount)/sum(httpwebrspcount) as delay_lastpacktime_dnsortcp_avg</t>
  </si>
  <si>
    <t>sum(delay_lastpacktime_dnsortcp_seg_1) as delay_lastpacktime_dnsortcp_seg_1</t>
  </si>
  <si>
    <t>sum(delay_lastpacktime_dnsortcp_seg_2) as delay_lastpacktime_dnsortcp_seg_2</t>
  </si>
  <si>
    <t>sum(delay_lastpacktime_dnsortcp_seg_3) as delay_lastpacktime_dnsortcp_seg_3</t>
  </si>
  <si>
    <t>sum(delay_lastpacktime_dnsortcp_seg_4) as delay_lastpacktime_dnsortcp_seg_4</t>
  </si>
  <si>
    <t>sum(delay_lastpacktime_dnsortcp_seg_5) as delay_lastpacktime_dnsortcp_seg_5</t>
  </si>
  <si>
    <t>sum(delay_firstresptime_lastpacktime_avg*httpwebrspcount)/sum(httpwebrspcount) as delay_firstresptime_lastpacktime_avg</t>
  </si>
  <si>
    <t>sum(delay_firstresptime_lastpacktime_seg_1) as delay_firstresptime_lastpacktime_seg_1</t>
  </si>
  <si>
    <t>sum(delay_firstresptime_lastpacktime_seg_2) as delay_firstresptime_lastpacktime_seg_2</t>
  </si>
  <si>
    <t>sum(delay_firstresptime_lastpacktime_seg_3) as delay_firstresptime_lastpacktime_seg_3</t>
  </si>
  <si>
    <t>sum(delay_firstresptime_lastpacktime_seg_4) as delay_firstresptime_lastpacktime_seg_4</t>
  </si>
  <si>
    <t>sum(delay_firstresptime_lastpacktime_seg_5) as delay_firstresptime_lastpacktime_seg_5</t>
  </si>
  <si>
    <t>delay_firstpackettime_pageopentime_avg</t>
  </si>
  <si>
    <t>第一个数据响应包到首页打开的时延_avg（ms）</t>
  </si>
  <si>
    <t>sum(delay_firstpackettime_pageopentime_avg*httpwebrspcount)/sum(httpwebrspcount) as delay_firstpackettime_pageopentime_avg</t>
  </si>
  <si>
    <t>delay_firstpackettime_pageopentime_seg_1</t>
  </si>
  <si>
    <t>第一个数据响应包到首页打开的时延_seg_1</t>
  </si>
  <si>
    <t>sum(delay_firstpackettime_pageopentime_seg_1) as delay_firstpackettime_pageopentime_seg_1</t>
  </si>
  <si>
    <t>delay_firstpackettime_pageopentime_seg_2</t>
  </si>
  <si>
    <t>第一个数据响应包到首页打开的时延_seg_2</t>
  </si>
  <si>
    <t>sum(delay_firstpackettime_pageopentime_seg_2) as delay_firstpackettime_pageopentime_seg_2</t>
  </si>
  <si>
    <t>delay_firstpackettime_pageopentime_seg_3</t>
  </si>
  <si>
    <t>第一个数据响应包到首页打开的时延_seg_3</t>
  </si>
  <si>
    <t>sum(delay_firstpackettime_pageopentime_seg_3) as delay_firstpackettime_pageopentime_seg_3</t>
  </si>
  <si>
    <t>delay_firstpackettime_pageopentime_seg_4</t>
  </si>
  <si>
    <t>第一个数据响应包到首页打开的时延_seg_4</t>
  </si>
  <si>
    <t>sum(delay_firstpackettime_pageopentime_seg_4) as delay_firstpackettime_pageopentime_seg_4</t>
  </si>
  <si>
    <t>delay_firstpackettime_pageopentime_seg_5</t>
  </si>
  <si>
    <t>第一个数据响应包到首页打开的时延_seg_5</t>
  </si>
  <si>
    <t>sum(delay_firstpackettime_pageopentime_seg_5) as delay_firstpackettime_pageopentime_seg_5</t>
  </si>
  <si>
    <t>sum(delay_firstpackettime_lastpacktime_avg*httpwebrspcount)/sum(httpwebrspcount) as delay_firstpackettime_lastpacktime_avg</t>
  </si>
  <si>
    <t>sum(delay_firstpackettime_lastpacktime_seg_1) as delay_firstpackettime_lastpacktime_seg_1</t>
  </si>
  <si>
    <t>sum(delay_firstpackettime_lastpacktime_seg_2) as delay_firstpackettime_lastpacktime_seg_2</t>
  </si>
  <si>
    <t>sum(delay_firstpackettime_lastpacktime_seg_3) as delay_firstpackettime_lastpacktime_seg_3</t>
  </si>
  <si>
    <t>sum(delay_firstpackettime_lastpacktime_seg_4) as delay_firstpackettime_lastpacktime_seg_4</t>
  </si>
  <si>
    <t>sum(delay_firstpackettime_lastpacktime_seg_5) as delay_firstpackettime_lastpacktime_seg_5</t>
  </si>
  <si>
    <t>sum(delay_lastpacktime_lastacktime_avg*httpwebrspcount)/sum(httpwebrspcount) as delay_lastpacktime_lastacktime_avg</t>
  </si>
  <si>
    <t>sum(delay_lastpacktime_lastacktime_seg_1) as delay_lastpacktime_lastacktime_seg_1</t>
  </si>
  <si>
    <t>sum(delay_lastpacktime_lastacktime_seg_2) as delay_lastpacktime_lastacktime_seg_2</t>
  </si>
  <si>
    <t>sum(delay_lastpacktime_lastacktime_seg_3) as delay_lastpacktime_lastacktime_seg_3</t>
  </si>
  <si>
    <t>sum(delay_lastpacktime_lastacktime_seg_4) as delay_lastpacktime_lastacktime_seg_4</t>
  </si>
  <si>
    <t>sum(delay_lastpacktime_lastacktime_seg_5) as delay_lastpacktime_lastacktime_seg_5</t>
  </si>
  <si>
    <t>sum(delay_FirstFinAckTime_lastacktime_avg*httpwebrspcount)/sum(httpwebrspcount) as delay_FirstFinAckTime_lastacktime_avg</t>
  </si>
  <si>
    <t>delay_firstfinacktime_lastacktime_seg_1</t>
  </si>
  <si>
    <t>sum(delay_FirstFinAckTime_lastacktime_seg_1) as delay_FirstFinAckTime_lastacktime_seg_1</t>
  </si>
  <si>
    <t>delay_firstfinacktime_lastacktime_seg_2</t>
  </si>
  <si>
    <t>sum(delay_FirstFinAckTime_lastacktime_seg_2) as delay_FirstFinAckTime_lastacktime_seg_2</t>
  </si>
  <si>
    <t>delay_firstfinacktime_lastacktime_seg_3</t>
  </si>
  <si>
    <t>sum(delay_FirstFinAckTime_lastacktime_seg_3) as delay_FirstFinAckTime_lastacktime_seg_3</t>
  </si>
  <si>
    <t>delay_firstfinacktime_lastacktime_seg_4</t>
  </si>
  <si>
    <t>sum(delay_FirstFinAckTime_lastacktime_seg_4) as delay_FirstFinAckTime_lastacktime_seg_4</t>
  </si>
  <si>
    <t>delay_firstfinacktime_lastacktime_seg_5</t>
  </si>
  <si>
    <t>sum(delay_FirstFinAckTime_lastacktime_seg_5) as delay_FirstFinAckTime_lastacktime_seg_5</t>
  </si>
  <si>
    <t>sum(RESPDELAY_avg*httpwebrspcount)/sum(httpwebrspcount) as RESPDELAY_avg</t>
  </si>
  <si>
    <t>respdelay_seg_1</t>
  </si>
  <si>
    <t>sum(RESPDELAY_seg_1) as RESPDELAY_seg_1</t>
  </si>
  <si>
    <t>respdelay_seg_2</t>
  </si>
  <si>
    <t>sum(RESPDELAY_seg_2) as RESPDELAY_seg_2</t>
  </si>
  <si>
    <t>respdelay_seg_3</t>
  </si>
  <si>
    <t>sum(RESPDELAY_seg_3) as RESPDELAY_seg_3</t>
  </si>
  <si>
    <t>respdelay_seg_4</t>
  </si>
  <si>
    <t>sum(RESPDELAY_seg_4) as RESPDELAY_seg_4</t>
  </si>
  <si>
    <t>respdelay_seg_5</t>
  </si>
  <si>
    <t>sum(RESPDELAY_seg_5) as RESPDELAY_seg_5</t>
  </si>
  <si>
    <t>sum(ultcpreorderingpacket_sum+dltcpreorderingpacket_sum)/sum(inputpacket_sum+outputpacket_sum) as TCPReorderingPacketRatio</t>
  </si>
  <si>
    <t>tcpreorderingpacketratio_seg_1</t>
  </si>
  <si>
    <t>sum(TCPReorderingPacketRatio_seg_1) as TCPReorderingPacketRatio_seg_1</t>
  </si>
  <si>
    <t>tcpreorderingpacketratio_seg_2</t>
  </si>
  <si>
    <t>sum(TCPReorderingPacketRatio_seg_2) as TCPReorderingPacketRatio_seg_2</t>
  </si>
  <si>
    <t>tcpreorderingpacketratio_seg_3</t>
  </si>
  <si>
    <t>sum(TCPReorderingPacketRatio_seg_3) as TCPReorderingPacketRatio_seg_3</t>
  </si>
  <si>
    <t>tcpreorderingpacketratio_seg_4</t>
  </si>
  <si>
    <t>sum(TCPReorderingPacketRatio_seg_4) as TCPReorderingPacketRatio_seg_4</t>
  </si>
  <si>
    <t>tcpreorderingpacketratio_seg_5</t>
  </si>
  <si>
    <t>sum(TCPReorderingPacketRatio_seg_5) as TCPReorderingPacketRatio_seg_5</t>
  </si>
  <si>
    <t>sum(ultcpreorderingpacket_sum)/sum(outputpacket_sum) as ULTCPReorderingPacketRatio</t>
  </si>
  <si>
    <t>ultcpreorderingpacketratio_seg_1</t>
  </si>
  <si>
    <t>sum(ULTCPReorderingPacketRatio_seg_1) as ULTCPReorderingPacketRatio_seg_1</t>
  </si>
  <si>
    <t>ultcpreorderingpacketratio_seg_2</t>
  </si>
  <si>
    <t>sum(ULTCPReorderingPacketRatio_seg_2) as ULTCPReorderingPacketRatio_seg_2</t>
  </si>
  <si>
    <t>ultcpreorderingpacketratio_seg_3</t>
  </si>
  <si>
    <t>sum(ULTCPReorderingPacketRatio_seg_3) as ULTCPReorderingPacketRatio_seg_3</t>
  </si>
  <si>
    <t>ultcpreorderingpacketratio_seg_4</t>
  </si>
  <si>
    <t>sum(ULTCPReorderingPacketRatio_seg_4) as ULTCPReorderingPacketRatio_seg_4</t>
  </si>
  <si>
    <t>ultcpreorderingpacketratio_seg_5</t>
  </si>
  <si>
    <t>sum(ULTCPReorderingPacketRatio_seg_5) as ULTCPReorderingPacketRatio_seg_5</t>
  </si>
  <si>
    <t>sum(dltcpreorderingpacket_sum)/sum(inputpacket_sum) as DLTCPReorderingPacketRatio</t>
  </si>
  <si>
    <t>dltcpreorderingpacketratio_seg_1</t>
  </si>
  <si>
    <t>sum(DLTCPReorderingPacketRatio_seg_1) as DLTCPReorderingPacketRatio_seg_1</t>
  </si>
  <si>
    <t>dltcpreorderingpacketratio_seg_2</t>
  </si>
  <si>
    <t>sum(DLTCPReorderingPacketRatio_seg_2) as DLTCPReorderingPacketRatio_seg_2</t>
  </si>
  <si>
    <t>dltcpreorderingpacketratio_seg_3</t>
  </si>
  <si>
    <t>sum(DLTCPReorderingPacketRatio_seg_3) as DLTCPReorderingPacketRatio_seg_3</t>
  </si>
  <si>
    <t>dltcpreorderingpacketratio_seg_4</t>
  </si>
  <si>
    <t>sum(DLTCPReorderingPacketRatio_seg_4) as DLTCPReorderingPacketRatio_seg_4</t>
  </si>
  <si>
    <t>dltcpreorderingpacketratio_seg_5</t>
  </si>
  <si>
    <t>sum(DLTCPReorderingPacketRatio_seg_5) as DLTCPReorderingPacketRatio_seg_5</t>
  </si>
  <si>
    <t>sum(ultcpretranspacket_sum+dltcpretranspacket_sum)/sum(inputpacket_sum+outputpacket_sum) as TCP_RetransPacketRatio</t>
  </si>
  <si>
    <t>tcp_retranspacketratio_seg_1</t>
  </si>
  <si>
    <t>sum(TCPRetransPacketRatio_seg_1) as TCP_RetransPacketRatio_seg_1</t>
  </si>
  <si>
    <t>tcp_retranspacketratio_seg_2</t>
  </si>
  <si>
    <t>sum(TCPRetransPacketRatio_seg_2) as TCP_RetransPacketRatio_seg_2</t>
  </si>
  <si>
    <t>tcp_retranspacketratio_seg_3</t>
  </si>
  <si>
    <t>sum(TCPRetransPacketRatio_seg_3) as TCP_RetransPacketRatio_seg_3</t>
  </si>
  <si>
    <t>tcp_retranspacketratio_seg_4</t>
  </si>
  <si>
    <t>sum(TCPRetransPacketRatio_seg_4) as TCP_RetransPacketRatio_seg_4</t>
  </si>
  <si>
    <t>tcp_retranspacketratio_seg_5</t>
  </si>
  <si>
    <t>sum(TCPRetransPacketRatio_seg_5) as TCP_RetransPacketRatio_seg_5</t>
  </si>
  <si>
    <t>sum(ultcpretranspacket_sum)/sum(outputpacket_sum) as ULTCP_RetransPacketRatio</t>
  </si>
  <si>
    <t>ultcp_retranspacketratio_seg_1</t>
  </si>
  <si>
    <t>sum(ULTCPRetransPacketRatio_seg_1) as ULTCP_RetransPacketRatio_seg_1</t>
  </si>
  <si>
    <t>ultcp_retranspacketratio_seg_2</t>
  </si>
  <si>
    <t>sum(ULTCPRetransPacketRatio_seg_2) as ULTCP_RetransPacketRatio_seg_2</t>
  </si>
  <si>
    <t>ultcp_retranspacketratio_seg_3</t>
  </si>
  <si>
    <t>sum(ULTCPRetransPacketRatio_seg_3) as ULTCP_RetransPacketRatio_seg_3</t>
  </si>
  <si>
    <t>ultcp_retranspacketratio_seg_4</t>
  </si>
  <si>
    <t>sum(ULTCPRetransPacketRatio_seg_4) as ULTCP_RetransPacketRatio_seg_4</t>
  </si>
  <si>
    <t>ultcp_retranspacketratio_seg_5</t>
  </si>
  <si>
    <t>sum(ULTCPRetransPacketRatio_seg_5) as ULTCP_RetransPacketRatio_seg_5</t>
  </si>
  <si>
    <t>sum(dltcpretranspacket_sum)/sum(inputpacket_sum) as DLTCP_RetransPacketRatio</t>
  </si>
  <si>
    <t>dltcp_retranspacketratio_seg_1</t>
  </si>
  <si>
    <t>sum(DLTCPRetransPacketRatio_seg_1) as DLTCP_RetransPacketRatio_seg_1</t>
  </si>
  <si>
    <t>dltcp_retranspacketratio_seg_2</t>
  </si>
  <si>
    <t>sum(DLTCPRetransPacketRatio_seg_2) as DLTCP_RetransPacketRatio_seg_2</t>
  </si>
  <si>
    <t>dltcp_retranspacketratio_seg_3</t>
  </si>
  <si>
    <t>sum(DLTCPRetransPacketRatio_seg_3) as DLTCP_RetransPacketRatio_seg_3</t>
  </si>
  <si>
    <t>dltcp_retranspacketratio_seg_4</t>
  </si>
  <si>
    <t>sum(DLTCPRetransPacketRatio_seg_4) as DLTCP_RetransPacketRatio_seg_4</t>
  </si>
  <si>
    <t>dltcp_retranspacketratio_seg_5</t>
  </si>
  <si>
    <t>sum(DLTCPRetransPacketRatio_seg_5) as DLTCP_RetransPacketRatio_seg_5</t>
  </si>
  <si>
    <t>ul_flux</t>
  </si>
  <si>
    <t>sum(outputoctets_sum)</t>
  </si>
  <si>
    <t>dl_flux</t>
  </si>
  <si>
    <t>sum(inputoctets_sum)</t>
  </si>
  <si>
    <t>ul_packet</t>
  </si>
  <si>
    <t>sum(outputpacket_sum)</t>
  </si>
  <si>
    <t>dl_packet</t>
  </si>
  <si>
    <t>小区发出的业务数据包数量</t>
  </si>
  <si>
    <t>sum(inputpacket_sum)</t>
  </si>
  <si>
    <t>交互时延优秀次数</t>
  </si>
  <si>
    <t>sum(times_excellentgamedelay)</t>
  </si>
  <si>
    <t>交互时延劣质次数</t>
  </si>
  <si>
    <t>sum(times_inferiorgamedelay)</t>
  </si>
  <si>
    <t>交互时延良好次数</t>
  </si>
  <si>
    <t>sum(times_wellgamedelay)</t>
  </si>
  <si>
    <t>sum(times_excellentrspdelay)</t>
  </si>
  <si>
    <t>sum(times_inferiorrspdelay)</t>
  </si>
  <si>
    <t>sum(times_wellrspdelay)</t>
  </si>
  <si>
    <t>sum(times_excellentcmpltdelay)</t>
  </si>
  <si>
    <t>sum(times_inferiorcmpltdelay)</t>
  </si>
  <si>
    <t>sum(times_wellcmpltdelay)</t>
  </si>
  <si>
    <t>发送请求次数</t>
  </si>
  <si>
    <t>sum(case when httpaction=5 then httpwebreqcount end)</t>
  </si>
  <si>
    <t>发送成功次数</t>
  </si>
  <si>
    <t>sum(case when httpaction=5 then httpwebrspcount end)</t>
  </si>
  <si>
    <t>发送时延</t>
  </si>
  <si>
    <t>sum(case when httpaction=5 then httpwebdspdelay_avg end)</t>
  </si>
  <si>
    <t>接收请求次数</t>
  </si>
  <si>
    <t>sum(case when httpaction=6 then httpwebreqcount end)</t>
  </si>
  <si>
    <t>接收成功次数</t>
  </si>
  <si>
    <t>sum(case when httpaction=6 then httpwebrspcount end)</t>
  </si>
  <si>
    <t>接收时延</t>
  </si>
  <si>
    <t>sum(case when httpaction=6 then httpwebdspdelay_avg end)</t>
  </si>
  <si>
    <t>发送成功率优秀次数</t>
  </si>
  <si>
    <t>sum(times_excellentsentrate)</t>
  </si>
  <si>
    <t>发送成功率劣质次数</t>
  </si>
  <si>
    <t>sum(times_inferiorsentrate)</t>
  </si>
  <si>
    <t>发送成功率优良次数</t>
  </si>
  <si>
    <t>SUM(times_wellsentrate)</t>
  </si>
  <si>
    <t>SUM(videoplaysuccess)</t>
  </si>
  <si>
    <t>count(1)-SUM(videoplaysuccess)</t>
  </si>
  <si>
    <t>SUM(times_excellentdownlink)</t>
  </si>
  <si>
    <t>SUM(times_inferiordownlink)</t>
  </si>
  <si>
    <t>SUM(times_welldownlink)</t>
  </si>
  <si>
    <t>SUM(times_excellentstallfrequ)</t>
  </si>
  <si>
    <t>SUM(times_inferiorstallfrequ)</t>
  </si>
  <si>
    <t>SUM(times_wellstallfrequ)</t>
  </si>
  <si>
    <t>SUM(videoplaytime_sum)</t>
  </si>
  <si>
    <t>视频播放等待总时长</t>
  </si>
  <si>
    <t>SUM(videoplaywaittime)</t>
  </si>
  <si>
    <t>视频卡顿总时长</t>
  </si>
  <si>
    <t>SUM(videorecovertime)</t>
  </si>
  <si>
    <t>avg(VideoThroughput_avg)</t>
  </si>
  <si>
    <t>视频平均比特率</t>
  </si>
  <si>
    <t>AVG(VideoBitRate)</t>
  </si>
  <si>
    <t>视频缓冲段总时长</t>
  </si>
  <si>
    <t>sum(CachedVideoDuration_sum)</t>
  </si>
  <si>
    <t>用户5G小区app等多维度感知时刻表</t>
  </si>
  <si>
    <t>ab.selfServiceType=c.servicetype</t>
  </si>
  <si>
    <t>cfg_dpi_business_classification</t>
  </si>
  <si>
    <t>ABD</t>
  </si>
  <si>
    <t>concat(nodebid,'_',cellid) as cellkey</t>
  </si>
  <si>
    <t>imsi_supi as imis</t>
  </si>
  <si>
    <t>servicetype as selfservicetype</t>
  </si>
  <si>
    <t>业务应用大类</t>
  </si>
  <si>
    <t>appname</t>
  </si>
  <si>
    <t>imei_tac</t>
  </si>
  <si>
    <t xml:space="preserve">upfip </t>
  </si>
  <si>
    <t>sum(total_num)                           as total_cnt</t>
  </si>
  <si>
    <t>sum(is_poorquality_num)                  as total_badcnt</t>
  </si>
  <si>
    <t>sum(is_poorquality_num)/sum(total_num)   as total_badcnt_ratio</t>
  </si>
  <si>
    <t>sum(is_poor_ultcp_retranspacket_num)     as ultcp_retrans_badcnt</t>
  </si>
  <si>
    <t>sum(is_poor_dltcp_retranspacket_num)      as dltcp_retrans_badcnt</t>
  </si>
  <si>
    <t>sum(is_poor_ultcpreorderingpacket_num)    as ultcp_reordering_badcnt</t>
  </si>
  <si>
    <t>sum(is_poor_dltcpreorderingpacket_num)    as dltcp_reordering_badcnt</t>
  </si>
  <si>
    <t>sum(is_poor_tcpsetupresponsedelay_num)   as tcpsetupresponsedelay_badcnt</t>
  </si>
  <si>
    <t>sum(duration_sum)                    as service_duration</t>
  </si>
  <si>
    <t>sum(nvl(inputoctets_sum,0)+nvl(outputoctets_sum,0))    as service_flux</t>
  </si>
  <si>
    <t>sum(outputpacket_sum)           as outputpacket_sum</t>
  </si>
  <si>
    <t>sum(inputpacket_sum)            as inputpacket_sum</t>
  </si>
  <si>
    <t>上行重传包数</t>
  </si>
  <si>
    <t>sum(ultcpretranspacket_sum)     as ultcpretranspacket_sum</t>
  </si>
  <si>
    <t>下行重传包数</t>
  </si>
  <si>
    <t>sum(dltcpretranspacket_sum)     as dltcpretranspacket_sum</t>
  </si>
  <si>
    <t>上行乱序包数</t>
  </si>
  <si>
    <t>sum(ultcpreorderingpacket_sum)  as ultcpreorderingpacket_sum</t>
  </si>
  <si>
    <t>下行乱序包数</t>
  </si>
  <si>
    <t>sum(dltcpreorderingpacket_sum)  as dltcpreorderingpacket_sum</t>
  </si>
  <si>
    <t>sum(ultcpretranspacket_sum)/sum(outputpacket_sum)    as ultcp_retrans_rate</t>
  </si>
  <si>
    <t>sum(dltcpretranspacket_sum)/sum(inputpacket_sum)     as dltcp_retrans_rate</t>
  </si>
  <si>
    <t>sum(ultcpreorderingpacket_sum)/sum(outputpacket_sum)  as ultcp_reordering_rate</t>
  </si>
  <si>
    <t>sum(dltcpreorderingpacket_sum)/sum(inputpacket_sum)   as dltcp_reordering_rate</t>
  </si>
  <si>
    <t>sum(tcpsetupresponsedelay_avg) as tcpsetupresponsedelay_sum</t>
  </si>
  <si>
    <t>sum(tcpsetupackdelay_avg) as tcpsetupackdelay_sum</t>
  </si>
  <si>
    <t>sum(TCPConnectSuccNumber_sum)  as TCPConnectSuccNumber_sum</t>
  </si>
  <si>
    <t>sum(dnsqueryreqcount)  as dnsqueryreqcount</t>
  </si>
  <si>
    <t>sum(dnsqueryrspcount)  as dnsqueryrspcount</t>
  </si>
  <si>
    <t>sum(httpwebreqcount)   as httpwebreqcount</t>
  </si>
  <si>
    <t>sum(httpwebrspcount)   as httpwebrspcount</t>
  </si>
  <si>
    <t>sum(InputOctets_sum)*8000/(sum(httpwebrspdelay_avg)*1024)  as throughput</t>
  </si>
  <si>
    <t>sum(throughput_seg_1)  as throughput_seg_1</t>
  </si>
  <si>
    <t>sum(throughput_seg_2)  as throughput_seg_2</t>
  </si>
  <si>
    <t>sum(throughput_seg_3)  as throughput_seg_3</t>
  </si>
  <si>
    <t>sum(throughput_seg_4)  as throughput_seg_4</t>
  </si>
  <si>
    <t>sum(throughput_seg_5)  as throughput_seg_5</t>
  </si>
  <si>
    <t>sum(tcpsetupdelay_seg_1)  as tcpsetupdelay_seg_1</t>
  </si>
  <si>
    <t>sum(tcpsetupdelay_seg_2)  as tcpsetupdelay_seg_2</t>
  </si>
  <si>
    <t>sum(tcpsetupdelay_seg_3)  as tcpsetupdelay_seg_3</t>
  </si>
  <si>
    <t>sum(tcpsetupdelay_seg_4)  as tcpsetupdelay_seg_4</t>
  </si>
  <si>
    <t>sum(tcpsetupdelay_seg_5)  as tcpsetupdelay_seg_5</t>
  </si>
  <si>
    <t>sum(delay_acktime_actiontime_avg*httpwebrspcount)/sum(httpwebrspcount)   as delay_acktime_actiontime_avg</t>
  </si>
  <si>
    <t>sum(delay_actiontime_firstresptime_seg_1)  as delay_actiontime_firstresptime_seg_1</t>
  </si>
  <si>
    <t>sum(delay_actiontime_firstresptime_seg_2)  as delay_actiontime_firstresptime_seg_2</t>
  </si>
  <si>
    <t>sum(delay_actiontime_firstresptime_seg_3)  as delay_actiontime_firstresptime_seg_3</t>
  </si>
  <si>
    <t>sum(delay_actiontime_firstresptime_seg_4)  as delay_actiontime_firstresptime_seg_4</t>
  </si>
  <si>
    <t>sum(delay_actiontime_firstresptime_seg_5)  as delay_actiontime_firstresptime_seg_5</t>
  </si>
  <si>
    <t>sum(delay_lastpacktime_dnsortcp_avg*httpwebrspcount)/sum(httpwebrspcount)    as delay_lastpacktime_dnsortcp_avg</t>
  </si>
  <si>
    <t>sum(delay_firstresptime_lastpacktime_avg*httpwebrspcount)/sum(httpwebrspcount)   as delay_firstresptime_lastpacktime_avg</t>
  </si>
  <si>
    <t>sum(delay_firstresptime_lastpacktime_seg_1)  as delay_firstresptime_lastpacktime_seg_1</t>
  </si>
  <si>
    <t>sum(delay_firstresptime_lastpacktime_seg_2)  as delay_firstresptime_lastpacktime_seg_2</t>
  </si>
  <si>
    <t>sum(delay_firstresptime_lastpacktime_seg_3)  as delay_firstresptime_lastpacktime_seg_3</t>
  </si>
  <si>
    <t>sum(delay_firstresptime_lastpacktime_seg_4)  as delay_firstresptime_lastpacktime_seg_4</t>
  </si>
  <si>
    <t>sum(delay_firstresptime_lastpacktime_seg_5)  as delay_firstresptime_lastpacktime_seg_5</t>
  </si>
  <si>
    <t>null as  delay_firstpackettime_pageopentime_avg</t>
  </si>
  <si>
    <t>null as   delay_firstpackettime_pageopentime_seg_1</t>
  </si>
  <si>
    <t>null as  delay_firstpackettime_pageopentime_seg_2</t>
  </si>
  <si>
    <t>null as   delay_firstpackettime_pageopentime_seg_3</t>
  </si>
  <si>
    <t>null as   delay_firstpackettime_pageopentime_seg_4</t>
  </si>
  <si>
    <t>null as  delay_firstpackettime_pageopentime_seg_5</t>
  </si>
  <si>
    <t>sum(delay_lastpacktime_lastacktime_avg*httpwebrspcount)/sum(httpwebrspcount)    as delay_lastpacktime_lastacktime_avg</t>
  </si>
  <si>
    <t>sum(TCPReorderingPacketRatio_seg_1)  as TCPReorderingPacketRatio_seg_1</t>
  </si>
  <si>
    <t>sum(TCPReorderingPacketRatio_seg_2)  as TCPReorderingPacketRatio_seg_2</t>
  </si>
  <si>
    <t>sum(TCPReorderingPacketRatio_seg_3)  as TCPReorderingPacketRatio_seg_3</t>
  </si>
  <si>
    <t>sum(TCPReorderingPacketRatio_seg_4)  as TCPReorderingPacketRatio_seg_4</t>
  </si>
  <si>
    <t>sum(TCPReorderingPacketRatio_seg_5)  as TCPReorderingPacketRatio_seg_5</t>
  </si>
  <si>
    <t>sum(dltcpreorderingpacket_sum)/sum(inputpacket_sum)  as DLTCPReorderingPacketRatio</t>
  </si>
  <si>
    <t>sum(DLTCPReorderingPacketRatio_seg_1)   as DLTCPReorderingPacketRatio_seg_1</t>
  </si>
  <si>
    <t>sum(DLTCPReorderingPacketRatio_seg_2)   as DLTCPReorderingPacketRatio_seg_2</t>
  </si>
  <si>
    <t>sum(DLTCPReorderingPacketRatio_seg_3)   as DLTCPReorderingPacketRatio_seg_3</t>
  </si>
  <si>
    <t>sum(DLTCPReorderingPacketRatio_seg_4)   as DLTCPReorderingPacketRatio_seg_4</t>
  </si>
  <si>
    <t>sum(DLTCPReorderingPacketRatio_seg_5)   as DLTCPReorderingPacketRatio_seg_5</t>
  </si>
  <si>
    <t>sum(ultcpretranspacket_sum+dltcpretranspacket_sum)/sum(inputpacket_sum+outputpacket_sum)  as TCP_RetransPacketRatio</t>
  </si>
  <si>
    <t>sum(TCP_RetransPacketRatio_seg_1) as TCP_RetransPacketRatio_seg_1</t>
  </si>
  <si>
    <t>sum(TCP_RetransPacketRatio_seg_2) as TCP_RetransPacketRatio_seg_2</t>
  </si>
  <si>
    <t>sum(TCP_RetransPacketRatio_seg_3) as TCP_RetransPacketRatio_seg_3</t>
  </si>
  <si>
    <t>sum(TCP_RetransPacketRatio_seg_4) as TCP_RetransPacketRatio_seg_4</t>
  </si>
  <si>
    <t>sum(TCP_RetransPacketRatio_seg_5) as TCP_RetransPacketRatio_seg_5</t>
  </si>
  <si>
    <t>sum(ultcpretranspacket_sum)/sum(outputpacket_sum)  as ULTCP_RetransPacketRatio</t>
  </si>
  <si>
    <t>sum(ULTCP_RetransPacketRatio_seg_1)                 as ULTCP_RetransPacketRatio_seg_1</t>
  </si>
  <si>
    <t>sum(ULTCP_RetransPacketRatio_seg_2)                 as ULTCP_RetransPacketRatio_seg_2</t>
  </si>
  <si>
    <t>sum(ULTCP_RetransPacketRatio_seg_3)                 as ULTCP_RetransPacketRatio_seg_3</t>
  </si>
  <si>
    <t>sum(ULTCP_RetransPacketRatio_seg_4)                 as ULTCP_RetransPacketRatio_seg_4</t>
  </si>
  <si>
    <t>sum(ULTCP_RetransPacketRatio_seg_5)                 as ULTCP_RetransPacketRatio_seg_5</t>
  </si>
  <si>
    <t>sum(dltcpretranspacket_sum)/sum(inputpacket_sum)   as DLTCP_RetransPacketRatio</t>
  </si>
  <si>
    <t>sum(DLTCP_RetransPacketRatio_seg_1)                 as DLTCP_RetransPacketRatio_seg_1</t>
  </si>
  <si>
    <t>sum(DLTCP_RetransPacketRatio_seg_2)                 as DLTCP_RetransPacketRatio_seg_2</t>
  </si>
  <si>
    <t>sum(DLTCP_RetransPacketRatio_seg_3)                 as DLTCP_RetransPacketRatio_seg_3</t>
  </si>
  <si>
    <t>sum(DLTCP_RetransPacketRatio_seg_4)                 as DLTCP_RetransPacketRatio_seg_4</t>
  </si>
  <si>
    <t>sum(DLTCP_RetransPacketRatio_seg_5)                 as DLTCP_RetransPacketRatio_seg_5</t>
  </si>
  <si>
    <t>sum(is_poor_tcpsetupresponsedelay_num) as is_poor_tcpsetupresponsedelay_num</t>
  </si>
  <si>
    <t>sum(is_poor_tcpsetupackdelay_num) as is_poor_tcpsetupackdelay_num</t>
  </si>
  <si>
    <t>sum(is_poor_ultcp_retranspacket_num) as is_poor_ultcp_retranspacket_num</t>
  </si>
  <si>
    <t>sum(is_poor_dltcp_retranspacket_num) as is_poor_dltcp_retranspacket_num</t>
  </si>
  <si>
    <t>sum(is_poor_ultcpreorderingpacket_num) as is_poor_ultcpreorderingpacket_num</t>
  </si>
  <si>
    <t>sum(is_poor_dltcpreorderingpacket_num) as is_poor_dltcpreorderingpacket_num</t>
  </si>
  <si>
    <r>
      <rPr>
        <sz val="9"/>
        <color rgb="FF000000"/>
        <rFont val="微软雅黑"/>
        <charset val="134"/>
      </rPr>
      <t>dtsw</t>
    </r>
  </si>
  <si>
    <r>
      <rPr>
        <sz val="9"/>
        <color rgb="FF000000"/>
        <rFont val="微软雅黑"/>
        <charset val="134"/>
      </rPr>
      <t>A1</t>
    </r>
  </si>
  <si>
    <t>A1取出主键，再左关联其它表；on   cellkey,imsi,visitedplmnid,[quarter]等
目标表没有将quarter数据汇聚为小时数据，关联的小时表将每个quarter都取同样的。</t>
  </si>
  <si>
    <r>
      <rPr>
        <sz val="9"/>
        <color rgb="FF000000"/>
        <rFont val="微软雅黑"/>
        <charset val="134"/>
      </rPr>
      <t>是</t>
    </r>
  </si>
  <si>
    <r>
      <rPr>
        <sz val="9"/>
        <color rgb="FF000000"/>
        <rFont val="微软雅黑"/>
        <charset val="134"/>
      </rPr>
      <t>A7</t>
    </r>
  </si>
  <si>
    <r>
      <rPr>
        <sz val="9"/>
        <color rgb="FF000000"/>
        <rFont val="微软雅黑"/>
        <charset val="134"/>
      </rPr>
      <t>A8</t>
    </r>
  </si>
  <si>
    <t>系统接入pm表</t>
  </si>
  <si>
    <t>pm中无rssi数据</t>
  </si>
  <si>
    <r>
      <rPr>
        <sz val="9"/>
        <color rgb="FF000000"/>
        <rFont val="微软雅黑"/>
        <charset val="134"/>
      </rPr>
      <t>A10</t>
    </r>
  </si>
  <si>
    <t>cellkey、quarter关联</t>
  </si>
  <si>
    <t>lte工参表</t>
  </si>
  <si>
    <r>
      <rPr>
        <sz val="9"/>
        <color rgb="FF000000"/>
        <rFont val="微软雅黑"/>
        <charset val="134"/>
      </rPr>
      <t>天</t>
    </r>
  </si>
  <si>
    <t>A1</t>
  </si>
  <si>
    <r>
      <rPr>
        <sz val="9"/>
        <color rgb="FF000000"/>
        <rFont val="微软雅黑"/>
        <charset val="134"/>
      </rPr>
      <t>直取</t>
    </r>
  </si>
  <si>
    <r>
      <rPr>
        <sz val="9"/>
        <rFont val="微软雅黑"/>
        <charset val="134"/>
      </rPr>
      <t>小时，0~23</t>
    </r>
  </si>
  <si>
    <r>
      <rPr>
        <sz val="9"/>
        <rFont val="微软雅黑"/>
        <charset val="134"/>
      </rPr>
      <t>时刻(0,15,30,45)</t>
    </r>
  </si>
  <si>
    <r>
      <rPr>
        <sz val="9"/>
        <rFont val="微软雅黑"/>
        <charset val="134"/>
      </rPr>
      <t>省编码</t>
    </r>
  </si>
  <si>
    <r>
      <rPr>
        <sz val="9"/>
        <rFont val="微软雅黑"/>
        <charset val="134"/>
      </rPr>
      <t>市编码</t>
    </r>
  </si>
  <si>
    <r>
      <rPr>
        <sz val="9"/>
        <rFont val="微软雅黑"/>
        <charset val="134"/>
      </rPr>
      <t>区县编码</t>
    </r>
  </si>
  <si>
    <r>
      <rPr>
        <sz val="9"/>
        <color rgb="FF000000"/>
        <rFont val="微软雅黑"/>
        <charset val="134"/>
      </rPr>
      <t>置lte</t>
    </r>
  </si>
  <si>
    <r>
      <rPr>
        <sz val="9"/>
        <color rgb="FF000000"/>
        <rFont val="微软雅黑"/>
        <charset val="134"/>
      </rPr>
      <t>visitedplmnid</t>
    </r>
  </si>
  <si>
    <r>
      <rPr>
        <sz val="9"/>
        <color rgb="FF000000"/>
        <rFont val="微软雅黑"/>
        <charset val="134"/>
      </rPr>
      <t>拜访网络标识</t>
    </r>
  </si>
  <si>
    <r>
      <rPr>
        <sz val="9"/>
        <color rgb="FF000000"/>
        <rFont val="微软雅黑"/>
        <charset val="134"/>
      </rPr>
      <t>永久小区标识，永久小区标识。4G 填写小区IMSI。</t>
    </r>
  </si>
  <si>
    <r>
      <rPr>
        <sz val="9"/>
        <color rgb="FF000000"/>
        <rFont val="微软雅黑"/>
        <charset val="134"/>
      </rPr>
      <t>MS International PSTN/ISDN Number (ISDN)</t>
    </r>
  </si>
  <si>
    <r>
      <rPr>
        <sz val="9"/>
        <color rgb="FF000000"/>
        <rFont val="微软雅黑"/>
        <charset val="134"/>
      </rPr>
      <t>total_cnt</t>
    </r>
  </si>
  <si>
    <t>SUM(total_cnt)</t>
  </si>
  <si>
    <r>
      <rPr>
        <sz val="9"/>
        <color rgb="FF000000"/>
        <rFont val="微软雅黑"/>
        <charset val="134"/>
      </rPr>
      <t>total_badcnt</t>
    </r>
  </si>
  <si>
    <r>
      <rPr>
        <sz val="9"/>
        <color rgb="FF000000"/>
        <rFont val="微软雅黑"/>
        <charset val="134"/>
      </rPr>
      <t>总质差话单数</t>
    </r>
  </si>
  <si>
    <t>SUM(total_badcnt)</t>
  </si>
  <si>
    <r>
      <rPr>
        <sz val="9"/>
        <color rgb="FF000000"/>
        <rFont val="微软雅黑"/>
        <charset val="134"/>
      </rPr>
      <t>total_badcnt_ratio</t>
    </r>
  </si>
  <si>
    <r>
      <rPr>
        <sz val="9"/>
        <color rgb="FF000000"/>
        <rFont val="微软雅黑"/>
        <charset val="134"/>
      </rPr>
      <t>总质差话单占比</t>
    </r>
  </si>
  <si>
    <t>SUM(total_badcnt)/SUM(total_cnt)</t>
  </si>
  <si>
    <r>
      <rPr>
        <sz val="9"/>
        <color rgb="FF000000"/>
        <rFont val="微软雅黑"/>
        <charset val="134"/>
      </rPr>
      <t>ultcp_retrans_badcnt</t>
    </r>
  </si>
  <si>
    <r>
      <rPr>
        <sz val="9"/>
        <color rgb="FF000000"/>
        <rFont val="微软雅黑"/>
        <charset val="134"/>
      </rPr>
      <t>tcp上行重传率质差话单数</t>
    </r>
  </si>
  <si>
    <t>SUM(ultcp_retrans_badcnt)</t>
  </si>
  <si>
    <r>
      <rPr>
        <sz val="9"/>
        <color rgb="FF000000"/>
        <rFont val="微软雅黑"/>
        <charset val="134"/>
      </rPr>
      <t>dltcp_retrans_badcnt</t>
    </r>
  </si>
  <si>
    <r>
      <rPr>
        <sz val="9"/>
        <color rgb="FF000000"/>
        <rFont val="微软雅黑"/>
        <charset val="134"/>
      </rPr>
      <t>tcp下行重传率质差话单数</t>
    </r>
  </si>
  <si>
    <r>
      <rPr>
        <sz val="9"/>
        <color rgb="FF000000"/>
        <rFont val="微软雅黑"/>
        <charset val="134"/>
      </rPr>
      <t>SUM(dltcp_retrans_badcnt)</t>
    </r>
  </si>
  <si>
    <r>
      <rPr>
        <sz val="9"/>
        <color rgb="FF000000"/>
        <rFont val="微软雅黑"/>
        <charset val="134"/>
      </rPr>
      <t>ultcp_reordering_badcnt</t>
    </r>
  </si>
  <si>
    <r>
      <rPr>
        <sz val="9"/>
        <color rgb="FF000000"/>
        <rFont val="微软雅黑"/>
        <charset val="134"/>
      </rPr>
      <t>tcp上行乱序率质差话单数</t>
    </r>
  </si>
  <si>
    <r>
      <rPr>
        <sz val="9"/>
        <color rgb="FF000000"/>
        <rFont val="微软雅黑"/>
        <charset val="134"/>
      </rPr>
      <t>SUM(ultcp_reordering_badcnt)</t>
    </r>
  </si>
  <si>
    <r>
      <rPr>
        <sz val="9"/>
        <color rgb="FF000000"/>
        <rFont val="微软雅黑"/>
        <charset val="134"/>
      </rPr>
      <t>dltcp_reordering_badcnt</t>
    </r>
  </si>
  <si>
    <r>
      <rPr>
        <sz val="9"/>
        <color rgb="FF000000"/>
        <rFont val="微软雅黑"/>
        <charset val="134"/>
      </rPr>
      <t>tcp下行乱序率质差话单数</t>
    </r>
  </si>
  <si>
    <r>
      <rPr>
        <sz val="9"/>
        <color rgb="FF000000"/>
        <rFont val="微软雅黑"/>
        <charset val="134"/>
      </rPr>
      <t>SUM(dltcp_reordering_badcnt)</t>
    </r>
  </si>
  <si>
    <r>
      <rPr>
        <sz val="9"/>
        <color rgb="FF000000"/>
        <rFont val="微软雅黑"/>
        <charset val="134"/>
      </rPr>
      <t>tcpsetupresponsedelay_badcnt</t>
    </r>
  </si>
  <si>
    <r>
      <rPr>
        <sz val="9"/>
        <color rgb="FF000000"/>
        <rFont val="微软雅黑"/>
        <charset val="134"/>
      </rPr>
      <t>tcp建链响应时延质差话单数</t>
    </r>
  </si>
  <si>
    <r>
      <rPr>
        <sz val="9"/>
        <color rgb="FF000000"/>
        <rFont val="微软雅黑"/>
        <charset val="134"/>
      </rPr>
      <t>SUM(tcpsetupresponsedelay_badcnt)</t>
    </r>
  </si>
  <si>
    <r>
      <rPr>
        <sz val="9"/>
        <color rgb="FF000000"/>
        <rFont val="微软雅黑"/>
        <charset val="134"/>
      </rPr>
      <t>tcpsetupackdelay_badcnt</t>
    </r>
  </si>
  <si>
    <r>
      <rPr>
        <sz val="9"/>
        <color rgb="FF000000"/>
        <rFont val="微软雅黑"/>
        <charset val="134"/>
      </rPr>
      <t>tcp建链确认时延质差话单数</t>
    </r>
  </si>
  <si>
    <r>
      <rPr>
        <sz val="9"/>
        <color rgb="FF000000"/>
        <rFont val="微软雅黑"/>
        <charset val="134"/>
      </rPr>
      <t>SUM(tcpsetupackdelay_badcnt)</t>
    </r>
  </si>
  <si>
    <r>
      <rPr>
        <sz val="9"/>
        <color rgb="FF000000"/>
        <rFont val="微软雅黑"/>
        <charset val="134"/>
      </rPr>
      <t>service_duration</t>
    </r>
  </si>
  <si>
    <r>
      <rPr>
        <sz val="9"/>
        <color rgb="FF000000"/>
        <rFont val="微软雅黑"/>
        <charset val="134"/>
      </rPr>
      <t>业务时长</t>
    </r>
  </si>
  <si>
    <r>
      <rPr>
        <sz val="9"/>
        <color rgb="FF000000"/>
        <rFont val="微软雅黑"/>
        <charset val="134"/>
      </rPr>
      <t>SUM(service_duration)</t>
    </r>
  </si>
  <si>
    <r>
      <rPr>
        <sz val="9"/>
        <color rgb="FF000000"/>
        <rFont val="微软雅黑"/>
        <charset val="134"/>
      </rPr>
      <t>service_flux</t>
    </r>
  </si>
  <si>
    <r>
      <rPr>
        <sz val="9"/>
        <color rgb="FF000000"/>
        <rFont val="微软雅黑"/>
        <charset val="134"/>
      </rPr>
      <t>业务流量</t>
    </r>
  </si>
  <si>
    <r>
      <rPr>
        <sz val="9"/>
        <color rgb="FF000000"/>
        <rFont val="微软雅黑"/>
        <charset val="134"/>
      </rPr>
      <t>SUM(service_flux)</t>
    </r>
  </si>
  <si>
    <r>
      <rPr>
        <sz val="9"/>
        <color rgb="FF000000"/>
        <rFont val="微软雅黑"/>
        <charset val="134"/>
      </rPr>
      <t>outputpacket</t>
    </r>
  </si>
  <si>
    <r>
      <rPr>
        <sz val="9"/>
        <color rgb="FF000000"/>
        <rFont val="微软雅黑"/>
        <charset val="134"/>
      </rPr>
      <t>tcp上行总包数</t>
    </r>
  </si>
  <si>
    <r>
      <rPr>
        <sz val="9"/>
        <color rgb="FF000000"/>
        <rFont val="微软雅黑"/>
        <charset val="134"/>
      </rPr>
      <t>SUM(outputpacket)</t>
    </r>
  </si>
  <si>
    <r>
      <rPr>
        <sz val="9"/>
        <color rgb="FF000000"/>
        <rFont val="微软雅黑"/>
        <charset val="134"/>
      </rPr>
      <t>inputpacket</t>
    </r>
  </si>
  <si>
    <r>
      <rPr>
        <sz val="9"/>
        <color rgb="FF000000"/>
        <rFont val="微软雅黑"/>
        <charset val="134"/>
      </rPr>
      <t>tcp下行总包数</t>
    </r>
  </si>
  <si>
    <r>
      <rPr>
        <sz val="9"/>
        <color rgb="FF000000"/>
        <rFont val="微软雅黑"/>
        <charset val="134"/>
      </rPr>
      <t>SUM(inputpacket)</t>
    </r>
  </si>
  <si>
    <r>
      <rPr>
        <sz val="9"/>
        <color rgb="FF000000"/>
        <rFont val="微软雅黑"/>
        <charset val="134"/>
      </rPr>
      <t>ultcpretranspacket</t>
    </r>
  </si>
  <si>
    <r>
      <rPr>
        <sz val="9"/>
        <color rgb="FF000000"/>
        <rFont val="微软雅黑"/>
        <charset val="134"/>
      </rPr>
      <t>tcp上行总重传报文数</t>
    </r>
  </si>
  <si>
    <r>
      <rPr>
        <sz val="9"/>
        <color rgb="FF000000"/>
        <rFont val="微软雅黑"/>
        <charset val="134"/>
      </rPr>
      <t>SUM(ultcpretranspacket)</t>
    </r>
  </si>
  <si>
    <r>
      <rPr>
        <sz val="9"/>
        <color rgb="FF000000"/>
        <rFont val="微软雅黑"/>
        <charset val="134"/>
      </rPr>
      <t>dltcpretranspacket</t>
    </r>
  </si>
  <si>
    <r>
      <rPr>
        <sz val="9"/>
        <color rgb="FF000000"/>
        <rFont val="微软雅黑"/>
        <charset val="134"/>
      </rPr>
      <t>tcp下行总重传报文数</t>
    </r>
  </si>
  <si>
    <r>
      <rPr>
        <sz val="9"/>
        <color rgb="FF000000"/>
        <rFont val="微软雅黑"/>
        <charset val="134"/>
      </rPr>
      <t>SUM(dltcpretranspacket)</t>
    </r>
  </si>
  <si>
    <r>
      <rPr>
        <sz val="9"/>
        <color rgb="FF000000"/>
        <rFont val="微软雅黑"/>
        <charset val="134"/>
      </rPr>
      <t>ultcpreorderingpacket</t>
    </r>
  </si>
  <si>
    <r>
      <rPr>
        <sz val="9"/>
        <color rgb="FF000000"/>
        <rFont val="微软雅黑"/>
        <charset val="134"/>
      </rPr>
      <t>tcp上行总乱序报文数</t>
    </r>
  </si>
  <si>
    <r>
      <rPr>
        <sz val="9"/>
        <color rgb="FF000000"/>
        <rFont val="微软雅黑"/>
        <charset val="134"/>
      </rPr>
      <t>SUM(ultcpreorderingpacket)</t>
    </r>
  </si>
  <si>
    <r>
      <rPr>
        <sz val="9"/>
        <color rgb="FF000000"/>
        <rFont val="微软雅黑"/>
        <charset val="134"/>
      </rPr>
      <t>dltcpreorderingpacket</t>
    </r>
  </si>
  <si>
    <r>
      <rPr>
        <sz val="9"/>
        <color rgb="FF000000"/>
        <rFont val="微软雅黑"/>
        <charset val="134"/>
      </rPr>
      <t>tcp下行总乱序报文数</t>
    </r>
  </si>
  <si>
    <r>
      <rPr>
        <sz val="9"/>
        <color rgb="FF000000"/>
        <rFont val="微软雅黑"/>
        <charset val="134"/>
      </rPr>
      <t>SUM(dltcpreorderingpacket)</t>
    </r>
  </si>
  <si>
    <r>
      <rPr>
        <sz val="9"/>
        <color rgb="FF000000"/>
        <rFont val="微软雅黑"/>
        <charset val="134"/>
      </rPr>
      <t>ultcp_retrans_rate</t>
    </r>
  </si>
  <si>
    <r>
      <rPr>
        <sz val="9"/>
        <color rgb="FF000000"/>
        <rFont val="微软雅黑"/>
        <charset val="134"/>
      </rPr>
      <t>tcp上行重传率</t>
    </r>
  </si>
  <si>
    <r>
      <rPr>
        <sz val="9"/>
        <color rgb="FF000000"/>
        <rFont val="微软雅黑"/>
        <charset val="134"/>
      </rPr>
      <t>SUM(ultcpretranspacket)/SUM(outputpacket)</t>
    </r>
  </si>
  <si>
    <r>
      <rPr>
        <sz val="9"/>
        <color rgb="FF000000"/>
        <rFont val="微软雅黑"/>
        <charset val="134"/>
      </rPr>
      <t>dltcp_retrans_rate</t>
    </r>
  </si>
  <si>
    <r>
      <rPr>
        <sz val="9"/>
        <color rgb="FF000000"/>
        <rFont val="微软雅黑"/>
        <charset val="134"/>
      </rPr>
      <t>tcp下行重传率</t>
    </r>
  </si>
  <si>
    <r>
      <rPr>
        <sz val="9"/>
        <color rgb="FF000000"/>
        <rFont val="微软雅黑"/>
        <charset val="134"/>
      </rPr>
      <t>SUM(dltcpretranspacket)/SUM(inputpacket)</t>
    </r>
  </si>
  <si>
    <r>
      <rPr>
        <sz val="9"/>
        <color rgb="FF000000"/>
        <rFont val="微软雅黑"/>
        <charset val="134"/>
      </rPr>
      <t>retrans_rate</t>
    </r>
  </si>
  <si>
    <r>
      <rPr>
        <sz val="9"/>
        <color rgb="FF000000"/>
        <rFont val="微软雅黑"/>
        <charset val="134"/>
      </rPr>
      <t>tcp重传率</t>
    </r>
  </si>
  <si>
    <r>
      <rPr>
        <sz val="9"/>
        <color rgb="FF000000"/>
        <rFont val="微软雅黑"/>
        <charset val="134"/>
      </rPr>
      <t>(SUM(ultcpretranspacket)+SUM(dltcpretranspacket))/(SUM(outputpacket)+SUM(inputpacket))</t>
    </r>
  </si>
  <si>
    <r>
      <rPr>
        <sz val="9"/>
        <color rgb="FF000000"/>
        <rFont val="微软雅黑"/>
        <charset val="134"/>
      </rPr>
      <t>ultcp_reordering_rate</t>
    </r>
  </si>
  <si>
    <r>
      <rPr>
        <sz val="9"/>
        <color rgb="FF000000"/>
        <rFont val="微软雅黑"/>
        <charset val="134"/>
      </rPr>
      <t>tcp上行乱序率</t>
    </r>
  </si>
  <si>
    <r>
      <rPr>
        <sz val="9"/>
        <color rgb="FF000000"/>
        <rFont val="微软雅黑"/>
        <charset val="134"/>
      </rPr>
      <t>SUM(ultcpreorderingpacket)/SUM(outputpacket)</t>
    </r>
  </si>
  <si>
    <r>
      <rPr>
        <sz val="9"/>
        <color rgb="FF000000"/>
        <rFont val="微软雅黑"/>
        <charset val="134"/>
      </rPr>
      <t>dltcp_reordering_rate</t>
    </r>
  </si>
  <si>
    <r>
      <rPr>
        <sz val="9"/>
        <color rgb="FF000000"/>
        <rFont val="微软雅黑"/>
        <charset val="134"/>
      </rPr>
      <t>tcp下行乱序率</t>
    </r>
  </si>
  <si>
    <r>
      <rPr>
        <sz val="9"/>
        <color rgb="FF000000"/>
        <rFont val="微软雅黑"/>
        <charset val="134"/>
      </rPr>
      <t>SUM(dltcpreorderingpacket)/SUM(inputpacket)</t>
    </r>
  </si>
  <si>
    <r>
      <rPr>
        <sz val="9"/>
        <color rgb="FF000000"/>
        <rFont val="微软雅黑"/>
        <charset val="134"/>
      </rPr>
      <t>reordering_rate</t>
    </r>
  </si>
  <si>
    <r>
      <rPr>
        <sz val="9"/>
        <color rgb="FF000000"/>
        <rFont val="微软雅黑"/>
        <charset val="134"/>
      </rPr>
      <t>tcp乱序率</t>
    </r>
  </si>
  <si>
    <r>
      <rPr>
        <sz val="9"/>
        <color rgb="FF000000"/>
        <rFont val="微软雅黑"/>
        <charset val="134"/>
      </rPr>
      <t>(SUM(ultcpreorderingpacket)+SUM(dltcpreorderingpacket))/(SUM(outputpacket)+SUM(inputpacket))</t>
    </r>
  </si>
  <si>
    <r>
      <rPr>
        <sz val="9"/>
        <color rgb="FF000000"/>
        <rFont val="微软雅黑"/>
        <charset val="134"/>
      </rPr>
      <t>tcpsetupresponsedelay_sum</t>
    </r>
  </si>
  <si>
    <r>
      <rPr>
        <sz val="9"/>
        <color rgb="FF000000"/>
        <rFont val="微软雅黑"/>
        <charset val="134"/>
      </rPr>
      <t>tcp总建链响应时延</t>
    </r>
  </si>
  <si>
    <r>
      <rPr>
        <sz val="9"/>
        <color rgb="FF000000"/>
        <rFont val="微软雅黑"/>
        <charset val="134"/>
      </rPr>
      <t>SUM(tcpsetupresponsedelay_sum)</t>
    </r>
  </si>
  <si>
    <r>
      <rPr>
        <sz val="9"/>
        <color rgb="FF000000"/>
        <rFont val="微软雅黑"/>
        <charset val="134"/>
      </rPr>
      <t>tcpsetupackdelay_sum</t>
    </r>
  </si>
  <si>
    <r>
      <rPr>
        <sz val="9"/>
        <color rgb="FF000000"/>
        <rFont val="微软雅黑"/>
        <charset val="134"/>
      </rPr>
      <t>tcp总建链确认时延</t>
    </r>
  </si>
  <si>
    <r>
      <rPr>
        <sz val="9"/>
        <color rgb="FF000000"/>
        <rFont val="微软雅黑"/>
        <charset val="134"/>
      </rPr>
      <t>SUM(tcpsetupackdelay_sum)</t>
    </r>
  </si>
  <si>
    <r>
      <rPr>
        <sz val="9"/>
        <color rgb="FF000000"/>
        <rFont val="微软雅黑"/>
        <charset val="134"/>
      </rPr>
      <t>tcp总建链响应次数</t>
    </r>
  </si>
  <si>
    <r>
      <rPr>
        <sz val="9"/>
        <color rgb="FF000000"/>
        <rFont val="微软雅黑"/>
        <charset val="134"/>
      </rPr>
      <t>SUM(tcpsetupresponsedelay_cnt)</t>
    </r>
  </si>
  <si>
    <r>
      <rPr>
        <sz val="9"/>
        <color rgb="FF000000"/>
        <rFont val="微软雅黑"/>
        <charset val="134"/>
      </rPr>
      <t>tcp总建链确认次数</t>
    </r>
  </si>
  <si>
    <r>
      <rPr>
        <sz val="9"/>
        <color rgb="FF000000"/>
        <rFont val="微软雅黑"/>
        <charset val="134"/>
      </rPr>
      <t>SUM(tcpsetupackdelay_cnt)</t>
    </r>
  </si>
  <si>
    <r>
      <rPr>
        <sz val="9"/>
        <color rgb="FF000000"/>
        <rFont val="微软雅黑"/>
        <charset val="134"/>
      </rPr>
      <t>avg_tcpsetupresponsedelay</t>
    </r>
  </si>
  <si>
    <r>
      <rPr>
        <sz val="9"/>
        <color rgb="FF000000"/>
        <rFont val="微软雅黑"/>
        <charset val="134"/>
      </rPr>
      <t>平均tcp建链响应时延</t>
    </r>
  </si>
  <si>
    <r>
      <rPr>
        <sz val="9"/>
        <color rgb="FF000000"/>
        <rFont val="微软雅黑"/>
        <charset val="134"/>
      </rPr>
      <t>SUM(tcpsetupresponsedelay_sum)/SUM(tcpsetupresponsedelay_cnt)</t>
    </r>
  </si>
  <si>
    <r>
      <rPr>
        <sz val="9"/>
        <color rgb="FF000000"/>
        <rFont val="微软雅黑"/>
        <charset val="134"/>
      </rPr>
      <t>avg_tcpsetupackdelay</t>
    </r>
  </si>
  <si>
    <r>
      <rPr>
        <sz val="9"/>
        <color rgb="FF000000"/>
        <rFont val="微软雅黑"/>
        <charset val="134"/>
      </rPr>
      <t>平均tcp建链确认时延</t>
    </r>
  </si>
  <si>
    <r>
      <rPr>
        <sz val="9"/>
        <color rgb="FF000000"/>
        <rFont val="微软雅黑"/>
        <charset val="134"/>
      </rPr>
      <t>SUM(tcpsetupackdelay_sum)/SUM(tcpsetupackdelay_cnt)</t>
    </r>
  </si>
  <si>
    <r>
      <rPr>
        <sz val="9"/>
        <color rgb="FF000000"/>
        <rFont val="微软雅黑"/>
        <charset val="134"/>
      </rPr>
      <t>avg_tcpsetupdelay</t>
    </r>
  </si>
  <si>
    <r>
      <rPr>
        <sz val="9"/>
        <color rgb="FF000000"/>
        <rFont val="微软雅黑"/>
        <charset val="134"/>
      </rPr>
      <t>平均tcp建链时延</t>
    </r>
  </si>
  <si>
    <r>
      <rPr>
        <sz val="9"/>
        <color rgb="FF000000"/>
        <rFont val="微软雅黑"/>
        <charset val="134"/>
      </rPr>
      <t>(SUM(tcpsetupresponsedelay_sum)+SUM(tcpsetupackdelay_sum))/(SUM(tcpsetupresponsedelay_cnt)+SUM(tcpsetupackdelay_cnt))</t>
    </r>
  </si>
  <si>
    <r>
      <rPr>
        <sz val="9"/>
        <color rgb="FF000000"/>
        <rFont val="微软雅黑"/>
        <charset val="134"/>
      </rPr>
      <t>gamereq</t>
    </r>
  </si>
  <si>
    <r>
      <rPr>
        <sz val="9"/>
        <color rgb="FF000000"/>
        <rFont val="微软雅黑"/>
        <charset val="134"/>
      </rPr>
      <t>游戏请求次数</t>
    </r>
  </si>
  <si>
    <t>满足后面筛选条件的count</t>
  </si>
  <si>
    <t>game字段都要筛选；筛选条件：(cast(servicetype AS int) &gt;= 05000100 AND cast(servicetype AS int) &lt; 05999901)</t>
  </si>
  <si>
    <r>
      <rPr>
        <sz val="9"/>
        <color rgb="FF000000"/>
        <rFont val="微软雅黑"/>
        <charset val="134"/>
      </rPr>
      <t>gamedelay</t>
    </r>
  </si>
  <si>
    <r>
      <rPr>
        <sz val="9"/>
        <color rgb="FF000000"/>
        <rFont val="微软雅黑"/>
        <charset val="134"/>
      </rPr>
      <t>游戏交互时延(多次业务的交互时延之和)</t>
    </r>
  </si>
  <si>
    <t>SUM(满足筛选条件的tcpsetupdelay_avg*满足筛选条件的httpwebrspcount)/SUM(满足筛选条件的httpwebrspcount)</t>
  </si>
  <si>
    <r>
      <rPr>
        <sz val="9"/>
        <color rgb="FF000000"/>
        <rFont val="微软雅黑"/>
        <charset val="134"/>
      </rPr>
      <t>game_flux</t>
    </r>
  </si>
  <si>
    <r>
      <rPr>
        <sz val="9"/>
        <color rgb="FF000000"/>
        <rFont val="微软雅黑"/>
        <charset val="134"/>
      </rPr>
      <t>游戏流量</t>
    </r>
  </si>
  <si>
    <t>sum(service_flux)</t>
  </si>
  <si>
    <r>
      <rPr>
        <sz val="9"/>
        <color rgb="FF000000"/>
        <rFont val="微软雅黑"/>
        <charset val="134"/>
      </rPr>
      <t>game_duration</t>
    </r>
  </si>
  <si>
    <r>
      <rPr>
        <sz val="9"/>
        <color rgb="FF000000"/>
        <rFont val="微软雅黑"/>
        <charset val="134"/>
      </rPr>
      <t>实际产生上行流量的时长</t>
    </r>
  </si>
  <si>
    <t>SUM(service_duration)</t>
  </si>
  <si>
    <r>
      <rPr>
        <sz val="9"/>
        <color rgb="FF000000"/>
        <rFont val="微软雅黑"/>
        <charset val="134"/>
      </rPr>
      <t>game_OutputOctets_sum</t>
    </r>
  </si>
  <si>
    <t>SUM(ul_flux)</t>
  </si>
  <si>
    <r>
      <rPr>
        <sz val="9"/>
        <color rgb="FF000000"/>
        <rFont val="微软雅黑"/>
        <charset val="134"/>
      </rPr>
      <t>game_InputOctets_sum</t>
    </r>
  </si>
  <si>
    <t>SUM(dl_flux)</t>
  </si>
  <si>
    <r>
      <rPr>
        <sz val="9"/>
        <color rgb="FF000000"/>
        <rFont val="微软雅黑"/>
        <charset val="134"/>
      </rPr>
      <t>game_InputPacket_sum</t>
    </r>
  </si>
  <si>
    <t>SUM(ul_packet)</t>
  </si>
  <si>
    <r>
      <rPr>
        <sz val="9"/>
        <color rgb="FF000000"/>
        <rFont val="微软雅黑"/>
        <charset val="134"/>
      </rPr>
      <t>game_OutputPacket_sum</t>
    </r>
  </si>
  <si>
    <t>发给小区的业务数据包数量</t>
  </si>
  <si>
    <t>SUM(dl_packet)</t>
  </si>
  <si>
    <r>
      <rPr>
        <sz val="9"/>
        <color rgb="FF000000"/>
        <rFont val="微软雅黑"/>
        <charset val="134"/>
      </rPr>
      <t>game_ULTCPReorderingPacket_sum</t>
    </r>
  </si>
  <si>
    <t>SUM(ultcpreorderingpacket)</t>
  </si>
  <si>
    <r>
      <rPr>
        <sz val="9"/>
        <color rgb="FF000000"/>
        <rFont val="微软雅黑"/>
        <charset val="134"/>
      </rPr>
      <t>game_DLTCPReorderingPacket_sum</t>
    </r>
  </si>
  <si>
    <t>SUM(dltcpreorderingpacket)</t>
  </si>
  <si>
    <r>
      <rPr>
        <sz val="9"/>
        <color rgb="FF000000"/>
        <rFont val="微软雅黑"/>
        <charset val="134"/>
      </rPr>
      <t>game_ULTCPRetransPacket_sum</t>
    </r>
  </si>
  <si>
    <t>SUM(ultcpretranspacket)</t>
  </si>
  <si>
    <r>
      <rPr>
        <sz val="9"/>
        <color rgb="FF000000"/>
        <rFont val="微软雅黑"/>
        <charset val="134"/>
      </rPr>
      <t>game_DLTCPRetransPacket_sum</t>
    </r>
  </si>
  <si>
    <t>SUM(dltcpretranspacket)</t>
  </si>
  <si>
    <r>
      <rPr>
        <sz val="9"/>
        <color rgb="FF000000"/>
        <rFont val="微软雅黑"/>
        <charset val="134"/>
      </rPr>
      <t>game_ultcpreorderingpacketratio</t>
    </r>
  </si>
  <si>
    <t>SUM(ultcpreorderingpacket)/SUM(InputPacket_sum)</t>
  </si>
  <si>
    <r>
      <rPr>
        <sz val="9"/>
        <color rgb="FF000000"/>
        <rFont val="微软雅黑"/>
        <charset val="134"/>
      </rPr>
      <t>game_dltcpreorderingpacketratio</t>
    </r>
  </si>
  <si>
    <t>SUM(dltcpreorderingpacket)/SUM(OutputPacket_sum)</t>
  </si>
  <si>
    <r>
      <rPr>
        <sz val="9"/>
        <color rgb="FF000000"/>
        <rFont val="微软雅黑"/>
        <charset val="134"/>
      </rPr>
      <t>game_ultcp_retranspacketratio</t>
    </r>
  </si>
  <si>
    <t>SUM(ultcpretranspacket)/SUM(InputPacket_sum)</t>
  </si>
  <si>
    <r>
      <rPr>
        <sz val="9"/>
        <color rgb="FF000000"/>
        <rFont val="微软雅黑"/>
        <charset val="134"/>
      </rPr>
      <t>game_dltcp_retranspacketratio</t>
    </r>
  </si>
  <si>
    <t>SUM(dltcpretranspacket)/SUM(OutputPacket_sum)</t>
  </si>
  <si>
    <r>
      <rPr>
        <sz val="9"/>
        <color rgb="FF000000"/>
        <rFont val="微软雅黑"/>
        <charset val="134"/>
      </rPr>
      <t>game_httpwebreqcount</t>
    </r>
  </si>
  <si>
    <r>
      <rPr>
        <sz val="9"/>
        <color rgb="FF000000"/>
        <rFont val="微软雅黑"/>
        <charset val="134"/>
      </rPr>
      <t>SUM(httpwebreqcount)</t>
    </r>
  </si>
  <si>
    <r>
      <rPr>
        <sz val="9"/>
        <color rgb="FF000000"/>
        <rFont val="微软雅黑"/>
        <charset val="134"/>
      </rPr>
      <t>game_httpwebrspcount</t>
    </r>
  </si>
  <si>
    <r>
      <rPr>
        <sz val="9"/>
        <color rgb="FF000000"/>
        <rFont val="微软雅黑"/>
        <charset val="134"/>
      </rPr>
      <t>SUM(httpwebrspcount)</t>
    </r>
  </si>
  <si>
    <r>
      <rPr>
        <sz val="9"/>
        <color rgb="FF000000"/>
        <rFont val="微软雅黑"/>
        <charset val="134"/>
      </rPr>
      <t>game_httpwebrsprate</t>
    </r>
  </si>
  <si>
    <r>
      <rPr>
        <sz val="9"/>
        <color rgb="FF000000"/>
        <rFont val="微软雅黑"/>
        <charset val="134"/>
      </rPr>
      <t>SUM(httpwebrspcount)/SUM(httpwebreqcount)</t>
    </r>
  </si>
  <si>
    <t>SUM(times_excellentgamedelay)</t>
  </si>
  <si>
    <t>SUM(times_inferiorgamedelay)</t>
  </si>
  <si>
    <t>SUM(times_wellgamedelay)</t>
  </si>
  <si>
    <r>
      <rPr>
        <sz val="9"/>
        <color rgb="FF000000"/>
        <rFont val="微软雅黑"/>
        <charset val="134"/>
      </rPr>
      <t>times_abnormals_game</t>
    </r>
  </si>
  <si>
    <r>
      <rPr>
        <sz val="9"/>
        <color rgb="FF000000"/>
        <rFont val="微软雅黑"/>
        <charset val="134"/>
      </rPr>
      <t>异常话单次数</t>
    </r>
  </si>
  <si>
    <r>
      <rPr>
        <sz val="9"/>
        <color rgb="FF000000"/>
        <rFont val="微软雅黑"/>
        <charset val="134"/>
      </rPr>
      <t>game_abnormals_rate</t>
    </r>
  </si>
  <si>
    <r>
      <rPr>
        <sz val="9"/>
        <color rgb="FF000000"/>
        <rFont val="微软雅黑"/>
        <charset val="134"/>
      </rPr>
      <t>异常占比</t>
    </r>
  </si>
  <si>
    <r>
      <rPr>
        <sz val="9"/>
        <color rgb="FF000000"/>
        <rFont val="微软雅黑"/>
        <charset val="134"/>
      </rPr>
      <t>web_req</t>
    </r>
  </si>
  <si>
    <r>
      <rPr>
        <sz val="9"/>
        <color rgb="FF000000"/>
        <rFont val="微软雅黑"/>
        <charset val="134"/>
      </rPr>
      <t>网页请求次数</t>
    </r>
  </si>
  <si>
    <t>web字段都要筛选；筛选条件：left(ServiceType,2) NOT IN ('01', '02', '04', '05')</t>
  </si>
  <si>
    <r>
      <rPr>
        <sz val="9"/>
        <color rgb="FF000000"/>
        <rFont val="微软雅黑"/>
        <charset val="134"/>
      </rPr>
      <t>web_flux</t>
    </r>
  </si>
  <si>
    <r>
      <rPr>
        <sz val="9"/>
        <color rgb="FF000000"/>
        <rFont val="微软雅黑"/>
        <charset val="134"/>
      </rPr>
      <t>网页流量</t>
    </r>
  </si>
  <si>
    <r>
      <rPr>
        <sz val="9"/>
        <color rgb="FF000000"/>
        <rFont val="微软雅黑"/>
        <charset val="134"/>
      </rPr>
      <t>web_duration</t>
    </r>
  </si>
  <si>
    <r>
      <rPr>
        <sz val="9"/>
        <color rgb="FF000000"/>
        <rFont val="微软雅黑"/>
        <charset val="134"/>
      </rPr>
      <t>网页持续时长</t>
    </r>
  </si>
  <si>
    <r>
      <rPr>
        <sz val="9"/>
        <color rgb="FF000000"/>
        <rFont val="微软雅黑"/>
        <charset val="134"/>
      </rPr>
      <t>web_OutputOctets_sum</t>
    </r>
  </si>
  <si>
    <r>
      <rPr>
        <sz val="9"/>
        <color rgb="FF000000"/>
        <rFont val="微软雅黑"/>
        <charset val="134"/>
      </rPr>
      <t>web_InputOctets_sum</t>
    </r>
  </si>
  <si>
    <r>
      <rPr>
        <sz val="9"/>
        <color rgb="FF000000"/>
        <rFont val="微软雅黑"/>
        <charset val="134"/>
      </rPr>
      <t>web_InputPacket_sum</t>
    </r>
  </si>
  <si>
    <r>
      <rPr>
        <sz val="9"/>
        <color rgb="FF000000"/>
        <rFont val="微软雅黑"/>
        <charset val="134"/>
      </rPr>
      <t>web_OutputPacket_sum</t>
    </r>
  </si>
  <si>
    <r>
      <rPr>
        <sz val="9"/>
        <color rgb="FF000000"/>
        <rFont val="微软雅黑"/>
        <charset val="134"/>
      </rPr>
      <t>web_ULTCPReorderingPacket_sum</t>
    </r>
  </si>
  <si>
    <r>
      <rPr>
        <sz val="9"/>
        <color rgb="FF000000"/>
        <rFont val="微软雅黑"/>
        <charset val="134"/>
      </rPr>
      <t>web_DLTCPReorderingPacket_sum</t>
    </r>
  </si>
  <si>
    <r>
      <rPr>
        <sz val="9"/>
        <color rgb="FF000000"/>
        <rFont val="微软雅黑"/>
        <charset val="134"/>
      </rPr>
      <t>web_ULTCPRetransPacket_sum</t>
    </r>
  </si>
  <si>
    <r>
      <rPr>
        <sz val="9"/>
        <color rgb="FF000000"/>
        <rFont val="微软雅黑"/>
        <charset val="134"/>
      </rPr>
      <t>web_DLTCPRetransPacket_sum</t>
    </r>
  </si>
  <si>
    <r>
      <rPr>
        <sz val="9"/>
        <color rgb="FF000000"/>
        <rFont val="微软雅黑"/>
        <charset val="134"/>
      </rPr>
      <t>web_ultcpreorderingpacketratio</t>
    </r>
  </si>
  <si>
    <t>SUM(ultcpreorderingpacket)/SUM(outputPacket_sum)</t>
  </si>
  <si>
    <r>
      <rPr>
        <sz val="9"/>
        <color rgb="FF000000"/>
        <rFont val="微软雅黑"/>
        <charset val="134"/>
      </rPr>
      <t>web_dltcpreorderingpacketratio</t>
    </r>
  </si>
  <si>
    <t>SUM(dltcpreorderingpacket)/SUM(inputPacket_sum)</t>
  </si>
  <si>
    <r>
      <rPr>
        <sz val="9"/>
        <color rgb="FF000000"/>
        <rFont val="微软雅黑"/>
        <charset val="134"/>
      </rPr>
      <t>web_ultcp_retranspacketratio</t>
    </r>
  </si>
  <si>
    <t>SUM(ultcpretranspacket)/SUM(outputPacket_sum)</t>
  </si>
  <si>
    <r>
      <rPr>
        <sz val="9"/>
        <color rgb="FF000000"/>
        <rFont val="微软雅黑"/>
        <charset val="134"/>
      </rPr>
      <t>web_dltcp_retranspacketratio</t>
    </r>
  </si>
  <si>
    <t>SUM(dltcpretranspacket)/SUM(inputPacket_sum)</t>
  </si>
  <si>
    <r>
      <rPr>
        <sz val="9"/>
        <color rgb="FF000000"/>
        <rFont val="微软雅黑"/>
        <charset val="134"/>
      </rPr>
      <t>webreqcount</t>
    </r>
  </si>
  <si>
    <r>
      <rPr>
        <sz val="9"/>
        <color rgb="FF000000"/>
        <rFont val="微软雅黑"/>
        <charset val="134"/>
      </rPr>
      <t>webrspcount</t>
    </r>
  </si>
  <si>
    <r>
      <rPr>
        <sz val="9"/>
        <color rgb="FF000000"/>
        <rFont val="微软雅黑"/>
        <charset val="134"/>
      </rPr>
      <t>网页响应次数</t>
    </r>
  </si>
  <si>
    <r>
      <rPr>
        <sz val="9"/>
        <color rgb="FF000000"/>
        <rFont val="微软雅黑"/>
        <charset val="134"/>
      </rPr>
      <t>webrspdelay</t>
    </r>
  </si>
  <si>
    <r>
      <rPr>
        <sz val="9"/>
        <color rgb="FF000000"/>
        <rFont val="微软雅黑"/>
        <charset val="134"/>
      </rPr>
      <t>网页响应时延(ms)</t>
    </r>
  </si>
  <si>
    <t>SUM(httpwebrspdelay_avg*httpwebrspcount)/SUM(httpwebrspcount)</t>
  </si>
  <si>
    <r>
      <rPr>
        <sz val="9"/>
        <color rgb="FF000000"/>
        <rFont val="微软雅黑"/>
        <charset val="134"/>
      </rPr>
      <t>kqi_httpwebrsprate</t>
    </r>
  </si>
  <si>
    <t>SUM(httpwebrspcount)/SUM(httpwebreqcount)</t>
  </si>
  <si>
    <r>
      <rPr>
        <sz val="9"/>
        <color rgb="FF000000"/>
        <rFont val="微软雅黑"/>
        <charset val="134"/>
      </rPr>
      <t>kqi_httpwebdthrput</t>
    </r>
  </si>
  <si>
    <r>
      <rPr>
        <sz val="9"/>
        <color rgb="FF000000"/>
        <rFont val="微软雅黑"/>
        <charset val="134"/>
      </rPr>
      <t>网页下载速率(kbps)</t>
    </r>
  </si>
  <si>
    <t>SUM(dl_flux)*8000/(SUM(httpwebrspdelay_avg)*1024)</t>
  </si>
  <si>
    <r>
      <rPr>
        <sz val="9"/>
        <color rgb="FF000000"/>
        <rFont val="微软雅黑"/>
        <charset val="134"/>
      </rPr>
      <t>web_tcp_resp_delay</t>
    </r>
  </si>
  <si>
    <r>
      <rPr>
        <sz val="9"/>
        <color rgb="FF000000"/>
        <rFont val="微软雅黑"/>
        <charset val="134"/>
      </rPr>
      <t>TCP建链响应时延</t>
    </r>
  </si>
  <si>
    <t>SUM(TCPSetupResponseDelay_avg*httpwebrspcount)/SUM(httpwebrspcount)</t>
  </si>
  <si>
    <r>
      <rPr>
        <sz val="9"/>
        <color rgb="FF000000"/>
        <rFont val="微软雅黑"/>
        <charset val="134"/>
      </rPr>
      <t>web_tcp_ack_delay</t>
    </r>
  </si>
  <si>
    <r>
      <rPr>
        <sz val="9"/>
        <color rgb="FF000000"/>
        <rFont val="微软雅黑"/>
        <charset val="134"/>
      </rPr>
      <t>TCP建链确认时延</t>
    </r>
  </si>
  <si>
    <t>SUM(TCPSetupACKDelay_avg*httpwebrspcount)/SUM(httpwebrspcount)</t>
  </si>
  <si>
    <r>
      <rPr>
        <sz val="9"/>
        <color rgb="FF000000"/>
        <rFont val="微软雅黑"/>
        <charset val="134"/>
      </rPr>
      <t>web_times_excellentrspdelay</t>
    </r>
  </si>
  <si>
    <t>SUM(times_excellentrspdelay)</t>
  </si>
  <si>
    <r>
      <rPr>
        <sz val="9"/>
        <color rgb="FF000000"/>
        <rFont val="微软雅黑"/>
        <charset val="134"/>
      </rPr>
      <t>web_times_inferiorrspdelay</t>
    </r>
  </si>
  <si>
    <r>
      <rPr>
        <sz val="9"/>
        <color rgb="FF000000"/>
        <rFont val="微软雅黑"/>
        <charset val="134"/>
      </rPr>
      <t>SUM(times_inferiorrspdelay)</t>
    </r>
  </si>
  <si>
    <r>
      <rPr>
        <sz val="9"/>
        <color rgb="FF000000"/>
        <rFont val="微软雅黑"/>
        <charset val="134"/>
      </rPr>
      <t>web_times_wellrspdelay</t>
    </r>
  </si>
  <si>
    <r>
      <rPr>
        <sz val="9"/>
        <color rgb="FF000000"/>
        <rFont val="微软雅黑"/>
        <charset val="134"/>
      </rPr>
      <t>SUM(times_wellrspdelay)</t>
    </r>
  </si>
  <si>
    <r>
      <rPr>
        <sz val="9"/>
        <color rgb="FF000000"/>
        <rFont val="微软雅黑"/>
        <charset val="134"/>
      </rPr>
      <t>web_times_excellentcmpltdelay</t>
    </r>
  </si>
  <si>
    <r>
      <rPr>
        <sz val="9"/>
        <color rgb="FF000000"/>
        <rFont val="微软雅黑"/>
        <charset val="134"/>
      </rPr>
      <t>SUM(times_excellentcmpltdelay)</t>
    </r>
  </si>
  <si>
    <r>
      <rPr>
        <sz val="9"/>
        <color rgb="FF000000"/>
        <rFont val="微软雅黑"/>
        <charset val="134"/>
      </rPr>
      <t>web_times_inferiorcmpltdelay</t>
    </r>
  </si>
  <si>
    <r>
      <rPr>
        <sz val="9"/>
        <color rgb="FF000000"/>
        <rFont val="微软雅黑"/>
        <charset val="134"/>
      </rPr>
      <t>SUM(times_inferiorcmpltdelay)</t>
    </r>
  </si>
  <si>
    <r>
      <rPr>
        <sz val="9"/>
        <color rgb="FF000000"/>
        <rFont val="微软雅黑"/>
        <charset val="134"/>
      </rPr>
      <t>web_times_wellcmpltdelay</t>
    </r>
  </si>
  <si>
    <r>
      <rPr>
        <sz val="9"/>
        <color rgb="FF000000"/>
        <rFont val="微软雅黑"/>
        <charset val="134"/>
      </rPr>
      <t>SUM(times_wellcmpltdelay)</t>
    </r>
  </si>
  <si>
    <r>
      <rPr>
        <sz val="9"/>
        <color rgb="FF000000"/>
        <rFont val="微软雅黑"/>
        <charset val="134"/>
      </rPr>
      <t>web_times_abnormals</t>
    </r>
  </si>
  <si>
    <r>
      <rPr>
        <sz val="9"/>
        <color rgb="FF000000"/>
        <rFont val="微软雅黑"/>
        <charset val="134"/>
      </rPr>
      <t>web_times_abnormals_rate</t>
    </r>
  </si>
  <si>
    <r>
      <rPr>
        <sz val="9"/>
        <color rgb="FF000000"/>
        <rFont val="微软雅黑"/>
        <charset val="134"/>
      </rPr>
      <t>im_times</t>
    </r>
  </si>
  <si>
    <r>
      <rPr>
        <sz val="9"/>
        <color rgb="FF000000"/>
        <rFont val="微软雅黑"/>
        <charset val="134"/>
      </rPr>
      <t>业务次数</t>
    </r>
  </si>
  <si>
    <t>im字段都筛选；筛选条件：(((cast(servicetype AS int) &gt;= 01000101 AND cast(servicetype AS int) &lt; 01999901) or (cast(servicetype AS int) &gt;= 04000100 AND cast(servicetype AS int) &lt; 04999901)) AND cast(servicetype AS int) NOT IN (01000212, 01004600, 01001300))</t>
  </si>
  <si>
    <r>
      <rPr>
        <sz val="9"/>
        <color rgb="FF000000"/>
        <rFont val="微软雅黑"/>
        <charset val="134"/>
      </rPr>
      <t>im_flux</t>
    </r>
  </si>
  <si>
    <r>
      <rPr>
        <sz val="9"/>
        <color rgb="FF000000"/>
        <rFont val="微软雅黑"/>
        <charset val="134"/>
      </rPr>
      <t>上行流量</t>
    </r>
  </si>
  <si>
    <r>
      <rPr>
        <sz val="9"/>
        <color rgb="FF000000"/>
        <rFont val="微软雅黑"/>
        <charset val="134"/>
      </rPr>
      <t>im_duration</t>
    </r>
  </si>
  <si>
    <r>
      <rPr>
        <sz val="9"/>
        <color rgb="FF000000"/>
        <rFont val="微软雅黑"/>
        <charset val="134"/>
      </rPr>
      <t>持续时间</t>
    </r>
  </si>
  <si>
    <r>
      <rPr>
        <sz val="9"/>
        <color rgb="FF000000"/>
        <rFont val="微软雅黑"/>
        <charset val="134"/>
      </rPr>
      <t>im_OutputOctets_sum</t>
    </r>
  </si>
  <si>
    <r>
      <rPr>
        <sz val="9"/>
        <color rgb="FF000000"/>
        <rFont val="微软雅黑"/>
        <charset val="134"/>
      </rPr>
      <t>im_InputOctets_sum</t>
    </r>
  </si>
  <si>
    <r>
      <rPr>
        <sz val="9"/>
        <color rgb="FF000000"/>
        <rFont val="微软雅黑"/>
        <charset val="134"/>
      </rPr>
      <t>im_InputPacket_sum</t>
    </r>
  </si>
  <si>
    <r>
      <rPr>
        <sz val="9"/>
        <color rgb="FF000000"/>
        <rFont val="微软雅黑"/>
        <charset val="134"/>
      </rPr>
      <t>im_OutputPacket_sum</t>
    </r>
  </si>
  <si>
    <r>
      <rPr>
        <sz val="9"/>
        <color rgb="FF000000"/>
        <rFont val="微软雅黑"/>
        <charset val="134"/>
      </rPr>
      <t>im_ULTCPReorderingPacket_sum</t>
    </r>
  </si>
  <si>
    <r>
      <rPr>
        <sz val="9"/>
        <color rgb="FF000000"/>
        <rFont val="微软雅黑"/>
        <charset val="134"/>
      </rPr>
      <t>im_DLTCPReorderingPacket_sum</t>
    </r>
  </si>
  <si>
    <r>
      <rPr>
        <sz val="9"/>
        <color rgb="FF000000"/>
        <rFont val="微软雅黑"/>
        <charset val="134"/>
      </rPr>
      <t>im_ULTCPRetransPacket_sum</t>
    </r>
  </si>
  <si>
    <r>
      <rPr>
        <sz val="9"/>
        <color rgb="FF000000"/>
        <rFont val="微软雅黑"/>
        <charset val="134"/>
      </rPr>
      <t>im_DLTCPRetransPacket_sum</t>
    </r>
  </si>
  <si>
    <r>
      <rPr>
        <sz val="9"/>
        <color rgb="FF000000"/>
        <rFont val="微软雅黑"/>
        <charset val="134"/>
      </rPr>
      <t>im_ultcpreorderingpacketratio</t>
    </r>
  </si>
  <si>
    <r>
      <rPr>
        <sz val="9"/>
        <color rgb="FF000000"/>
        <rFont val="微软雅黑"/>
        <charset val="134"/>
      </rPr>
      <t>im_dltcpreorderingpacketratio</t>
    </r>
  </si>
  <si>
    <r>
      <rPr>
        <sz val="9"/>
        <color rgb="FF000000"/>
        <rFont val="微软雅黑"/>
        <charset val="134"/>
      </rPr>
      <t>im_ultcp_retranspacketratio</t>
    </r>
  </si>
  <si>
    <r>
      <rPr>
        <sz val="9"/>
        <color rgb="FF000000"/>
        <rFont val="微软雅黑"/>
        <charset val="134"/>
      </rPr>
      <t>im_dltcp_retranspacketratio</t>
    </r>
  </si>
  <si>
    <r>
      <rPr>
        <sz val="9"/>
        <color rgb="FF000000"/>
        <rFont val="微软雅黑"/>
        <charset val="134"/>
      </rPr>
      <t>im_msgsntreqcount</t>
    </r>
  </si>
  <si>
    <r>
      <rPr>
        <sz val="9"/>
        <color rgb="FF000000"/>
        <rFont val="微软雅黑"/>
        <charset val="134"/>
      </rPr>
      <t>消息发送请求次数</t>
    </r>
  </si>
  <si>
    <t>SUM(ul_text_cnt)</t>
  </si>
  <si>
    <r>
      <rPr>
        <sz val="9"/>
        <color rgb="FF000000"/>
        <rFont val="微软雅黑"/>
        <charset val="134"/>
      </rPr>
      <t>im_msgsntsuccount</t>
    </r>
  </si>
  <si>
    <r>
      <rPr>
        <sz val="9"/>
        <color rgb="FF000000"/>
        <rFont val="微软雅黑"/>
        <charset val="134"/>
      </rPr>
      <t>SUM(ul_text_succ_cnt)</t>
    </r>
  </si>
  <si>
    <r>
      <rPr>
        <sz val="9"/>
        <color rgb="FF000000"/>
        <rFont val="微软雅黑"/>
        <charset val="134"/>
      </rPr>
      <t>im_kqi_imsentrate</t>
    </r>
  </si>
  <si>
    <r>
      <rPr>
        <sz val="9"/>
        <color rgb="FF000000"/>
        <rFont val="微软雅黑"/>
        <charset val="134"/>
      </rPr>
      <t>消息发送成功率</t>
    </r>
  </si>
  <si>
    <r>
      <rPr>
        <sz val="9"/>
        <color rgb="FF000000"/>
        <rFont val="微软雅黑"/>
        <charset val="134"/>
      </rPr>
      <t>SUM(ul_text_succ_cnt)/SUM(ul_text_cnt)</t>
    </r>
  </si>
  <si>
    <r>
      <rPr>
        <sz val="9"/>
        <color rgb="FF000000"/>
        <rFont val="微软雅黑"/>
        <charset val="134"/>
      </rPr>
      <t>im_kqi_imsentdelay</t>
    </r>
  </si>
  <si>
    <r>
      <rPr>
        <sz val="9"/>
        <color rgb="FF000000"/>
        <rFont val="微软雅黑"/>
        <charset val="134"/>
      </rPr>
      <t>消息发送时延</t>
    </r>
  </si>
  <si>
    <r>
      <rPr>
        <sz val="9"/>
        <color rgb="FF000000"/>
        <rFont val="微软雅黑"/>
        <charset val="134"/>
      </rPr>
      <t>SUM(ul_text_duration)</t>
    </r>
  </si>
  <si>
    <r>
      <rPr>
        <sz val="9"/>
        <color rgb="FF000000"/>
        <rFont val="微软雅黑"/>
        <charset val="134"/>
      </rPr>
      <t>im_msgrcvreqcount</t>
    </r>
  </si>
  <si>
    <r>
      <rPr>
        <sz val="9"/>
        <color rgb="FF000000"/>
        <rFont val="微软雅黑"/>
        <charset val="134"/>
      </rPr>
      <t>消息接收请求次数</t>
    </r>
  </si>
  <si>
    <r>
      <rPr>
        <sz val="9"/>
        <color rgb="FF000000"/>
        <rFont val="微软雅黑"/>
        <charset val="134"/>
      </rPr>
      <t>SUM(dl_text_cnt)</t>
    </r>
  </si>
  <si>
    <r>
      <rPr>
        <sz val="9"/>
        <color rgb="FF000000"/>
        <rFont val="微软雅黑"/>
        <charset val="134"/>
      </rPr>
      <t>im_msgrcvsuccount</t>
    </r>
  </si>
  <si>
    <r>
      <rPr>
        <sz val="9"/>
        <color rgb="FF000000"/>
        <rFont val="微软雅黑"/>
        <charset val="134"/>
      </rPr>
      <t>消息接收成功次数</t>
    </r>
  </si>
  <si>
    <r>
      <rPr>
        <sz val="9"/>
        <color rgb="FF000000"/>
        <rFont val="微软雅黑"/>
        <charset val="134"/>
      </rPr>
      <t>SUM(dl_text_succ_cnt)</t>
    </r>
  </si>
  <si>
    <r>
      <rPr>
        <sz val="9"/>
        <color rgb="FF000000"/>
        <rFont val="微软雅黑"/>
        <charset val="134"/>
      </rPr>
      <t>im_kqi_imrecvrate</t>
    </r>
  </si>
  <si>
    <r>
      <rPr>
        <sz val="9"/>
        <color rgb="FF000000"/>
        <rFont val="微软雅黑"/>
        <charset val="134"/>
      </rPr>
      <t>消息接收成功率</t>
    </r>
  </si>
  <si>
    <r>
      <rPr>
        <sz val="9"/>
        <color rgb="FF000000"/>
        <rFont val="微软雅黑"/>
        <charset val="134"/>
      </rPr>
      <t>SUM(dl_text_succ_cnt)/SUM(dl_text_cnt)</t>
    </r>
  </si>
  <si>
    <r>
      <rPr>
        <sz val="9"/>
        <color rgb="FF000000"/>
        <rFont val="微软雅黑"/>
        <charset val="134"/>
      </rPr>
      <t>im_kqi_imrecvdelay</t>
    </r>
  </si>
  <si>
    <r>
      <rPr>
        <sz val="9"/>
        <color rgb="FF000000"/>
        <rFont val="微软雅黑"/>
        <charset val="134"/>
      </rPr>
      <t>消息接收时延</t>
    </r>
  </si>
  <si>
    <r>
      <rPr>
        <sz val="9"/>
        <color rgb="FF000000"/>
        <rFont val="微软雅黑"/>
        <charset val="134"/>
      </rPr>
      <t>SUM(dl_text_duration)</t>
    </r>
  </si>
  <si>
    <r>
      <rPr>
        <sz val="9"/>
        <color rgb="FF000000"/>
        <rFont val="微软雅黑"/>
        <charset val="134"/>
      </rPr>
      <t>消息发送成功率优秀次数</t>
    </r>
  </si>
  <si>
    <r>
      <rPr>
        <sz val="9"/>
        <color rgb="FF000000"/>
        <rFont val="微软雅黑"/>
        <charset val="134"/>
      </rPr>
      <t>SUM(times_excellentsentrate)</t>
    </r>
  </si>
  <si>
    <r>
      <rPr>
        <sz val="9"/>
        <color rgb="FF000000"/>
        <rFont val="微软雅黑"/>
        <charset val="134"/>
      </rPr>
      <t>消息发送成功率劣质次数</t>
    </r>
  </si>
  <si>
    <r>
      <rPr>
        <sz val="9"/>
        <color rgb="FF000000"/>
        <rFont val="微软雅黑"/>
        <charset val="134"/>
      </rPr>
      <t>SUM(times_inferiorsentrate)</t>
    </r>
  </si>
  <si>
    <t>消息发送成功率优良次数</t>
  </si>
  <si>
    <t>底层是置的0</t>
  </si>
  <si>
    <r>
      <rPr>
        <sz val="9"/>
        <color rgb="FF000000"/>
        <rFont val="微软雅黑"/>
        <charset val="134"/>
      </rPr>
      <t>im_times_abnormals</t>
    </r>
  </si>
  <si>
    <r>
      <rPr>
        <sz val="9"/>
        <color rgb="FF000000"/>
        <rFont val="微软雅黑"/>
        <charset val="134"/>
      </rPr>
      <t>im_times_abnormals_rate</t>
    </r>
  </si>
  <si>
    <r>
      <rPr>
        <sz val="9"/>
        <color rgb="FF000000"/>
        <rFont val="微软雅黑"/>
        <charset val="134"/>
      </rPr>
      <t>video_times</t>
    </r>
  </si>
  <si>
    <t>video字段都筛选；筛选条件：left(servicetype,2)='02'</t>
  </si>
  <si>
    <r>
      <rPr>
        <sz val="9"/>
        <color rgb="FF000000"/>
        <rFont val="微软雅黑"/>
        <charset val="134"/>
      </rPr>
      <t>video_flux</t>
    </r>
  </si>
  <si>
    <r>
      <rPr>
        <sz val="9"/>
        <color rgb="FF000000"/>
        <rFont val="微软雅黑"/>
        <charset val="134"/>
      </rPr>
      <t>video_duration</t>
    </r>
  </si>
  <si>
    <r>
      <rPr>
        <sz val="9"/>
        <color rgb="FF000000"/>
        <rFont val="微软雅黑"/>
        <charset val="134"/>
      </rPr>
      <t>video_OutputOctets_sum</t>
    </r>
  </si>
  <si>
    <r>
      <rPr>
        <sz val="9"/>
        <color rgb="FF000000"/>
        <rFont val="微软雅黑"/>
        <charset val="134"/>
      </rPr>
      <t>video_InputOctets_sum</t>
    </r>
  </si>
  <si>
    <r>
      <rPr>
        <sz val="9"/>
        <color rgb="FF000000"/>
        <rFont val="微软雅黑"/>
        <charset val="134"/>
      </rPr>
      <t>video_InputPacket_sum</t>
    </r>
  </si>
  <si>
    <r>
      <rPr>
        <sz val="9"/>
        <color rgb="FF000000"/>
        <rFont val="微软雅黑"/>
        <charset val="134"/>
      </rPr>
      <t>发给小区的业务数据包数量</t>
    </r>
  </si>
  <si>
    <r>
      <rPr>
        <sz val="9"/>
        <color rgb="FF000000"/>
        <rFont val="微软雅黑"/>
        <charset val="134"/>
      </rPr>
      <t>video_OutputPacket_sum</t>
    </r>
  </si>
  <si>
    <r>
      <rPr>
        <sz val="9"/>
        <color rgb="FF000000"/>
        <rFont val="微软雅黑"/>
        <charset val="134"/>
      </rPr>
      <t>小区发出的业务数据包数量</t>
    </r>
  </si>
  <si>
    <r>
      <rPr>
        <sz val="9"/>
        <color rgb="FF000000"/>
        <rFont val="微软雅黑"/>
        <charset val="134"/>
      </rPr>
      <t>video_ultcpreorderingpacket_sum</t>
    </r>
  </si>
  <si>
    <r>
      <rPr>
        <sz val="9"/>
        <color rgb="FF000000"/>
        <rFont val="微软雅黑"/>
        <charset val="134"/>
      </rPr>
      <t>video_dltcpreorderingpacket_sum</t>
    </r>
  </si>
  <si>
    <r>
      <rPr>
        <sz val="9"/>
        <color rgb="FF000000"/>
        <rFont val="微软雅黑"/>
        <charset val="134"/>
      </rPr>
      <t>video_ultcpretranspacket_sum</t>
    </r>
  </si>
  <si>
    <r>
      <rPr>
        <sz val="9"/>
        <color rgb="FF000000"/>
        <rFont val="微软雅黑"/>
        <charset val="134"/>
      </rPr>
      <t>video_dltcpretranspacket_sum</t>
    </r>
  </si>
  <si>
    <r>
      <rPr>
        <sz val="9"/>
        <color rgb="FF000000"/>
        <rFont val="微软雅黑"/>
        <charset val="134"/>
      </rPr>
      <t>video_ultcpreorderingpacketratio</t>
    </r>
  </si>
  <si>
    <r>
      <rPr>
        <sz val="9"/>
        <color rgb="FF000000"/>
        <rFont val="微软雅黑"/>
        <charset val="134"/>
      </rPr>
      <t>video_dltcpreorderingpacketratio</t>
    </r>
  </si>
  <si>
    <r>
      <rPr>
        <sz val="9"/>
        <color rgb="FF000000"/>
        <rFont val="微软雅黑"/>
        <charset val="134"/>
      </rPr>
      <t>video_ultcp_retranspacketratio</t>
    </r>
  </si>
  <si>
    <r>
      <rPr>
        <sz val="9"/>
        <color rgb="FF000000"/>
        <rFont val="微软雅黑"/>
        <charset val="134"/>
      </rPr>
      <t>video_dltcp_retranspacketratio</t>
    </r>
  </si>
  <si>
    <r>
      <rPr>
        <sz val="9"/>
        <color rgb="FF000000"/>
        <rFont val="微软雅黑"/>
        <charset val="134"/>
      </rPr>
      <t>video_tcp_resp_delay</t>
    </r>
  </si>
  <si>
    <t>sum(tcpsetupresponsedelay_sum)/sum(tcpsetupresponsedelay_cnt)</t>
  </si>
  <si>
    <r>
      <rPr>
        <sz val="9"/>
        <color rgb="FF000000"/>
        <rFont val="微软雅黑"/>
        <charset val="134"/>
      </rPr>
      <t>video_tcp_ack_delay</t>
    </r>
  </si>
  <si>
    <t>sum(tcpsetupackdelay_sum)/sum(tcpsetupackdelay_cnt)</t>
  </si>
  <si>
    <r>
      <rPr>
        <sz val="9"/>
        <color rgb="FF000000"/>
        <rFont val="微软雅黑"/>
        <charset val="134"/>
      </rPr>
      <t>videoplayrequestcount</t>
    </r>
  </si>
  <si>
    <r>
      <rPr>
        <sz val="9"/>
        <color rgb="FF000000"/>
        <rFont val="微软雅黑"/>
        <charset val="134"/>
      </rPr>
      <t>视频播放请求次数</t>
    </r>
  </si>
  <si>
    <t>sum(videoplayrequestcount)</t>
  </si>
  <si>
    <r>
      <rPr>
        <sz val="9"/>
        <color rgb="FF000000"/>
        <rFont val="微软雅黑"/>
        <charset val="134"/>
      </rPr>
      <t>videoplaysuccesscount</t>
    </r>
  </si>
  <si>
    <r>
      <rPr>
        <sz val="9"/>
        <color rgb="FF000000"/>
        <rFont val="微软雅黑"/>
        <charset val="134"/>
      </rPr>
      <t>视频播放成功次数</t>
    </r>
  </si>
  <si>
    <t>sum(videoplaysuccesscount)</t>
  </si>
  <si>
    <r>
      <rPr>
        <sz val="9"/>
        <color rgb="FF000000"/>
        <rFont val="微软雅黑"/>
        <charset val="134"/>
      </rPr>
      <t>videoplayfailurecount</t>
    </r>
  </si>
  <si>
    <r>
      <rPr>
        <sz val="9"/>
        <color rgb="FF000000"/>
        <rFont val="微软雅黑"/>
        <charset val="134"/>
      </rPr>
      <t>视频播放失败次数</t>
    </r>
  </si>
  <si>
    <t>sum(videoplayfailurecount)</t>
  </si>
  <si>
    <r>
      <rPr>
        <sz val="9"/>
        <color rgb="FF000000"/>
        <rFont val="微软雅黑"/>
        <charset val="134"/>
      </rPr>
      <t>videoplayhaltcount</t>
    </r>
  </si>
  <si>
    <r>
      <rPr>
        <sz val="9"/>
        <color rgb="FF000000"/>
        <rFont val="微软雅黑"/>
        <charset val="134"/>
      </rPr>
      <t>视频播放卡顿次数</t>
    </r>
  </si>
  <si>
    <r>
      <rPr>
        <sz val="9"/>
        <color rgb="FF000000"/>
        <rFont val="微软雅黑"/>
        <charset val="134"/>
      </rPr>
      <t>SUM(videoplayhaltcount)</t>
    </r>
  </si>
  <si>
    <r>
      <rPr>
        <sz val="9"/>
        <color rgb="FF000000"/>
        <rFont val="微软雅黑"/>
        <charset val="134"/>
      </rPr>
      <t>videoplaynohaltcount</t>
    </r>
  </si>
  <si>
    <r>
      <rPr>
        <sz val="9"/>
        <color rgb="FF000000"/>
        <rFont val="微软雅黑"/>
        <charset val="134"/>
      </rPr>
      <t>视频播放0卡顿的次数</t>
    </r>
  </si>
  <si>
    <r>
      <rPr>
        <sz val="9"/>
        <color rgb="FF000000"/>
        <rFont val="微软雅黑"/>
        <charset val="134"/>
      </rPr>
      <t>SUM(VideoPlayNoHaltCount)</t>
    </r>
  </si>
  <si>
    <t>video_times_excellentdownlink</t>
  </si>
  <si>
    <r>
      <rPr>
        <sz val="9"/>
        <color rgb="FF000000"/>
        <rFont val="微软雅黑"/>
        <charset val="134"/>
      </rPr>
      <t>视频下载速率优秀次数</t>
    </r>
  </si>
  <si>
    <r>
      <rPr>
        <sz val="9"/>
        <color rgb="FF000000"/>
        <rFont val="微软雅黑"/>
        <charset val="134"/>
      </rPr>
      <t>video_times_inferiordownlink</t>
    </r>
  </si>
  <si>
    <r>
      <rPr>
        <sz val="9"/>
        <color rgb="FF000000"/>
        <rFont val="微软雅黑"/>
        <charset val="134"/>
      </rPr>
      <t>视频下载速率劣质次数</t>
    </r>
  </si>
  <si>
    <r>
      <rPr>
        <sz val="9"/>
        <color rgb="FF000000"/>
        <rFont val="微软雅黑"/>
        <charset val="134"/>
      </rPr>
      <t>SUM(times_inferiordownlink)</t>
    </r>
  </si>
  <si>
    <r>
      <rPr>
        <sz val="9"/>
        <color rgb="FF000000"/>
        <rFont val="微软雅黑"/>
        <charset val="134"/>
      </rPr>
      <t>video_times_welldownlink</t>
    </r>
  </si>
  <si>
    <r>
      <rPr>
        <sz val="9"/>
        <color rgb="FF000000"/>
        <rFont val="微软雅黑"/>
        <charset val="134"/>
      </rPr>
      <t>视频下载速率良好次数</t>
    </r>
  </si>
  <si>
    <r>
      <rPr>
        <sz val="9"/>
        <color rgb="FF000000"/>
        <rFont val="微软雅黑"/>
        <charset val="134"/>
      </rPr>
      <t>SUM(times_welldownlink)</t>
    </r>
  </si>
  <si>
    <r>
      <rPr>
        <sz val="9"/>
        <color rgb="FF000000"/>
        <rFont val="微软雅黑"/>
        <charset val="134"/>
      </rPr>
      <t>video_times_excellentstallfrequ</t>
    </r>
  </si>
  <si>
    <r>
      <rPr>
        <sz val="9"/>
        <color rgb="FF000000"/>
        <rFont val="微软雅黑"/>
        <charset val="134"/>
      </rPr>
      <t>卡顿频次优秀次数</t>
    </r>
  </si>
  <si>
    <r>
      <rPr>
        <sz val="9"/>
        <color rgb="FF000000"/>
        <rFont val="微软雅黑"/>
        <charset val="134"/>
      </rPr>
      <t>video_times_inferiorstallfrequ</t>
    </r>
  </si>
  <si>
    <r>
      <rPr>
        <sz val="9"/>
        <color rgb="FF000000"/>
        <rFont val="微软雅黑"/>
        <charset val="134"/>
      </rPr>
      <t>卡顿频次质差次数</t>
    </r>
  </si>
  <si>
    <r>
      <rPr>
        <sz val="9"/>
        <color rgb="FF000000"/>
        <rFont val="微软雅黑"/>
        <charset val="134"/>
      </rPr>
      <t>SUM(times_inferiorstallfrequ)</t>
    </r>
  </si>
  <si>
    <r>
      <rPr>
        <sz val="9"/>
        <color rgb="FF000000"/>
        <rFont val="微软雅黑"/>
        <charset val="134"/>
      </rPr>
      <t>video_times_wellstallfrequ</t>
    </r>
  </si>
  <si>
    <r>
      <rPr>
        <sz val="9"/>
        <color rgb="FF000000"/>
        <rFont val="微软雅黑"/>
        <charset val="134"/>
      </rPr>
      <t>卡顿频次良好次数</t>
    </r>
  </si>
  <si>
    <r>
      <rPr>
        <sz val="9"/>
        <color rgb="FF000000"/>
        <rFont val="微软雅黑"/>
        <charset val="134"/>
      </rPr>
      <t>SUM(times_wellstallfrequ)</t>
    </r>
  </si>
  <si>
    <r>
      <rPr>
        <sz val="9"/>
        <color rgb="FF000000"/>
        <rFont val="微软雅黑"/>
        <charset val="134"/>
      </rPr>
      <t>videoplaytime_sum</t>
    </r>
  </si>
  <si>
    <r>
      <rPr>
        <sz val="9"/>
        <color rgb="FF000000"/>
        <rFont val="微软雅黑"/>
        <charset val="134"/>
      </rPr>
      <t>视频播放总时长</t>
    </r>
  </si>
  <si>
    <r>
      <rPr>
        <sz val="9"/>
        <color rgb="FF000000"/>
        <rFont val="微软雅黑"/>
        <charset val="134"/>
      </rPr>
      <t>SUM(videoplaytime_sum)</t>
    </r>
  </si>
  <si>
    <r>
      <rPr>
        <sz val="9"/>
        <color rgb="FF000000"/>
        <rFont val="微软雅黑"/>
        <charset val="134"/>
      </rPr>
      <t>videoplaywaittime_avg</t>
    </r>
  </si>
  <si>
    <r>
      <rPr>
        <sz val="9"/>
        <color rgb="FF000000"/>
        <rFont val="微软雅黑"/>
        <charset val="134"/>
      </rPr>
      <t>视频播放等待时长_avg，单位毫秒</t>
    </r>
  </si>
  <si>
    <t>SUM(VideoPlayWaitTime_sum)/SUM(VideoPlaySuccessCount)</t>
  </si>
  <si>
    <r>
      <rPr>
        <sz val="9"/>
        <color rgb="FF000000"/>
        <rFont val="微软雅黑"/>
        <charset val="134"/>
      </rPr>
      <t>videorecovertime_avg</t>
    </r>
  </si>
  <si>
    <r>
      <rPr>
        <sz val="9"/>
        <color rgb="FF000000"/>
        <rFont val="微软雅黑"/>
        <charset val="134"/>
      </rPr>
      <t>视频卡顿时长_avg，单位毫秒</t>
    </r>
  </si>
  <si>
    <t>SUM(VideoRecoverTime_sum)/SUM(VideoPlaySuccessCount)</t>
  </si>
  <si>
    <r>
      <rPr>
        <sz val="9"/>
        <color rgb="FF000000"/>
        <rFont val="微软雅黑"/>
        <charset val="134"/>
      </rPr>
      <t>videothroughput_avg</t>
    </r>
  </si>
  <si>
    <r>
      <rPr>
        <sz val="9"/>
        <color rgb="FF000000"/>
        <rFont val="微软雅黑"/>
        <charset val="134"/>
      </rPr>
      <t>视频下载速率_avg</t>
    </r>
  </si>
  <si>
    <t>SUM(VideoThroughput_avg*VideoPlaySuccessCount)/SUM(VideoPlaySuccessCount)</t>
  </si>
  <si>
    <r>
      <rPr>
        <sz val="9"/>
        <color rgb="FF000000"/>
        <rFont val="微软雅黑"/>
        <charset val="134"/>
      </rPr>
      <t>videobitrate_avg</t>
    </r>
  </si>
  <si>
    <t>SUM(VideoBitRate_avg*VideoPlaySuccessCount)/SUM(VideoPlaySuccessCount)</t>
  </si>
  <si>
    <r>
      <rPr>
        <sz val="9"/>
        <color rgb="FF000000"/>
        <rFont val="微软雅黑"/>
        <charset val="134"/>
      </rPr>
      <t>CachedVideoDuration_sum</t>
    </r>
  </si>
  <si>
    <r>
      <rPr>
        <sz val="9"/>
        <color rgb="FF000000"/>
        <rFont val="微软雅黑"/>
        <charset val="134"/>
      </rPr>
      <t>缓冲段视频下载时长</t>
    </r>
  </si>
  <si>
    <t>SUM(CachedVideoDuration_sum)</t>
  </si>
  <si>
    <r>
      <rPr>
        <sz val="9"/>
        <color rgb="FF000000"/>
        <rFont val="微软雅黑"/>
        <charset val="134"/>
      </rPr>
      <t>videoplaywaittimeratio</t>
    </r>
  </si>
  <si>
    <r>
      <rPr>
        <sz val="9"/>
        <color rgb="FF000000"/>
        <rFont val="微软雅黑"/>
        <charset val="134"/>
      </rPr>
      <t>视频播放等待时长占比</t>
    </r>
  </si>
  <si>
    <t>SUM(VideoPlayWaitTime_sum)/SUM(videoplaytime_sum)</t>
  </si>
  <si>
    <r>
      <rPr>
        <sz val="9"/>
        <color rgb="FF000000"/>
        <rFont val="微软雅黑"/>
        <charset val="134"/>
      </rPr>
      <t>cachedvideodurationratio</t>
    </r>
  </si>
  <si>
    <r>
      <rPr>
        <sz val="9"/>
        <color rgb="FF000000"/>
        <rFont val="微软雅黑"/>
        <charset val="134"/>
      </rPr>
      <t>缓冲段视频下载时长占比</t>
    </r>
  </si>
  <si>
    <r>
      <rPr>
        <sz val="9"/>
        <color rgb="FF000000"/>
        <rFont val="微软雅黑"/>
        <charset val="134"/>
      </rPr>
      <t>SUM(CachedVideoDuration_sum)/SUM(videoplaytime_sum)</t>
    </r>
  </si>
  <si>
    <r>
      <rPr>
        <sz val="9"/>
        <color rgb="FF000000"/>
        <rFont val="微软雅黑"/>
        <charset val="134"/>
      </rPr>
      <t>video_times_abnormals</t>
    </r>
  </si>
  <si>
    <r>
      <rPr>
        <sz val="9"/>
        <color rgb="FF000000"/>
        <rFont val="微软雅黑"/>
        <charset val="134"/>
      </rPr>
      <t>video_times_abnormals_rate</t>
    </r>
  </si>
  <si>
    <r>
      <rPr>
        <sz val="9"/>
        <color rgb="FF000000"/>
        <rFont val="微软雅黑"/>
        <charset val="134"/>
      </rPr>
      <t>ON a.cellkey = f.cellkey AND a.quarter = f.quarter AND a.imsi = f.imsi</t>
    </r>
  </si>
  <si>
    <r>
      <rPr>
        <sz val="9"/>
        <color rgb="FF000000"/>
        <rFont val="微软雅黑"/>
        <charset val="134"/>
      </rPr>
      <t>rsrpless110_rsrqmorethan13_cnt</t>
    </r>
  </si>
  <si>
    <r>
      <rPr>
        <sz val="9"/>
        <color rgb="FF000000"/>
        <rFont val="微软雅黑"/>
        <charset val="134"/>
      </rPr>
      <t>有效经纬度周期性MR经度总值</t>
    </r>
  </si>
  <si>
    <r>
      <rPr>
        <sz val="9"/>
        <color rgb="FF000000"/>
        <rFont val="微软雅黑"/>
        <charset val="134"/>
      </rPr>
      <t>有效经纬度周期性MR纬度总值</t>
    </r>
  </si>
  <si>
    <r>
      <rPr>
        <sz val="9"/>
        <color rgb="FF000000"/>
        <rFont val="微软雅黑"/>
        <charset val="134"/>
      </rPr>
      <t>有效经纬度周期性MR采样点总数</t>
    </r>
  </si>
  <si>
    <r>
      <rPr>
        <sz val="9"/>
        <color rgb="FF000000"/>
        <rFont val="微软雅黑"/>
        <charset val="134"/>
      </rPr>
      <t>avg_mrlon</t>
    </r>
  </si>
  <si>
    <r>
      <rPr>
        <sz val="9"/>
        <color rgb="FF000000"/>
        <rFont val="微软雅黑"/>
        <charset val="134"/>
      </rPr>
      <t>平均经度</t>
    </r>
  </si>
  <si>
    <r>
      <rPr>
        <sz val="9"/>
        <color rgb="FF000000"/>
        <rFont val="微软雅黑"/>
        <charset val="134"/>
      </rPr>
      <t>(totalmrlon)/(validlonlat_totalmrcount)</t>
    </r>
  </si>
  <si>
    <r>
      <rPr>
        <sz val="9"/>
        <color rgb="FF000000"/>
        <rFont val="微软雅黑"/>
        <charset val="134"/>
      </rPr>
      <t>avg_mrlat</t>
    </r>
  </si>
  <si>
    <r>
      <rPr>
        <sz val="9"/>
        <color rgb="FF000000"/>
        <rFont val="微软雅黑"/>
        <charset val="134"/>
      </rPr>
      <t>平均纬度</t>
    </r>
  </si>
  <si>
    <r>
      <rPr>
        <sz val="9"/>
        <color rgb="FF000000"/>
        <rFont val="微软雅黑"/>
        <charset val="134"/>
      </rPr>
      <t>(totalmrlat)/(validlonlat_totalmrcount)</t>
    </r>
    <r>
      <rPr>
        <sz val="9"/>
        <color rgb="FF000000"/>
        <rFont val="微软雅黑"/>
        <charset val="134"/>
      </rPr>
      <t xml:space="preserve"> </t>
    </r>
  </si>
  <si>
    <r>
      <rPr>
        <sz val="9"/>
        <color rgb="FF000000"/>
        <rFont val="微软雅黑"/>
        <charset val="134"/>
      </rPr>
      <t>attach_req</t>
    </r>
  </si>
  <si>
    <r>
      <rPr>
        <sz val="9"/>
        <color rgb="FF000000"/>
        <rFont val="微软雅黑"/>
        <charset val="134"/>
      </rPr>
      <t>attach请求次数</t>
    </r>
  </si>
  <si>
    <r>
      <rPr>
        <sz val="9"/>
        <color rgb="FF000000"/>
        <rFont val="微软雅黑"/>
        <charset val="134"/>
      </rPr>
      <t>attach_suc</t>
    </r>
  </si>
  <si>
    <r>
      <rPr>
        <sz val="9"/>
        <color rgb="FF000000"/>
        <rFont val="微软雅黑"/>
        <charset val="134"/>
      </rPr>
      <t>attach成功次数</t>
    </r>
  </si>
  <si>
    <r>
      <rPr>
        <sz val="9"/>
        <color rgb="FF000000"/>
        <rFont val="微软雅黑"/>
        <charset val="134"/>
      </rPr>
      <t>tau_req</t>
    </r>
  </si>
  <si>
    <r>
      <rPr>
        <sz val="9"/>
        <color rgb="FF000000"/>
        <rFont val="微软雅黑"/>
        <charset val="134"/>
      </rPr>
      <t>TAU请求次数</t>
    </r>
  </si>
  <si>
    <r>
      <rPr>
        <sz val="9"/>
        <color rgb="FF000000"/>
        <rFont val="微软雅黑"/>
        <charset val="134"/>
      </rPr>
      <t>tau_suc</t>
    </r>
  </si>
  <si>
    <r>
      <rPr>
        <sz val="9"/>
        <color rgb="FF000000"/>
        <rFont val="微软雅黑"/>
        <charset val="134"/>
      </rPr>
      <t>TAU成功次数</t>
    </r>
  </si>
  <si>
    <r>
      <rPr>
        <sz val="9"/>
        <color rgb="FF000000"/>
        <rFont val="微软雅黑"/>
        <charset val="134"/>
      </rPr>
      <t>attach_suc_rate</t>
    </r>
  </si>
  <si>
    <r>
      <rPr>
        <sz val="9"/>
        <color rgb="FF000000"/>
        <rFont val="微软雅黑"/>
        <charset val="134"/>
      </rPr>
      <t>attach成功率</t>
    </r>
  </si>
  <si>
    <t>sum(attach_suc)/sum(attach_req)</t>
  </si>
  <si>
    <r>
      <rPr>
        <sz val="9"/>
        <color rgb="FF000000"/>
        <rFont val="微软雅黑"/>
        <charset val="134"/>
      </rPr>
      <t>tau_suc_rate</t>
    </r>
  </si>
  <si>
    <r>
      <rPr>
        <sz val="9"/>
        <color rgb="FF000000"/>
        <rFont val="微软雅黑"/>
        <charset val="134"/>
      </rPr>
      <t>TAU成功率</t>
    </r>
  </si>
  <si>
    <t>sum(tau_suc)/sum(tau_req)</t>
  </si>
  <si>
    <r>
      <rPr>
        <sz val="9"/>
        <color rgb="FF000000"/>
        <rFont val="微软雅黑"/>
        <charset val="134"/>
      </rPr>
      <t>RRC建立请求次数</t>
    </r>
  </si>
  <si>
    <r>
      <rPr>
        <sz val="9"/>
        <color rgb="FF000000"/>
        <rFont val="微软雅黑"/>
        <charset val="134"/>
      </rPr>
      <t>rrcsetuprequestcount</t>
    </r>
  </si>
  <si>
    <r>
      <rPr>
        <sz val="9"/>
        <color rgb="FF000000"/>
        <rFont val="微软雅黑"/>
        <charset val="134"/>
      </rPr>
      <t>rrcsetupfailcount</t>
    </r>
  </si>
  <si>
    <r>
      <rPr>
        <sz val="9"/>
        <color rgb="FF000000"/>
        <rFont val="微软雅黑"/>
        <charset val="134"/>
      </rPr>
      <t>RRC建立失败次数</t>
    </r>
  </si>
  <si>
    <r>
      <rPr>
        <sz val="9"/>
        <color rgb="FF000000"/>
        <rFont val="微软雅黑"/>
        <charset val="134"/>
      </rPr>
      <t>RRC建立成功次数</t>
    </r>
  </si>
  <si>
    <r>
      <rPr>
        <sz val="9"/>
        <color rgb="FF000000"/>
        <rFont val="微软雅黑"/>
        <charset val="134"/>
      </rPr>
      <t>rrcsetupsuccesscount</t>
    </r>
  </si>
  <si>
    <r>
      <rPr>
        <sz val="9"/>
        <color rgb="FF000000"/>
        <rFont val="微软雅黑"/>
        <charset val="134"/>
      </rPr>
      <t>s1setuprequestcount</t>
    </r>
  </si>
  <si>
    <r>
      <rPr>
        <sz val="9"/>
        <color rgb="FF000000"/>
        <rFont val="微软雅黑"/>
        <charset val="134"/>
      </rPr>
      <t>S1建立请求次数</t>
    </r>
  </si>
  <si>
    <r>
      <rPr>
        <sz val="9"/>
        <color rgb="FF000000"/>
        <rFont val="微软雅黑"/>
        <charset val="134"/>
      </rPr>
      <t>s1setupfailcount</t>
    </r>
  </si>
  <si>
    <r>
      <rPr>
        <sz val="9"/>
        <color rgb="FF000000"/>
        <rFont val="微软雅黑"/>
        <charset val="134"/>
      </rPr>
      <t>S1建立失败次数</t>
    </r>
  </si>
  <si>
    <r>
      <rPr>
        <sz val="9"/>
        <color rgb="FF000000"/>
        <rFont val="微软雅黑"/>
        <charset val="134"/>
      </rPr>
      <t>s1setupsuccesscount</t>
    </r>
  </si>
  <si>
    <r>
      <rPr>
        <sz val="9"/>
        <color rgb="FF000000"/>
        <rFont val="微软雅黑"/>
        <charset val="134"/>
      </rPr>
      <t>S1建立成功次数</t>
    </r>
  </si>
  <si>
    <r>
      <rPr>
        <sz val="9"/>
        <color rgb="FF000000"/>
        <rFont val="微软雅黑"/>
        <charset val="134"/>
      </rPr>
      <t>setuprequestcount</t>
    </r>
  </si>
  <si>
    <r>
      <rPr>
        <sz val="9"/>
        <color rgb="FF000000"/>
        <rFont val="微软雅黑"/>
        <charset val="134"/>
      </rPr>
      <t>建立请求次数</t>
    </r>
  </si>
  <si>
    <r>
      <rPr>
        <sz val="9"/>
        <color rgb="FF000000"/>
        <rFont val="微软雅黑"/>
        <charset val="134"/>
      </rPr>
      <t>setupfailcount</t>
    </r>
  </si>
  <si>
    <r>
      <rPr>
        <sz val="9"/>
        <color rgb="FF000000"/>
        <rFont val="微软雅黑"/>
        <charset val="134"/>
      </rPr>
      <t>建立失败次数</t>
    </r>
  </si>
  <si>
    <r>
      <rPr>
        <sz val="9"/>
        <color rgb="FF000000"/>
        <rFont val="微软雅黑"/>
        <charset val="134"/>
      </rPr>
      <t>setupsuccesscount</t>
    </r>
  </si>
  <si>
    <r>
      <rPr>
        <sz val="9"/>
        <color rgb="FF000000"/>
        <rFont val="微软雅黑"/>
        <charset val="134"/>
      </rPr>
      <t>建立成功次数</t>
    </r>
  </si>
  <si>
    <r>
      <rPr>
        <sz val="9"/>
        <color rgb="FF000000"/>
        <rFont val="微软雅黑"/>
        <charset val="134"/>
      </rPr>
      <t>resetuprequestcount</t>
    </r>
  </si>
  <si>
    <r>
      <rPr>
        <sz val="9"/>
        <color rgb="FF000000"/>
        <rFont val="微软雅黑"/>
        <charset val="134"/>
      </rPr>
      <t>重建立请求次数</t>
    </r>
  </si>
  <si>
    <r>
      <rPr>
        <sz val="9"/>
        <color rgb="FF000000"/>
        <rFont val="微软雅黑"/>
        <charset val="134"/>
      </rPr>
      <t>resetupfailcount</t>
    </r>
  </si>
  <si>
    <r>
      <rPr>
        <sz val="9"/>
        <color rgb="FF000000"/>
        <rFont val="微软雅黑"/>
        <charset val="134"/>
      </rPr>
      <t>重建立失败次数</t>
    </r>
  </si>
  <si>
    <r>
      <rPr>
        <sz val="9"/>
        <color rgb="FF000000"/>
        <rFont val="微软雅黑"/>
        <charset val="134"/>
      </rPr>
      <t>resetupsuccesscount</t>
    </r>
  </si>
  <si>
    <r>
      <rPr>
        <sz val="9"/>
        <color rgb="FF000000"/>
        <rFont val="微软雅黑"/>
        <charset val="134"/>
      </rPr>
      <t>重建立成功次数</t>
    </r>
  </si>
  <si>
    <r>
      <rPr>
        <sz val="9"/>
        <color rgb="FF000000"/>
        <rFont val="微软雅黑"/>
        <charset val="134"/>
      </rPr>
      <t>rrcreleasecount</t>
    </r>
  </si>
  <si>
    <r>
      <rPr>
        <sz val="9"/>
        <color rgb="FF000000"/>
        <rFont val="微软雅黑"/>
        <charset val="134"/>
      </rPr>
      <t>RRC释放次数</t>
    </r>
  </si>
  <si>
    <r>
      <rPr>
        <sz val="9"/>
        <color rgb="FF000000"/>
        <rFont val="微软雅黑"/>
        <charset val="134"/>
      </rPr>
      <t>rrcreleasesuccesscount</t>
    </r>
  </si>
  <si>
    <r>
      <rPr>
        <sz val="9"/>
        <color rgb="FF000000"/>
        <rFont val="微软雅黑"/>
        <charset val="134"/>
      </rPr>
      <t>RRC释放成功次数</t>
    </r>
  </si>
  <si>
    <r>
      <rPr>
        <sz val="9"/>
        <color rgb="FF000000"/>
        <rFont val="微软雅黑"/>
        <charset val="134"/>
      </rPr>
      <t>rrccalldropcount</t>
    </r>
  </si>
  <si>
    <r>
      <rPr>
        <sz val="9"/>
        <color rgb="FF000000"/>
        <rFont val="微软雅黑"/>
        <charset val="134"/>
      </rPr>
      <t>RRC异常释放次数</t>
    </r>
  </si>
  <si>
    <r>
      <rPr>
        <sz val="9"/>
        <color rgb="FF000000"/>
        <rFont val="微软雅黑"/>
        <charset val="134"/>
      </rPr>
      <t>is_rssi</t>
    </r>
  </si>
  <si>
    <r>
      <rPr>
        <sz val="9"/>
        <color rgb="FF000000"/>
        <rFont val="微软雅黑"/>
        <charset val="134"/>
      </rPr>
      <t>该小区是否是高RSSI小区</t>
    </r>
  </si>
  <si>
    <r>
      <rPr>
        <sz val="9"/>
        <color rgb="FF000000"/>
        <rFont val="微软雅黑"/>
        <charset val="134"/>
      </rPr>
      <t>ON a.cellkey = k.cellkey AND a.p_hour = k.p_hour</t>
    </r>
  </si>
  <si>
    <r>
      <rPr>
        <sz val="9"/>
        <color rgb="FF000000"/>
        <rFont val="微软雅黑"/>
        <charset val="134"/>
      </rPr>
      <t>is_overload</t>
    </r>
  </si>
  <si>
    <r>
      <rPr>
        <sz val="9"/>
        <color rgb="FF000000"/>
        <rFont val="微软雅黑"/>
        <charset val="134"/>
      </rPr>
      <t>该小区是否是高负荷小区</t>
    </r>
  </si>
  <si>
    <t>A10</t>
  </si>
  <si>
    <t>A10先用cellkey关联工参获取freq,(case when c.freq in ('1.8G','2.1G') and (if(a.puschprbtotmeandl_rate&gt;70,1,0)+if(total_flux/1024*4&gt;11.2,1,0)+if(rrc_userconnmean&gt;100,1,0)) =3 then 1
           when c.freq not in('1.8G','2.1G') and (if(a.puschprbtotmeandl_rate&gt;70,1,0)+if(total_flux/1024*4&gt;2.8,1,0)+if(rrc_userconnmean&gt;50,1,0)) =3 then 1
                else 0 end) as is_overload</t>
  </si>
  <si>
    <t>原算法是一个小时的，所以乘4</t>
  </si>
  <si>
    <r>
      <rPr>
        <sz val="9"/>
        <color rgb="FF000000"/>
        <rFont val="微软雅黑"/>
        <charset val="134"/>
      </rPr>
      <t>ho_attout</t>
    </r>
  </si>
  <si>
    <r>
      <rPr>
        <sz val="9"/>
        <color rgb="FF000000"/>
        <rFont val="微软雅黑"/>
        <charset val="134"/>
      </rPr>
      <t>系统内切换出尝试次数</t>
    </r>
  </si>
  <si>
    <t>ho_attoutintraenb</t>
  </si>
  <si>
    <r>
      <rPr>
        <sz val="9"/>
        <color rgb="FF000000"/>
        <rFont val="微软雅黑"/>
        <charset val="134"/>
      </rPr>
      <t>ON a.cellkey = j.cellkey AND a.quarter = j.quarter</t>
    </r>
  </si>
  <si>
    <t>ho_succout</t>
  </si>
  <si>
    <r>
      <rPr>
        <sz val="9"/>
        <color rgb="FF000000"/>
        <rFont val="微软雅黑"/>
        <charset val="134"/>
      </rPr>
      <t>系统内切换出成功次数</t>
    </r>
  </si>
  <si>
    <t>ho_succoutintraenb</t>
  </si>
  <si>
    <r>
      <rPr>
        <sz val="9"/>
        <color rgb="FF000000"/>
        <rFont val="微软雅黑"/>
        <charset val="134"/>
      </rPr>
      <t>ho_succ_rate</t>
    </r>
  </si>
  <si>
    <r>
      <rPr>
        <sz val="9"/>
        <color rgb="FF000000"/>
        <rFont val="微软雅黑"/>
        <charset val="134"/>
      </rPr>
      <t>系统内切换成功率</t>
    </r>
  </si>
  <si>
    <t>ho_succoutintraenb/ho_attoutintraenb</t>
  </si>
  <si>
    <r>
      <rPr>
        <sz val="9"/>
        <color rgb="FF000000"/>
        <rFont val="微软雅黑"/>
        <charset val="134"/>
      </rPr>
      <t>pdcp_sduoctul</t>
    </r>
  </si>
  <si>
    <r>
      <rPr>
        <sz val="9"/>
        <color rgb="FF000000"/>
        <rFont val="微软雅黑"/>
        <charset val="134"/>
      </rPr>
      <t>PDCP层上行小区面流量(MB)</t>
    </r>
  </si>
  <si>
    <t>pdcp_sduoctul</t>
  </si>
  <si>
    <r>
      <rPr>
        <sz val="9"/>
        <color rgb="FF000000"/>
        <rFont val="微软雅黑"/>
        <charset val="134"/>
      </rPr>
      <t>pdcp_sduoctdl</t>
    </r>
  </si>
  <si>
    <r>
      <rPr>
        <sz val="9"/>
        <color rgb="FF000000"/>
        <rFont val="微软雅黑"/>
        <charset val="134"/>
      </rPr>
      <t>PDCP层下行小区面流量(MB)</t>
    </r>
  </si>
  <si>
    <t>pdcp_sduoctdl</t>
  </si>
  <si>
    <r>
      <rPr>
        <sz val="9"/>
        <color rgb="FF000000"/>
        <rFont val="微软雅黑"/>
        <charset val="134"/>
      </rPr>
      <t>total_flux</t>
    </r>
  </si>
  <si>
    <r>
      <rPr>
        <sz val="9"/>
        <color rgb="FF000000"/>
        <rFont val="微软雅黑"/>
        <charset val="134"/>
      </rPr>
      <t>PDCP层小区面总流量(MB)</t>
    </r>
  </si>
  <si>
    <t>total_flux</t>
  </si>
  <si>
    <r>
      <rPr>
        <sz val="9"/>
        <color rgb="FF000000"/>
        <rFont val="微软雅黑"/>
        <charset val="134"/>
      </rPr>
      <t>rrc_userconnmax</t>
    </r>
  </si>
  <si>
    <r>
      <rPr>
        <sz val="9"/>
        <color rgb="FF000000"/>
        <rFont val="微软雅黑"/>
        <charset val="134"/>
      </rPr>
      <t>最大RRC连接小区数</t>
    </r>
  </si>
  <si>
    <r>
      <rPr>
        <sz val="9"/>
        <color rgb="FF000000"/>
        <rFont val="微软雅黑"/>
        <charset val="134"/>
      </rPr>
      <t>rrc_userconnmean</t>
    </r>
  </si>
  <si>
    <r>
      <rPr>
        <sz val="9"/>
        <color rgb="FF000000"/>
        <rFont val="微软雅黑"/>
        <charset val="134"/>
      </rPr>
      <t>平均RRC连接小区数</t>
    </r>
  </si>
  <si>
    <r>
      <rPr>
        <sz val="9"/>
        <color rgb="FF000000"/>
        <rFont val="微软雅黑"/>
        <charset val="134"/>
      </rPr>
      <t>prb_ul_avail</t>
    </r>
  </si>
  <si>
    <r>
      <rPr>
        <sz val="9"/>
        <color rgb="FF000000"/>
        <rFont val="微软雅黑"/>
        <charset val="134"/>
      </rPr>
      <t>上行可用的PRB个数</t>
    </r>
  </si>
  <si>
    <r>
      <rPr>
        <sz val="9"/>
        <color rgb="FF000000"/>
        <rFont val="微软雅黑"/>
        <charset val="134"/>
      </rPr>
      <t>puschprbtotmeanul</t>
    </r>
  </si>
  <si>
    <r>
      <rPr>
        <sz val="9"/>
        <color rgb="FF000000"/>
        <rFont val="微软雅黑"/>
        <charset val="134"/>
      </rPr>
      <t>上行实际平均占用PRB资源个数</t>
    </r>
  </si>
  <si>
    <r>
      <rPr>
        <sz val="9"/>
        <color rgb="FF000000"/>
        <rFont val="微软雅黑"/>
        <charset val="134"/>
      </rPr>
      <t>puschprbtotmeanul_rate</t>
    </r>
  </si>
  <si>
    <r>
      <rPr>
        <sz val="9"/>
        <color rgb="FF000000"/>
        <rFont val="微软雅黑"/>
        <charset val="134"/>
      </rPr>
      <t>上行PRB平均占用率</t>
    </r>
  </si>
  <si>
    <r>
      <rPr>
        <sz val="9"/>
        <color rgb="FF000000"/>
        <rFont val="微软雅黑"/>
        <charset val="134"/>
      </rPr>
      <t>puschprbtotmeanul/prb_ul_avail</t>
    </r>
  </si>
  <si>
    <r>
      <rPr>
        <sz val="9"/>
        <color rgb="FF000000"/>
        <rFont val="微软雅黑"/>
        <charset val="134"/>
      </rPr>
      <t>puschprbtotmeandl</t>
    </r>
  </si>
  <si>
    <r>
      <rPr>
        <sz val="9"/>
        <color rgb="FF000000"/>
        <rFont val="微软雅黑"/>
        <charset val="134"/>
      </rPr>
      <t>下行实际平均占用PRB资源个数</t>
    </r>
  </si>
  <si>
    <r>
      <rPr>
        <sz val="9"/>
        <color rgb="FF000000"/>
        <rFont val="微软雅黑"/>
        <charset val="134"/>
      </rPr>
      <t>prb_dl_avail</t>
    </r>
  </si>
  <si>
    <r>
      <rPr>
        <sz val="9"/>
        <color rgb="FF000000"/>
        <rFont val="微软雅黑"/>
        <charset val="134"/>
      </rPr>
      <t>puschprbtotmeandl_rate</t>
    </r>
  </si>
  <si>
    <r>
      <rPr>
        <sz val="9"/>
        <color rgb="FF000000"/>
        <rFont val="微软雅黑"/>
        <charset val="134"/>
      </rPr>
      <t>下行PRB平均占用率</t>
    </r>
  </si>
  <si>
    <r>
      <rPr>
        <sz val="9"/>
        <color rgb="FF000000"/>
        <rFont val="微软雅黑"/>
        <charset val="134"/>
      </rPr>
      <t>puschprbtotmeandl/prb_dl_avail</t>
    </r>
  </si>
  <si>
    <r>
      <rPr>
        <sz val="9"/>
        <color rgb="FF000000"/>
        <rFont val="微软雅黑"/>
        <charset val="134"/>
      </rPr>
      <t>rrc_succconnreestab_rate</t>
    </r>
  </si>
  <si>
    <r>
      <rPr>
        <sz val="9"/>
        <color rgb="FF000000"/>
        <rFont val="微软雅黑"/>
        <charset val="134"/>
      </rPr>
      <t>RRC重建成功率</t>
    </r>
  </si>
  <si>
    <t>rrc_succconnreestab/rrc_attconnreestab</t>
  </si>
  <si>
    <r>
      <rPr>
        <sz val="9"/>
        <color rgb="FF000000"/>
        <rFont val="微软雅黑"/>
        <charset val="134"/>
      </rPr>
      <t>rrc_succconnestab_ue</t>
    </r>
  </si>
  <si>
    <r>
      <rPr>
        <sz val="9"/>
        <color rgb="FF000000"/>
        <rFont val="微软雅黑"/>
        <charset val="134"/>
      </rPr>
      <t>UE发起的RRC连接建立成功次数</t>
    </r>
  </si>
  <si>
    <r>
      <rPr>
        <sz val="9"/>
        <color rgb="FF000000"/>
        <rFont val="微软雅黑"/>
        <charset val="134"/>
      </rPr>
      <t>rrc_succconnestab_net</t>
    </r>
  </si>
  <si>
    <r>
      <rPr>
        <sz val="9"/>
        <color rgb="FF000000"/>
        <rFont val="微软雅黑"/>
        <charset val="134"/>
      </rPr>
      <t>网络发起的RRC连接建立成功次数</t>
    </r>
  </si>
  <si>
    <r>
      <rPr>
        <sz val="9"/>
        <color rgb="FF000000"/>
        <rFont val="微软雅黑"/>
        <charset val="134"/>
      </rPr>
      <t>rrc_connreestab_rate</t>
    </r>
  </si>
  <si>
    <r>
      <rPr>
        <sz val="9"/>
        <color rgb="FF000000"/>
        <rFont val="微软雅黑"/>
        <charset val="134"/>
      </rPr>
      <t>RRC连接重建比例</t>
    </r>
  </si>
  <si>
    <r>
      <rPr>
        <sz val="9"/>
        <color rgb="FF000000"/>
        <rFont val="微软雅黑"/>
        <charset val="134"/>
      </rPr>
      <t>rrc_attconnreestab/(rrc_succconnestab_ue+rrc_succconnestab_net)</t>
    </r>
  </si>
  <si>
    <r>
      <rPr>
        <sz val="9"/>
        <color rgb="FF000000"/>
        <rFont val="微软雅黑"/>
        <charset val="134"/>
      </rPr>
      <t>pdcp_sdutailflowul</t>
    </r>
  </si>
  <si>
    <r>
      <rPr>
        <sz val="9"/>
        <color rgb="FF000000"/>
        <rFont val="微软雅黑"/>
        <charset val="134"/>
      </rPr>
      <t>上行突发数据尾流量</t>
    </r>
  </si>
  <si>
    <t>pdcp_sdutailflowul</t>
  </si>
  <si>
    <r>
      <rPr>
        <sz val="9"/>
        <color rgb="FF000000"/>
        <rFont val="微软雅黑"/>
        <charset val="134"/>
      </rPr>
      <t>pdcp_sdutailflowdl</t>
    </r>
  </si>
  <si>
    <r>
      <rPr>
        <sz val="9"/>
        <color rgb="FF000000"/>
        <rFont val="微软雅黑"/>
        <charset val="134"/>
      </rPr>
      <t>下行突发数据尾流量</t>
    </r>
  </si>
  <si>
    <r>
      <rPr>
        <sz val="9"/>
        <color rgb="FF000000"/>
        <rFont val="微软雅黑"/>
        <charset val="134"/>
      </rPr>
      <t>uexp_meanspeedul</t>
    </r>
  </si>
  <si>
    <r>
      <rPr>
        <sz val="9"/>
        <color rgb="FF000000"/>
        <rFont val="微软雅黑"/>
        <charset val="134"/>
      </rPr>
      <t>小区体验上行平均速率</t>
    </r>
  </si>
  <si>
    <t>(pdcp_sduoctul-PDCP_SduTailFlowUl)*8/((PDCP_ThrpTimeUl-PDCP_TailTimeUl)/1000）</t>
  </si>
  <si>
    <t>Mbps</t>
  </si>
  <si>
    <r>
      <rPr>
        <sz val="9"/>
        <color rgb="FF000000"/>
        <rFont val="微软雅黑"/>
        <charset val="134"/>
      </rPr>
      <t>uexp_meanspeeddl</t>
    </r>
  </si>
  <si>
    <r>
      <rPr>
        <sz val="9"/>
        <color rgb="FF000000"/>
        <rFont val="微软雅黑"/>
        <charset val="134"/>
      </rPr>
      <t>小区体验下行平均速率</t>
    </r>
  </si>
  <si>
    <t>(pdcp_sduoctdl-PDCP_SduTailFlowDl)*8/((PDCP_ThrpTimeDl-PDCP_TailTimeDl)/1000）</t>
  </si>
  <si>
    <r>
      <rPr>
        <sz val="9"/>
        <color rgb="FF000000"/>
        <rFont val="微软雅黑"/>
        <charset val="134"/>
      </rPr>
      <t>cell_unserv_time</t>
    </r>
  </si>
  <si>
    <r>
      <rPr>
        <sz val="9"/>
        <color rgb="FF000000"/>
        <rFont val="微软雅黑"/>
        <charset val="134"/>
      </rPr>
      <t>小区退服时长</t>
    </r>
  </si>
  <si>
    <t>cell_unserv_time</t>
  </si>
  <si>
    <r>
      <rPr>
        <sz val="9"/>
        <color rgb="FF000000"/>
        <rFont val="微软雅黑"/>
        <charset val="134"/>
      </rPr>
      <t>prb_doublemodetotdl</t>
    </r>
  </si>
  <si>
    <r>
      <rPr>
        <sz val="9"/>
        <color rgb="FF000000"/>
        <rFont val="微软雅黑"/>
        <charset val="134"/>
      </rPr>
      <t>双模PRB数</t>
    </r>
  </si>
  <si>
    <t>prb_doublemodedl_rate*puschprbtotdl</t>
  </si>
  <si>
    <r>
      <rPr>
        <sz val="9"/>
        <color rgb="FF000000"/>
        <rFont val="微软雅黑"/>
        <charset val="134"/>
      </rPr>
      <t>prb_interfnoisev_mean</t>
    </r>
  </si>
  <si>
    <r>
      <rPr>
        <sz val="9"/>
        <color rgb="FF000000"/>
        <rFont val="微软雅黑"/>
        <charset val="134"/>
      </rPr>
      <t>Chan1通道级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RSSI-平均值</t>
    </r>
  </si>
  <si>
    <r>
      <rPr>
        <sz val="9"/>
        <color rgb="FF000000"/>
        <rFont val="微软雅黑"/>
        <charset val="134"/>
      </rPr>
      <t>pdcch_cce_occupied</t>
    </r>
  </si>
  <si>
    <r>
      <rPr>
        <sz val="9"/>
        <color rgb="FF000000"/>
        <rFont val="微软雅黑"/>
        <charset val="134"/>
      </rPr>
      <t>PDCCH的CCE占用个数</t>
    </r>
  </si>
  <si>
    <r>
      <rPr>
        <sz val="9"/>
        <color rgb="FF000000"/>
        <rFont val="微软雅黑"/>
        <charset val="134"/>
      </rPr>
      <t>pdcch_cce_assigned</t>
    </r>
  </si>
  <si>
    <r>
      <rPr>
        <sz val="9"/>
        <color rgb="FF000000"/>
        <rFont val="微软雅黑"/>
        <charset val="134"/>
      </rPr>
      <t>PDCCH的CCE可分配个数</t>
    </r>
  </si>
  <si>
    <r>
      <rPr>
        <sz val="9"/>
        <color rgb="FF000000"/>
        <rFont val="微软雅黑"/>
        <charset val="134"/>
      </rPr>
      <t>paging_s1_rx</t>
    </r>
  </si>
  <si>
    <r>
      <rPr>
        <sz val="9"/>
        <color rgb="FF000000"/>
        <rFont val="微软雅黑"/>
        <charset val="134"/>
      </rPr>
      <t>MME寻呼次数</t>
    </r>
  </si>
  <si>
    <r>
      <rPr>
        <sz val="9"/>
        <color rgb="FF000000"/>
        <rFont val="微软雅黑"/>
        <charset val="134"/>
      </rPr>
      <t>paging_capacity</t>
    </r>
  </si>
  <si>
    <r>
      <rPr>
        <sz val="9"/>
        <color rgb="FF000000"/>
        <rFont val="微软雅黑"/>
        <charset val="134"/>
      </rPr>
      <t>寻呼信道容量</t>
    </r>
  </si>
  <si>
    <r>
      <rPr>
        <sz val="9"/>
        <color rgb="FF000000"/>
        <rFont val="微软雅黑"/>
        <charset val="134"/>
      </rPr>
      <t>paging_discard_num</t>
    </r>
  </si>
  <si>
    <r>
      <rPr>
        <sz val="9"/>
        <color rgb="FF000000"/>
        <rFont val="微软雅黑"/>
        <charset val="134"/>
      </rPr>
      <t>MME寻呼丢弃次数</t>
    </r>
  </si>
  <si>
    <r>
      <rPr>
        <sz val="9"/>
        <color rgb="FF000000"/>
        <rFont val="微软雅黑"/>
        <charset val="134"/>
      </rPr>
      <t>rrc_attconnreestab</t>
    </r>
  </si>
  <si>
    <r>
      <rPr>
        <sz val="9"/>
        <color rgb="FF000000"/>
        <rFont val="微软雅黑"/>
        <charset val="134"/>
      </rPr>
      <t>RRC连接重建请求次数</t>
    </r>
  </si>
  <si>
    <r>
      <rPr>
        <sz val="9"/>
        <color rgb="FF000000"/>
        <rFont val="微软雅黑"/>
        <charset val="134"/>
      </rPr>
      <t>rrc_succconnreestab</t>
    </r>
  </si>
  <si>
    <r>
      <rPr>
        <sz val="9"/>
        <color rgb="FF000000"/>
        <rFont val="微软雅黑"/>
        <charset val="134"/>
      </rPr>
      <t>RRC连接重建成功次数</t>
    </r>
  </si>
  <si>
    <r>
      <rPr>
        <sz val="9"/>
        <color rgb="FF000000"/>
        <rFont val="微软雅黑"/>
        <charset val="134"/>
      </rPr>
      <t>s1sig_attconnestab</t>
    </r>
  </si>
  <si>
    <r>
      <rPr>
        <sz val="9"/>
        <color rgb="FF000000"/>
        <rFont val="微软雅黑"/>
        <charset val="134"/>
      </rPr>
      <t>s1sig建立次数</t>
    </r>
  </si>
  <si>
    <r>
      <rPr>
        <sz val="9"/>
        <color rgb="FF000000"/>
        <rFont val="微软雅黑"/>
        <charset val="134"/>
      </rPr>
      <t>s1sig_succconnestab</t>
    </r>
  </si>
  <si>
    <r>
      <rPr>
        <sz val="9"/>
        <color rgb="FF000000"/>
        <rFont val="微软雅黑"/>
        <charset val="134"/>
      </rPr>
      <t>S1连接成功次数</t>
    </r>
  </si>
  <si>
    <r>
      <rPr>
        <sz val="9"/>
        <color rgb="FF000000"/>
        <rFont val="微软雅黑"/>
        <charset val="134"/>
      </rPr>
      <t>erab_initattestab</t>
    </r>
  </si>
  <si>
    <r>
      <rPr>
        <sz val="9"/>
        <color rgb="FF000000"/>
        <rFont val="微软雅黑"/>
        <charset val="134"/>
      </rPr>
      <t>erab初始接入尝试次数</t>
    </r>
  </si>
  <si>
    <r>
      <rPr>
        <sz val="9"/>
        <color rgb="FF000000"/>
        <rFont val="微软雅黑"/>
        <charset val="134"/>
      </rPr>
      <t>erab_initsuccestab</t>
    </r>
  </si>
  <si>
    <r>
      <rPr>
        <sz val="9"/>
        <color rgb="FF000000"/>
        <rFont val="微软雅黑"/>
        <charset val="134"/>
      </rPr>
      <t>erab初始建立成功次数</t>
    </r>
  </si>
  <si>
    <r>
      <rPr>
        <sz val="9"/>
        <color rgb="FF000000"/>
        <rFont val="微软雅黑"/>
        <charset val="134"/>
      </rPr>
      <t>erab_addattestab</t>
    </r>
  </si>
  <si>
    <r>
      <rPr>
        <sz val="9"/>
        <color rgb="FF000000"/>
        <rFont val="微软雅黑"/>
        <charset val="134"/>
      </rPr>
      <t>erab添加次数</t>
    </r>
  </si>
  <si>
    <r>
      <rPr>
        <sz val="9"/>
        <color rgb="FF000000"/>
        <rFont val="微软雅黑"/>
        <charset val="134"/>
      </rPr>
      <t>erab_addsuccestab</t>
    </r>
  </si>
  <si>
    <r>
      <rPr>
        <sz val="9"/>
        <color rgb="FF000000"/>
        <rFont val="微软雅黑"/>
        <charset val="134"/>
      </rPr>
      <t>erab添加成功次数</t>
    </r>
  </si>
  <si>
    <r>
      <rPr>
        <sz val="9"/>
        <color rgb="FF000000"/>
        <rFont val="微软雅黑"/>
        <charset val="134"/>
      </rPr>
      <t>uecntx_abnormrel</t>
    </r>
  </si>
  <si>
    <r>
      <rPr>
        <sz val="9"/>
        <color rgb="FF000000"/>
        <rFont val="微软雅黑"/>
        <charset val="134"/>
      </rPr>
      <t>UE上下文异常释放次数</t>
    </r>
  </si>
  <si>
    <r>
      <rPr>
        <sz val="9"/>
        <color rgb="FF000000"/>
        <rFont val="微软雅黑"/>
        <charset val="134"/>
      </rPr>
      <t>uecntx_normrel</t>
    </r>
  </si>
  <si>
    <r>
      <rPr>
        <sz val="9"/>
        <color rgb="FF000000"/>
        <rFont val="微软雅黑"/>
        <charset val="134"/>
      </rPr>
      <t>UE上下文正常释放次数</t>
    </r>
  </si>
  <si>
    <r>
      <rPr>
        <sz val="9"/>
        <color rgb="FF000000"/>
        <rFont val="微软雅黑"/>
        <charset val="134"/>
      </rPr>
      <t>erab_abnormrel</t>
    </r>
  </si>
  <si>
    <r>
      <rPr>
        <sz val="9"/>
        <color rgb="FF000000"/>
        <rFont val="微软雅黑"/>
        <charset val="134"/>
      </rPr>
      <t>E-RAB异常释放次数</t>
    </r>
  </si>
  <si>
    <r>
      <rPr>
        <sz val="9"/>
        <color rgb="FF000000"/>
        <rFont val="微软雅黑"/>
        <charset val="134"/>
      </rPr>
      <t>erab_normrel</t>
    </r>
  </si>
  <si>
    <r>
      <rPr>
        <sz val="9"/>
        <color rgb="FF000000"/>
        <rFont val="微软雅黑"/>
        <charset val="134"/>
      </rPr>
      <t>E-RAB正常释放次数</t>
    </r>
  </si>
  <si>
    <r>
      <rPr>
        <sz val="9"/>
        <color rgb="FF000000"/>
        <rFont val="微软雅黑"/>
        <charset val="134"/>
      </rPr>
      <t>pdcp_thrptimeul</t>
    </r>
  </si>
  <si>
    <r>
      <rPr>
        <sz val="9"/>
        <color rgb="FF000000"/>
        <rFont val="微软雅黑"/>
        <charset val="134"/>
      </rPr>
      <t>小区PDCP层上行接收数据业务总时长</t>
    </r>
  </si>
  <si>
    <r>
      <rPr>
        <sz val="9"/>
        <color rgb="FF000000"/>
        <rFont val="微软雅黑"/>
        <charset val="134"/>
      </rPr>
      <t>pdcp_thrptimedl</t>
    </r>
  </si>
  <si>
    <r>
      <rPr>
        <sz val="9"/>
        <color rgb="FF000000"/>
        <rFont val="微软雅黑"/>
        <charset val="134"/>
      </rPr>
      <t>小区PDCP层下行发送数据业务总时长</t>
    </r>
  </si>
  <si>
    <r>
      <rPr>
        <sz val="9"/>
        <color rgb="FF000000"/>
        <rFont val="微软雅黑"/>
        <charset val="134"/>
      </rPr>
      <t>pdcp_tailtimeul</t>
    </r>
  </si>
  <si>
    <r>
      <rPr>
        <sz val="9"/>
        <color rgb="FF000000"/>
        <rFont val="微软雅黑"/>
        <charset val="134"/>
      </rPr>
      <t>上行突发数据尾时长</t>
    </r>
  </si>
  <si>
    <r>
      <rPr>
        <sz val="9"/>
        <color rgb="FF000000"/>
        <rFont val="微软雅黑"/>
        <charset val="134"/>
      </rPr>
      <t>pdcp_tailtimedl</t>
    </r>
  </si>
  <si>
    <r>
      <rPr>
        <sz val="9"/>
        <color rgb="FF000000"/>
        <rFont val="微软雅黑"/>
        <charset val="134"/>
      </rPr>
      <t>下行突发数据尾时长</t>
    </r>
  </si>
  <si>
    <r>
      <rPr>
        <sz val="9"/>
        <color rgb="FF000000"/>
        <rFont val="微软雅黑"/>
        <charset val="134"/>
      </rPr>
      <t>pdcp_sdulosspktul</t>
    </r>
  </si>
  <si>
    <r>
      <rPr>
        <sz val="9"/>
        <color rgb="FF000000"/>
        <rFont val="微软雅黑"/>
        <charset val="134"/>
      </rPr>
      <t>空口上行用户面丢包数</t>
    </r>
  </si>
  <si>
    <r>
      <rPr>
        <sz val="9"/>
        <color rgb="FF000000"/>
        <rFont val="微软雅黑"/>
        <charset val="134"/>
      </rPr>
      <t>pdcp_sdulosspktdl</t>
    </r>
  </si>
  <si>
    <r>
      <rPr>
        <sz val="9"/>
        <color rgb="FF000000"/>
        <rFont val="微软雅黑"/>
        <charset val="134"/>
      </rPr>
      <t>PDCP层下行丢包数</t>
    </r>
  </si>
  <si>
    <r>
      <rPr>
        <sz val="9"/>
        <color rgb="FF000000"/>
        <rFont val="微软雅黑"/>
        <charset val="134"/>
      </rPr>
      <t>pdcp_sdudiscardpktdl</t>
    </r>
  </si>
  <si>
    <r>
      <rPr>
        <sz val="9"/>
        <color rgb="FF000000"/>
        <rFont val="微软雅黑"/>
        <charset val="134"/>
      </rPr>
      <t>PDCP层下行弃包数</t>
    </r>
  </si>
  <si>
    <r>
      <rPr>
        <sz val="9"/>
        <color rgb="FF000000"/>
        <rFont val="微软雅黑"/>
        <charset val="134"/>
      </rPr>
      <t>puschprbtotdl</t>
    </r>
  </si>
  <si>
    <r>
      <rPr>
        <sz val="9"/>
        <color rgb="FF000000"/>
        <rFont val="微软雅黑"/>
        <charset val="134"/>
      </rPr>
      <t>puschprb总数</t>
    </r>
  </si>
  <si>
    <r>
      <rPr>
        <sz val="9"/>
        <color rgb="FF000000"/>
        <rFont val="微软雅黑"/>
        <charset val="134"/>
      </rPr>
      <t>erab_abnormrel_qci1</t>
    </r>
  </si>
  <si>
    <r>
      <rPr>
        <sz val="9"/>
        <color rgb="FF000000"/>
        <rFont val="微软雅黑"/>
        <charset val="134"/>
      </rPr>
      <t>qci1 E-RAB异常释放次数</t>
    </r>
  </si>
  <si>
    <r>
      <rPr>
        <sz val="9"/>
        <color rgb="FF000000"/>
        <rFont val="微软雅黑"/>
        <charset val="134"/>
      </rPr>
      <t>erab_normrel_qci1</t>
    </r>
  </si>
  <si>
    <r>
      <rPr>
        <sz val="9"/>
        <color rgb="FF000000"/>
        <rFont val="微软雅黑"/>
        <charset val="134"/>
      </rPr>
      <t>qci1 E-RAB正常释放次数</t>
    </r>
  </si>
  <si>
    <r>
      <rPr>
        <sz val="9"/>
        <color rgb="FF000000"/>
        <rFont val="微软雅黑"/>
        <charset val="134"/>
      </rPr>
      <t>erab_abnormrel_qci2</t>
    </r>
  </si>
  <si>
    <r>
      <rPr>
        <sz val="9"/>
        <color rgb="FF000000"/>
        <rFont val="微软雅黑"/>
        <charset val="134"/>
      </rPr>
      <t>qci2 E-RAB异常释放次数</t>
    </r>
  </si>
  <si>
    <r>
      <rPr>
        <sz val="9"/>
        <color rgb="FF000000"/>
        <rFont val="微软雅黑"/>
        <charset val="134"/>
      </rPr>
      <t>erab_normrel_qci2</t>
    </r>
  </si>
  <si>
    <r>
      <rPr>
        <sz val="9"/>
        <color rgb="FF000000"/>
        <rFont val="微软雅黑"/>
        <charset val="134"/>
      </rPr>
      <t>qci2 E-RAB正常释放次数</t>
    </r>
  </si>
  <si>
    <r>
      <rPr>
        <sz val="9"/>
        <color rgb="FF000000"/>
        <rFont val="微软雅黑"/>
        <charset val="134"/>
      </rPr>
      <t>erab_abnormrel_qci5</t>
    </r>
  </si>
  <si>
    <r>
      <rPr>
        <sz val="9"/>
        <color rgb="FF000000"/>
        <rFont val="微软雅黑"/>
        <charset val="134"/>
      </rPr>
      <t>qci5 E-RAB异常释放次数</t>
    </r>
  </si>
  <si>
    <r>
      <rPr>
        <sz val="9"/>
        <color rgb="FF000000"/>
        <rFont val="微软雅黑"/>
        <charset val="134"/>
      </rPr>
      <t>erab_normrel_qci5</t>
    </r>
  </si>
  <si>
    <r>
      <rPr>
        <sz val="9"/>
        <color rgb="FF000000"/>
        <rFont val="微软雅黑"/>
        <charset val="134"/>
      </rPr>
      <t>qci5 E-RAB正常释放次数</t>
    </r>
  </si>
  <si>
    <r>
      <rPr>
        <sz val="9"/>
        <color rgb="FF000000"/>
        <rFont val="微软雅黑"/>
        <charset val="134"/>
      </rPr>
      <t>erab_initattestab_qci1</t>
    </r>
  </si>
  <si>
    <r>
      <rPr>
        <sz val="9"/>
        <color rgb="FF000000"/>
        <rFont val="微软雅黑"/>
        <charset val="134"/>
      </rPr>
      <t>qci1 erab初始接入尝试次数</t>
    </r>
  </si>
  <si>
    <r>
      <rPr>
        <sz val="9"/>
        <color rgb="FF000000"/>
        <rFont val="微软雅黑"/>
        <charset val="134"/>
      </rPr>
      <t>erab_initsuccestab_qci1</t>
    </r>
  </si>
  <si>
    <r>
      <rPr>
        <sz val="9"/>
        <color rgb="FF000000"/>
        <rFont val="微软雅黑"/>
        <charset val="134"/>
      </rPr>
      <t>qci1 erab初始建立成功次数</t>
    </r>
  </si>
  <si>
    <r>
      <rPr>
        <sz val="9"/>
        <color rgb="FF000000"/>
        <rFont val="微软雅黑"/>
        <charset val="134"/>
      </rPr>
      <t>erab_addattestab_qci1</t>
    </r>
  </si>
  <si>
    <r>
      <rPr>
        <sz val="9"/>
        <color rgb="FF000000"/>
        <rFont val="微软雅黑"/>
        <charset val="134"/>
      </rPr>
      <t>qci1 erab添加次数</t>
    </r>
  </si>
  <si>
    <r>
      <rPr>
        <sz val="9"/>
        <color rgb="FF000000"/>
        <rFont val="微软雅黑"/>
        <charset val="134"/>
      </rPr>
      <t>erab_addsuccestab_qci1</t>
    </r>
  </si>
  <si>
    <r>
      <rPr>
        <sz val="9"/>
        <color rgb="FF000000"/>
        <rFont val="微软雅黑"/>
        <charset val="134"/>
      </rPr>
      <t>qci1 erab添加成功次数</t>
    </r>
  </si>
  <si>
    <r>
      <rPr>
        <sz val="9"/>
        <color rgb="FF000000"/>
        <rFont val="微软雅黑"/>
        <charset val="134"/>
      </rPr>
      <t>erab_initattestab_qci2</t>
    </r>
  </si>
  <si>
    <r>
      <rPr>
        <sz val="9"/>
        <color rgb="FF000000"/>
        <rFont val="微软雅黑"/>
        <charset val="134"/>
      </rPr>
      <t>qci2 erab初始接入尝试次数</t>
    </r>
  </si>
  <si>
    <r>
      <rPr>
        <sz val="9"/>
        <color rgb="FF000000"/>
        <rFont val="微软雅黑"/>
        <charset val="134"/>
      </rPr>
      <t>erab_initsuccestab_qci2</t>
    </r>
  </si>
  <si>
    <r>
      <rPr>
        <sz val="9"/>
        <color rgb="FF000000"/>
        <rFont val="微软雅黑"/>
        <charset val="134"/>
      </rPr>
      <t>qci2 erab初始建立成功次数</t>
    </r>
  </si>
  <si>
    <r>
      <rPr>
        <sz val="9"/>
        <color rgb="FF000000"/>
        <rFont val="微软雅黑"/>
        <charset val="134"/>
      </rPr>
      <t>erab_addattestab_qci2</t>
    </r>
  </si>
  <si>
    <r>
      <rPr>
        <sz val="9"/>
        <color rgb="FF000000"/>
        <rFont val="微软雅黑"/>
        <charset val="134"/>
      </rPr>
      <t>qci2 erab添加次数</t>
    </r>
  </si>
  <si>
    <r>
      <rPr>
        <sz val="9"/>
        <color rgb="FF000000"/>
        <rFont val="微软雅黑"/>
        <charset val="134"/>
      </rPr>
      <t>erab_addsuccestab_qci2</t>
    </r>
  </si>
  <si>
    <r>
      <rPr>
        <sz val="9"/>
        <color rgb="FF000000"/>
        <rFont val="微软雅黑"/>
        <charset val="134"/>
      </rPr>
      <t>qci2 erab添加成功次数</t>
    </r>
  </si>
  <si>
    <r>
      <rPr>
        <sz val="9"/>
        <color rgb="FF000000"/>
        <rFont val="微软雅黑"/>
        <charset val="134"/>
      </rPr>
      <t>erab_initattestab_qci5</t>
    </r>
  </si>
  <si>
    <r>
      <rPr>
        <sz val="9"/>
        <color rgb="FF000000"/>
        <rFont val="微软雅黑"/>
        <charset val="134"/>
      </rPr>
      <t>qci5 erab初始接入尝试次数</t>
    </r>
  </si>
  <si>
    <r>
      <rPr>
        <sz val="9"/>
        <color rgb="FF000000"/>
        <rFont val="微软雅黑"/>
        <charset val="134"/>
      </rPr>
      <t>erab_initsuccestab_qci5</t>
    </r>
  </si>
  <si>
    <r>
      <rPr>
        <sz val="9"/>
        <color rgb="FF000000"/>
        <rFont val="微软雅黑"/>
        <charset val="134"/>
      </rPr>
      <t>qci5 erab初始建立成功次数</t>
    </r>
  </si>
  <si>
    <r>
      <rPr>
        <sz val="9"/>
        <color rgb="FF000000"/>
        <rFont val="微软雅黑"/>
        <charset val="134"/>
      </rPr>
      <t>erab_addattestab_qci5</t>
    </r>
  </si>
  <si>
    <r>
      <rPr>
        <sz val="9"/>
        <color rgb="FF000000"/>
        <rFont val="微软雅黑"/>
        <charset val="134"/>
      </rPr>
      <t>qci5 erab添加次数</t>
    </r>
  </si>
  <si>
    <r>
      <rPr>
        <sz val="9"/>
        <color rgb="FF000000"/>
        <rFont val="微软雅黑"/>
        <charset val="134"/>
      </rPr>
      <t>erab_addsuccestab_qci5</t>
    </r>
  </si>
  <si>
    <r>
      <rPr>
        <sz val="9"/>
        <color rgb="FF000000"/>
        <rFont val="微软雅黑"/>
        <charset val="134"/>
      </rPr>
      <t>qci5 erab添加成功次数</t>
    </r>
  </si>
  <si>
    <r>
      <rPr>
        <sz val="9"/>
        <color rgb="FF000000"/>
        <rFont val="微软雅黑"/>
        <charset val="134"/>
      </rPr>
      <t>pdcp_sdulosspktul_qci1</t>
    </r>
  </si>
  <si>
    <r>
      <rPr>
        <sz val="9"/>
        <color rgb="FF000000"/>
        <rFont val="微软雅黑"/>
        <charset val="134"/>
      </rPr>
      <t>qci1 空口上行用户面丢包数</t>
    </r>
  </si>
  <si>
    <r>
      <rPr>
        <sz val="9"/>
        <color rgb="FF000000"/>
        <rFont val="微软雅黑"/>
        <charset val="134"/>
      </rPr>
      <t>pdcp_sdulosspktdl_qci1</t>
    </r>
  </si>
  <si>
    <r>
      <rPr>
        <sz val="9"/>
        <color rgb="FF000000"/>
        <rFont val="微软雅黑"/>
        <charset val="134"/>
      </rPr>
      <t>qci1 PDCP层下行丢包数</t>
    </r>
  </si>
  <si>
    <r>
      <rPr>
        <sz val="9"/>
        <color rgb="FF000000"/>
        <rFont val="微软雅黑"/>
        <charset val="134"/>
      </rPr>
      <t>pdcp_sdudiscardpktdl_qci1</t>
    </r>
  </si>
  <si>
    <r>
      <rPr>
        <sz val="9"/>
        <color rgb="FF000000"/>
        <rFont val="微软雅黑"/>
        <charset val="134"/>
      </rPr>
      <t>qci1 PDCP层下行弃包数</t>
    </r>
  </si>
  <si>
    <r>
      <rPr>
        <sz val="9"/>
        <color rgb="FF000000"/>
        <rFont val="微软雅黑"/>
        <charset val="134"/>
      </rPr>
      <t>pdcp_sdulosspktul_qci2</t>
    </r>
  </si>
  <si>
    <r>
      <rPr>
        <sz val="9"/>
        <color rgb="FF000000"/>
        <rFont val="微软雅黑"/>
        <charset val="134"/>
      </rPr>
      <t>qci2 空口上行用户面丢包数</t>
    </r>
  </si>
  <si>
    <r>
      <rPr>
        <sz val="9"/>
        <color rgb="FF000000"/>
        <rFont val="微软雅黑"/>
        <charset val="134"/>
      </rPr>
      <t>pdcp_sdulosspktdl_qci2</t>
    </r>
  </si>
  <si>
    <r>
      <rPr>
        <sz val="9"/>
        <color rgb="FF000000"/>
        <rFont val="微软雅黑"/>
        <charset val="134"/>
      </rPr>
      <t>qci2 PDCP层下行丢包数</t>
    </r>
  </si>
  <si>
    <r>
      <rPr>
        <sz val="9"/>
        <color rgb="FF000000"/>
        <rFont val="微软雅黑"/>
        <charset val="134"/>
      </rPr>
      <t>pdcp_sdudiscardpktdl_qci2</t>
    </r>
  </si>
  <si>
    <r>
      <rPr>
        <sz val="9"/>
        <color rgb="FF000000"/>
        <rFont val="微软雅黑"/>
        <charset val="134"/>
      </rPr>
      <t>qci2 PDCP层下行弃包数</t>
    </r>
  </si>
  <si>
    <r>
      <rPr>
        <sz val="9"/>
        <color rgb="FF000000"/>
        <rFont val="微软雅黑"/>
        <charset val="134"/>
      </rPr>
      <t>pdcp_sdulosspktul_qci5</t>
    </r>
  </si>
  <si>
    <r>
      <rPr>
        <sz val="9"/>
        <color rgb="FF000000"/>
        <rFont val="微软雅黑"/>
        <charset val="134"/>
      </rPr>
      <t>qci5 空口上行用户面丢包数</t>
    </r>
  </si>
  <si>
    <r>
      <rPr>
        <sz val="9"/>
        <color rgb="FF000000"/>
        <rFont val="微软雅黑"/>
        <charset val="134"/>
      </rPr>
      <t>pdcp_sdulosspktdl_qci5</t>
    </r>
  </si>
  <si>
    <r>
      <rPr>
        <sz val="9"/>
        <color rgb="FF000000"/>
        <rFont val="微软雅黑"/>
        <charset val="134"/>
      </rPr>
      <t>qci5 PDCP层下行丢包数</t>
    </r>
  </si>
  <si>
    <r>
      <rPr>
        <sz val="9"/>
        <color rgb="FF000000"/>
        <rFont val="微软雅黑"/>
        <charset val="134"/>
      </rPr>
      <t>pdcp_sdudiscardpktdl_qci5</t>
    </r>
  </si>
  <si>
    <r>
      <rPr>
        <sz val="9"/>
        <color rgb="FF000000"/>
        <rFont val="微软雅黑"/>
        <charset val="134"/>
      </rPr>
      <t>qci5 PDCP层下行弃包数</t>
    </r>
  </si>
  <si>
    <r>
      <rPr>
        <sz val="9"/>
        <color rgb="FF000000"/>
        <rFont val="微软雅黑"/>
        <charset val="134"/>
      </rPr>
      <t>pdcp_sdutotdelaydl</t>
    </r>
  </si>
  <si>
    <r>
      <rPr>
        <sz val="9"/>
        <color rgb="FF000000"/>
        <rFont val="微软雅黑"/>
        <charset val="134"/>
      </rPr>
      <t>用户面下行发送总时延</t>
    </r>
  </si>
  <si>
    <r>
      <rPr>
        <sz val="9"/>
        <color rgb="FF000000"/>
        <rFont val="微软雅黑"/>
        <charset val="134"/>
      </rPr>
      <t>pdcp_sdutotdelaydl_qci1</t>
    </r>
  </si>
  <si>
    <r>
      <rPr>
        <sz val="9"/>
        <color rgb="FF000000"/>
        <rFont val="微软雅黑"/>
        <charset val="134"/>
      </rPr>
      <t>用户面下行发送总时延(QCI1)</t>
    </r>
  </si>
  <si>
    <r>
      <rPr>
        <sz val="9"/>
        <color rgb="FF000000"/>
        <rFont val="微软雅黑"/>
        <charset val="134"/>
      </rPr>
      <t>pdcp_sdutotdelaydl_qci2</t>
    </r>
  </si>
  <si>
    <r>
      <rPr>
        <sz val="9"/>
        <color rgb="FF000000"/>
        <rFont val="微软雅黑"/>
        <charset val="134"/>
      </rPr>
      <t>用户面下行发送总时延(QCI2)</t>
    </r>
  </si>
  <si>
    <r>
      <rPr>
        <sz val="9"/>
        <color rgb="FF000000"/>
        <rFont val="微软雅黑"/>
        <charset val="134"/>
      </rPr>
      <t>pdcp_sdutotdelaydl_qci5</t>
    </r>
  </si>
  <si>
    <r>
      <rPr>
        <sz val="9"/>
        <color rgb="FF000000"/>
        <rFont val="微软雅黑"/>
        <charset val="134"/>
      </rPr>
      <t>用户面下行发送总时延(QCI5)</t>
    </r>
  </si>
  <si>
    <r>
      <rPr>
        <sz val="9"/>
        <color rgb="FF000000"/>
        <rFont val="微软雅黑"/>
        <charset val="134"/>
      </rPr>
      <t>pdcp_sdupktdl</t>
    </r>
  </si>
  <si>
    <r>
      <rPr>
        <sz val="9"/>
        <color rgb="FF000000"/>
        <rFont val="微软雅黑"/>
        <charset val="134"/>
      </rPr>
      <t>下行PDCP发送的包数</t>
    </r>
  </si>
  <si>
    <r>
      <rPr>
        <sz val="9"/>
        <color rgb="FF000000"/>
        <rFont val="微软雅黑"/>
        <charset val="134"/>
      </rPr>
      <t>pdcp_sdupktdl_qci1</t>
    </r>
  </si>
  <si>
    <r>
      <rPr>
        <sz val="9"/>
        <color rgb="FF000000"/>
        <rFont val="微软雅黑"/>
        <charset val="134"/>
      </rPr>
      <t>PDCP层下行用户面流量包数(QCI1)</t>
    </r>
  </si>
  <si>
    <r>
      <rPr>
        <sz val="9"/>
        <color rgb="FF000000"/>
        <rFont val="微软雅黑"/>
        <charset val="134"/>
      </rPr>
      <t>pdcp_sdupktdl_qci2</t>
    </r>
  </si>
  <si>
    <r>
      <rPr>
        <sz val="9"/>
        <color rgb="FF000000"/>
        <rFont val="微软雅黑"/>
        <charset val="134"/>
      </rPr>
      <t>PDCP层下行用户面流量包数(QCI2)</t>
    </r>
  </si>
  <si>
    <r>
      <rPr>
        <sz val="9"/>
        <color rgb="FF000000"/>
        <rFont val="微软雅黑"/>
        <charset val="134"/>
      </rPr>
      <t>pdcp_sdupktdl_qci5</t>
    </r>
  </si>
  <si>
    <r>
      <rPr>
        <sz val="9"/>
        <color rgb="FF000000"/>
        <rFont val="微软雅黑"/>
        <charset val="134"/>
      </rPr>
      <t>PDCP层下行用户面流量包数(QCI5)</t>
    </r>
  </si>
  <si>
    <r>
      <rPr>
        <sz val="9"/>
        <color rgb="FF000000"/>
        <rFont val="微软雅黑"/>
        <charset val="134"/>
      </rPr>
      <t>pdcp_sdupktul</t>
    </r>
  </si>
  <si>
    <r>
      <rPr>
        <sz val="9"/>
        <color rgb="FF000000"/>
        <rFont val="微软雅黑"/>
        <charset val="134"/>
      </rPr>
      <t>pdcp_sdupktul_qci1</t>
    </r>
  </si>
  <si>
    <r>
      <rPr>
        <sz val="9"/>
        <color rgb="FF000000"/>
        <rFont val="微软雅黑"/>
        <charset val="134"/>
      </rPr>
      <t>pdcp_sdupktul_qci2</t>
    </r>
  </si>
  <si>
    <r>
      <rPr>
        <sz val="9"/>
        <color rgb="FF000000"/>
        <rFont val="微软雅黑"/>
        <charset val="134"/>
      </rPr>
      <t>pdcp_sdupktul_qci5</t>
    </r>
  </si>
  <si>
    <r>
      <rPr>
        <sz val="9"/>
        <color rgb="FF000000"/>
        <rFont val="微软雅黑"/>
        <charset val="134"/>
      </rPr>
      <t>vltevoice_hoattoutintrafrq</t>
    </r>
  </si>
  <si>
    <r>
      <rPr>
        <sz val="9"/>
        <color rgb="FF000000"/>
        <rFont val="微软雅黑"/>
        <charset val="134"/>
      </rPr>
      <t>VoLTE语音同频切换请求次数</t>
    </r>
  </si>
  <si>
    <r>
      <rPr>
        <sz val="9"/>
        <color rgb="FF000000"/>
        <rFont val="微软雅黑"/>
        <charset val="134"/>
      </rPr>
      <t>vltevoice_hosucoutintrafrq</t>
    </r>
  </si>
  <si>
    <r>
      <rPr>
        <sz val="9"/>
        <color rgb="FF000000"/>
        <rFont val="微软雅黑"/>
        <charset val="134"/>
      </rPr>
      <t>VoLTE语音同频切换成功次数</t>
    </r>
  </si>
  <si>
    <r>
      <rPr>
        <sz val="9"/>
        <color rgb="FF000000"/>
        <rFont val="微软雅黑"/>
        <charset val="134"/>
      </rPr>
      <t>vltevoice_hoattoutinterfrq</t>
    </r>
  </si>
  <si>
    <r>
      <rPr>
        <sz val="9"/>
        <color rgb="FF000000"/>
        <rFont val="微软雅黑"/>
        <charset val="134"/>
      </rPr>
      <t>VoLTE语音异频切换请求次数</t>
    </r>
  </si>
  <si>
    <r>
      <rPr>
        <sz val="9"/>
        <color rgb="FF000000"/>
        <rFont val="微软雅黑"/>
        <charset val="134"/>
      </rPr>
      <t>vltevoice_hosucoutinterfrq</t>
    </r>
  </si>
  <si>
    <r>
      <rPr>
        <sz val="9"/>
        <color rgb="FF000000"/>
        <rFont val="微软雅黑"/>
        <charset val="134"/>
      </rPr>
      <t>VoLTE语音异频切换成功次数</t>
    </r>
  </si>
  <si>
    <r>
      <rPr>
        <sz val="9"/>
        <color rgb="FF000000"/>
        <rFont val="微软雅黑"/>
        <charset val="134"/>
      </rPr>
      <t>vltevideo_hoattoutintrafrq</t>
    </r>
  </si>
  <si>
    <r>
      <rPr>
        <sz val="9"/>
        <color rgb="FF000000"/>
        <rFont val="微软雅黑"/>
        <charset val="134"/>
      </rPr>
      <t>VoLTE视频同频切换请求次数</t>
    </r>
  </si>
  <si>
    <r>
      <rPr>
        <sz val="9"/>
        <color rgb="FF000000"/>
        <rFont val="微软雅黑"/>
        <charset val="134"/>
      </rPr>
      <t>vltevideo_hosucoutintrafrq</t>
    </r>
  </si>
  <si>
    <r>
      <rPr>
        <sz val="9"/>
        <color rgb="FF000000"/>
        <rFont val="微软雅黑"/>
        <charset val="134"/>
      </rPr>
      <t>VoLTE视频同频切换成功次数</t>
    </r>
  </si>
  <si>
    <r>
      <rPr>
        <sz val="9"/>
        <color rgb="FF000000"/>
        <rFont val="微软雅黑"/>
        <charset val="134"/>
      </rPr>
      <t>vltevideo_hoattoutinterfrq</t>
    </r>
  </si>
  <si>
    <r>
      <rPr>
        <sz val="9"/>
        <color rgb="FF000000"/>
        <rFont val="微软雅黑"/>
        <charset val="134"/>
      </rPr>
      <t>VoLTE视频异频切换请求次数</t>
    </r>
  </si>
  <si>
    <r>
      <rPr>
        <sz val="9"/>
        <color rgb="FF000000"/>
        <rFont val="微软雅黑"/>
        <charset val="134"/>
      </rPr>
      <t>vltevideo_hosucoutinterfrq</t>
    </r>
  </si>
  <si>
    <r>
      <rPr>
        <sz val="9"/>
        <color rgb="FF000000"/>
        <rFont val="微软雅黑"/>
        <charset val="134"/>
      </rPr>
      <t>VoLTE视频异频切换成功次数</t>
    </r>
  </si>
  <si>
    <r>
      <rPr>
        <sz val="9"/>
        <color rgb="FF000000"/>
        <rFont val="微软雅黑"/>
        <charset val="134"/>
      </rPr>
      <t>pdcch_cce_occupied_rate</t>
    </r>
  </si>
  <si>
    <r>
      <rPr>
        <sz val="9"/>
        <color rgb="FF000000"/>
        <rFont val="微软雅黑"/>
        <charset val="134"/>
      </rPr>
      <t>PDCCH信道占用率</t>
    </r>
  </si>
  <si>
    <r>
      <rPr>
        <sz val="9"/>
        <color rgb="FF000000"/>
        <rFont val="微软雅黑"/>
        <charset val="134"/>
      </rPr>
      <t>pdcch_cce_occupied/pdcch_cce_assigned</t>
    </r>
  </si>
  <si>
    <r>
      <rPr>
        <sz val="9"/>
        <color rgb="FF000000"/>
        <rFont val="微软雅黑"/>
        <charset val="134"/>
      </rPr>
      <t>paging_occupied_rate</t>
    </r>
  </si>
  <si>
    <r>
      <rPr>
        <sz val="9"/>
        <color rgb="FF000000"/>
        <rFont val="微软雅黑"/>
        <charset val="134"/>
      </rPr>
      <t>寻呼信道占用率</t>
    </r>
  </si>
  <si>
    <r>
      <rPr>
        <sz val="9"/>
        <color rgb="FF000000"/>
        <rFont val="微软雅黑"/>
        <charset val="134"/>
      </rPr>
      <t>paging_s1_rx/paging_capacity</t>
    </r>
  </si>
  <si>
    <r>
      <rPr>
        <sz val="9"/>
        <color rgb="FF000000"/>
        <rFont val="微软雅黑"/>
        <charset val="134"/>
      </rPr>
      <t>paging_cong_rate</t>
    </r>
  </si>
  <si>
    <r>
      <rPr>
        <sz val="9"/>
        <color rgb="FF000000"/>
        <rFont val="微软雅黑"/>
        <charset val="134"/>
      </rPr>
      <t>寻呼拥塞率</t>
    </r>
  </si>
  <si>
    <r>
      <rPr>
        <sz val="9"/>
        <color rgb="FF000000"/>
        <rFont val="微软雅黑"/>
        <charset val="134"/>
      </rPr>
      <t>paging_discard_num/paging_s1_rx</t>
    </r>
  </si>
  <si>
    <r>
      <rPr>
        <sz val="9"/>
        <color rgb="FF000000"/>
        <rFont val="微软雅黑"/>
        <charset val="134"/>
      </rPr>
      <t>s1sig_succconnestab_rate</t>
    </r>
  </si>
  <si>
    <r>
      <rPr>
        <sz val="9"/>
        <color rgb="FF000000"/>
        <rFont val="微软雅黑"/>
        <charset val="134"/>
      </rPr>
      <t>S1信令建立成功率</t>
    </r>
  </si>
  <si>
    <r>
      <rPr>
        <sz val="9"/>
        <color rgb="FF000000"/>
        <rFont val="微软雅黑"/>
        <charset val="134"/>
      </rPr>
      <t>s1sig_succconnestab/s1sig_attconnestab</t>
    </r>
  </si>
  <si>
    <r>
      <rPr>
        <sz val="9"/>
        <color rgb="FF000000"/>
        <rFont val="微软雅黑"/>
        <charset val="134"/>
      </rPr>
      <t>erab_succestab_rate</t>
    </r>
  </si>
  <si>
    <r>
      <rPr>
        <sz val="9"/>
        <color rgb="FF000000"/>
        <rFont val="微软雅黑"/>
        <charset val="134"/>
      </rPr>
      <t>ERAB接入成功率(%)</t>
    </r>
  </si>
  <si>
    <t>(erab_initsuccestab+erab_addsuccestab)/(erab_initattestab+erab_addattestab)</t>
  </si>
  <si>
    <r>
      <rPr>
        <sz val="9"/>
        <color rgb="FF000000"/>
        <rFont val="微软雅黑"/>
        <charset val="134"/>
      </rPr>
      <t>radio_succconn_rate</t>
    </r>
  </si>
  <si>
    <r>
      <rPr>
        <sz val="9"/>
        <color rgb="FF000000"/>
        <rFont val="微软雅黑"/>
        <charset val="134"/>
      </rPr>
      <t>无线连接成功率</t>
    </r>
  </si>
  <si>
    <t>1（rrc连接成功率按1计算）*s1sig_succconnestab/s1sig_attconnestab*(erab_initsuccestab+erab_addsuccestab)/(erab_initattestab+erab_addattestab)</t>
  </si>
  <si>
    <t>(rrc_succconnestab_ue+rrc_succconnestab_net)/(rrc_attconnestab_ue+rrc_attconnestab_net)*
无rrc  ue、net连接尝试次数</t>
  </si>
  <si>
    <r>
      <rPr>
        <sz val="9"/>
        <color rgb="FF000000"/>
        <rFont val="微软雅黑"/>
        <charset val="134"/>
      </rPr>
      <t>uecntx_drop_rate</t>
    </r>
  </si>
  <si>
    <r>
      <rPr>
        <sz val="9"/>
        <color rgb="FF000000"/>
        <rFont val="微软雅黑"/>
        <charset val="134"/>
      </rPr>
      <t>UE上下文掉线率</t>
    </r>
  </si>
  <si>
    <t>uecntx_abnormrel/(uecntx_abnormrel+uecntx_normrel)</t>
  </si>
  <si>
    <r>
      <rPr>
        <sz val="9"/>
        <color rgb="FF000000"/>
        <rFont val="微软雅黑"/>
        <charset val="134"/>
      </rPr>
      <t>erab_drop_rate</t>
    </r>
  </si>
  <si>
    <r>
      <rPr>
        <sz val="9"/>
        <color rgb="FF000000"/>
        <rFont val="微软雅黑"/>
        <charset val="134"/>
      </rPr>
      <t>E-RAB掉线率</t>
    </r>
  </si>
  <si>
    <r>
      <rPr>
        <sz val="9"/>
        <color rgb="FF000000"/>
        <rFont val="微软雅黑"/>
        <charset val="134"/>
      </rPr>
      <t>erab_abnormrel/(erab_abnormrel+erab_normrel)</t>
    </r>
  </si>
  <si>
    <r>
      <rPr>
        <sz val="9"/>
        <color rgb="FF000000"/>
        <rFont val="微软雅黑"/>
        <charset val="134"/>
      </rPr>
      <t>ho_succoutintramode_rate</t>
    </r>
  </si>
  <si>
    <r>
      <rPr>
        <sz val="9"/>
        <color rgb="FF000000"/>
        <rFont val="微软雅黑"/>
        <charset val="134"/>
      </rPr>
      <t>pdcp_sdulosspktul_rate</t>
    </r>
  </si>
  <si>
    <r>
      <rPr>
        <sz val="9"/>
        <color rgb="FF000000"/>
        <rFont val="微软雅黑"/>
        <charset val="134"/>
      </rPr>
      <t>空口上行用户面丢包率</t>
    </r>
  </si>
  <si>
    <t>pdcp_sdulosspktul/pdcp_sdupktul</t>
  </si>
  <si>
    <r>
      <rPr>
        <sz val="9"/>
        <color rgb="FF000000"/>
        <rFont val="微软雅黑"/>
        <charset val="134"/>
      </rPr>
      <t>pdcp_sdulosspktdl_rate</t>
    </r>
  </si>
  <si>
    <r>
      <rPr>
        <sz val="9"/>
        <color rgb="FF000000"/>
        <rFont val="微软雅黑"/>
        <charset val="134"/>
      </rPr>
      <t>空口下行用户面丢包率</t>
    </r>
  </si>
  <si>
    <r>
      <rPr>
        <sz val="9"/>
        <color rgb="FF000000"/>
        <rFont val="微软雅黑"/>
        <charset val="134"/>
      </rPr>
      <t>pdcp_sdulosspktdl/pdcp_sdupktdl</t>
    </r>
  </si>
  <si>
    <r>
      <rPr>
        <sz val="9"/>
        <color rgb="FF000000"/>
        <rFont val="微软雅黑"/>
        <charset val="134"/>
      </rPr>
      <t>pdcp_sdudiscardpktdl_rate</t>
    </r>
  </si>
  <si>
    <r>
      <rPr>
        <sz val="9"/>
        <color rgb="FF000000"/>
        <rFont val="微软雅黑"/>
        <charset val="134"/>
      </rPr>
      <t>空口下行用户面弃包率</t>
    </r>
  </si>
  <si>
    <r>
      <rPr>
        <sz val="9"/>
        <color rgb="FF000000"/>
        <rFont val="微软雅黑"/>
        <charset val="134"/>
      </rPr>
      <t>pdcp_sdudiscardpktdl/pdcp_sdupktdl</t>
    </r>
  </si>
  <si>
    <r>
      <rPr>
        <sz val="9"/>
        <color rgb="FF000000"/>
        <rFont val="微软雅黑"/>
        <charset val="134"/>
      </rPr>
      <t>pdcp_sdumeandelaydl</t>
    </r>
  </si>
  <si>
    <r>
      <rPr>
        <sz val="9"/>
        <color rgb="FF000000"/>
        <rFont val="微软雅黑"/>
        <charset val="134"/>
      </rPr>
      <t>用户面下行包平均时延</t>
    </r>
  </si>
  <si>
    <t>pdcp_sdutotdelaydl/pdcp_sdupktdl</t>
  </si>
  <si>
    <r>
      <rPr>
        <sz val="9"/>
        <color rgb="FF000000"/>
        <rFont val="微软雅黑"/>
        <charset val="134"/>
      </rPr>
      <t>cell_servtime_rate</t>
    </r>
  </si>
  <si>
    <r>
      <rPr>
        <sz val="9"/>
        <color rgb="FF000000"/>
        <rFont val="微软雅黑"/>
        <charset val="134"/>
      </rPr>
      <t>小区可用率</t>
    </r>
  </si>
  <si>
    <t>cell_unserv_time/(0.25*60)</t>
  </si>
  <si>
    <r>
      <rPr>
        <sz val="9"/>
        <color rgb="FF000000"/>
        <rFont val="微软雅黑"/>
        <charset val="134"/>
      </rPr>
      <t>prb_doublemodedl_rate</t>
    </r>
  </si>
  <si>
    <r>
      <rPr>
        <sz val="9"/>
        <color rgb="FF000000"/>
        <rFont val="微软雅黑"/>
        <charset val="134"/>
      </rPr>
      <t>下行PRB双流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占比</t>
    </r>
  </si>
  <si>
    <r>
      <rPr>
        <sz val="9"/>
        <color rgb="FF000000"/>
        <rFont val="微软雅黑"/>
        <charset val="134"/>
      </rPr>
      <t>cqi_good_ratio</t>
    </r>
  </si>
  <si>
    <r>
      <rPr>
        <sz val="9"/>
        <color rgb="FF000000"/>
        <rFont val="微软雅黑"/>
        <charset val="134"/>
      </rPr>
      <t>CQI优良占比</t>
    </r>
  </si>
  <si>
    <r>
      <rPr>
        <sz val="9"/>
        <color rgb="FF000000"/>
        <rFont val="微软雅黑"/>
        <charset val="134"/>
      </rPr>
      <t>vltevoice_time</t>
    </r>
  </si>
  <si>
    <r>
      <rPr>
        <sz val="9"/>
        <color rgb="FF000000"/>
        <rFont val="微软雅黑"/>
        <charset val="134"/>
      </rPr>
      <t>语音话务量</t>
    </r>
  </si>
  <si>
    <r>
      <rPr>
        <sz val="9"/>
        <color rgb="FF000000"/>
        <rFont val="微软雅黑"/>
        <charset val="134"/>
      </rPr>
      <t>vltevideo_time</t>
    </r>
  </si>
  <si>
    <r>
      <rPr>
        <sz val="9"/>
        <color rgb="FF000000"/>
        <rFont val="微软雅黑"/>
        <charset val="134"/>
      </rPr>
      <t>视频话务量</t>
    </r>
  </si>
  <si>
    <r>
      <rPr>
        <sz val="9"/>
        <color rgb="FF000000"/>
        <rFont val="微软雅黑"/>
        <charset val="134"/>
      </rPr>
      <t>vltevoice_maxuser</t>
    </r>
  </si>
  <si>
    <r>
      <rPr>
        <sz val="9"/>
        <color rgb="FF000000"/>
        <rFont val="微软雅黑"/>
        <charset val="134"/>
      </rPr>
      <t>语音业务最大用户数</t>
    </r>
  </si>
  <si>
    <r>
      <rPr>
        <sz val="9"/>
        <color rgb="FF000000"/>
        <rFont val="微软雅黑"/>
        <charset val="134"/>
      </rPr>
      <t>vltevideo_maxuser</t>
    </r>
  </si>
  <si>
    <r>
      <rPr>
        <sz val="9"/>
        <color rgb="FF000000"/>
        <rFont val="微软雅黑"/>
        <charset val="134"/>
      </rPr>
      <t>视频业务最大用户数</t>
    </r>
  </si>
  <si>
    <r>
      <rPr>
        <sz val="9"/>
        <color rgb="FF000000"/>
        <rFont val="微软雅黑"/>
        <charset val="134"/>
      </rPr>
      <t>erab_drop_rate_qci1</t>
    </r>
  </si>
  <si>
    <r>
      <rPr>
        <sz val="9"/>
        <color rgb="FF000000"/>
        <rFont val="微软雅黑"/>
        <charset val="134"/>
      </rPr>
      <t>E-RAB掉线率_QCI1</t>
    </r>
  </si>
  <si>
    <t>erab_abnormrel_qci1/(erab_abnormrel_qci1+erab_normrel_qci1)</t>
  </si>
  <si>
    <r>
      <rPr>
        <sz val="9"/>
        <color rgb="FF000000"/>
        <rFont val="微软雅黑"/>
        <charset val="134"/>
      </rPr>
      <t>erab_drop_rate_qci2</t>
    </r>
  </si>
  <si>
    <r>
      <rPr>
        <sz val="9"/>
        <color rgb="FF000000"/>
        <rFont val="微软雅黑"/>
        <charset val="134"/>
      </rPr>
      <t>E-RAB掉线率_QCI2</t>
    </r>
  </si>
  <si>
    <r>
      <rPr>
        <sz val="9"/>
        <color rgb="FF000000"/>
        <rFont val="微软雅黑"/>
        <charset val="134"/>
      </rPr>
      <t>erab_abnormrel_qci2/(erab_abnormrel_qci2+erab_normrel_qci2)</t>
    </r>
  </si>
  <si>
    <r>
      <rPr>
        <sz val="9"/>
        <color rgb="FF000000"/>
        <rFont val="微软雅黑"/>
        <charset val="134"/>
      </rPr>
      <t>erab_drop_rate_qci5</t>
    </r>
  </si>
  <si>
    <r>
      <rPr>
        <sz val="9"/>
        <color rgb="FF000000"/>
        <rFont val="微软雅黑"/>
        <charset val="134"/>
      </rPr>
      <t>E-RAB掉线率_QCI5</t>
    </r>
  </si>
  <si>
    <r>
      <rPr>
        <sz val="9"/>
        <color rgb="FF000000"/>
        <rFont val="微软雅黑"/>
        <charset val="134"/>
      </rPr>
      <t>erab_abnormrel_qci5/(erab_abnormrel_qci5+erab_normrel_qci5)</t>
    </r>
  </si>
  <si>
    <r>
      <rPr>
        <sz val="9"/>
        <color rgb="FF000000"/>
        <rFont val="微软雅黑"/>
        <charset val="134"/>
      </rPr>
      <t>erab_succestab_rate_qci1</t>
    </r>
  </si>
  <si>
    <r>
      <rPr>
        <sz val="9"/>
        <color rgb="FF000000"/>
        <rFont val="微软雅黑"/>
        <charset val="134"/>
      </rPr>
      <t>ERAB接入成功率(%)_QCI1</t>
    </r>
  </si>
  <si>
    <t>(erab_initsuccestab_qci1+erab_addsuccestab_qci1)/(erab_initattestab_qci1+erab_addattestab_qci1)</t>
  </si>
  <si>
    <r>
      <rPr>
        <sz val="9"/>
        <color rgb="FF000000"/>
        <rFont val="微软雅黑"/>
        <charset val="134"/>
      </rPr>
      <t>erab_succestab_rate_qci2</t>
    </r>
  </si>
  <si>
    <r>
      <rPr>
        <sz val="9"/>
        <color rgb="FF000000"/>
        <rFont val="微软雅黑"/>
        <charset val="134"/>
      </rPr>
      <t>ERAB接入成功率(%)_QCI2</t>
    </r>
  </si>
  <si>
    <t>(erab_initsuccestab_qci2+erab_addsuccestab_qci2)/(erab_initattestab_qci2+erab_addattestab_qci2)</t>
  </si>
  <si>
    <r>
      <rPr>
        <sz val="9"/>
        <color rgb="FF000000"/>
        <rFont val="微软雅黑"/>
        <charset val="134"/>
      </rPr>
      <t>erab_succestab_rate_qci5</t>
    </r>
  </si>
  <si>
    <r>
      <rPr>
        <sz val="9"/>
        <color rgb="FF000000"/>
        <rFont val="微软雅黑"/>
        <charset val="134"/>
      </rPr>
      <t>ERAB接入成功率(%)_QCI5</t>
    </r>
  </si>
  <si>
    <r>
      <rPr>
        <sz val="9"/>
        <color rgb="FF000000"/>
        <rFont val="微软雅黑"/>
        <charset val="134"/>
      </rPr>
      <t>(erab_initsuccestab_qci5+erab_addsuccestab_qci5)/(erab_initattestab_qci5+erab_addattestab_qci5)</t>
    </r>
  </si>
  <si>
    <r>
      <rPr>
        <sz val="9"/>
        <color rgb="FF000000"/>
        <rFont val="微软雅黑"/>
        <charset val="134"/>
      </rPr>
      <t>pdcp_sdulosspktul_rate_qci1</t>
    </r>
  </si>
  <si>
    <r>
      <rPr>
        <sz val="9"/>
        <color rgb="FF000000"/>
        <rFont val="微软雅黑"/>
        <charset val="134"/>
      </rPr>
      <t>空口上行用户面丢包率_QCI1</t>
    </r>
  </si>
  <si>
    <t>pdcp_sdulosspktul_qci1/pdcp_sdupktul_qci1</t>
  </si>
  <si>
    <r>
      <rPr>
        <sz val="9"/>
        <color rgb="FF000000"/>
        <rFont val="微软雅黑"/>
        <charset val="134"/>
      </rPr>
      <t>pdcp_sdulosspktul_rate_qci2</t>
    </r>
  </si>
  <si>
    <r>
      <rPr>
        <sz val="9"/>
        <color rgb="FF000000"/>
        <rFont val="微软雅黑"/>
        <charset val="134"/>
      </rPr>
      <t>空口上行用户面丢包率_QCI2</t>
    </r>
  </si>
  <si>
    <r>
      <rPr>
        <sz val="9"/>
        <color rgb="FF000000"/>
        <rFont val="微软雅黑"/>
        <charset val="134"/>
      </rPr>
      <t>pdcp_sdulosspktul_qci2/pdcp_sdupktul_qci2</t>
    </r>
  </si>
  <si>
    <r>
      <rPr>
        <sz val="9"/>
        <color rgb="FF000000"/>
        <rFont val="微软雅黑"/>
        <charset val="134"/>
      </rPr>
      <t>pdcp_sdulosspktul_rate_qci5</t>
    </r>
  </si>
  <si>
    <r>
      <rPr>
        <sz val="9"/>
        <color rgb="FF000000"/>
        <rFont val="微软雅黑"/>
        <charset val="134"/>
      </rPr>
      <t>空口上行用户面丢包率_QCI5</t>
    </r>
  </si>
  <si>
    <r>
      <rPr>
        <sz val="9"/>
        <color rgb="FF000000"/>
        <rFont val="微软雅黑"/>
        <charset val="134"/>
      </rPr>
      <t>pdcp_sdulosspktul_qci5/pdcp_sdupktul_qci5</t>
    </r>
  </si>
  <si>
    <r>
      <rPr>
        <sz val="9"/>
        <color rgb="FF000000"/>
        <rFont val="微软雅黑"/>
        <charset val="134"/>
      </rPr>
      <t>pdcp_sdulosspktdl_rate_qci1</t>
    </r>
  </si>
  <si>
    <r>
      <rPr>
        <sz val="9"/>
        <color rgb="FF000000"/>
        <rFont val="微软雅黑"/>
        <charset val="134"/>
      </rPr>
      <t>空口下行用户面丢包率_QCI1</t>
    </r>
  </si>
  <si>
    <t>pdcp_sdulosspktdl_qci1/pdcp_sdupktdl_qci1</t>
  </si>
  <si>
    <r>
      <rPr>
        <sz val="9"/>
        <color rgb="FF000000"/>
        <rFont val="微软雅黑"/>
        <charset val="134"/>
      </rPr>
      <t>pdcp_sdulosspktdl_rate_qci2</t>
    </r>
  </si>
  <si>
    <r>
      <rPr>
        <sz val="9"/>
        <color rgb="FF000000"/>
        <rFont val="微软雅黑"/>
        <charset val="134"/>
      </rPr>
      <t>空口下行用户面丢包率_QCI2</t>
    </r>
  </si>
  <si>
    <r>
      <rPr>
        <sz val="9"/>
        <color rgb="FF000000"/>
        <rFont val="微软雅黑"/>
        <charset val="134"/>
      </rPr>
      <t>pdcp_sdulosspktdl_qci2/pdcp_sdupktdl_qci2</t>
    </r>
  </si>
  <si>
    <r>
      <rPr>
        <sz val="9"/>
        <color rgb="FF000000"/>
        <rFont val="微软雅黑"/>
        <charset val="134"/>
      </rPr>
      <t>pdcp_sdulosspktdl_rate_qci5</t>
    </r>
  </si>
  <si>
    <r>
      <rPr>
        <sz val="9"/>
        <color rgb="FF000000"/>
        <rFont val="微软雅黑"/>
        <charset val="134"/>
      </rPr>
      <t>空口下行用户面丢包率_QCI5</t>
    </r>
  </si>
  <si>
    <r>
      <rPr>
        <sz val="9"/>
        <color rgb="FF000000"/>
        <rFont val="微软雅黑"/>
        <charset val="134"/>
      </rPr>
      <t>pdcp_sdulosspktdl_qci5/pdcp_sdupktdl_qci5</t>
    </r>
  </si>
  <si>
    <r>
      <rPr>
        <sz val="9"/>
        <color rgb="FF000000"/>
        <rFont val="微软雅黑"/>
        <charset val="134"/>
      </rPr>
      <t>pdcp_sdudiscardpktdl_rate_qci1</t>
    </r>
  </si>
  <si>
    <r>
      <rPr>
        <sz val="9"/>
        <color rgb="FF000000"/>
        <rFont val="微软雅黑"/>
        <charset val="134"/>
      </rPr>
      <t>空口下行用户面弃包率_QCI1</t>
    </r>
  </si>
  <si>
    <t>pdcp_sdudiscardpktdl_qci1/pdcp_sdupktdl_qci1</t>
  </si>
  <si>
    <r>
      <rPr>
        <sz val="9"/>
        <color rgb="FF000000"/>
        <rFont val="微软雅黑"/>
        <charset val="134"/>
      </rPr>
      <t>pdcp_sdudiscardpktdl_rate_qci2</t>
    </r>
  </si>
  <si>
    <r>
      <rPr>
        <sz val="9"/>
        <color rgb="FF000000"/>
        <rFont val="微软雅黑"/>
        <charset val="134"/>
      </rPr>
      <t>空口下行用户面弃包率_QCI2</t>
    </r>
  </si>
  <si>
    <r>
      <rPr>
        <sz val="9"/>
        <color rgb="FF000000"/>
        <rFont val="微软雅黑"/>
        <charset val="134"/>
      </rPr>
      <t>pdcp_sdudiscardpktdl_qci2/pdcp_sdupktdl_qci2</t>
    </r>
  </si>
  <si>
    <r>
      <rPr>
        <sz val="9"/>
        <color rgb="FF000000"/>
        <rFont val="微软雅黑"/>
        <charset val="134"/>
      </rPr>
      <t>pdcp_sdudiscardpktdl_rate_qci5</t>
    </r>
  </si>
  <si>
    <r>
      <rPr>
        <sz val="9"/>
        <color rgb="FF000000"/>
        <rFont val="微软雅黑"/>
        <charset val="134"/>
      </rPr>
      <t>空口下行用户面弃包率_QCI5</t>
    </r>
  </si>
  <si>
    <r>
      <rPr>
        <sz val="9"/>
        <color rgb="FF000000"/>
        <rFont val="微软雅黑"/>
        <charset val="134"/>
      </rPr>
      <t>pdcp_sdudiscardpktdl_qci5/pdcp_sdupktdl_qci5</t>
    </r>
  </si>
  <si>
    <r>
      <rPr>
        <sz val="9"/>
        <color rgb="FF000000"/>
        <rFont val="微软雅黑"/>
        <charset val="134"/>
      </rPr>
      <t>pdcp_sdumeandelaydl_qci1</t>
    </r>
  </si>
  <si>
    <r>
      <rPr>
        <sz val="9"/>
        <color rgb="FF000000"/>
        <rFont val="微软雅黑"/>
        <charset val="134"/>
      </rPr>
      <t>用户面下行包平均时延_QCI1</t>
    </r>
  </si>
  <si>
    <t>pdcp_sdutotdelaydl_qci1/pdcp_sdupktdl_qci1</t>
  </si>
  <si>
    <r>
      <rPr>
        <sz val="9"/>
        <color rgb="FF000000"/>
        <rFont val="微软雅黑"/>
        <charset val="134"/>
      </rPr>
      <t>pdcp_sdumeandelaydl_qci2</t>
    </r>
  </si>
  <si>
    <r>
      <rPr>
        <sz val="9"/>
        <color rgb="FF000000"/>
        <rFont val="微软雅黑"/>
        <charset val="134"/>
      </rPr>
      <t>用户面下行包平均时延_QCI2</t>
    </r>
  </si>
  <si>
    <r>
      <rPr>
        <sz val="9"/>
        <color rgb="FF000000"/>
        <rFont val="微软雅黑"/>
        <charset val="134"/>
      </rPr>
      <t>pdcp_sdutotdelaydl_qci2/pdcp_sdupktdl_qci2</t>
    </r>
  </si>
  <si>
    <r>
      <rPr>
        <sz val="9"/>
        <color rgb="FF000000"/>
        <rFont val="微软雅黑"/>
        <charset val="134"/>
      </rPr>
      <t>pdcp_sdumeandelaydl_qci5</t>
    </r>
  </si>
  <si>
    <r>
      <rPr>
        <sz val="9"/>
        <color rgb="FF000000"/>
        <rFont val="微软雅黑"/>
        <charset val="134"/>
      </rPr>
      <t>用户面下行包平均时延_QCI5</t>
    </r>
  </si>
  <si>
    <r>
      <rPr>
        <sz val="9"/>
        <color rgb="FF000000"/>
        <rFont val="微软雅黑"/>
        <charset val="134"/>
      </rPr>
      <t>pdcp_sdutotdelaydl_qci5/pdcp_sdupktdl_qci5</t>
    </r>
  </si>
  <si>
    <r>
      <rPr>
        <sz val="9"/>
        <color rgb="FF000000"/>
        <rFont val="微软雅黑"/>
        <charset val="134"/>
      </rPr>
      <t>vltevoice_ho_suc_rate</t>
    </r>
  </si>
  <si>
    <r>
      <rPr>
        <sz val="9"/>
        <color rgb="FF000000"/>
        <rFont val="微软雅黑"/>
        <charset val="134"/>
      </rPr>
      <t>语音业务切换成功率</t>
    </r>
  </si>
  <si>
    <r>
      <rPr>
        <sz val="9"/>
        <color rgb="FF000000"/>
        <rFont val="微软雅黑"/>
        <charset val="134"/>
      </rPr>
      <t>vltevideo_ho_suc_rate</t>
    </r>
  </si>
  <si>
    <r>
      <rPr>
        <sz val="9"/>
        <color rgb="FF000000"/>
        <rFont val="微软雅黑"/>
        <charset val="134"/>
      </rPr>
      <t>视频业务切换成功率</t>
    </r>
  </si>
  <si>
    <r>
      <rPr>
        <sz val="9"/>
        <color rgb="FF000000"/>
        <rFont val="微软雅黑"/>
        <charset val="134"/>
      </rPr>
      <t>cell_voice_freqho_qci1</t>
    </r>
  </si>
  <si>
    <r>
      <rPr>
        <sz val="9"/>
        <color rgb="FF000000"/>
        <rFont val="微软雅黑"/>
        <charset val="134"/>
      </rPr>
      <t>小区语音业务频繁切换度</t>
    </r>
  </si>
  <si>
    <r>
      <rPr>
        <sz val="9"/>
        <color rgb="FF000000"/>
        <rFont val="微软雅黑"/>
        <charset val="134"/>
      </rPr>
      <t>cqi</t>
    </r>
  </si>
  <si>
    <r>
      <rPr>
        <sz val="9"/>
        <color rgb="FF000000"/>
        <rFont val="微软雅黑"/>
        <charset val="134"/>
      </rPr>
      <t>cqi7_15</t>
    </r>
  </si>
  <si>
    <r>
      <rPr>
        <sz val="9"/>
        <color rgb="FF000000"/>
        <rFont val="微软雅黑"/>
        <charset val="134"/>
      </rPr>
      <t>cqi7-15</t>
    </r>
  </si>
  <si>
    <r>
      <rPr>
        <sz val="9"/>
        <color rgb="FF000000"/>
        <rFont val="微软雅黑"/>
        <charset val="134"/>
      </rPr>
      <t>scan_num</t>
    </r>
  </si>
  <si>
    <r>
      <rPr>
        <sz val="9"/>
        <color rgb="FF000000"/>
        <rFont val="微软雅黑"/>
        <charset val="134"/>
      </rPr>
      <t>扫码次数</t>
    </r>
  </si>
  <si>
    <r>
      <rPr>
        <sz val="9"/>
        <color rgb="FF000000"/>
        <rFont val="微软雅黑"/>
        <charset val="134"/>
      </rPr>
      <t>汇聚维度：imsi ,cellkey ,quarter,selfservicetype,visitedplmnid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ON a.imsi = s.imsi AND a.cellkey = s.cellkey AND a.quarter = s.quarter AND a.visitedplmnid = s.visitedplmnid</t>
    </r>
  </si>
  <si>
    <r>
      <rPr>
        <sz val="9"/>
        <color rgb="FF000000"/>
        <rFont val="微软雅黑"/>
        <charset val="134"/>
      </rPr>
      <t>scan_flux</t>
    </r>
  </si>
  <si>
    <r>
      <rPr>
        <sz val="9"/>
        <color rgb="FF000000"/>
        <rFont val="微软雅黑"/>
        <charset val="134"/>
      </rPr>
      <t>流量</t>
    </r>
  </si>
  <si>
    <r>
      <rPr>
        <sz val="9"/>
        <color rgb="FF000000"/>
        <rFont val="微软雅黑"/>
        <charset val="134"/>
      </rPr>
      <t>scan_duration</t>
    </r>
  </si>
  <si>
    <r>
      <rPr>
        <sz val="9"/>
        <color rgb="FF000000"/>
        <rFont val="微软雅黑"/>
        <charset val="134"/>
      </rPr>
      <t>时长</t>
    </r>
  </si>
  <si>
    <r>
      <rPr>
        <sz val="9"/>
        <color rgb="FF000000"/>
        <rFont val="微软雅黑"/>
        <charset val="134"/>
      </rPr>
      <t>scan_OutputOctets_sum</t>
    </r>
  </si>
  <si>
    <r>
      <rPr>
        <sz val="9"/>
        <color rgb="FF000000"/>
        <rFont val="微软雅黑"/>
        <charset val="134"/>
      </rPr>
      <t>scan_InputOctets_sum</t>
    </r>
  </si>
  <si>
    <r>
      <rPr>
        <sz val="9"/>
        <color rgb="FF000000"/>
        <rFont val="微软雅黑"/>
        <charset val="134"/>
      </rPr>
      <t>scan_InputPacket_sum</t>
    </r>
  </si>
  <si>
    <r>
      <rPr>
        <sz val="9"/>
        <color rgb="FF000000"/>
        <rFont val="微软雅黑"/>
        <charset val="134"/>
      </rPr>
      <t>scan_OutputPacket_sum</t>
    </r>
  </si>
  <si>
    <r>
      <rPr>
        <sz val="9"/>
        <color rgb="FF000000"/>
        <rFont val="微软雅黑"/>
        <charset val="134"/>
      </rPr>
      <t>scan_tcp_resp_delay</t>
    </r>
  </si>
  <si>
    <r>
      <rPr>
        <sz val="9"/>
        <color rgb="FF000000"/>
        <rFont val="微软雅黑"/>
        <charset val="134"/>
      </rPr>
      <t>scan_tcp_ack_delay</t>
    </r>
  </si>
  <si>
    <r>
      <rPr>
        <sz val="9"/>
        <color rgb="FF000000"/>
        <rFont val="微软雅黑"/>
        <charset val="134"/>
      </rPr>
      <t>scan_ULTCPReorderingPacket_sum</t>
    </r>
  </si>
  <si>
    <r>
      <rPr>
        <sz val="9"/>
        <color rgb="FF000000"/>
        <rFont val="微软雅黑"/>
        <charset val="134"/>
      </rPr>
      <t>scan_DLTCPReorderingPacket_sum</t>
    </r>
  </si>
  <si>
    <r>
      <rPr>
        <sz val="9"/>
        <color rgb="FF000000"/>
        <rFont val="微软雅黑"/>
        <charset val="134"/>
      </rPr>
      <t>scan_ULTCPRetransPacket_sum</t>
    </r>
  </si>
  <si>
    <r>
      <rPr>
        <sz val="9"/>
        <color rgb="FF000000"/>
        <rFont val="微软雅黑"/>
        <charset val="134"/>
      </rPr>
      <t>scan_DLTCPRetransPacket_sum</t>
    </r>
  </si>
  <si>
    <r>
      <rPr>
        <sz val="9"/>
        <color rgb="FF000000"/>
        <rFont val="微软雅黑"/>
        <charset val="134"/>
      </rPr>
      <t>scan_ultcpreorderingpacketratio</t>
    </r>
  </si>
  <si>
    <r>
      <rPr>
        <sz val="9"/>
        <color rgb="FF000000"/>
        <rFont val="微软雅黑"/>
        <charset val="134"/>
      </rPr>
      <t>scan_dltcpreorderingpacketratio</t>
    </r>
  </si>
  <si>
    <r>
      <rPr>
        <sz val="9"/>
        <color rgb="FF000000"/>
        <rFont val="微软雅黑"/>
        <charset val="134"/>
      </rPr>
      <t>scan_ultcp_retranspacketratio</t>
    </r>
  </si>
  <si>
    <r>
      <rPr>
        <sz val="9"/>
        <color rgb="FF000000"/>
        <rFont val="微软雅黑"/>
        <charset val="134"/>
      </rPr>
      <t>scan_dltcp_retranspacketratio</t>
    </r>
  </si>
  <si>
    <r>
      <rPr>
        <sz val="9"/>
        <color rgb="FF000000"/>
        <rFont val="微软雅黑"/>
        <charset val="134"/>
      </rPr>
      <t>scan_bad_num</t>
    </r>
  </si>
  <si>
    <r>
      <rPr>
        <sz val="9"/>
        <color rgb="FF000000"/>
        <rFont val="微软雅黑"/>
        <charset val="134"/>
      </rPr>
      <t>质差话单数量</t>
    </r>
  </si>
  <si>
    <r>
      <rPr>
        <sz val="9"/>
        <color rgb="FF000000"/>
        <rFont val="微软雅黑"/>
        <charset val="134"/>
      </rPr>
      <t>scan_bad_rate</t>
    </r>
  </si>
  <si>
    <r>
      <rPr>
        <sz val="9"/>
        <color rgb="FF000000"/>
        <rFont val="微软雅黑"/>
        <charset val="134"/>
      </rPr>
      <t>质差话单占比</t>
    </r>
  </si>
  <si>
    <r>
      <rPr>
        <sz val="9"/>
        <color rgb="FF000000"/>
        <rFont val="微软雅黑"/>
        <charset val="134"/>
      </rPr>
      <t>paying_num</t>
    </r>
  </si>
  <si>
    <r>
      <rPr>
        <sz val="9"/>
        <color rgb="FF000000"/>
        <rFont val="微软雅黑"/>
        <charset val="134"/>
      </rPr>
      <t>paying_flux</t>
    </r>
  </si>
  <si>
    <r>
      <rPr>
        <sz val="9"/>
        <color rgb="FF000000"/>
        <rFont val="微软雅黑"/>
        <charset val="134"/>
      </rPr>
      <t>paying_duration</t>
    </r>
  </si>
  <si>
    <r>
      <rPr>
        <sz val="9"/>
        <color rgb="FF000000"/>
        <rFont val="微软雅黑"/>
        <charset val="134"/>
      </rPr>
      <t>paying_OutputOctets_sum</t>
    </r>
  </si>
  <si>
    <r>
      <rPr>
        <sz val="9"/>
        <color rgb="FF000000"/>
        <rFont val="微软雅黑"/>
        <charset val="134"/>
      </rPr>
      <t>paying_InputOctets_sum</t>
    </r>
  </si>
  <si>
    <r>
      <rPr>
        <sz val="9"/>
        <color rgb="FF000000"/>
        <rFont val="微软雅黑"/>
        <charset val="134"/>
      </rPr>
      <t>paying_InputPacket_sum</t>
    </r>
  </si>
  <si>
    <r>
      <rPr>
        <sz val="9"/>
        <color rgb="FF000000"/>
        <rFont val="微软雅黑"/>
        <charset val="134"/>
      </rPr>
      <t>paying_OutputPacket_sum</t>
    </r>
  </si>
  <si>
    <r>
      <rPr>
        <sz val="9"/>
        <color rgb="FF000000"/>
        <rFont val="微软雅黑"/>
        <charset val="134"/>
      </rPr>
      <t>paying_tcp_resp_delay</t>
    </r>
  </si>
  <si>
    <r>
      <rPr>
        <sz val="9"/>
        <color rgb="FF000000"/>
        <rFont val="微软雅黑"/>
        <charset val="134"/>
      </rPr>
      <t>paying_tcp_ack_delay</t>
    </r>
  </si>
  <si>
    <r>
      <rPr>
        <sz val="9"/>
        <color rgb="FF000000"/>
        <rFont val="微软雅黑"/>
        <charset val="134"/>
      </rPr>
      <t>paying_ULTCPReorderingPacket_sum</t>
    </r>
  </si>
  <si>
    <r>
      <rPr>
        <sz val="9"/>
        <color rgb="FF000000"/>
        <rFont val="微软雅黑"/>
        <charset val="134"/>
      </rPr>
      <t>paying_DLTCPReorderingPacket_sum</t>
    </r>
  </si>
  <si>
    <r>
      <rPr>
        <sz val="9"/>
        <color rgb="FF000000"/>
        <rFont val="微软雅黑"/>
        <charset val="134"/>
      </rPr>
      <t>paying_ULTCPRetransPacket_sum</t>
    </r>
  </si>
  <si>
    <r>
      <rPr>
        <sz val="9"/>
        <color rgb="FF000000"/>
        <rFont val="微软雅黑"/>
        <charset val="134"/>
      </rPr>
      <t>paying_DLTCPRetransPacket_sum</t>
    </r>
  </si>
  <si>
    <r>
      <rPr>
        <sz val="9"/>
        <color rgb="FF000000"/>
        <rFont val="微软雅黑"/>
        <charset val="134"/>
      </rPr>
      <t>paying_ultcpreorderingpacketratio</t>
    </r>
  </si>
  <si>
    <r>
      <rPr>
        <sz val="9"/>
        <color rgb="FF000000"/>
        <rFont val="微软雅黑"/>
        <charset val="134"/>
      </rPr>
      <t>paying_dltcpreorderingpacketratio</t>
    </r>
  </si>
  <si>
    <r>
      <rPr>
        <sz val="9"/>
        <color rgb="FF000000"/>
        <rFont val="微软雅黑"/>
        <charset val="134"/>
      </rPr>
      <t>paying_ultcp_retranspacketratio</t>
    </r>
  </si>
  <si>
    <r>
      <rPr>
        <sz val="9"/>
        <color rgb="FF000000"/>
        <rFont val="微软雅黑"/>
        <charset val="134"/>
      </rPr>
      <t>paying_dltcp_retranspacketratio</t>
    </r>
  </si>
  <si>
    <r>
      <rPr>
        <sz val="9"/>
        <color rgb="FF000000"/>
        <rFont val="微软雅黑"/>
        <charset val="134"/>
      </rPr>
      <t>paying_bad_num</t>
    </r>
  </si>
  <si>
    <r>
      <rPr>
        <sz val="9"/>
        <color rgb="FF000000"/>
        <rFont val="微软雅黑"/>
        <charset val="134"/>
      </rPr>
      <t>paying_bad_rate</t>
    </r>
  </si>
  <si>
    <r>
      <rPr>
        <sz val="9"/>
        <color rgb="FF000000"/>
        <rFont val="微软雅黑"/>
        <charset val="134"/>
      </rPr>
      <t>DNS查询响应次数，无法准确定义</t>
    </r>
  </si>
  <si>
    <r>
      <rPr>
        <sz val="9"/>
        <color rgb="FF000000"/>
        <rFont val="微软雅黑"/>
        <charset val="134"/>
      </rPr>
      <t>dnsqueryrsp_rate</t>
    </r>
  </si>
  <si>
    <r>
      <rPr>
        <sz val="9"/>
        <color rgb="FF000000"/>
        <rFont val="微软雅黑"/>
        <charset val="134"/>
      </rPr>
      <t>DNS查询成功率</t>
    </r>
  </si>
  <si>
    <r>
      <rPr>
        <sz val="9"/>
        <color rgb="FF000000"/>
        <rFont val="微软雅黑"/>
        <charset val="134"/>
      </rPr>
      <t>dns_duration</t>
    </r>
  </si>
  <si>
    <r>
      <rPr>
        <sz val="9"/>
        <color rgb="FF000000"/>
        <rFont val="微软雅黑"/>
        <charset val="134"/>
      </rPr>
      <t>dns时长</t>
    </r>
  </si>
  <si>
    <r>
      <rPr>
        <sz val="9"/>
        <color rgb="FF000000"/>
        <rFont val="微软雅黑"/>
        <charset val="134"/>
      </rPr>
      <t>volte_duration</t>
    </r>
  </si>
  <si>
    <r>
      <rPr>
        <sz val="9"/>
        <color rgb="FF000000"/>
        <rFont val="微软雅黑"/>
        <charset val="134"/>
      </rPr>
      <t>volte业务时长</t>
    </r>
  </si>
  <si>
    <r>
      <rPr>
        <sz val="9"/>
        <color rgb="FF000000"/>
        <rFont val="微软雅黑"/>
        <charset val="134"/>
      </rPr>
      <t>置null</t>
    </r>
  </si>
  <si>
    <r>
      <rPr>
        <sz val="9"/>
        <color rgb="FF000000"/>
        <rFont val="微软雅黑"/>
        <charset val="134"/>
      </rPr>
      <t>mo_invite_v2v_mw</t>
    </r>
  </si>
  <si>
    <r>
      <rPr>
        <sz val="9"/>
        <color rgb="FF000000"/>
        <rFont val="微软雅黑"/>
        <charset val="134"/>
      </rPr>
      <t>VOLTE呼叫VOLTE始呼次数</t>
    </r>
  </si>
  <si>
    <r>
      <rPr>
        <sz val="9"/>
        <color rgb="FF000000"/>
        <rFont val="微软雅黑"/>
        <charset val="134"/>
      </rPr>
      <t>mo_180_v2v_mw</t>
    </r>
  </si>
  <si>
    <r>
      <rPr>
        <sz val="9"/>
        <color rgb="FF000000"/>
        <rFont val="微软雅黑"/>
        <charset val="134"/>
      </rPr>
      <t>VOLTE呼叫VOLTE始呼接通次数</t>
    </r>
  </si>
  <si>
    <r>
      <rPr>
        <sz val="9"/>
        <color rgb="FF000000"/>
        <rFont val="微软雅黑"/>
        <charset val="134"/>
      </rPr>
      <t>mo_fail_v2v_mw</t>
    </r>
  </si>
  <si>
    <r>
      <rPr>
        <sz val="9"/>
        <color rgb="FF000000"/>
        <rFont val="微软雅黑"/>
        <charset val="134"/>
      </rPr>
      <t>VOLTE呼叫VOLTE始呼失败次数</t>
    </r>
  </si>
  <si>
    <r>
      <rPr>
        <sz val="9"/>
        <color rgb="FF000000"/>
        <rFont val="微软雅黑"/>
        <charset val="134"/>
      </rPr>
      <t>mo_alertingtime_v2v_mw</t>
    </r>
  </si>
  <si>
    <r>
      <rPr>
        <sz val="9"/>
        <color rgb="FF000000"/>
        <rFont val="微软雅黑"/>
        <charset val="134"/>
      </rPr>
      <t>VOLTE呼叫VOLTE始呼平均时延</t>
    </r>
  </si>
  <si>
    <r>
      <rPr>
        <sz val="9"/>
        <color rgb="FF000000"/>
        <rFont val="微软雅黑"/>
        <charset val="134"/>
      </rPr>
      <t>mt_invite_v2v_mw</t>
    </r>
  </si>
  <si>
    <r>
      <rPr>
        <sz val="9"/>
        <color rgb="FF000000"/>
        <rFont val="微软雅黑"/>
        <charset val="134"/>
      </rPr>
      <t>VOLTE呼叫VOLTE终呼次数</t>
    </r>
  </si>
  <si>
    <r>
      <rPr>
        <sz val="9"/>
        <color rgb="FF000000"/>
        <rFont val="微软雅黑"/>
        <charset val="134"/>
      </rPr>
      <t>mt_180_v2v_mw</t>
    </r>
  </si>
  <si>
    <r>
      <rPr>
        <sz val="9"/>
        <color rgb="FF000000"/>
        <rFont val="微软雅黑"/>
        <charset val="134"/>
      </rPr>
      <t>VOLTE呼叫VOLTE终呼接通次数</t>
    </r>
  </si>
  <si>
    <r>
      <rPr>
        <sz val="9"/>
        <color rgb="FF000000"/>
        <rFont val="微软雅黑"/>
        <charset val="134"/>
      </rPr>
      <t>mt_fail_v2v_mw</t>
    </r>
  </si>
  <si>
    <r>
      <rPr>
        <sz val="9"/>
        <color rgb="FF000000"/>
        <rFont val="微软雅黑"/>
        <charset val="134"/>
      </rPr>
      <t>VOLTE呼叫VOLTE终呼失败次数</t>
    </r>
  </si>
  <si>
    <r>
      <rPr>
        <sz val="9"/>
        <color rgb="FF000000"/>
        <rFont val="微软雅黑"/>
        <charset val="134"/>
      </rPr>
      <t>mt_alertingtime_v2v_mw</t>
    </r>
  </si>
  <si>
    <r>
      <rPr>
        <sz val="9"/>
        <color rgb="FF000000"/>
        <rFont val="微软雅黑"/>
        <charset val="134"/>
      </rPr>
      <t>VOLTE呼叫VOLTE终呼平均时延</t>
    </r>
  </si>
  <si>
    <r>
      <rPr>
        <sz val="9"/>
        <color rgb="FF000000"/>
        <rFont val="微软雅黑"/>
        <charset val="134"/>
      </rPr>
      <t>volte_success_rate</t>
    </r>
  </si>
  <si>
    <r>
      <rPr>
        <sz val="9"/>
        <color rgb="FF000000"/>
        <rFont val="微软雅黑"/>
        <charset val="134"/>
      </rPr>
      <t>VOLTE接通率</t>
    </r>
  </si>
  <si>
    <r>
      <rPr>
        <sz val="9"/>
        <color rgb="FF000000"/>
        <rFont val="微软雅黑"/>
        <charset val="134"/>
      </rPr>
      <t>volte_alertingdelay_more5000</t>
    </r>
  </si>
  <si>
    <r>
      <rPr>
        <sz val="9"/>
        <color rgb="FF000000"/>
        <rFont val="微软雅黑"/>
        <charset val="134"/>
      </rPr>
      <t>volte接通时延&gt;5000次数</t>
    </r>
  </si>
  <si>
    <r>
      <rPr>
        <sz val="9"/>
        <color rgb="FF000000"/>
        <rFont val="微软雅黑"/>
        <charset val="134"/>
      </rPr>
      <t>volte_alerting_delay</t>
    </r>
  </si>
  <si>
    <r>
      <rPr>
        <sz val="9"/>
        <color rgb="FF000000"/>
        <rFont val="微软雅黑"/>
        <charset val="134"/>
      </rPr>
      <t>volte接通时延</t>
    </r>
  </si>
  <si>
    <r>
      <rPr>
        <sz val="9"/>
        <color rgb="FF000000"/>
        <rFont val="微软雅黑"/>
        <charset val="134"/>
      </rPr>
      <t>ulmos_avg</t>
    </r>
  </si>
  <si>
    <t>上行平均mos</t>
  </si>
  <si>
    <r>
      <rPr>
        <sz val="9"/>
        <color rgb="FF000000"/>
        <rFont val="微软雅黑"/>
        <charset val="134"/>
      </rPr>
      <t>dlmos_avg</t>
    </r>
  </si>
  <si>
    <t>下行平均mos</t>
  </si>
  <si>
    <r>
      <rPr>
        <sz val="9"/>
        <color rgb="FF000000"/>
        <rFont val="微软雅黑"/>
        <charset val="134"/>
      </rPr>
      <t>mos_avg</t>
    </r>
  </si>
  <si>
    <t>平均mos</t>
  </si>
  <si>
    <r>
      <rPr>
        <sz val="9"/>
        <color rgb="FF000000"/>
        <rFont val="微软雅黑"/>
        <charset val="134"/>
      </rPr>
      <t>ulmos_num</t>
    </r>
  </si>
  <si>
    <t>上行mos数量</t>
  </si>
  <si>
    <r>
      <rPr>
        <sz val="9"/>
        <color rgb="FF000000"/>
        <rFont val="微软雅黑"/>
        <charset val="134"/>
      </rPr>
      <t>less3_ulmos_num</t>
    </r>
  </si>
  <si>
    <t>上行mos小于3数量</t>
  </si>
  <si>
    <r>
      <rPr>
        <sz val="9"/>
        <color rgb="FF000000"/>
        <rFont val="微软雅黑"/>
        <charset val="134"/>
      </rPr>
      <t>less3_ulmos_rate</t>
    </r>
  </si>
  <si>
    <t>上行mos小于3占比</t>
  </si>
  <si>
    <r>
      <rPr>
        <sz val="9"/>
        <color rgb="FF000000"/>
        <rFont val="微软雅黑"/>
        <charset val="134"/>
      </rPr>
      <t>dlmos_num</t>
    </r>
  </si>
  <si>
    <t>下行mos数量</t>
  </si>
  <si>
    <r>
      <rPr>
        <sz val="9"/>
        <color rgb="FF000000"/>
        <rFont val="微软雅黑"/>
        <charset val="134"/>
      </rPr>
      <t>less3_dlmos_num</t>
    </r>
  </si>
  <si>
    <t>下行mos小于3数量</t>
  </si>
  <si>
    <r>
      <rPr>
        <sz val="9"/>
        <color rgb="FF000000"/>
        <rFont val="微软雅黑"/>
        <charset val="134"/>
      </rPr>
      <t>less3_dlmos_rate</t>
    </r>
  </si>
  <si>
    <t>下行mos小于3占比</t>
  </si>
  <si>
    <r>
      <rPr>
        <sz val="9"/>
        <color rgb="FF000000"/>
        <rFont val="微软雅黑"/>
        <charset val="134"/>
      </rPr>
      <t>volte_drop_num</t>
    </r>
  </si>
  <si>
    <t>volte掉话数量</t>
  </si>
  <si>
    <r>
      <rPr>
        <sz val="9"/>
        <color rgb="FF000000"/>
        <rFont val="微软雅黑"/>
        <charset val="134"/>
      </rPr>
      <t>volte_num</t>
    </r>
  </si>
  <si>
    <t>volte通话数量</t>
  </si>
  <si>
    <r>
      <rPr>
        <sz val="9"/>
        <color rgb="FF000000"/>
        <rFont val="微软雅黑"/>
        <charset val="134"/>
      </rPr>
      <t>volte_drop_rate</t>
    </r>
  </si>
  <si>
    <t>volte掉话率</t>
  </si>
  <si>
    <r>
      <rPr>
        <sz val="9"/>
        <color rgb="FF000000"/>
        <rFont val="微软雅黑"/>
        <charset val="134"/>
      </rPr>
      <t>rrc_attconnestab_ue</t>
    </r>
  </si>
  <si>
    <t>UE发起的RRC连接建立请求次数</t>
  </si>
  <si>
    <r>
      <rPr>
        <sz val="9"/>
        <color rgb="FF000000"/>
        <rFont val="微软雅黑"/>
        <charset val="134"/>
      </rPr>
      <t>rrc_attconnestab_net</t>
    </r>
  </si>
  <si>
    <t>网络发起的RRC连接建立请求次数</t>
  </si>
  <si>
    <r>
      <rPr>
        <sz val="9"/>
        <color rgb="FF000000"/>
        <rFont val="微软雅黑"/>
        <charset val="134"/>
      </rPr>
      <t>dlmos_sum</t>
    </r>
  </si>
  <si>
    <t>上行mos总值</t>
  </si>
  <si>
    <r>
      <rPr>
        <sz val="9"/>
        <color rgb="FF000000"/>
        <rFont val="微软雅黑"/>
        <charset val="134"/>
      </rPr>
      <t>ulmos_sum</t>
    </r>
  </si>
  <si>
    <t>下行mos总值</t>
  </si>
  <si>
    <r>
      <rPr>
        <sz val="9"/>
        <color rgb="FF000000"/>
        <rFont val="微软雅黑"/>
        <charset val="134"/>
      </rPr>
      <t>p_province</t>
    </r>
  </si>
  <si>
    <t>用户5g小区维度综合指标</t>
  </si>
  <si>
    <t>A6</t>
  </si>
  <si>
    <t>有数组需要根据数据适配</t>
  </si>
  <si>
    <t>dm_5g_all_pm_pccu_q</t>
  </si>
  <si>
    <t>系统接入cu</t>
  </si>
  <si>
    <t>A7</t>
  </si>
  <si>
    <t>dm_5g_all_pm_pcdu_q</t>
  </si>
  <si>
    <t>系统接入du</t>
  </si>
  <si>
    <t>A8</t>
  </si>
  <si>
    <t>dm_5g_all_pm_plccu_q</t>
  </si>
  <si>
    <t>系统接入逻辑cu</t>
  </si>
  <si>
    <t>A9</t>
  </si>
  <si>
    <t>dm_5g_all_pm_plcdu_q</t>
  </si>
  <si>
    <t>系统接入逻辑du</t>
  </si>
  <si>
    <t>A15</t>
  </si>
  <si>
    <t>quater</t>
  </si>
  <si>
    <t>拜访地县</t>
  </si>
  <si>
    <t>rATType</t>
  </si>
  <si>
    <t>NR</t>
  </si>
  <si>
    <t>永久小区标识，永久小区标识。4G 填写小区IMSI。</t>
  </si>
  <si>
    <t>MS International PSTN/ISDN Number (ISDN)</t>
  </si>
  <si>
    <t>整体</t>
  </si>
  <si>
    <t>sum(total_badcnt)</t>
  </si>
  <si>
    <t>sum(total_badcnt)/sum(total_cnt)</t>
  </si>
  <si>
    <t>sum(ultcp_retrans_badcnt</t>
  </si>
  <si>
    <t>sum(dltcp_retrans_badcnt</t>
  </si>
  <si>
    <t>sum(ultcp_reordering_badcnt</t>
  </si>
  <si>
    <t>sum(dltcp_reordering_badcnt</t>
  </si>
  <si>
    <t>sum(tcpsetupresponsedelay_badcnt</t>
  </si>
  <si>
    <t>sum(tcpsetupackdelay_badcnt</t>
  </si>
  <si>
    <t>sum(service_duration)</t>
  </si>
  <si>
    <t>sum(ultcpretranspacket)</t>
  </si>
  <si>
    <t>sum(dltcpretranspacket)</t>
  </si>
  <si>
    <t>(sum(ultcpretranspacket+dltcpretranspacket))/(sum(outputpacket+inputpacket))</t>
  </si>
  <si>
    <t>(sum(ultcpreorderingpacket)+sum(dltcpreorderingpacket))/(sum(outputpacket)+sum(inputpacket))</t>
  </si>
  <si>
    <t>sum(tcpsetupresponsedelay_sum)</t>
  </si>
  <si>
    <t>sum(tcpsetupackdelay_sum)</t>
  </si>
  <si>
    <t>sum(tcpsetupresponsedelay_cnt)</t>
  </si>
  <si>
    <t>sum(tcpsetupackdelay_cnt)</t>
  </si>
  <si>
    <t>(sum(tcpsetupresponsedelay_sum)+sum(tcpsetupackdelay_sum))/sum(+tcpsetupackdelay_cnt+tcpsetupresponsedelay_cnt)</t>
  </si>
  <si>
    <t>gamereq</t>
  </si>
  <si>
    <t>游戏请求次数</t>
  </si>
  <si>
    <t>gamedelay</t>
  </si>
  <si>
    <t>游戏交互时延(多次业务的交互时延之和)</t>
  </si>
  <si>
    <t>game_flux</t>
  </si>
  <si>
    <t>游戏流量</t>
  </si>
  <si>
    <t>game_duration</t>
  </si>
  <si>
    <t>实际产生上行流量的时长</t>
  </si>
  <si>
    <t>game_OutputOctets_sum</t>
  </si>
  <si>
    <t>game_InputOctets_sum</t>
  </si>
  <si>
    <t>game_InputPacket_sum</t>
  </si>
  <si>
    <t>game_OutputPacket_sum</t>
  </si>
  <si>
    <t>game_uLTcpreorderingpacket_sum</t>
  </si>
  <si>
    <t>game_dLTcpreorderingpacket_sum</t>
  </si>
  <si>
    <t>game_uLTcpretranspacket_sum</t>
  </si>
  <si>
    <t>game_dLTcpretranspacket_sum</t>
  </si>
  <si>
    <t>game_ultcpreorderingpacketratio</t>
  </si>
  <si>
    <t>game_dltcpreorderingpacketratio</t>
  </si>
  <si>
    <t>game_ultcp_retranspacketratio</t>
  </si>
  <si>
    <t>game_dltcp_retranspacketratio</t>
  </si>
  <si>
    <t>game_httpwebreqcount</t>
  </si>
  <si>
    <t>game_httpwebrspcount</t>
  </si>
  <si>
    <t>game_httpwebrsprate</t>
  </si>
  <si>
    <t>times_abnormals_game</t>
  </si>
  <si>
    <t>异常话单次数</t>
  </si>
  <si>
    <t>game_abnormals_rate</t>
  </si>
  <si>
    <t>异常占比</t>
  </si>
  <si>
    <t>web_req</t>
  </si>
  <si>
    <t>网页请求次数</t>
  </si>
  <si>
    <t>web_flux</t>
  </si>
  <si>
    <t>网页流量</t>
  </si>
  <si>
    <t>web_duration</t>
  </si>
  <si>
    <t>网页持续时长</t>
  </si>
  <si>
    <t>web_OutputOctets_sum</t>
  </si>
  <si>
    <t>web_InputOctets_sum</t>
  </si>
  <si>
    <t>web_InputPacket_sum</t>
  </si>
  <si>
    <t>web_OutputPacket_sum</t>
  </si>
  <si>
    <t>web_uLTcpreorderingpacket_sum</t>
  </si>
  <si>
    <t>web_dLTcpreorderingpacket_sum</t>
  </si>
  <si>
    <t>web_uLTcpretranspacket_sum</t>
  </si>
  <si>
    <t>web_dLTcpretranspacket_sum</t>
  </si>
  <si>
    <t>web_ultcpreorderingpacketratio</t>
  </si>
  <si>
    <t>web_dltcpreorderingpacketratio</t>
  </si>
  <si>
    <t>web_ultcp_retranspacketratio</t>
  </si>
  <si>
    <t>web_dltcp_retranspacketratio</t>
  </si>
  <si>
    <t>webreqcount</t>
  </si>
  <si>
    <t>webrspcount</t>
  </si>
  <si>
    <t>网页响应次数</t>
  </si>
  <si>
    <t>webrspdelay</t>
  </si>
  <si>
    <t>网页响应时延(ms)</t>
  </si>
  <si>
    <t>kqi_httpwebrsprate</t>
  </si>
  <si>
    <t>kqi_httpwebdthrput</t>
  </si>
  <si>
    <t>网页下载速率(kbps)</t>
  </si>
  <si>
    <t>web_tcp_resp_delay</t>
  </si>
  <si>
    <t>web_tcp_ack_delay</t>
  </si>
  <si>
    <t>web_times_excellentrspdelay</t>
  </si>
  <si>
    <t>web_times_inferiorrspdelay</t>
  </si>
  <si>
    <t>web_times_wellrspdelay</t>
  </si>
  <si>
    <t>web_times_excellentcmpltdelay</t>
  </si>
  <si>
    <t>web_times_inferiorcmpltdelay</t>
  </si>
  <si>
    <t>web_times_wellcmpltdelay</t>
  </si>
  <si>
    <t>web_times_abnormals</t>
  </si>
  <si>
    <t>web_times_abnormals_rate</t>
  </si>
  <si>
    <t>im_times</t>
  </si>
  <si>
    <t>im_flux</t>
  </si>
  <si>
    <t>上行流量</t>
  </si>
  <si>
    <t>im_duration</t>
  </si>
  <si>
    <t>持续时间</t>
  </si>
  <si>
    <t>im_OutputOctets_sum</t>
  </si>
  <si>
    <t>im_InputOctets_sum</t>
  </si>
  <si>
    <t>im_InputPacket_sum</t>
  </si>
  <si>
    <t>im_OutputPacket_sum</t>
  </si>
  <si>
    <t>im_uLTcpreorderingpacket_sum</t>
  </si>
  <si>
    <t>im_dLTcpreorderingpacket_sum</t>
  </si>
  <si>
    <t>im_uLTcpretranspacket_sum</t>
  </si>
  <si>
    <t>im_dLTcpretranspacket_sum</t>
  </si>
  <si>
    <t>im_ultcpreorderingpacketratio</t>
  </si>
  <si>
    <t>im_dltcpreorderingpacketratio</t>
  </si>
  <si>
    <t>im_ultcp_retranspacketratio</t>
  </si>
  <si>
    <t>im_dltcp_retranspacketratio</t>
  </si>
  <si>
    <t>im_msgsntreqcount</t>
  </si>
  <si>
    <t>消息发送请求次数</t>
  </si>
  <si>
    <t>im_msgsntsuccount</t>
  </si>
  <si>
    <t>im_kqi_imsentrate</t>
  </si>
  <si>
    <t>消息发送成功率</t>
  </si>
  <si>
    <t>im_kqi_imsentdelay</t>
  </si>
  <si>
    <t>消息发送时延</t>
  </si>
  <si>
    <t>im_msgrcvreqcount</t>
  </si>
  <si>
    <t>消息接收请求次数</t>
  </si>
  <si>
    <t>im_msgrcvsuccount</t>
  </si>
  <si>
    <t>消息接收成功次数</t>
  </si>
  <si>
    <t>im_kqi_imrecvrate</t>
  </si>
  <si>
    <t>消息接收成功率</t>
  </si>
  <si>
    <t>im_kqi_imrecvdelay</t>
  </si>
  <si>
    <t>消息接收时延</t>
  </si>
  <si>
    <t>im_times_abnormals</t>
  </si>
  <si>
    <t>im_times_abnormals_rate</t>
  </si>
  <si>
    <t>video_times</t>
  </si>
  <si>
    <t>video_flux</t>
  </si>
  <si>
    <t>video_duration</t>
  </si>
  <si>
    <t>video_OutputOctets_sum</t>
  </si>
  <si>
    <t>video_InputOctets_sum</t>
  </si>
  <si>
    <t>video_InputPacket_sum</t>
  </si>
  <si>
    <t>video_OutputPacket_sum</t>
  </si>
  <si>
    <t>video_ultcpreorderingpacket_sum</t>
  </si>
  <si>
    <t>video_dltcpreorderingpacket_sum</t>
  </si>
  <si>
    <t>video_ultcpretranspacket_sum</t>
  </si>
  <si>
    <t>video_dltcpretranspacket_sum</t>
  </si>
  <si>
    <t>video_ultcpreorderingpacketratio</t>
  </si>
  <si>
    <t>video_dltcpreorderingpacketratio</t>
  </si>
  <si>
    <t>video_ultcp_retranspacketratio</t>
  </si>
  <si>
    <t>video_dltcp_retranspacketratio</t>
  </si>
  <si>
    <t>video_tcp_resp_delay</t>
  </si>
  <si>
    <t>video_tcp_ack_delay</t>
  </si>
  <si>
    <t>video_times_inferiordownlink</t>
  </si>
  <si>
    <t>video_times_welldownlink</t>
  </si>
  <si>
    <t>video_times_excellentstallfrequ</t>
  </si>
  <si>
    <t>video_times_inferiorstallfrequ</t>
  </si>
  <si>
    <t>video_times_wellstallfrequ</t>
  </si>
  <si>
    <t>cachedvideodurationratio</t>
  </si>
  <si>
    <t>video_times_abnormals</t>
  </si>
  <si>
    <t>video_times_abnormals_rate</t>
  </si>
  <si>
    <t>MR</t>
  </si>
  <si>
    <t>rssi_cnt</t>
  </si>
  <si>
    <t>prb干扰MR采样点数</t>
  </si>
  <si>
    <t>overload_cnt</t>
  </si>
  <si>
    <t>高负荷采样点数</t>
  </si>
  <si>
    <t>avg_mrlon</t>
  </si>
  <si>
    <t>avg_mrlat</t>
  </si>
  <si>
    <t>is_rssi</t>
  </si>
  <si>
    <t>该小区是否是高RSSI小区</t>
  </si>
  <si>
    <t>PM</t>
  </si>
  <si>
    <t>is_overload</t>
  </si>
  <si>
    <t>该小区是否是高负荷小区</t>
  </si>
  <si>
    <t>rrc_connsucc_rate</t>
  </si>
  <si>
    <t>RRC 连接建立成功率</t>
  </si>
  <si>
    <t>rrc_connsucc/rrc_connreq</t>
  </si>
  <si>
    <t>rrc_connreestabsucc_rate</t>
  </si>
  <si>
    <t>RRC 连接重建成功率</t>
  </si>
  <si>
    <t>rrc_connreestabsucc/rrc_connreestabreq</t>
  </si>
  <si>
    <t>pdcp_rxpktLossul_rate</t>
  </si>
  <si>
    <t>SA上行 PDCP 层用户面丢包率</t>
  </si>
  <si>
    <t>pdcp_rxpktlossul/pdcp_rxpktul</t>
  </si>
  <si>
    <t>pdcp_Txpktdiscarddl_rate</t>
  </si>
  <si>
    <t>SA下行 PDCP 面用户面弃包率</t>
  </si>
  <si>
    <t>pdcp_txpktdiscarddl/pdcp_txpktul</t>
  </si>
  <si>
    <t>rrc_connreq</t>
  </si>
  <si>
    <t>RRC 连接建立请求次数 </t>
  </si>
  <si>
    <t>rrc_connsucc</t>
  </si>
  <si>
    <t>RRC 连接建立成功次数 </t>
  </si>
  <si>
    <t>pdcp_rxpktul</t>
  </si>
  <si>
    <t>上行 PDCP 层小区面包总数 </t>
  </si>
  <si>
    <t>pdcp_rxpktlossul</t>
  </si>
  <si>
    <t>上行 PDCP 层小区面丢包数 </t>
  </si>
  <si>
    <t>pdcp_txpktdl</t>
  </si>
  <si>
    <t>下行 PDCP 层小区面包总数</t>
  </si>
  <si>
    <t>pdcp_txpktul</t>
  </si>
  <si>
    <t>pdcp_txpktdiscarddl</t>
  </si>
  <si>
    <t>下行 PDCP 面小区面弃包数 </t>
  </si>
  <si>
    <t>rrc_connreestabreq</t>
  </si>
  <si>
    <t>rrc_connreestabsucc</t>
  </si>
  <si>
    <t>prb_usedul_rate</t>
  </si>
  <si>
    <t>SA小区上行PRB使用率</t>
  </si>
  <si>
    <t>prb_usedul/prb_availul</t>
  </si>
  <si>
    <t>prb_useddl_rate</t>
  </si>
  <si>
    <t>SA小区下行PRB使用率</t>
  </si>
  <si>
    <t>prb_useddl/prb_availdl</t>
  </si>
  <si>
    <t>cce_pdcchuseddl_rate</t>
  </si>
  <si>
    <t>PDCCH信道CCE使用率</t>
  </si>
  <si>
    <t>cce_pdcchuseddl/cce_pdcchavaildl</t>
  </si>
  <si>
    <t>mac_meanschedulelayeru1</t>
  </si>
  <si>
    <t>小区上行平均调度层数</t>
  </si>
  <si>
    <t>mac_meanschedulelayerd1</t>
  </si>
  <si>
    <t>小区下行平均调度层数</t>
  </si>
  <si>
    <t>phycell_meantxpower</t>
  </si>
  <si>
    <t>小区平均实际发射功率</t>
  </si>
  <si>
    <t>phycell_maxtxpower</t>
  </si>
  <si>
    <t>小区最大实际发射功率</t>
  </si>
  <si>
    <t>phy_meannlperprbul</t>
  </si>
  <si>
    <t>小区上行每PRB平均干扰电平</t>
  </si>
  <si>
    <t>mac_transerrtbul_rate</t>
  </si>
  <si>
    <t>上行MAC层误块残留率</t>
  </si>
  <si>
    <t>mac_transerrtbdl_rate</t>
  </si>
  <si>
    <t>下行MAC层误块残留率</t>
  </si>
  <si>
    <t>mac_transerrtb_rate</t>
  </si>
  <si>
    <t>MAC层残留率</t>
  </si>
  <si>
    <t>rlc_txpktlossdl_rate</t>
  </si>
  <si>
    <t>下行RLC 层用户面丢包率</t>
  </si>
  <si>
    <t>rlc_txpktlossdl/rlc_txpktdl</t>
  </si>
  <si>
    <t>rlc_retranspktul_rate</t>
  </si>
  <si>
    <t>上行RLC 层用户面重传率</t>
  </si>
  <si>
    <t>rlc_retranspktul/rlc_txpktul</t>
  </si>
  <si>
    <t>rlc_retranspktdl_rate</t>
  </si>
  <si>
    <t>下行RLC 层用户面重传率</t>
  </si>
  <si>
    <t>rlc_retranspktdl/rlc_txpktdl</t>
  </si>
  <si>
    <t>cqi_excellent_rate</t>
  </si>
  <si>
    <t>CQI优良率</t>
  </si>
  <si>
    <t>cqi_numintable是一个数组，求cqi10~15的数量及所有数量；cqi_numintable2是一个数组，求cqi7~15的数量及所有数量
（第一组cqi10~15+第二组cqi7~15）/（第一组总数量+第二组总数量）</t>
  </si>
  <si>
    <t>RLC_PktDelayTimeDL</t>
  </si>
  <si>
    <t>RLC/MAC及空口下行包平均时延</t>
  </si>
  <si>
    <t>rlc_pktdelaytimedl</t>
  </si>
  <si>
    <t>prb_usedul</t>
  </si>
  <si>
    <t>小区上行 PRB 占用总数 </t>
  </si>
  <si>
    <t>prb_availul</t>
  </si>
  <si>
    <t>小区上行 PRB 可用总数 </t>
  </si>
  <si>
    <t>prb_useddl</t>
  </si>
  <si>
    <t>小区下行 PRB 占用总数 </t>
  </si>
  <si>
    <t>prb_availdl</t>
  </si>
  <si>
    <t>小区下行 PRB 可用总数 </t>
  </si>
  <si>
    <t>cce_pdcchuseddl</t>
  </si>
  <si>
    <t>PDCCH 信道 CCE 占用个数 </t>
  </si>
  <si>
    <t>cce_pdcchavaildl</t>
  </si>
  <si>
    <t>PDCCH 信道 CCE 可用个数 </t>
  </si>
  <si>
    <t>mac_transerrtbul</t>
  </si>
  <si>
    <t>上行MAC 层残留错误 TB 数</t>
  </si>
  <si>
    <t>mac_transerrtbdl</t>
  </si>
  <si>
    <t>下行MAC 层残留错误 TB 数 </t>
  </si>
  <si>
    <t>mac_transinitbul</t>
  </si>
  <si>
    <t>上行MAC 层传输初始 TB 总数 </t>
  </si>
  <si>
    <t>mac_transinitbdl</t>
  </si>
  <si>
    <t>下行MAC 层传输初始 TB 总数 </t>
  </si>
  <si>
    <t>rlc_txpktul</t>
  </si>
  <si>
    <t>上行RLC 层小区面包总数 </t>
  </si>
  <si>
    <t>rlc_retranspktul</t>
  </si>
  <si>
    <t>上行RLC 层小区面重传总数 </t>
  </si>
  <si>
    <t>rlc_retranspktdl</t>
  </si>
  <si>
    <t>下行RLC 层小区面重传包数 </t>
  </si>
  <si>
    <t>rlc_txpktdl</t>
  </si>
  <si>
    <t>下行RLC 层小区面包总数 </t>
  </si>
  <si>
    <t>rlc_txpktlossdl</t>
  </si>
  <si>
    <t>下行RLC 层小区面丢包数</t>
  </si>
  <si>
    <t>sum_cqi_numintable</t>
  </si>
  <si>
    <t>CQI为0-15的TABLE1值</t>
  </si>
  <si>
    <t>cqi_numintable是一个数组，求所有数量；</t>
  </si>
  <si>
    <t>sum_cqi_numintable2</t>
  </si>
  <si>
    <t>CQI为0-15的TABLE2值</t>
  </si>
  <si>
    <t>cqi_numintable2是一个数组，求所有数量</t>
  </si>
  <si>
    <t>sum_cqi_numintable_10_15</t>
  </si>
  <si>
    <t>CQI为10-15的TABLE1值</t>
  </si>
  <si>
    <t>cqi_numintable是一个数组，求cqi10~15的数量；</t>
  </si>
  <si>
    <t>sum_cqi_numintable2_7_15</t>
  </si>
  <si>
    <t>CQI为7-15的TABLE2值</t>
  </si>
  <si>
    <t>cqi_numintable2是一个数组，求cqi7~15的数量</t>
  </si>
  <si>
    <t>rrc_connmean</t>
  </si>
  <si>
    <t>平均 RRC 连接小区数 </t>
  </si>
  <si>
    <t>rrc_connmax</t>
  </si>
  <si>
    <t>最大 RRC 连接小区数 </t>
  </si>
  <si>
    <t>ng_connsucc_rate</t>
  </si>
  <si>
    <t>NG 信令连接建立成功率</t>
  </si>
  <si>
    <t>ng_connsucc/ng_connatt</t>
  </si>
  <si>
    <t>qos_estabsucc_rate</t>
  </si>
  <si>
    <t>QosFlow 建立成功率</t>
  </si>
  <si>
    <t>qos_estabsucc/qos_estabreq</t>
  </si>
  <si>
    <t>qos_modifysucc_rate</t>
  </si>
  <si>
    <t>QosFlow 修改成功率</t>
  </si>
  <si>
    <t>qos_modifysucc/qos_modifyreq</t>
  </si>
  <si>
    <t>ue_abnormalrelease_rate</t>
  </si>
  <si>
    <t>UE上下文异常掉线率</t>
  </si>
  <si>
    <t>1-ue_normalcontextrelease/ue_contextrelease</t>
  </si>
  <si>
    <t>qos_abnormalrelease_rate</t>
  </si>
  <si>
    <t>QosFlow 异常掉线率</t>
  </si>
  <si>
    <t>1-qos_normalrelease/qos_release</t>
  </si>
  <si>
    <t>HO_Succ_rate</t>
  </si>
  <si>
    <t>系统内切换出成功率</t>
  </si>
  <si>
    <t>(ho_succsamefreq+ho_succdifffreq)/(ho_attsamefreq+ho_attdifffreq)</t>
  </si>
  <si>
    <t>HO_SuccFromGutranToEutran_rate</t>
  </si>
  <si>
    <t>5G下切4G成功率</t>
  </si>
  <si>
    <t>ho_succfromgutrantoeutran/ho_attfromgutrantoeutran</t>
  </si>
  <si>
    <t>HO_SuccFromEutranToGutran_rate</t>
  </si>
  <si>
    <t>基于覆盖4G切5G成功率</t>
  </si>
  <si>
    <t>ho_succfromeutrantogutran/ho_attfromeutrantogutran</t>
  </si>
  <si>
    <t>ng_connatt</t>
  </si>
  <si>
    <t>NG 信令连接建立尝试次数 </t>
  </si>
  <si>
    <t>ng_connsucc</t>
  </si>
  <si>
    <t>NG 信令连接建立成功次数 </t>
  </si>
  <si>
    <t>qos_estabreq</t>
  </si>
  <si>
    <t>QosFlow 建立请求数</t>
  </si>
  <si>
    <t>qos_estabsucc</t>
  </si>
  <si>
    <t>QosFlow 建立成功数</t>
  </si>
  <si>
    <t>qos_modifyreq</t>
  </si>
  <si>
    <t>QosFlow 修改请求数</t>
  </si>
  <si>
    <t>qos_modifysucc</t>
  </si>
  <si>
    <t>QosFlow 修改成功数</t>
  </si>
  <si>
    <t>ue_contextrelease</t>
  </si>
  <si>
    <t>UE 上下文释放总数 </t>
  </si>
  <si>
    <t>ue_normalcontextrelease</t>
  </si>
  <si>
    <t>UE 上下文正常释放数 </t>
  </si>
  <si>
    <t>qos_release</t>
  </si>
  <si>
    <t>QosFlow 释放总数</t>
  </si>
  <si>
    <t>qos_normalrelease</t>
  </si>
  <si>
    <t>QosFlow 正常释放数</t>
  </si>
  <si>
    <t>ho_attsamefreq</t>
  </si>
  <si>
    <t>同频切换请求次数 </t>
  </si>
  <si>
    <t>ho_succsamefreq</t>
  </si>
  <si>
    <t>同频切换成功次数 </t>
  </si>
  <si>
    <t>ho_attdifffreq</t>
  </si>
  <si>
    <t>异频切换请求次数 </t>
  </si>
  <si>
    <t>ho_succdifffreq</t>
  </si>
  <si>
    <t>异频切换成功次数 </t>
  </si>
  <si>
    <t>ho_attfromgutrantoeutran</t>
  </si>
  <si>
    <t>5G 下切 4G 请求次数 </t>
  </si>
  <si>
    <t>ho_succfromgutrantoeutran</t>
  </si>
  <si>
    <t>5G 下切 4G 成功次数 </t>
  </si>
  <si>
    <t>ho_attfromeutrantogutran</t>
  </si>
  <si>
    <t>基于覆盖 4G 切 5G 请求次数 </t>
  </si>
  <si>
    <t>ho_succfromeutrantogutran</t>
  </si>
  <si>
    <t>基于覆盖 4G 切 5G 成功次数 </t>
  </si>
  <si>
    <t>nsa_pdcp_rxbytesul</t>
  </si>
  <si>
    <t>上行 PDCP 层小区面流量 </t>
  </si>
  <si>
    <t>nsa_pdcp_txbytesdl</t>
  </si>
  <si>
    <t>下行 PDCP 层小区面流量 </t>
  </si>
  <si>
    <t>nsa_splitbear_rxbytesul</t>
  </si>
  <si>
    <t>上行 Split 承载从 LTE RLC 实体接收的 PDCP PDU 字节数</t>
  </si>
  <si>
    <t>nsa_splitbear_txbytesdl</t>
  </si>
  <si>
    <t>下行 Split 承载发送给LTE RLC 实体的 PDCP PDU 字节数 </t>
  </si>
  <si>
    <t>rlc_rxbytesul</t>
  </si>
  <si>
    <t>上行 RLC 层用户面流量</t>
  </si>
  <si>
    <t>rlc_txbytesdl</t>
  </si>
  <si>
    <t>下行 RLC 层用户面流量</t>
  </si>
  <si>
    <t>RLC_Rx_throughput_rate</t>
  </si>
  <si>
    <t>SA RLC平均下载速率</t>
  </si>
  <si>
    <t>rlc_rxbytesul/rlc_rxtimeul_exceptlastslot</t>
  </si>
  <si>
    <t>RLC_Tx_throughput_rate</t>
  </si>
  <si>
    <t>SA RLC平均上传速率</t>
  </si>
  <si>
    <t>rlc_txbytesdl/rlc_txtimedl_exceptlastslot</t>
  </si>
  <si>
    <t>PagingLoss_rate</t>
  </si>
  <si>
    <t>寻呼丢弃率</t>
  </si>
  <si>
    <t>pagingloss/paging</t>
  </si>
  <si>
    <t>rlc_rxtimeul_exceptlastslot</t>
  </si>
  <si>
    <t>上行 RLC 层小区面数据接收总时长（不含最后一个 slot）</t>
  </si>
  <si>
    <t>rlc_txtimedl_exceptlastslot</t>
  </si>
  <si>
    <t>下行 RLC 层小区面数据发送总时长（不含最后一个 slot）</t>
  </si>
  <si>
    <t>paging</t>
  </si>
  <si>
    <t>寻呼次数 </t>
  </si>
  <si>
    <t>pagingloss</t>
  </si>
  <si>
    <t>寻呼丢弃次数 </t>
  </si>
  <si>
    <t>scan_num</t>
  </si>
  <si>
    <t>扫码次数</t>
  </si>
  <si>
    <t>扫码</t>
  </si>
  <si>
    <t>scan_flux</t>
  </si>
  <si>
    <t>流量</t>
  </si>
  <si>
    <t>scan_duration</t>
  </si>
  <si>
    <t>时长</t>
  </si>
  <si>
    <t>scan_OutputOctets_sum</t>
  </si>
  <si>
    <t>scan_InputOctets_sum</t>
  </si>
  <si>
    <t>scan_InputPacket_sum</t>
  </si>
  <si>
    <t>scan_OutputPacket_sum</t>
  </si>
  <si>
    <t>scan_tcp_resp_delay</t>
  </si>
  <si>
    <t>scan_tcp_ack_delay</t>
  </si>
  <si>
    <t>scan_uLTcpreorderingpacket_sum</t>
  </si>
  <si>
    <t>scan_dLTcpreorderingpacket_sum</t>
  </si>
  <si>
    <t>scan_uLTcpretranspacket_sum</t>
  </si>
  <si>
    <t>scan_dLTcpretranspacket_sum</t>
  </si>
  <si>
    <t>scan_ultcpreorderingpacketratio</t>
  </si>
  <si>
    <t>scan_dltcpreorderingpacketratio</t>
  </si>
  <si>
    <t>scan_ultcp_retranspacketratio</t>
  </si>
  <si>
    <t>scan_dltcp_retranspacketratio</t>
  </si>
  <si>
    <t>scan_bad_num</t>
  </si>
  <si>
    <t>scan_bad_rate</t>
  </si>
  <si>
    <t>质差话单占比</t>
  </si>
  <si>
    <t>paying_num</t>
  </si>
  <si>
    <t>paying_flux</t>
  </si>
  <si>
    <t>支付</t>
  </si>
  <si>
    <t>paying_duration</t>
  </si>
  <si>
    <t>paying_OutputOctets_sum</t>
  </si>
  <si>
    <t>paying_InputOctets_sum</t>
  </si>
  <si>
    <t>paying_InputPacket_sum</t>
  </si>
  <si>
    <t>paying_OutputPacket_sum</t>
  </si>
  <si>
    <t>paying_tcp_resp_delay</t>
  </si>
  <si>
    <t>paying_tcp_ack_delay</t>
  </si>
  <si>
    <t>paying_uLTcpreorderingpacket_sum</t>
  </si>
  <si>
    <t>paying_dLTcpreorderingpacket_sum</t>
  </si>
  <si>
    <t>paying_uLTcpretranspacket_sum</t>
  </si>
  <si>
    <t>paying_dLTcpretranspacket_sum</t>
  </si>
  <si>
    <t>paying_ultcpreorderingpacketratio</t>
  </si>
  <si>
    <t>paying_dltcpreorderingpacketratio</t>
  </si>
  <si>
    <t>paying_ultcp_retranspacketratio</t>
  </si>
  <si>
    <t>paying_dltcp_retranspacketratio</t>
  </si>
  <si>
    <t>paying_bad_num</t>
  </si>
  <si>
    <t>paying_bad_rate</t>
  </si>
  <si>
    <t>dns</t>
  </si>
  <si>
    <t>dnsqueryrsp_rate</t>
  </si>
  <si>
    <t>DNS查询成功率</t>
  </si>
  <si>
    <t>dns_duration</t>
  </si>
  <si>
    <t>dns时长</t>
  </si>
  <si>
    <t>sum(regis_req)</t>
  </si>
  <si>
    <t>sum(regis_suc)</t>
  </si>
  <si>
    <t>sum(regis_suc)/sum(regis_req)</t>
  </si>
  <si>
    <t>n1n2总话单数</t>
  </si>
  <si>
    <t>p_province</t>
  </si>
  <si>
    <t>用户4G小区app等多维度感知天表</t>
  </si>
  <si>
    <r>
      <rPr>
        <sz val="9"/>
        <rFont val="微软雅黑"/>
        <charset val="134"/>
      </rPr>
      <t>A</t>
    </r>
  </si>
  <si>
    <t xml:space="preserve">sum(ultcpretranspacket)/sum(outputpacket) </t>
  </si>
  <si>
    <t>(sum(ultcpretranspacket)+sum(dltcpretranspacket))/(sum(outputpacket)+sum(inputpacket))</t>
  </si>
  <si>
    <t xml:space="preserve">sum(avg_tcpsetupresponsedelay*tcpsetupresponsedelay_cnt)/sum(tcpsetupresponsedelay_cnt) </t>
  </si>
  <si>
    <t>sum(avg_tcpsetupackdelay*tcpsetupackdelay_cnt)/sum(tcpsetupackdelay_cnt)</t>
  </si>
  <si>
    <t>sum((avg_tcpsetupresponsedelay*tcpsetupresponsedelay_cnt+avg_tcpsetupackdelay*tcpsetupackdelay_cnt)/sum(tcpsetupresponsedelay_cnt+tcpsetupackdelay_cnt)*2</t>
  </si>
  <si>
    <t>sum(httpwebrspcount)/sum(httpwebreqcount)</t>
  </si>
  <si>
    <t>sum(dl_flux)*8000/(sum(httpwebdspdelay_avg)*1024)</t>
  </si>
  <si>
    <t>sum(avg_TCPSetupResponseDelay*httpwebrspcount)/sum(httpwebrspcount)</t>
  </si>
  <si>
    <t>sum(TCPSetupACKDelay_avg*httpwebrspcount)/sum(httpwebrspcount)</t>
  </si>
  <si>
    <t>sum(Delay_Setup_FirstTransaction_avg*httpwebrspcount)/sum(httpwebrspcount)</t>
  </si>
  <si>
    <t>sum(Delay_FirstTransaction_FirstResPackt_avg*httpwebrspcount)/sum(httpwebrspcount)</t>
  </si>
  <si>
    <t>sum(dnsquerydelay_avg*httpwebrspcount)/sum(httpwebrspcount)</t>
  </si>
  <si>
    <t>sum(delay_SYNtime_DNSResponseTime_avg*httpwebrspcount)/sum(httpwebrspcount)</t>
  </si>
  <si>
    <t>sum(httpwebrspdelay_avg*httpwebrspcount)/sum(httpwebrspcount)</t>
  </si>
  <si>
    <t>sum(httpwebdspdelay_avg*httpwebrspcount)/sum(httpwebrspcount)</t>
  </si>
  <si>
    <t>sum(httpwebscreendelay_avg*httpwebrspcount)/sum(httpwebrspcount)</t>
  </si>
  <si>
    <t>sum(delay_acktime_actiontime_avg*httpwebrspcount)/sum(httpwebrspcount)</t>
  </si>
  <si>
    <t>sum(delay_actiontime_firstpackettime_avg*httpwebrspcount)/sum(httpwebrspcount)</t>
  </si>
  <si>
    <t>sum(delay_actiontime_firstresptime_avg*httpwebrspcount)/sum(httpwebrspcount)</t>
  </si>
  <si>
    <t>sum(delay_lastpacktime_dnsortcp_avg*httpwebrspcount)/sum(httpwebrspcount)</t>
  </si>
  <si>
    <t>sum(delay_firstresptime_lastpacktime_avg*httpwebrspcount)/sum(httpwebrspcount)</t>
  </si>
  <si>
    <t>sum(delay_firstpackettime_pageopentime_avg*httpwebrspcount)/sum(httpwebrspcount)</t>
  </si>
  <si>
    <t>sum(delay_firstpackettime_lastpacktime_avg*httpwebrspcount)/sum(httpwebrspcount)</t>
  </si>
  <si>
    <t>sum(delay_lastpacktime_lastacktime_avg*httpwebrspcount)/sum(httpwebrspcount)</t>
  </si>
  <si>
    <t>sum(delay_FirstFinAckTime_lastacktime_avg*httpwebrspcount)/sum(httpwebrspcount)</t>
  </si>
  <si>
    <t>sum(RESPDELAY_avg*httpwebrspcount)/sum(httpwebrspcount)</t>
  </si>
  <si>
    <t>sum(ultcpreorderingpacket_sum+dltcpreorderingpacket_sum)/sum(inputpacket_sum+outputpacket_sum)</t>
  </si>
  <si>
    <t>sum(ultcpreorderingpacket_sum)/sum(outputpacket_sum)</t>
  </si>
  <si>
    <t>sum(dltcpreorderingpacket_sum)/sum(inputpacket_sum)</t>
  </si>
  <si>
    <t>sum(ultcpretranspacket_sum+dltcpretranspacket_sum)/sum(inputpacket_sum+outputpacket_sum)</t>
  </si>
  <si>
    <t>sum(dltcpretranspacket_sum)/sum(inputpacket_sum)</t>
  </si>
  <si>
    <t>avg</t>
  </si>
  <si>
    <t>用户5G小区app等多维度感知天表</t>
  </si>
  <si>
    <t>sum(dltcpretranspacket)/sum(inputpacket)    </t>
  </si>
  <si>
    <t>sum(ultcpreorderingpacket)/sum(outputpacket)  as ultcp_reordering_rate</t>
  </si>
  <si>
    <t>sum(dltcpreorderingpacket)/sum(inputpacket)  </t>
  </si>
  <si>
    <t>sum(avg_tcpsetupresponsedelay*tcpsetupresponsedelay_cnt)/sum(tcpsetupresponsedelay_cnt)</t>
  </si>
  <si>
    <t>sum(dl_flux)*8000/(sum(httpwebrspdelay_avg)*1024)</t>
  </si>
  <si>
    <t>sum(TCPSetupResponseDelay_avg*httpwebrspcount)/sum(httpwebrspcount)</t>
  </si>
  <si>
    <t>sum(delay_acktime_actiontime_avg*httpwebrspcount)/sum(httpwebrspcount)  </t>
  </si>
  <si>
    <t>sum(delay_firstresptime_lastpacktime_avg*httpwebrspcount)/sum(httpwebrspcount)  </t>
  </si>
  <si>
    <t>sum(dltcpretranspacket_sum)/sum(inputpacket_sum)  </t>
  </si>
  <si>
    <t>game_ULTCPReorderingPacket_sum</t>
  </si>
  <si>
    <t>game_DLTCPReorderingPacket_sum</t>
  </si>
  <si>
    <t>game_ULTCPRetransPacket_sum</t>
  </si>
  <si>
    <t>game_DLTCPRetransPacket_sum</t>
  </si>
  <si>
    <t>SUM(game_ULTCPReorderingPacket_sum)/SUM(game_OutputPacket_sum)</t>
  </si>
  <si>
    <t>SUM(game_DLTCPReorderingPacket_sum)/SUM(game_InputPacket_sum)</t>
  </si>
  <si>
    <t>SUM(game_ULTCPRetransPacket_sum)/SUM(game_OutputPacket_sum)</t>
  </si>
  <si>
    <t>SUM(game_DLTCPRetransPacket_sum)/SUM(game_InputPacket_sum)</t>
  </si>
  <si>
    <t>SUM(game_httpwebrspcount)/SUM(game_httpwebreqcount)</t>
  </si>
  <si>
    <t>SUM(times_abnormals_game)/(SUM(times_abnormals_game/game_abnormals_rate))</t>
  </si>
  <si>
    <t>SUM(web_ultcpreorderingpacket)/SUM(web_outputPacket_sum)</t>
  </si>
  <si>
    <t>SUM(web_dltcpreorderingpacket)/SUM(web_inputPacket_sum)</t>
  </si>
  <si>
    <t>SUM(web_ultcpretranspacket)/SUM(web_outputPacket_sum)</t>
  </si>
  <si>
    <t>SUM(web_dltcpretranspacket)/SUM(web_inputPacket_sum)</t>
  </si>
  <si>
    <t>SUM(avg_TCPSetupResponseDelay*httpwebrspcount)/SUM(httpwebrspcount)</t>
  </si>
  <si>
    <t>SUM(avg_TCPSetupACKDelay*httpwebrspcount)/SUM(httpwebrspcount)</t>
  </si>
  <si>
    <t>sum(web_times_abnormals)/sum(web_times_abnormals/web_times_abnormals_rate)</t>
  </si>
  <si>
    <t>SUM(im_ultcpreorderingpacket)/SUM(im_outputPacket_sum)</t>
  </si>
  <si>
    <t>SUM(im_dltcpreorderingpacket)/SUM(im_inputPacket_sum)</t>
  </si>
  <si>
    <t>SUM(im_ultcpretranspacket)/SUM(im_outputPacket_sum)</t>
  </si>
  <si>
    <t>SUM(im_dltcpretranspacket)/SUM(im_inputPacket_sum)</t>
  </si>
  <si>
    <t>SUM(im_msgsntsuccount)/SUM(im_msgsntreqcount)</t>
  </si>
  <si>
    <t>SUM(im_msgrcvsuccount)/SUM(im_msgrcvreqcount)</t>
  </si>
  <si>
    <t>sum(im_times_abnormals)/SUM(im_times)</t>
  </si>
  <si>
    <t>SUM(video_ultcpreorderingpacket)/SUM(video_outputPacket_sum)</t>
  </si>
  <si>
    <t>SUM(video_dltcpreorderingpacket)/SUM(video_inputPacket_sum)</t>
  </si>
  <si>
    <t>SUM(video_ultcpretranspacket)/SUM(video_outputPacket_sum)</t>
  </si>
  <si>
    <t>SUM(video_dltcpretranspacket)/SUM(video_inputPacket_sum)</t>
  </si>
  <si>
    <t>SUM(videoplaywaittime_avg*video_times)/SUM(videoplaytime_sum)</t>
  </si>
  <si>
    <t>sum(video_times_abnormals)/sum(video_times)</t>
  </si>
  <si>
    <t>total_rsrp_cnt</t>
  </si>
  <si>
    <t>sum(less110_rsrp_cnt)/sum(total_rsrp_cnt)</t>
  </si>
  <si>
    <t>sum(less105_rsrp_cnt)/sum(total_rsrp_cnt)</t>
  </si>
  <si>
    <t>total_rsrq_cnt</t>
  </si>
  <si>
    <t>sum(total_rsrq_cnt)/sum(total_rsrq_cnt)</t>
  </si>
  <si>
    <t>sum(less0_ulsinr_cnt)/sum(total_ulsinr_cnt)</t>
  </si>
  <si>
    <t>sum(less0_phr_cnt)/sum(total_phr_cnt)</t>
  </si>
  <si>
    <t>sum(less7_cqi_cnt)/sum(total_cqi_cnt)</t>
  </si>
  <si>
    <t>sum(rsrpless110_rsrqless13_cnt)/sum(rsrpless110_rsrqless13_cnt/rsrpless110_rsrqless13_ratio)</t>
  </si>
  <si>
    <t>sum(rsrpless110_rsrqmorethan13_cnt)/sum(rsrpless110_rsrqmorethan13_cnt/rsrpmorethan110_rsrqless13_ratio)</t>
  </si>
  <si>
    <t>sum(rsrpmorethan110_rsrqless13_cnt)/sum(rsrpmorethan110_rsrqless13_cnt/rsrpmorethan110_rsrqmorethan13_ratio)</t>
  </si>
  <si>
    <t>sum(rsrpmorethan110_rsrqmorethan13_cnt)/sum(rsrpmorethan110_rsrqmorethan13_cnt/totalmrlon)</t>
  </si>
  <si>
    <t>sum(totalmrlon)/sum(validlonlat_totalmrcount)</t>
  </si>
  <si>
    <t xml:space="preserve">sum(totalmrlat)/sum(validlonlat_totalmrcount) </t>
  </si>
  <si>
    <t>weakcover_mrcount</t>
  </si>
  <si>
    <t>overlap_mrcount</t>
  </si>
  <si>
    <t>overshoot_mrcount</t>
  </si>
  <si>
    <t>mod3interfer_mrcount</t>
  </si>
  <si>
    <t>sum(weakcover_mrcount)/sum(total_rsrp_cnt)</t>
  </si>
  <si>
    <t>sum(overlap_mrcount)/sum(total_rsrp_cnt)</t>
  </si>
  <si>
    <t>sum(overshoot_mrcount)/sum(total_rsrp_cnt)</t>
  </si>
  <si>
    <t>sum(mod3interfer_mrcount)/sum(total_rsrp_cnt)</t>
  </si>
  <si>
    <t>case when sum(is_rssi)&gt;0 then 1 when count(is_rssi)&gt;0 then 0 else null end</t>
  </si>
  <si>
    <t>case when sum(is_overload)&gt;0 then 1 when count(is_overload)&gt;0 then 0 else null end</t>
  </si>
  <si>
    <t>ho_attout</t>
  </si>
  <si>
    <r>
      <rPr>
        <sz val="9"/>
        <color rgb="FF000000"/>
        <rFont val="微软雅黑"/>
        <charset val="134"/>
      </rPr>
      <t>ho_succout</t>
    </r>
  </si>
  <si>
    <t>sum(ho_succout)/sum(ho_attout)</t>
  </si>
  <si>
    <t>max</t>
  </si>
  <si>
    <t>sum(puschprbtotmeanul)/sum(prb_ul_avail)</t>
  </si>
  <si>
    <t>sum(puschprbtotmeandl)/sum(prb_dl_avail)</t>
  </si>
  <si>
    <t>rrc_succconnreestab_rate</t>
  </si>
  <si>
    <t>sum(rrc_succconnreestab)/sum(rrc_attconnreestab)</t>
  </si>
  <si>
    <t>sum(pdcch_cce_occupied)/sum(pdcch_cce_assigned)</t>
  </si>
  <si>
    <t>sum(paging_s1_rx)/sum(paging_capacity)</t>
  </si>
  <si>
    <t>sum(paging_discard_num)/sum(paging_s1_rx)</t>
  </si>
  <si>
    <t>sum(s1sig_succconnestab)/sum(s1sig_attconnestab)</t>
  </si>
  <si>
    <t>sum(erab_initsuccestab+erab_addsuccestab)/sum(erab_initattestab+erab_addattestab)</t>
  </si>
  <si>
    <t>(case when sum(rrcsetupsuccesscount)/sum(rrcsetuprequestcount) is null then 1 else sum(rrcsetupsuccesscount)/sum(rrcsetuprequestcount) end) *sum(s1sig_succconnestab)/sum(s1sig_attconnestab)*sum(erab_initsuccestab+erab_addsuccestab)/sum(erab_initattestab+erab_addattestab)</t>
  </si>
  <si>
    <t>sum(uecntx_abnormrel)/sum(uecntx_abnormrel+uecntx_normrel)</t>
  </si>
  <si>
    <t>sum(erab_abnormrel)/sum(erab_abnormrel+erab_normrel)</t>
  </si>
  <si>
    <t>sum(pdcp_sdulosspktul)/sum(pdcp_sdupktul)</t>
  </si>
  <si>
    <t>sum(pdcp_sdulosspktdl)/sum(pdcp_sdupktdl)</t>
  </si>
  <si>
    <t>sum(pdcp_sdudiscardpktdl)/sum(pdcp_sdupktdl)</t>
  </si>
  <si>
    <t>sum(pdcp_sdutotdelaydl)/sum(pdcp_sdupktdl)</t>
  </si>
  <si>
    <t>sum(cell_unserv_time)/(24*60)</t>
  </si>
  <si>
    <t>sum(erab_abnormrel_qci1)/sum((erab_abnormrel_qci1+erab_normrel_qci1))</t>
  </si>
  <si>
    <t>sum(erab_abnormrel_qci2)/sum((erab_abnormrel_qci2+erab_normrel_qci2))</t>
  </si>
  <si>
    <t>sum(erab_abnormrel_qci5)/sum((erab_abnormrel_qci5+erab_normrel_qci5))</t>
  </si>
  <si>
    <t>sum((erab_initsuccestab_qci1+erab_addsuccestab_qci1))/sum((erab_initattestab_qci1+erab_addattestab_qci1))</t>
  </si>
  <si>
    <t>sum((erab_initsuccestab_qci2+erab_addsuccestab_qci2))/sum((erab_initattestab_qci2+erab_addattestab_qci2))</t>
  </si>
  <si>
    <t>sum((erab_initsuccestab_qci5+erab_addsuccestab_qci5))/sum((erab_initattestab_qci5+erab_addattestab_qci5))</t>
  </si>
  <si>
    <t>sum(pdcp_sdulosspktul_qci1)/sum(pdcp_sdupktul_qci1)</t>
  </si>
  <si>
    <t>sum(pdcp_sdulosspktul_qci2)/sum(pdcp_sdupktul_qci2)</t>
  </si>
  <si>
    <t>sum(pdcp_sdulosspktul_qci5)/sum(pdcp_sdupktul_qci5)</t>
  </si>
  <si>
    <t>sum(pdcp_sdulosspktdl_qci1)/sum(pdcp_sdupktdl_qci1)</t>
  </si>
  <si>
    <t>sum(pdcp_sdulosspktdl_qci2)/sum(pdcp_sdupktdl_qci2)</t>
  </si>
  <si>
    <t>sum(pdcp_sdulosspktdl_qci5)/sum(pdcp_sdupktdl_qci5)</t>
  </si>
  <si>
    <t>sum(pdcp_sdudiscardpktdl_qci1)/sum(pdcp_sdupktdl_qci1)</t>
  </si>
  <si>
    <t>sum(pdcp_sdudiscardpktdl_qci2)/sum(pdcp_sdupktdl_qci2)</t>
  </si>
  <si>
    <t>sum(pdcp_sdudiscardpktdl_qci5)/sum(pdcp_sdupktdl_qci5)</t>
  </si>
  <si>
    <t>sum(pdcp_sdutotdelaydl_qci1)/sum(pdcp_sdupktdl_qci1)</t>
  </si>
  <si>
    <t>sum(pdcp_sdutotdelaydl_qci2)/sum(pdcp_sdupktdl_qci2)</t>
  </si>
  <si>
    <t>sum(pdcp_sdutotdelaydl_qci5)/sum(pdcp_sdupktdl_qci5)</t>
  </si>
  <si>
    <t>45G-MR</t>
  </si>
  <si>
    <t>详单</t>
  </si>
  <si>
    <t>存储用户的经纬度信息</t>
  </si>
  <si>
    <t>hdfs</t>
  </si>
  <si>
    <t>测量时间，示例：2017-07-17T00:55:000</t>
  </si>
  <si>
    <t>integer</t>
  </si>
  <si>
    <t>基站ID</t>
  </si>
  <si>
    <t>plmn</t>
  </si>
  <si>
    <t>UE 接入E-utran网络使用的PLMN</t>
  </si>
  <si>
    <t>服务小区Rsrp</t>
  </si>
  <si>
    <t>tinyint</t>
  </si>
  <si>
    <t>服务小区Rsrq</t>
  </si>
  <si>
    <t>ta</t>
  </si>
  <si>
    <t>默认TUeCmacLocation.swTaDvType1 V3.4后开启TAResult开关，
输出TUeCmacLocation.TAResult/16</t>
  </si>
  <si>
    <t>mrlon</t>
  </si>
  <si>
    <t>MR 经度 非AGPS数据定位回填</t>
  </si>
  <si>
    <t>mrlat</t>
  </si>
  <si>
    <t>MR 纬度 非AGPS数据定位回填</t>
  </si>
  <si>
    <t>locationtype</t>
  </si>
  <si>
    <t>定位类型</t>
  </si>
  <si>
    <t>RegionID</t>
  </si>
  <si>
    <t>x_offset_original</t>
  </si>
  <si>
    <t>X偏移</t>
  </si>
  <si>
    <t>y_offset_original</t>
  </si>
  <si>
    <t>Y偏移</t>
  </si>
  <si>
    <t>p_region</t>
  </si>
  <si>
    <t>厂商信息</t>
  </si>
  <si>
    <t>厂商分区</t>
  </si>
  <si>
    <t>15分钟分区</t>
  </si>
  <si>
    <t>数据库索引</t>
  </si>
  <si>
    <t>数据加工逻辑：
1、首先根据mdn分组
2、组内根据时间进行分段，间隔15分钟没没有mr上报，视为一段
3、根据开始时间排序，生成路段id</t>
  </si>
  <si>
    <t>用户路段id，例如13512123456#20240904#1</t>
  </si>
  <si>
    <t>反转(mdn)#(p_date)#segment_rn</t>
  </si>
  <si>
    <t>反转是为了避免数据倾斜</t>
  </si>
  <si>
    <t>单用户15分钟内没有上报mr，或者识别为停驻，则生成新的路段id</t>
  </si>
  <si>
    <t>start_cell_key</t>
  </si>
  <si>
    <t>开始小区，示例12432_1</t>
  </si>
  <si>
    <t>end_cell_key</t>
  </si>
  <si>
    <t>结束小区，示例12432_1</t>
  </si>
  <si>
    <t>is_infer</t>
  </si>
  <si>
    <t>是否为推测路段，1是，0否</t>
  </si>
  <si>
    <t>当两个相邻mr在时间上断开15分钟，且距离超过2km，则标注为1，否则为0</t>
  </si>
  <si>
    <t>action_type</t>
  </si>
  <si>
    <t>1:移动，0：停驻</t>
  </si>
  <si>
    <t>0：该行程内用户停驻在同一个点附近</t>
  </si>
  <si>
    <t>date_time</t>
  </si>
  <si>
    <t>数据时间</t>
  </si>
  <si>
    <t>对start_time进行格式化</t>
  </si>
  <si>
    <t>示例：2017-07-17T00:55:000</t>
  </si>
  <si>
    <t>etl_time</t>
  </si>
  <si>
    <t>加工时间</t>
  </si>
  <si>
    <t>数据处理逻辑：
1、根据mdn分组
2、组内根据时间进行分段，间隔10分钟没没有mr上报，视为一段
3、分段进行动静识别，然后打标
4、分别对静止点和运动点进行滤波</t>
  </si>
  <si>
    <t>反转(mdn)#p_date#segment_rn</t>
  </si>
  <si>
    <t>运动状态，0：静止，1：运动</t>
  </si>
  <si>
    <t>使用dbscan进行动静识别打标</t>
  </si>
  <si>
    <t>stop_rn</t>
  </si>
  <si>
    <t>用户停留次序，如1、2、3</t>
  </si>
  <si>
    <t>对打标为静止的点进行分类，按照时间排序</t>
  </si>
  <si>
    <t>speed</t>
  </si>
  <si>
    <t>速度，m/s</t>
  </si>
  <si>
    <t>与前一个点的距离/时间</t>
  </si>
  <si>
    <t>lon_predict</t>
  </si>
  <si>
    <t>滤波后的经度</t>
  </si>
  <si>
    <t>lat_predict</t>
  </si>
  <si>
    <t>滤波后的纬度</t>
  </si>
  <si>
    <t>将修正后的lon、lat映射到路网端点上</t>
  </si>
  <si>
    <t>date_time_format</t>
  </si>
  <si>
    <t>数据时间（格式化后）</t>
  </si>
  <si>
    <t>表加工时间（示例：2017-07-17T00:55:000）</t>
  </si>
  <si>
    <t>45G融合感知</t>
  </si>
  <si>
    <t>1、取滤波后的经纬度
2、静止的多个点只保留一个
3、运动的点匹配到多个道路</t>
  </si>
  <si>
    <t>List&lt;long&gt;</t>
  </si>
  <si>
    <t>测量时间，同一个端点有多个时间时，用$隔开</t>
  </si>
  <si>
    <t>float</t>
  </si>
  <si>
    <t>取平均值</t>
  </si>
  <si>
    <t>基站enodebid</t>
  </si>
  <si>
    <t>基站cellid</t>
  </si>
  <si>
    <t>mr 个数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</si>
</sst>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4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等线"/>
      <charset val="134"/>
      <scheme val="minor"/>
    </font>
    <font>
      <sz val="9"/>
      <name val="微软雅黑"/>
      <charset val="134"/>
    </font>
    <font>
      <b/>
      <i/>
      <sz val="9"/>
      <name val="微软雅黑"/>
      <charset val="134"/>
    </font>
    <font>
      <b/>
      <sz val="9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i/>
      <sz val="12"/>
      <name val="微软雅黑"/>
      <charset val="134"/>
    </font>
    <font>
      <b/>
      <sz val="10"/>
      <name val="微软雅黑"/>
      <charset val="134"/>
    </font>
    <font>
      <sz val="9"/>
      <color indexed="8"/>
      <name val="微软雅黑"/>
      <charset val="134"/>
    </font>
    <font>
      <sz val="10"/>
      <name val="微软雅黑"/>
      <charset val="134"/>
    </font>
    <font>
      <sz val="11"/>
      <color rgb="FF000000"/>
      <name val="微软雅黑"/>
      <charset val="134"/>
    </font>
    <font>
      <sz val="11"/>
      <color rgb="FFCCCCCC"/>
      <name val="微软雅黑"/>
      <charset val="134"/>
    </font>
    <font>
      <u/>
      <sz val="11"/>
      <color rgb="FF800080"/>
      <name val="等线"/>
      <charset val="134"/>
      <scheme val="minor"/>
    </font>
    <font>
      <sz val="10"/>
      <color indexed="8"/>
      <name val="微软雅黑"/>
      <charset val="134"/>
    </font>
    <font>
      <strike/>
      <sz val="9"/>
      <color indexed="8"/>
      <name val="微软雅黑"/>
      <charset val="134"/>
    </font>
    <font>
      <sz val="10"/>
      <color indexed="8"/>
      <name val="宋体"/>
      <charset val="134"/>
    </font>
    <font>
      <sz val="11"/>
      <color indexed="8"/>
      <name val="等线"/>
      <charset val="134"/>
    </font>
    <font>
      <sz val="11"/>
      <color rgb="FFDCDCAA"/>
      <name val="微软雅黑"/>
      <charset val="134"/>
    </font>
    <font>
      <sz val="9"/>
      <color rgb="FF569CD6"/>
      <name val="微软雅黑"/>
      <charset val="134"/>
    </font>
    <font>
      <sz val="9"/>
      <color rgb="FFCCCCCC"/>
      <name val="微软雅黑"/>
      <charset val="134"/>
    </font>
    <font>
      <sz val="11"/>
      <color rgb="FF000000"/>
      <name val="等线"/>
      <charset val="134"/>
    </font>
    <font>
      <sz val="12"/>
      <color rgb="FF839496"/>
      <name val="微软雅黑"/>
      <charset val="134"/>
    </font>
    <font>
      <sz val="12"/>
      <color rgb="FF268BD2"/>
      <name val="微软雅黑"/>
      <charset val="134"/>
    </font>
    <font>
      <b/>
      <sz val="11"/>
      <color rgb="FF000000"/>
      <name val="微软雅黑"/>
      <charset val="134"/>
    </font>
    <font>
      <sz val="11"/>
      <color indexed="8"/>
      <name val="等线"/>
      <charset val="134"/>
      <scheme val="minor"/>
    </font>
    <font>
      <sz val="11"/>
      <color indexed="8"/>
      <name val="微软雅黑"/>
      <charset val="134"/>
    </font>
    <font>
      <b/>
      <i/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10"/>
      <color theme="1"/>
      <name val="微软雅黑"/>
      <charset val="134"/>
    </font>
    <font>
      <b/>
      <i/>
      <sz val="10"/>
      <name val="微软雅黑"/>
      <charset val="134"/>
    </font>
    <font>
      <sz val="9"/>
      <color theme="1"/>
      <name val="等线"/>
      <charset val="134"/>
      <scheme val="minor"/>
    </font>
    <font>
      <b/>
      <sz val="9"/>
      <color indexed="8"/>
      <name val="微软雅黑"/>
      <charset val="134"/>
    </font>
    <font>
      <u/>
      <sz val="9"/>
      <color rgb="FF800080"/>
      <name val="微软雅黑"/>
      <charset val="134"/>
    </font>
    <font>
      <sz val="10"/>
      <color indexed="20"/>
      <name val="微软雅黑"/>
      <charset val="134"/>
    </font>
    <font>
      <u/>
      <sz val="9"/>
      <color rgb="FF0000FF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name val="Calibri"/>
      <charset val="134"/>
    </font>
    <font>
      <sz val="11"/>
      <color rgb="FF569CD6"/>
      <name val="微软雅黑"/>
      <charset val="134"/>
    </font>
    <font>
      <sz val="11"/>
      <color rgb="FFD4D4D4"/>
      <name val="微软雅黑"/>
      <charset val="134"/>
    </font>
    <font>
      <sz val="11"/>
      <color rgb="FFB5CEA8"/>
      <name val="微软雅黑"/>
      <charset val="134"/>
    </font>
  </fonts>
  <fills count="5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24" borderId="15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7" fillId="0" borderId="1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5" borderId="18" applyNumberFormat="0" applyAlignment="0" applyProtection="0">
      <alignment vertical="center"/>
    </xf>
    <xf numFmtId="0" fontId="49" fillId="26" borderId="19" applyNumberFormat="0" applyAlignment="0" applyProtection="0">
      <alignment vertical="center"/>
    </xf>
    <xf numFmtId="0" fontId="50" fillId="26" borderId="18" applyNumberFormat="0" applyAlignment="0" applyProtection="0">
      <alignment vertical="center"/>
    </xf>
    <xf numFmtId="0" fontId="51" fillId="27" borderId="20" applyNumberFormat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7" fillId="53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59" fillId="0" borderId="0"/>
    <xf numFmtId="0" fontId="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0" fillId="0" borderId="0">
      <alignment vertical="center"/>
    </xf>
    <xf numFmtId="0" fontId="60" fillId="0" borderId="0"/>
    <xf numFmtId="0" fontId="0" fillId="0" borderId="0">
      <alignment vertical="center"/>
    </xf>
  </cellStyleXfs>
  <cellXfs count="490">
    <xf numFmtId="0" fontId="0" fillId="0" borderId="0" xfId="0">
      <alignment vertical="center"/>
    </xf>
    <xf numFmtId="0" fontId="0" fillId="0" borderId="1" xfId="49" applyBorder="1">
      <alignment vertical="center"/>
    </xf>
    <xf numFmtId="0" fontId="1" fillId="0" borderId="1" xfId="49" applyFont="1" applyBorder="1">
      <alignment vertical="center"/>
    </xf>
    <xf numFmtId="0" fontId="0" fillId="0" borderId="2" xfId="49" applyBorder="1">
      <alignment vertical="center"/>
    </xf>
    <xf numFmtId="0" fontId="0" fillId="0" borderId="0" xfId="49" applyAlignment="1">
      <alignment horizontal="center" vertical="center"/>
    </xf>
    <xf numFmtId="0" fontId="0" fillId="0" borderId="0" xfId="49">
      <alignment vertical="center"/>
    </xf>
    <xf numFmtId="0" fontId="2" fillId="0" borderId="1" xfId="49" applyFont="1" applyBorder="1" applyAlignment="1">
      <alignment horizontal="center" vertical="center"/>
    </xf>
    <xf numFmtId="0" fontId="3" fillId="2" borderId="1" xfId="6" applyNumberFormat="1" applyFill="1" applyBorder="1" applyAlignment="1" applyProtection="1">
      <alignment horizontal="center" vertical="center"/>
    </xf>
    <xf numFmtId="0" fontId="4" fillId="3" borderId="1" xfId="49" applyFont="1" applyFill="1" applyBorder="1" applyAlignment="1">
      <alignment horizontal="center" vertical="center" wrapText="1"/>
    </xf>
    <xf numFmtId="0" fontId="5" fillId="4" borderId="1" xfId="49" applyFont="1" applyFill="1" applyBorder="1" applyAlignment="1">
      <alignment horizontal="center" vertical="center" wrapText="1"/>
    </xf>
    <xf numFmtId="0" fontId="6" fillId="5" borderId="1" xfId="49" applyFont="1" applyFill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/>
    </xf>
    <xf numFmtId="0" fontId="2" fillId="0" borderId="1" xfId="57" applyFont="1" applyBorder="1" applyAlignment="1">
      <alignment horizontal="center" vertical="center"/>
    </xf>
    <xf numFmtId="0" fontId="2" fillId="2" borderId="1" xfId="49" applyFont="1" applyFill="1" applyBorder="1" applyAlignment="1">
      <alignment horizontal="center" wrapText="1"/>
    </xf>
    <xf numFmtId="0" fontId="6" fillId="5" borderId="1" xfId="49" applyFont="1" applyFill="1" applyBorder="1" applyAlignment="1">
      <alignment horizontal="center" vertical="center"/>
    </xf>
    <xf numFmtId="0" fontId="7" fillId="0" borderId="1" xfId="49" applyFont="1" applyBorder="1" applyAlignment="1">
      <alignment horizontal="center" vertical="center"/>
    </xf>
    <xf numFmtId="0" fontId="4" fillId="0" borderId="1" xfId="54" applyFont="1" applyBorder="1" applyAlignment="1">
      <alignment horizontal="center" vertical="center"/>
    </xf>
    <xf numFmtId="0" fontId="2" fillId="0" borderId="1" xfId="56" applyFont="1" applyBorder="1" applyAlignment="1">
      <alignment horizontal="center" vertical="center"/>
    </xf>
    <xf numFmtId="0" fontId="4" fillId="0" borderId="1" xfId="56" applyFont="1" applyBorder="1" applyAlignment="1">
      <alignment horizontal="center" vertical="center"/>
    </xf>
    <xf numFmtId="0" fontId="2" fillId="2" borderId="1" xfId="49" applyFont="1" applyFill="1" applyBorder="1" applyAlignment="1">
      <alignment horizontal="left" vertical="center"/>
    </xf>
    <xf numFmtId="0" fontId="4" fillId="2" borderId="1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 wrapText="1"/>
    </xf>
    <xf numFmtId="0" fontId="4" fillId="2" borderId="1" xfId="49" applyFont="1" applyFill="1" applyBorder="1" applyAlignment="1">
      <alignment horizontal="center" vertical="center" wrapText="1"/>
    </xf>
    <xf numFmtId="0" fontId="8" fillId="0" borderId="1" xfId="49" applyFont="1" applyBorder="1" applyAlignment="1">
      <alignment horizontal="center" vertical="center" wrapText="1"/>
    </xf>
    <xf numFmtId="0" fontId="2" fillId="6" borderId="1" xfId="49" applyFont="1" applyFill="1" applyBorder="1" applyAlignment="1">
      <alignment horizontal="center" vertical="center"/>
    </xf>
    <xf numFmtId="0" fontId="2" fillId="0" borderId="2" xfId="49" applyFont="1" applyBorder="1" applyAlignment="1">
      <alignment horizontal="center" vertical="center"/>
    </xf>
    <xf numFmtId="0" fontId="2" fillId="6" borderId="2" xfId="49" applyFont="1" applyFill="1" applyBorder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2" fillId="0" borderId="1" xfId="49" applyFont="1" applyBorder="1">
      <alignment vertical="center"/>
    </xf>
    <xf numFmtId="0" fontId="2" fillId="0" borderId="2" xfId="49" applyFont="1" applyBorder="1">
      <alignment vertical="center"/>
    </xf>
    <xf numFmtId="0" fontId="2" fillId="0" borderId="0" xfId="49" applyFont="1">
      <alignment vertical="center"/>
    </xf>
    <xf numFmtId="0" fontId="0" fillId="0" borderId="1" xfId="49" applyBorder="1" applyAlignment="1">
      <alignment horizontal="center" vertical="center"/>
    </xf>
    <xf numFmtId="0" fontId="2" fillId="0" borderId="1" xfId="49" applyFont="1" applyBorder="1" applyAlignment="1">
      <alignment horizontal="center"/>
    </xf>
    <xf numFmtId="0" fontId="4" fillId="7" borderId="1" xfId="54" applyFont="1" applyFill="1" applyBorder="1" applyAlignment="1">
      <alignment horizontal="center" vertical="center"/>
    </xf>
    <xf numFmtId="0" fontId="1" fillId="0" borderId="0" xfId="49" applyFont="1">
      <alignment vertical="center"/>
    </xf>
    <xf numFmtId="0" fontId="9" fillId="0" borderId="1" xfId="49" applyFont="1" applyBorder="1" applyAlignment="1">
      <alignment horizontal="center" vertical="center"/>
    </xf>
    <xf numFmtId="0" fontId="1" fillId="6" borderId="1" xfId="49" applyFont="1" applyFill="1" applyBorder="1" applyAlignment="1">
      <alignment horizontal="center" vertical="center"/>
    </xf>
    <xf numFmtId="0" fontId="1" fillId="6" borderId="2" xfId="49" applyFont="1" applyFill="1" applyBorder="1" applyAlignment="1">
      <alignment horizontal="center" vertical="center"/>
    </xf>
    <xf numFmtId="0" fontId="10" fillId="0" borderId="0" xfId="53" applyFont="1">
      <alignment vertical="center"/>
    </xf>
    <xf numFmtId="0" fontId="11" fillId="0" borderId="0" xfId="57" applyFont="1" applyAlignment="1">
      <alignment horizontal="center" vertical="center"/>
    </xf>
    <xf numFmtId="0" fontId="11" fillId="0" borderId="0" xfId="57" applyFont="1">
      <alignment vertical="center"/>
    </xf>
    <xf numFmtId="0" fontId="3" fillId="2" borderId="1" xfId="6" applyNumberFormat="1" applyFill="1" applyBorder="1" applyAlignment="1" applyProtection="1">
      <alignment vertical="center"/>
    </xf>
    <xf numFmtId="0" fontId="10" fillId="0" borderId="1" xfId="53" applyFont="1" applyBorder="1" applyAlignment="1">
      <alignment vertical="center" wrapText="1"/>
    </xf>
    <xf numFmtId="0" fontId="10" fillId="0" borderId="1" xfId="53" applyFont="1" applyBorder="1" applyAlignment="1">
      <alignment horizontal="center" vertical="center"/>
    </xf>
    <xf numFmtId="0" fontId="10" fillId="0" borderId="1" xfId="53" applyFont="1" applyBorder="1">
      <alignment vertical="center"/>
    </xf>
    <xf numFmtId="0" fontId="10" fillId="0" borderId="3" xfId="53" applyFont="1" applyBorder="1" applyAlignment="1">
      <alignment vertical="center" wrapText="1"/>
    </xf>
    <xf numFmtId="0" fontId="12" fillId="4" borderId="1" xfId="57" applyFont="1" applyFill="1" applyBorder="1" applyAlignment="1">
      <alignment horizontal="center" vertical="center" wrapText="1"/>
    </xf>
    <xf numFmtId="0" fontId="13" fillId="5" borderId="1" xfId="57" applyFont="1" applyFill="1" applyBorder="1" applyAlignment="1">
      <alignment horizontal="center" vertical="center" wrapText="1"/>
    </xf>
    <xf numFmtId="0" fontId="14" fillId="0" borderId="1" xfId="57" applyFont="1" applyBorder="1" applyAlignment="1">
      <alignment vertical="center" wrapText="1"/>
    </xf>
    <xf numFmtId="0" fontId="4" fillId="0" borderId="1" xfId="57" applyFont="1" applyBorder="1" applyAlignment="1">
      <alignment horizontal="center" vertical="center" wrapText="1"/>
    </xf>
    <xf numFmtId="0" fontId="15" fillId="3" borderId="1" xfId="57" applyFont="1" applyFill="1" applyBorder="1" applyAlignment="1">
      <alignment horizontal="center" vertical="center" wrapText="1"/>
    </xf>
    <xf numFmtId="0" fontId="13" fillId="5" borderId="1" xfId="57" applyFont="1" applyFill="1" applyBorder="1" applyAlignment="1">
      <alignment horizontal="center" vertical="center"/>
    </xf>
    <xf numFmtId="0" fontId="2" fillId="0" borderId="1" xfId="51" applyFont="1" applyBorder="1" applyAlignment="1">
      <alignment vertical="center"/>
    </xf>
    <xf numFmtId="0" fontId="2" fillId="0" borderId="1" xfId="57" applyFont="1" applyBorder="1">
      <alignment vertical="center"/>
    </xf>
    <xf numFmtId="0" fontId="5" fillId="8" borderId="4" xfId="57" applyFont="1" applyFill="1" applyBorder="1" applyAlignment="1">
      <alignment horizontal="center" vertical="center" wrapText="1"/>
    </xf>
    <xf numFmtId="0" fontId="5" fillId="8" borderId="5" xfId="57" applyFont="1" applyFill="1" applyBorder="1" applyAlignment="1">
      <alignment horizontal="center" vertical="center" wrapText="1"/>
    </xf>
    <xf numFmtId="0" fontId="6" fillId="5" borderId="1" xfId="57" applyFont="1" applyFill="1" applyBorder="1" applyAlignment="1">
      <alignment horizontal="center" vertical="center" wrapText="1"/>
    </xf>
    <xf numFmtId="0" fontId="14" fillId="0" borderId="1" xfId="57" applyFont="1" applyBorder="1">
      <alignment vertical="center"/>
    </xf>
    <xf numFmtId="0" fontId="14" fillId="9" borderId="1" xfId="57" applyFont="1" applyFill="1" applyBorder="1">
      <alignment vertical="center"/>
    </xf>
    <xf numFmtId="0" fontId="7" fillId="0" borderId="6" xfId="57" applyFont="1" applyBorder="1">
      <alignment vertical="center"/>
    </xf>
    <xf numFmtId="0" fontId="5" fillId="8" borderId="3" xfId="57" applyFont="1" applyFill="1" applyBorder="1" applyAlignment="1">
      <alignment horizontal="center" vertical="center" wrapText="1"/>
    </xf>
    <xf numFmtId="0" fontId="7" fillId="0" borderId="7" xfId="57" applyFont="1" applyBorder="1" applyAlignment="1">
      <alignment horizontal="center" vertical="center" wrapText="1"/>
    </xf>
    <xf numFmtId="0" fontId="7" fillId="0" borderId="6" xfId="57" applyFont="1" applyBorder="1" applyAlignment="1">
      <alignment horizontal="center" vertical="center"/>
    </xf>
    <xf numFmtId="0" fontId="8" fillId="0" borderId="1" xfId="57" applyFont="1" applyBorder="1">
      <alignment vertical="center"/>
    </xf>
    <xf numFmtId="0" fontId="7" fillId="0" borderId="8" xfId="57" applyFont="1" applyBorder="1">
      <alignment vertical="center"/>
    </xf>
    <xf numFmtId="0" fontId="4" fillId="0" borderId="1" xfId="57" applyFont="1" applyBorder="1">
      <alignment vertical="center"/>
    </xf>
    <xf numFmtId="0" fontId="7" fillId="0" borderId="1" xfId="57" applyFont="1" applyBorder="1">
      <alignment vertical="center"/>
    </xf>
    <xf numFmtId="0" fontId="7" fillId="0" borderId="7" xfId="57" applyFont="1" applyBorder="1">
      <alignment vertical="center"/>
    </xf>
    <xf numFmtId="0" fontId="7" fillId="0" borderId="9" xfId="57" applyFont="1" applyBorder="1" applyAlignment="1">
      <alignment horizontal="center" vertical="center" wrapText="1"/>
    </xf>
    <xf numFmtId="0" fontId="7" fillId="0" borderId="6" xfId="57" applyFont="1" applyBorder="1" applyAlignment="1">
      <alignment horizontal="center" vertical="center" wrapText="1"/>
    </xf>
    <xf numFmtId="0" fontId="14" fillId="0" borderId="1" xfId="55" applyFont="1" applyBorder="1">
      <alignment vertical="center"/>
    </xf>
    <xf numFmtId="0" fontId="11" fillId="0" borderId="1" xfId="57" applyFont="1" applyBorder="1" applyAlignment="1">
      <alignment horizontal="center" vertical="center"/>
    </xf>
    <xf numFmtId="0" fontId="11" fillId="0" borderId="1" xfId="57" applyFont="1" applyBorder="1">
      <alignment vertical="center"/>
    </xf>
    <xf numFmtId="0" fontId="0" fillId="0" borderId="0" xfId="57">
      <alignment vertical="center"/>
    </xf>
    <xf numFmtId="0" fontId="16" fillId="0" borderId="0" xfId="57" applyFont="1" applyAlignment="1">
      <alignment horizontal="center" vertical="center"/>
    </xf>
    <xf numFmtId="0" fontId="3" fillId="10" borderId="1" xfId="6" applyFill="1" applyBorder="1" applyAlignment="1">
      <alignment vertical="center" wrapText="1"/>
    </xf>
    <xf numFmtId="0" fontId="15" fillId="10" borderId="3" xfId="57" applyFont="1" applyFill="1" applyBorder="1" applyAlignment="1">
      <alignment vertical="center" wrapText="1"/>
    </xf>
    <xf numFmtId="0" fontId="12" fillId="11" borderId="1" xfId="57" applyFont="1" applyFill="1" applyBorder="1" applyAlignment="1">
      <alignment horizontal="center" vertical="center" wrapText="1"/>
    </xf>
    <xf numFmtId="0" fontId="13" fillId="12" borderId="7" xfId="57" applyFont="1" applyFill="1" applyBorder="1" applyAlignment="1">
      <alignment horizontal="center" vertical="center" wrapText="1"/>
    </xf>
    <xf numFmtId="0" fontId="13" fillId="12" borderId="6" xfId="57" applyFont="1" applyFill="1" applyBorder="1" applyAlignment="1">
      <alignment horizontal="center" vertical="center" wrapText="1"/>
    </xf>
    <xf numFmtId="0" fontId="7" fillId="0" borderId="7" xfId="57" applyFont="1" applyBorder="1" applyAlignment="1">
      <alignment horizontal="center" vertical="center"/>
    </xf>
    <xf numFmtId="0" fontId="7" fillId="0" borderId="6" xfId="57" applyFont="1" applyBorder="1" applyAlignment="1">
      <alignment vertical="center" wrapText="1"/>
    </xf>
    <xf numFmtId="0" fontId="2" fillId="0" borderId="1" xfId="55" applyFont="1" applyBorder="1" applyAlignment="1">
      <alignment horizontal="center" vertical="center"/>
    </xf>
    <xf numFmtId="0" fontId="4" fillId="0" borderId="6" xfId="57" applyFont="1" applyBorder="1" applyAlignment="1">
      <alignment horizontal="center" vertical="center" wrapText="1"/>
    </xf>
    <xf numFmtId="0" fontId="15" fillId="10" borderId="7" xfId="57" applyFont="1" applyFill="1" applyBorder="1" applyAlignment="1">
      <alignment horizontal="center" vertical="center" wrapText="1"/>
    </xf>
    <xf numFmtId="0" fontId="15" fillId="10" borderId="6" xfId="57" applyFont="1" applyFill="1" applyBorder="1" applyAlignment="1">
      <alignment horizontal="center" vertical="center" wrapText="1"/>
    </xf>
    <xf numFmtId="0" fontId="13" fillId="12" borderId="7" xfId="57" applyFont="1" applyFill="1" applyBorder="1" applyAlignment="1">
      <alignment horizontal="center" vertical="center"/>
    </xf>
    <xf numFmtId="0" fontId="13" fillId="12" borderId="6" xfId="57" applyFont="1" applyFill="1" applyBorder="1" applyAlignment="1">
      <alignment horizontal="center" vertical="center"/>
    </xf>
    <xf numFmtId="0" fontId="7" fillId="0" borderId="10" xfId="57" applyFont="1" applyBorder="1" applyAlignment="1">
      <alignment horizontal="center" vertical="center" wrapText="1"/>
    </xf>
    <xf numFmtId="0" fontId="17" fillId="0" borderId="0" xfId="57" applyFont="1">
      <alignment vertical="center"/>
    </xf>
    <xf numFmtId="0" fontId="5" fillId="13" borderId="11" xfId="57" applyFont="1" applyFill="1" applyBorder="1" applyAlignment="1">
      <alignment horizontal="center" vertical="center" wrapText="1"/>
    </xf>
    <xf numFmtId="0" fontId="6" fillId="12" borderId="7" xfId="57" applyFont="1" applyFill="1" applyBorder="1" applyAlignment="1">
      <alignment horizontal="center" vertical="center" wrapText="1"/>
    </xf>
    <xf numFmtId="0" fontId="6" fillId="12" borderId="6" xfId="57" applyFont="1" applyFill="1" applyBorder="1" applyAlignment="1">
      <alignment horizontal="center" vertical="center" wrapText="1"/>
    </xf>
    <xf numFmtId="0" fontId="16" fillId="0" borderId="0" xfId="57" applyFont="1" applyAlignment="1">
      <alignment horizontal="left" vertical="center"/>
    </xf>
    <xf numFmtId="0" fontId="7" fillId="0" borderId="6" xfId="57" applyFont="1" applyBorder="1" applyAlignment="1">
      <alignment wrapText="1"/>
    </xf>
    <xf numFmtId="0" fontId="7" fillId="9" borderId="7" xfId="57" applyFont="1" applyFill="1" applyBorder="1">
      <alignment vertical="center"/>
    </xf>
    <xf numFmtId="0" fontId="4" fillId="0" borderId="7" xfId="57" applyFont="1" applyBorder="1">
      <alignment vertical="center"/>
    </xf>
    <xf numFmtId="0" fontId="7" fillId="0" borderId="7" xfId="57" applyFont="1" applyBorder="1" applyAlignment="1">
      <alignment vertical="center" wrapText="1"/>
    </xf>
    <xf numFmtId="0" fontId="16" fillId="0" borderId="0" xfId="57" applyFont="1">
      <alignment vertical="center"/>
    </xf>
    <xf numFmtId="0" fontId="7" fillId="0" borderId="6" xfId="57" applyFont="1" applyBorder="1" applyAlignment="1">
      <alignment horizontal="left" vertical="center"/>
    </xf>
    <xf numFmtId="0" fontId="8" fillId="0" borderId="6" xfId="57" applyFont="1" applyBorder="1" applyAlignment="1">
      <alignment horizontal="center" vertical="center" wrapText="1"/>
    </xf>
    <xf numFmtId="0" fontId="7" fillId="14" borderId="7" xfId="57" applyFont="1" applyFill="1" applyBorder="1">
      <alignment vertical="center"/>
    </xf>
    <xf numFmtId="0" fontId="7" fillId="0" borderId="6" xfId="57" applyFont="1" applyBorder="1" applyAlignment="1">
      <alignment horizontal="left" wrapText="1"/>
    </xf>
    <xf numFmtId="0" fontId="7" fillId="0" borderId="1" xfId="57" applyFont="1" applyBorder="1" applyAlignment="1">
      <alignment horizontal="left" vertical="center"/>
    </xf>
    <xf numFmtId="0" fontId="18" fillId="0" borderId="0" xfId="6" applyFont="1" applyAlignment="1">
      <alignment horizontal="left" vertical="center"/>
    </xf>
    <xf numFmtId="0" fontId="14" fillId="0" borderId="0" xfId="57" applyFont="1" applyAlignment="1">
      <alignment vertical="center" wrapText="1"/>
    </xf>
    <xf numFmtId="0" fontId="2" fillId="0" borderId="0" xfId="57" applyFont="1" applyAlignment="1">
      <alignment horizontal="center" vertical="center"/>
    </xf>
    <xf numFmtId="0" fontId="4" fillId="0" borderId="1" xfId="57" applyFont="1" applyBorder="1" applyAlignment="1">
      <alignment horizontal="center" vertical="center"/>
    </xf>
    <xf numFmtId="0" fontId="4" fillId="0" borderId="1" xfId="51" applyFont="1" applyBorder="1" applyAlignment="1">
      <alignment vertical="center"/>
    </xf>
    <xf numFmtId="0" fontId="5" fillId="8" borderId="1" xfId="57" applyFont="1" applyFill="1" applyBorder="1" applyAlignment="1">
      <alignment horizontal="center" vertical="center" wrapText="1"/>
    </xf>
    <xf numFmtId="0" fontId="14" fillId="0" borderId="1" xfId="57" applyFont="1" applyBorder="1" applyAlignment="1">
      <alignment horizontal="center" vertical="center"/>
    </xf>
    <xf numFmtId="0" fontId="2" fillId="0" borderId="1" xfId="53" applyFont="1" applyBorder="1" applyAlignment="1">
      <alignment horizontal="center" wrapText="1"/>
    </xf>
    <xf numFmtId="0" fontId="2" fillId="9" borderId="1" xfId="57" applyFont="1" applyFill="1" applyBorder="1" applyAlignment="1">
      <alignment horizontal="center" vertical="center"/>
    </xf>
    <xf numFmtId="0" fontId="2" fillId="0" borderId="1" xfId="57" applyFont="1" applyBorder="1" applyAlignment="1">
      <alignment horizontal="left" vertical="center"/>
    </xf>
    <xf numFmtId="0" fontId="2" fillId="0" borderId="0" xfId="57" applyFont="1">
      <alignment vertical="center"/>
    </xf>
    <xf numFmtId="0" fontId="2" fillId="0" borderId="1" xfId="53" applyFont="1" applyBorder="1" applyAlignment="1">
      <alignment vertical="center" wrapText="1"/>
    </xf>
    <xf numFmtId="0" fontId="2" fillId="0" borderId="1" xfId="53" applyFont="1" applyBorder="1">
      <alignment vertical="center"/>
    </xf>
    <xf numFmtId="0" fontId="7" fillId="0" borderId="1" xfId="57" applyFont="1" applyBorder="1" applyAlignment="1">
      <alignment horizontal="left" wrapText="1"/>
    </xf>
    <xf numFmtId="0" fontId="4" fillId="0" borderId="1" xfId="57" applyFont="1" applyBorder="1" applyAlignment="1">
      <alignment horizontal="left" wrapText="1"/>
    </xf>
    <xf numFmtId="0" fontId="4" fillId="0" borderId="1" xfId="57" applyFont="1" applyBorder="1" applyAlignment="1">
      <alignment horizontal="left" vertical="center"/>
    </xf>
    <xf numFmtId="0" fontId="7" fillId="0" borderId="1" xfId="57" applyFont="1" applyBorder="1" applyAlignment="1">
      <alignment wrapText="1"/>
    </xf>
    <xf numFmtId="0" fontId="4" fillId="0" borderId="0" xfId="57" applyFont="1" applyAlignment="1">
      <alignment horizontal="left" vertical="center"/>
    </xf>
    <xf numFmtId="0" fontId="4" fillId="0" borderId="1" xfId="53" applyFont="1" applyBorder="1" applyAlignment="1">
      <alignment horizontal="left" vertical="center"/>
    </xf>
    <xf numFmtId="0" fontId="4" fillId="0" borderId="1" xfId="53" applyFont="1" applyBorder="1" applyAlignment="1">
      <alignment horizontal="left" vertical="center" wrapText="1"/>
    </xf>
    <xf numFmtId="0" fontId="4" fillId="0" borderId="1" xfId="57" applyFont="1" applyBorder="1" applyAlignment="1">
      <alignment horizontal="left" vertical="center" wrapText="1"/>
    </xf>
    <xf numFmtId="0" fontId="0" fillId="15" borderId="0" xfId="57" applyFill="1">
      <alignment vertical="center"/>
    </xf>
    <xf numFmtId="0" fontId="10" fillId="0" borderId="0" xfId="53" applyFont="1" applyAlignment="1">
      <alignment vertical="center" wrapText="1"/>
    </xf>
    <xf numFmtId="0" fontId="10" fillId="0" borderId="0" xfId="53" applyFont="1" applyAlignment="1">
      <alignment horizontal="center" vertical="center"/>
    </xf>
    <xf numFmtId="0" fontId="7" fillId="0" borderId="0" xfId="57" applyFont="1" applyAlignment="1">
      <alignment vertical="center" wrapText="1"/>
    </xf>
    <xf numFmtId="0" fontId="15" fillId="10" borderId="3" xfId="57" applyFont="1" applyFill="1" applyBorder="1" applyAlignment="1">
      <alignment horizontal="center" vertical="center" wrapText="1"/>
    </xf>
    <xf numFmtId="0" fontId="4" fillId="0" borderId="7" xfId="57" applyFont="1" applyBorder="1" applyAlignment="1">
      <alignment horizontal="center" vertical="center"/>
    </xf>
    <xf numFmtId="0" fontId="7" fillId="0" borderId="1" xfId="57" applyFont="1" applyBorder="1" applyAlignment="1">
      <alignment vertical="center" wrapText="1"/>
    </xf>
    <xf numFmtId="0" fontId="4" fillId="0" borderId="6" xfId="57" applyFont="1" applyBorder="1" applyAlignment="1">
      <alignment horizontal="center" vertical="center"/>
    </xf>
    <xf numFmtId="0" fontId="4" fillId="0" borderId="6" xfId="57" applyFont="1" applyBorder="1">
      <alignment vertical="center"/>
    </xf>
    <xf numFmtId="0" fontId="5" fillId="16" borderId="1" xfId="57" applyFont="1" applyFill="1" applyBorder="1" applyAlignment="1">
      <alignment horizontal="center" vertical="center" wrapText="1"/>
    </xf>
    <xf numFmtId="0" fontId="6" fillId="17" borderId="1" xfId="57" applyFont="1" applyFill="1" applyBorder="1" applyAlignment="1">
      <alignment horizontal="center" vertical="center" wrapText="1"/>
    </xf>
    <xf numFmtId="0" fontId="7" fillId="0" borderId="1" xfId="57" applyFont="1" applyBorder="1" applyAlignment="1">
      <alignment horizontal="center" vertical="center"/>
    </xf>
    <xf numFmtId="0" fontId="4" fillId="9" borderId="1" xfId="57" applyFont="1" applyFill="1" applyBorder="1" applyAlignment="1">
      <alignment horizontal="left" vertical="center"/>
    </xf>
    <xf numFmtId="0" fontId="4" fillId="9" borderId="1" xfId="57" applyFont="1" applyFill="1" applyBorder="1">
      <alignment vertical="center"/>
    </xf>
    <xf numFmtId="0" fontId="4" fillId="0" borderId="1" xfId="57" applyFont="1" applyBorder="1" applyAlignment="1">
      <alignment vertical="center" wrapText="1"/>
    </xf>
    <xf numFmtId="0" fontId="2" fillId="14" borderId="1" xfId="57" applyFont="1" applyFill="1" applyBorder="1">
      <alignment vertical="center"/>
    </xf>
    <xf numFmtId="0" fontId="11" fillId="14" borderId="9" xfId="57" applyFont="1" applyFill="1" applyBorder="1" applyAlignment="1">
      <alignment horizontal="center" vertical="center" wrapText="1"/>
    </xf>
    <xf numFmtId="0" fontId="2" fillId="14" borderId="1" xfId="57" applyFont="1" applyFill="1" applyBorder="1" applyAlignment="1">
      <alignment horizontal="center" vertical="center"/>
    </xf>
    <xf numFmtId="0" fontId="2" fillId="0" borderId="4" xfId="57" applyFont="1" applyBorder="1" applyAlignment="1">
      <alignment horizontal="center" vertical="center"/>
    </xf>
    <xf numFmtId="0" fontId="2" fillId="0" borderId="5" xfId="57" applyFont="1" applyBorder="1" applyAlignment="1">
      <alignment horizontal="center" vertical="center"/>
    </xf>
    <xf numFmtId="0" fontId="14" fillId="14" borderId="1" xfId="57" applyFont="1" applyFill="1" applyBorder="1">
      <alignment vertical="center"/>
    </xf>
    <xf numFmtId="0" fontId="7" fillId="14" borderId="6" xfId="57" applyFont="1" applyFill="1" applyBorder="1">
      <alignment vertical="center"/>
    </xf>
    <xf numFmtId="0" fontId="7" fillId="14" borderId="7" xfId="57" applyFont="1" applyFill="1" applyBorder="1" applyAlignment="1">
      <alignment horizontal="center" vertical="center" wrapText="1"/>
    </xf>
    <xf numFmtId="0" fontId="7" fillId="14" borderId="6" xfId="57" applyFont="1" applyFill="1" applyBorder="1" applyAlignment="1">
      <alignment horizontal="center" vertical="center"/>
    </xf>
    <xf numFmtId="0" fontId="7" fillId="14" borderId="8" xfId="57" applyFont="1" applyFill="1" applyBorder="1">
      <alignment vertical="center"/>
    </xf>
    <xf numFmtId="0" fontId="4" fillId="14" borderId="1" xfId="57" applyFont="1" applyFill="1" applyBorder="1">
      <alignment vertical="center"/>
    </xf>
    <xf numFmtId="0" fontId="7" fillId="14" borderId="1" xfId="57" applyFont="1" applyFill="1" applyBorder="1">
      <alignment vertical="center"/>
    </xf>
    <xf numFmtId="0" fontId="7" fillId="14" borderId="9" xfId="57" applyFont="1" applyFill="1" applyBorder="1" applyAlignment="1">
      <alignment horizontal="center" vertical="center" wrapText="1"/>
    </xf>
    <xf numFmtId="0" fontId="7" fillId="14" borderId="6" xfId="57" applyFont="1" applyFill="1" applyBorder="1" applyAlignment="1">
      <alignment horizontal="center" vertical="center" wrapText="1"/>
    </xf>
    <xf numFmtId="0" fontId="14" fillId="14" borderId="1" xfId="57" applyFont="1" applyFill="1" applyBorder="1" applyAlignment="1">
      <alignment vertical="center" wrapText="1"/>
    </xf>
    <xf numFmtId="0" fontId="14" fillId="14" borderId="1" xfId="55" applyFont="1" applyFill="1" applyBorder="1">
      <alignment vertical="center"/>
    </xf>
    <xf numFmtId="0" fontId="4" fillId="18" borderId="6" xfId="57" applyFont="1" applyFill="1" applyBorder="1" applyAlignment="1">
      <alignment horizontal="center" vertical="center" wrapText="1"/>
    </xf>
    <xf numFmtId="0" fontId="7" fillId="14" borderId="1" xfId="57" applyFont="1" applyFill="1" applyBorder="1" applyAlignment="1">
      <alignment horizontal="left" vertical="center"/>
    </xf>
    <xf numFmtId="0" fontId="8" fillId="0" borderId="6" xfId="57" applyFont="1" applyBorder="1" applyAlignment="1">
      <alignment horizontal="center" vertical="center"/>
    </xf>
    <xf numFmtId="0" fontId="7" fillId="19" borderId="7" xfId="57" applyFont="1" applyFill="1" applyBorder="1">
      <alignment vertical="center"/>
    </xf>
    <xf numFmtId="0" fontId="7" fillId="20" borderId="6" xfId="57" applyFont="1" applyFill="1" applyBorder="1">
      <alignment vertical="center"/>
    </xf>
    <xf numFmtId="0" fontId="14" fillId="9" borderId="1" xfId="57" applyFont="1" applyFill="1" applyBorder="1" applyAlignment="1">
      <alignment horizontal="center" vertical="center"/>
    </xf>
    <xf numFmtId="0" fontId="4" fillId="14" borderId="6" xfId="57" applyFont="1" applyFill="1" applyBorder="1">
      <alignment vertical="center"/>
    </xf>
    <xf numFmtId="0" fontId="2" fillId="0" borderId="3" xfId="57" applyFont="1" applyBorder="1" applyAlignment="1">
      <alignment horizontal="center" vertical="center"/>
    </xf>
    <xf numFmtId="0" fontId="7" fillId="14" borderId="3" xfId="57" applyFont="1" applyFill="1" applyBorder="1">
      <alignment vertical="center"/>
    </xf>
    <xf numFmtId="0" fontId="2" fillId="14" borderId="1" xfId="53" applyFont="1" applyFill="1" applyBorder="1" applyAlignment="1">
      <alignment vertical="center" wrapText="1"/>
    </xf>
    <xf numFmtId="0" fontId="4" fillId="14" borderId="1" xfId="57" applyFont="1" applyFill="1" applyBorder="1" applyAlignment="1">
      <alignment horizontal="center" vertical="center"/>
    </xf>
    <xf numFmtId="0" fontId="7" fillId="14" borderId="1" xfId="57" applyFont="1" applyFill="1" applyBorder="1" applyAlignment="1">
      <alignment horizontal="center" vertical="center"/>
    </xf>
    <xf numFmtId="0" fontId="2" fillId="14" borderId="1" xfId="53" applyFont="1" applyFill="1" applyBorder="1">
      <alignment vertical="center"/>
    </xf>
    <xf numFmtId="0" fontId="7" fillId="14" borderId="3" xfId="57" applyFont="1" applyFill="1" applyBorder="1" applyAlignment="1">
      <alignment horizontal="left" vertical="center"/>
    </xf>
    <xf numFmtId="0" fontId="4" fillId="14" borderId="1" xfId="57" applyFont="1" applyFill="1" applyBorder="1" applyAlignment="1">
      <alignment horizontal="left" vertical="center"/>
    </xf>
    <xf numFmtId="0" fontId="2" fillId="14" borderId="1" xfId="53" applyFont="1" applyFill="1" applyBorder="1" applyAlignment="1">
      <alignment horizontal="left" vertical="center"/>
    </xf>
    <xf numFmtId="0" fontId="7" fillId="14" borderId="1" xfId="57" applyFont="1" applyFill="1" applyBorder="1" applyAlignment="1">
      <alignment horizontal="left" wrapText="1"/>
    </xf>
    <xf numFmtId="0" fontId="4" fillId="14" borderId="3" xfId="57" applyFont="1" applyFill="1" applyBorder="1">
      <alignment vertical="center"/>
    </xf>
    <xf numFmtId="0" fontId="4" fillId="14" borderId="1" xfId="57" applyFont="1" applyFill="1" applyBorder="1" applyAlignment="1">
      <alignment horizontal="left" wrapText="1"/>
    </xf>
    <xf numFmtId="0" fontId="7" fillId="14" borderId="1" xfId="57" applyFont="1" applyFill="1" applyBorder="1" applyAlignment="1">
      <alignment wrapText="1"/>
    </xf>
    <xf numFmtId="0" fontId="4" fillId="14" borderId="3" xfId="57" applyFont="1" applyFill="1" applyBorder="1" applyAlignment="1">
      <alignment horizontal="left" vertical="center"/>
    </xf>
    <xf numFmtId="0" fontId="4" fillId="14" borderId="1" xfId="53" applyFont="1" applyFill="1" applyBorder="1" applyAlignment="1">
      <alignment horizontal="left" vertical="center"/>
    </xf>
    <xf numFmtId="0" fontId="4" fillId="14" borderId="1" xfId="57" applyFont="1" applyFill="1" applyBorder="1" applyAlignment="1">
      <alignment horizontal="left" vertical="center" wrapText="1"/>
    </xf>
    <xf numFmtId="0" fontId="4" fillId="14" borderId="3" xfId="53" applyFont="1" applyFill="1" applyBorder="1" applyAlignment="1">
      <alignment horizontal="left" vertical="center"/>
    </xf>
    <xf numFmtId="0" fontId="4" fillId="14" borderId="1" xfId="53" applyFont="1" applyFill="1" applyBorder="1" applyAlignment="1">
      <alignment horizontal="left" vertical="center" wrapText="1"/>
    </xf>
    <xf numFmtId="0" fontId="4" fillId="14" borderId="3" xfId="57" applyFont="1" applyFill="1" applyBorder="1" applyAlignment="1">
      <alignment horizontal="left" vertical="center" wrapText="1"/>
    </xf>
    <xf numFmtId="0" fontId="5" fillId="11" borderId="1" xfId="57" applyFont="1" applyFill="1" applyBorder="1" applyAlignment="1">
      <alignment horizontal="center" vertical="center" wrapText="1"/>
    </xf>
    <xf numFmtId="0" fontId="6" fillId="12" borderId="1" xfId="57" applyFont="1" applyFill="1" applyBorder="1" applyAlignment="1">
      <alignment horizontal="center" vertical="center"/>
    </xf>
    <xf numFmtId="0" fontId="8" fillId="0" borderId="1" xfId="57" applyFont="1" applyBorder="1" applyAlignment="1">
      <alignment horizontal="center" vertical="center"/>
    </xf>
    <xf numFmtId="0" fontId="5" fillId="13" borderId="1" xfId="57" applyFont="1" applyFill="1" applyBorder="1" applyAlignment="1">
      <alignment horizontal="center" vertical="center" wrapText="1"/>
    </xf>
    <xf numFmtId="0" fontId="6" fillId="12" borderId="1" xfId="57" applyFont="1" applyFill="1" applyBorder="1" applyAlignment="1">
      <alignment horizontal="center" vertical="center" wrapText="1"/>
    </xf>
    <xf numFmtId="0" fontId="4" fillId="14" borderId="1" xfId="57" applyFont="1" applyFill="1" applyBorder="1" applyAlignment="1">
      <alignment vertical="center" wrapText="1"/>
    </xf>
    <xf numFmtId="0" fontId="2" fillId="0" borderId="1" xfId="53" applyFont="1" applyBorder="1" applyAlignment="1">
      <alignment horizontal="center" vertical="center"/>
    </xf>
    <xf numFmtId="0" fontId="11" fillId="0" borderId="0" xfId="55" applyFont="1" applyAlignment="1">
      <alignment horizontal="center" vertical="center"/>
    </xf>
    <xf numFmtId="0" fontId="11" fillId="0" borderId="0" xfId="55" applyFont="1">
      <alignment vertical="center"/>
    </xf>
    <xf numFmtId="0" fontId="3" fillId="3" borderId="1" xfId="6" applyFill="1" applyBorder="1" applyAlignment="1">
      <alignment vertical="center" wrapText="1"/>
    </xf>
    <xf numFmtId="0" fontId="15" fillId="3" borderId="1" xfId="55" applyFont="1" applyFill="1" applyBorder="1" applyAlignment="1">
      <alignment vertical="center" wrapText="1"/>
    </xf>
    <xf numFmtId="0" fontId="12" fillId="4" borderId="1" xfId="55" applyFont="1" applyFill="1" applyBorder="1" applyAlignment="1">
      <alignment horizontal="center" vertical="center" wrapText="1"/>
    </xf>
    <xf numFmtId="0" fontId="13" fillId="5" borderId="1" xfId="55" applyFont="1" applyFill="1" applyBorder="1" applyAlignment="1">
      <alignment horizontal="center" vertical="center" wrapText="1"/>
    </xf>
    <xf numFmtId="0" fontId="4" fillId="0" borderId="1" xfId="55" applyFont="1" applyBorder="1" applyAlignment="1">
      <alignment horizontal="center" vertical="center" wrapText="1"/>
    </xf>
    <xf numFmtId="0" fontId="15" fillId="3" borderId="1" xfId="55" applyFont="1" applyFill="1" applyBorder="1" applyAlignment="1">
      <alignment horizontal="center" vertical="center" wrapText="1"/>
    </xf>
    <xf numFmtId="0" fontId="13" fillId="5" borderId="1" xfId="55" applyFont="1" applyFill="1" applyBorder="1" applyAlignment="1">
      <alignment horizontal="center" vertical="center"/>
    </xf>
    <xf numFmtId="0" fontId="14" fillId="14" borderId="1" xfId="55" applyFont="1" applyFill="1" applyBorder="1" applyAlignment="1">
      <alignment horizontal="left" vertical="center"/>
    </xf>
    <xf numFmtId="0" fontId="2" fillId="0" borderId="1" xfId="55" applyFont="1" applyBorder="1" applyAlignment="1">
      <alignment horizontal="left" vertical="center"/>
    </xf>
    <xf numFmtId="0" fontId="5" fillId="8" borderId="4" xfId="55" applyFont="1" applyFill="1" applyBorder="1" applyAlignment="1">
      <alignment horizontal="center" vertical="center" wrapText="1"/>
    </xf>
    <xf numFmtId="0" fontId="5" fillId="8" borderId="5" xfId="55" applyFont="1" applyFill="1" applyBorder="1" applyAlignment="1">
      <alignment horizontal="center" vertical="center" wrapText="1"/>
    </xf>
    <xf numFmtId="0" fontId="6" fillId="5" borderId="1" xfId="55" applyFont="1" applyFill="1" applyBorder="1" applyAlignment="1">
      <alignment horizontal="center" vertical="center" wrapText="1"/>
    </xf>
    <xf numFmtId="0" fontId="19" fillId="2" borderId="1" xfId="50" applyFont="1" applyFill="1" applyBorder="1" applyAlignment="1">
      <alignment horizontal="left" vertical="center"/>
    </xf>
    <xf numFmtId="0" fontId="2" fillId="0" borderId="1" xfId="55" applyFont="1" applyBorder="1">
      <alignment vertical="center"/>
    </xf>
    <xf numFmtId="0" fontId="5" fillId="8" borderId="3" xfId="55" applyFont="1" applyFill="1" applyBorder="1" applyAlignment="1">
      <alignment horizontal="center" vertical="center" wrapText="1"/>
    </xf>
    <xf numFmtId="0" fontId="20" fillId="0" borderId="1" xfId="55" applyFont="1" applyBorder="1">
      <alignment vertical="center"/>
    </xf>
    <xf numFmtId="0" fontId="11" fillId="0" borderId="0" xfId="55" applyFont="1" applyAlignment="1">
      <alignment horizontal="left" vertical="center"/>
    </xf>
    <xf numFmtId="0" fontId="11" fillId="0" borderId="0" xfId="50" applyFont="1" applyAlignment="1">
      <alignment horizontal="center" vertical="center"/>
    </xf>
    <xf numFmtId="0" fontId="11" fillId="0" borderId="0" xfId="50" applyFont="1">
      <alignment vertical="center"/>
    </xf>
    <xf numFmtId="0" fontId="15" fillId="3" borderId="1" xfId="50" applyFont="1" applyFill="1" applyBorder="1" applyAlignment="1">
      <alignment vertical="center" wrapText="1"/>
    </xf>
    <xf numFmtId="0" fontId="12" fillId="4" borderId="1" xfId="50" applyFont="1" applyFill="1" applyBorder="1" applyAlignment="1">
      <alignment horizontal="center" vertical="center" wrapText="1"/>
    </xf>
    <xf numFmtId="0" fontId="13" fillId="5" borderId="1" xfId="50" applyFont="1" applyFill="1" applyBorder="1" applyAlignment="1">
      <alignment horizontal="center" vertical="center" wrapText="1"/>
    </xf>
    <xf numFmtId="0" fontId="2" fillId="0" borderId="1" xfId="50" applyFont="1" applyBorder="1" applyAlignment="1">
      <alignment horizontal="center" vertical="center"/>
    </xf>
    <xf numFmtId="0" fontId="2" fillId="0" borderId="1" xfId="50" applyFont="1" applyBorder="1">
      <alignment vertical="center"/>
    </xf>
    <xf numFmtId="0" fontId="4" fillId="0" borderId="1" xfId="50" applyFont="1" applyBorder="1" applyAlignment="1">
      <alignment horizontal="center" vertical="center" wrapText="1"/>
    </xf>
    <xf numFmtId="0" fontId="2" fillId="0" borderId="0" xfId="50" applyFont="1" applyAlignment="1">
      <alignment horizontal="center" vertical="center"/>
    </xf>
    <xf numFmtId="0" fontId="15" fillId="3" borderId="1" xfId="50" applyFont="1" applyFill="1" applyBorder="1" applyAlignment="1">
      <alignment horizontal="center" vertical="center" wrapText="1"/>
    </xf>
    <xf numFmtId="0" fontId="13" fillId="5" borderId="1" xfId="50" applyFont="1" applyFill="1" applyBorder="1" applyAlignment="1">
      <alignment horizontal="center" vertical="center"/>
    </xf>
    <xf numFmtId="0" fontId="7" fillId="14" borderId="6" xfId="57" applyFont="1" applyFill="1" applyBorder="1" applyAlignment="1">
      <alignment horizontal="left" vertical="center"/>
    </xf>
    <xf numFmtId="0" fontId="5" fillId="8" borderId="4" xfId="50" applyFont="1" applyFill="1" applyBorder="1" applyAlignment="1">
      <alignment horizontal="center" vertical="center" wrapText="1"/>
    </xf>
    <xf numFmtId="0" fontId="5" fillId="8" borderId="5" xfId="50" applyFont="1" applyFill="1" applyBorder="1" applyAlignment="1">
      <alignment horizontal="center" vertical="center" wrapText="1"/>
    </xf>
    <xf numFmtId="0" fontId="6" fillId="5" borderId="1" xfId="50" applyFont="1" applyFill="1" applyBorder="1" applyAlignment="1">
      <alignment horizontal="center" vertical="center" wrapText="1"/>
    </xf>
    <xf numFmtId="0" fontId="6" fillId="0" borderId="1" xfId="50" applyFont="1" applyBorder="1" applyAlignment="1">
      <alignment horizontal="center" vertical="center" wrapText="1"/>
    </xf>
    <xf numFmtId="0" fontId="7" fillId="9" borderId="1" xfId="57" applyFont="1" applyFill="1" applyBorder="1" applyAlignment="1">
      <alignment horizontal="left" vertical="center"/>
    </xf>
    <xf numFmtId="0" fontId="21" fillId="0" borderId="1" xfId="50" applyFont="1" applyBorder="1">
      <alignment vertical="center"/>
    </xf>
    <xf numFmtId="0" fontId="14" fillId="0" borderId="1" xfId="55" applyFont="1" applyBorder="1" applyAlignment="1">
      <alignment horizontal="center" vertical="center"/>
    </xf>
    <xf numFmtId="0" fontId="14" fillId="0" borderId="1" xfId="55" applyFont="1" applyBorder="1" applyAlignment="1">
      <alignment horizontal="left" vertical="center"/>
    </xf>
    <xf numFmtId="0" fontId="5" fillId="8" borderId="3" xfId="50" applyFont="1" applyFill="1" applyBorder="1" applyAlignment="1">
      <alignment horizontal="center" vertical="center" wrapText="1"/>
    </xf>
    <xf numFmtId="0" fontId="2" fillId="0" borderId="0" xfId="55" applyFont="1" applyAlignment="1">
      <alignment horizontal="center" vertical="center"/>
    </xf>
    <xf numFmtId="0" fontId="2" fillId="0" borderId="0" xfId="55" applyFont="1">
      <alignment vertical="center"/>
    </xf>
    <xf numFmtId="0" fontId="2" fillId="14" borderId="3" xfId="55" applyFont="1" applyFill="1" applyBorder="1" applyAlignment="1">
      <alignment horizontal="center" vertical="center"/>
    </xf>
    <xf numFmtId="0" fontId="2" fillId="14" borderId="1" xfId="55" applyFont="1" applyFill="1" applyBorder="1" applyAlignment="1">
      <alignment horizontal="center" vertical="center"/>
    </xf>
    <xf numFmtId="0" fontId="14" fillId="14" borderId="3" xfId="55" applyFont="1" applyFill="1" applyBorder="1">
      <alignment vertical="center"/>
    </xf>
    <xf numFmtId="0" fontId="22" fillId="14" borderId="1" xfId="55" applyFont="1" applyFill="1" applyBorder="1" applyAlignment="1">
      <alignment horizontal="center" vertical="center"/>
    </xf>
    <xf numFmtId="0" fontId="11" fillId="14" borderId="0" xfId="55" applyFont="1" applyFill="1" applyAlignment="1">
      <alignment horizontal="center" vertical="center"/>
    </xf>
    <xf numFmtId="0" fontId="23" fillId="14" borderId="0" xfId="55" applyFont="1" applyFill="1">
      <alignment vertical="center"/>
    </xf>
    <xf numFmtId="0" fontId="2" fillId="14" borderId="1" xfId="55" applyFont="1" applyFill="1" applyBorder="1">
      <alignment vertical="center"/>
    </xf>
    <xf numFmtId="0" fontId="11" fillId="14" borderId="0" xfId="55" applyFont="1" applyFill="1">
      <alignment vertical="center"/>
    </xf>
    <xf numFmtId="0" fontId="2" fillId="14" borderId="1" xfId="55" applyFont="1" applyFill="1" applyBorder="1" applyAlignment="1">
      <alignment horizontal="left" vertical="center"/>
    </xf>
    <xf numFmtId="0" fontId="7" fillId="20" borderId="1" xfId="57" applyFont="1" applyFill="1" applyBorder="1" applyAlignment="1">
      <alignment horizontal="left" vertical="center"/>
    </xf>
    <xf numFmtId="0" fontId="4" fillId="14" borderId="1" xfId="55" applyFont="1" applyFill="1" applyBorder="1">
      <alignment vertical="center"/>
    </xf>
    <xf numFmtId="0" fontId="4" fillId="20" borderId="1" xfId="57" applyFont="1" applyFill="1" applyBorder="1" applyAlignment="1">
      <alignment horizontal="left" vertical="center"/>
    </xf>
    <xf numFmtId="0" fontId="4" fillId="14" borderId="1" xfId="55" applyFont="1" applyFill="1" applyBorder="1" applyAlignment="1">
      <alignment horizontal="left" vertical="center"/>
    </xf>
    <xf numFmtId="0" fontId="4" fillId="0" borderId="1" xfId="55" applyFont="1" applyBorder="1">
      <alignment vertical="center"/>
    </xf>
    <xf numFmtId="0" fontId="2" fillId="0" borderId="0" xfId="55" applyFont="1" applyAlignment="1">
      <alignment horizontal="left" vertical="center"/>
    </xf>
    <xf numFmtId="0" fontId="14" fillId="14" borderId="1" xfId="55" applyFont="1" applyFill="1" applyBorder="1" applyAlignment="1">
      <alignment horizontal="center" vertical="center"/>
    </xf>
    <xf numFmtId="0" fontId="4" fillId="14" borderId="1" xfId="55" applyFont="1" applyFill="1" applyBorder="1" applyAlignment="1">
      <alignment horizontal="center" vertical="center"/>
    </xf>
    <xf numFmtId="0" fontId="14" fillId="0" borderId="1" xfId="55" applyFont="1" applyBorder="1" applyAlignment="1">
      <alignment horizontal="left" vertical="center" wrapText="1"/>
    </xf>
    <xf numFmtId="0" fontId="19" fillId="0" borderId="1" xfId="55" applyFont="1" applyBorder="1" applyAlignment="1"/>
    <xf numFmtId="0" fontId="14" fillId="2" borderId="1" xfId="55" applyFont="1" applyFill="1" applyBorder="1" applyAlignment="1">
      <alignment horizontal="left" vertical="center"/>
    </xf>
    <xf numFmtId="0" fontId="7" fillId="2" borderId="6" xfId="57" applyFont="1" applyFill="1" applyBorder="1" applyAlignment="1">
      <alignment horizontal="left" vertical="center"/>
    </xf>
    <xf numFmtId="0" fontId="7" fillId="2" borderId="6" xfId="57" applyFont="1" applyFill="1" applyBorder="1" applyAlignment="1">
      <alignment horizontal="center" vertical="center"/>
    </xf>
    <xf numFmtId="0" fontId="19" fillId="0" borderId="1" xfId="55" applyFont="1" applyBorder="1" applyAlignment="1">
      <alignment horizontal="left" vertical="center"/>
    </xf>
    <xf numFmtId="0" fontId="24" fillId="14" borderId="1" xfId="55" applyFont="1" applyFill="1" applyBorder="1" applyAlignment="1">
      <alignment horizontal="left" vertical="center"/>
    </xf>
    <xf numFmtId="0" fontId="25" fillId="14" borderId="1" xfId="55" applyFont="1" applyFill="1" applyBorder="1" applyAlignment="1">
      <alignment horizontal="left" vertical="center"/>
    </xf>
    <xf numFmtId="0" fontId="7" fillId="20" borderId="6" xfId="57" applyFont="1" applyFill="1" applyBorder="1" applyAlignment="1">
      <alignment horizontal="left" vertical="center"/>
    </xf>
    <xf numFmtId="0" fontId="11" fillId="14" borderId="1" xfId="55" applyFont="1" applyFill="1" applyBorder="1" applyAlignment="1">
      <alignment horizontal="center" vertical="center"/>
    </xf>
    <xf numFmtId="0" fontId="4" fillId="0" borderId="1" xfId="55" applyFont="1" applyBorder="1" applyAlignment="1">
      <alignment horizontal="left" vertical="center"/>
    </xf>
    <xf numFmtId="0" fontId="14" fillId="9" borderId="1" xfId="55" applyFont="1" applyFill="1" applyBorder="1">
      <alignment vertical="center"/>
    </xf>
    <xf numFmtId="0" fontId="4" fillId="0" borderId="6" xfId="57" applyFont="1" applyBorder="1" applyAlignment="1">
      <alignment vertical="center" wrapText="1"/>
    </xf>
    <xf numFmtId="0" fontId="7" fillId="0" borderId="0" xfId="57" applyFont="1" applyAlignment="1">
      <alignment horizontal="center" vertical="center"/>
    </xf>
    <xf numFmtId="0" fontId="16" fillId="20" borderId="0" xfId="57" applyFont="1" applyFill="1" applyAlignment="1">
      <alignment horizontal="center" vertical="center"/>
    </xf>
    <xf numFmtId="0" fontId="7" fillId="20" borderId="7" xfId="57" applyFont="1" applyFill="1" applyBorder="1" applyAlignment="1">
      <alignment horizontal="center" vertical="center"/>
    </xf>
    <xf numFmtId="0" fontId="26" fillId="20" borderId="6" xfId="57" applyFont="1" applyFill="1" applyBorder="1" applyAlignment="1">
      <alignment horizontal="center" vertical="center"/>
    </xf>
    <xf numFmtId="0" fontId="7" fillId="20" borderId="6" xfId="57" applyFont="1" applyFill="1" applyBorder="1" applyAlignment="1">
      <alignment horizontal="center" vertical="center"/>
    </xf>
    <xf numFmtId="0" fontId="4" fillId="20" borderId="6" xfId="57" applyFont="1" applyFill="1" applyBorder="1" applyAlignment="1">
      <alignment horizontal="center" vertical="center"/>
    </xf>
    <xf numFmtId="0" fontId="7" fillId="0" borderId="7" xfId="57" applyFont="1" applyBorder="1" applyAlignment="1">
      <alignment horizontal="left" vertical="center"/>
    </xf>
    <xf numFmtId="0" fontId="7" fillId="9" borderId="7" xfId="57" applyFont="1" applyFill="1" applyBorder="1" applyAlignment="1">
      <alignment horizontal="left" vertical="center"/>
    </xf>
    <xf numFmtId="0" fontId="15" fillId="3" borderId="1" xfId="55" applyFont="1" applyFill="1" applyBorder="1" applyAlignment="1">
      <alignment horizontal="left" vertical="center" wrapText="1"/>
    </xf>
    <xf numFmtId="0" fontId="12" fillId="4" borderId="1" xfId="55" applyFont="1" applyFill="1" applyBorder="1" applyAlignment="1">
      <alignment horizontal="left" vertical="center" wrapText="1"/>
    </xf>
    <xf numFmtId="0" fontId="13" fillId="5" borderId="1" xfId="55" applyFont="1" applyFill="1" applyBorder="1" applyAlignment="1">
      <alignment horizontal="left" vertical="center" wrapText="1"/>
    </xf>
    <xf numFmtId="0" fontId="4" fillId="7" borderId="1" xfId="55" applyFont="1" applyFill="1" applyBorder="1" applyAlignment="1">
      <alignment horizontal="left" vertical="center" wrapText="1"/>
    </xf>
    <xf numFmtId="0" fontId="13" fillId="5" borderId="1" xfId="55" applyFont="1" applyFill="1" applyBorder="1" applyAlignment="1">
      <alignment horizontal="left" vertical="center"/>
    </xf>
    <xf numFmtId="0" fontId="2" fillId="0" borderId="1" xfId="51" applyFont="1" applyBorder="1" applyAlignment="1">
      <alignment horizontal="left" vertical="center"/>
    </xf>
    <xf numFmtId="0" fontId="5" fillId="8" borderId="5" xfId="55" applyFont="1" applyFill="1" applyBorder="1" applyAlignment="1">
      <alignment horizontal="left" vertical="center" wrapText="1"/>
    </xf>
    <xf numFmtId="0" fontId="6" fillId="5" borderId="1" xfId="55" applyFont="1" applyFill="1" applyBorder="1" applyAlignment="1">
      <alignment horizontal="left" vertical="center" wrapText="1"/>
    </xf>
    <xf numFmtId="0" fontId="14" fillId="9" borderId="1" xfId="55" applyFont="1" applyFill="1" applyBorder="1" applyAlignment="1">
      <alignment horizontal="center" vertical="center"/>
    </xf>
    <xf numFmtId="0" fontId="4" fillId="9" borderId="1" xfId="55" applyFont="1" applyFill="1" applyBorder="1" applyAlignment="1">
      <alignment horizontal="left" vertical="center"/>
    </xf>
    <xf numFmtId="0" fontId="4" fillId="0" borderId="1" xfId="55" applyFont="1" applyBorder="1" applyAlignment="1">
      <alignment horizontal="center" vertical="center"/>
    </xf>
    <xf numFmtId="0" fontId="4" fillId="0" borderId="1" xfId="55" applyFont="1" applyBorder="1" applyAlignment="1">
      <alignment vertical="center" wrapText="1"/>
    </xf>
    <xf numFmtId="0" fontId="4" fillId="0" borderId="1" xfId="55" applyFont="1" applyBorder="1" applyAlignment="1">
      <alignment horizontal="left" vertical="center" wrapText="1"/>
    </xf>
    <xf numFmtId="0" fontId="5" fillId="8" borderId="1" xfId="55" applyFont="1" applyFill="1" applyBorder="1" applyAlignment="1">
      <alignment horizontal="center" vertical="center" wrapText="1"/>
    </xf>
    <xf numFmtId="0" fontId="11" fillId="0" borderId="0" xfId="55" applyFont="1" applyAlignment="1">
      <alignment horizontal="right" vertical="center"/>
    </xf>
    <xf numFmtId="0" fontId="14" fillId="0" borderId="1" xfId="55" applyFont="1" applyBorder="1" applyAlignment="1"/>
    <xf numFmtId="0" fontId="14" fillId="9" borderId="1" xfId="55" applyFont="1" applyFill="1" applyBorder="1" applyAlignment="1">
      <alignment horizontal="left" vertical="center"/>
    </xf>
    <xf numFmtId="0" fontId="14" fillId="0" borderId="1" xfId="55" applyFont="1" applyBorder="1" applyAlignment="1">
      <alignment vertical="center" wrapText="1"/>
    </xf>
    <xf numFmtId="0" fontId="14" fillId="0" borderId="1" xfId="55" applyFont="1" applyBorder="1" applyAlignment="1">
      <alignment horizontal="left"/>
    </xf>
    <xf numFmtId="0" fontId="27" fillId="0" borderId="0" xfId="55" applyFont="1">
      <alignment vertical="center"/>
    </xf>
    <xf numFmtId="0" fontId="28" fillId="0" borderId="0" xfId="55" applyFont="1">
      <alignment vertical="center"/>
    </xf>
    <xf numFmtId="0" fontId="7" fillId="14" borderId="7" xfId="57" applyFont="1" applyFill="1" applyBorder="1" applyAlignment="1">
      <alignment horizontal="left" vertical="center"/>
    </xf>
    <xf numFmtId="0" fontId="7" fillId="21" borderId="6" xfId="57" applyFont="1" applyFill="1" applyBorder="1" applyAlignment="1">
      <alignment horizontal="left" vertical="center"/>
    </xf>
    <xf numFmtId="0" fontId="4" fillId="20" borderId="6" xfId="57" applyFont="1" applyFill="1" applyBorder="1" applyAlignment="1">
      <alignment horizontal="left" vertical="center"/>
    </xf>
    <xf numFmtId="0" fontId="7" fillId="20" borderId="3" xfId="57" applyFont="1" applyFill="1" applyBorder="1" applyAlignment="1">
      <alignment horizontal="left" vertical="center"/>
    </xf>
    <xf numFmtId="0" fontId="7" fillId="20" borderId="3" xfId="57" applyFont="1" applyFill="1" applyBorder="1" applyAlignment="1">
      <alignment horizontal="center" vertical="center"/>
    </xf>
    <xf numFmtId="0" fontId="7" fillId="0" borderId="3" xfId="57" applyFont="1" applyBorder="1" applyAlignment="1">
      <alignment horizontal="left" vertical="center"/>
    </xf>
    <xf numFmtId="0" fontId="7" fillId="20" borderId="3" xfId="57" applyFont="1" applyFill="1" applyBorder="1">
      <alignment vertical="center"/>
    </xf>
    <xf numFmtId="0" fontId="0" fillId="0" borderId="0" xfId="57" applyAlignment="1">
      <alignment horizontal="left" vertical="center"/>
    </xf>
    <xf numFmtId="0" fontId="0" fillId="0" borderId="0" xfId="57" applyAlignment="1">
      <alignment horizontal="center" vertical="center"/>
    </xf>
    <xf numFmtId="0" fontId="3" fillId="10" borderId="1" xfId="6" applyFill="1" applyBorder="1" applyAlignment="1">
      <alignment horizontal="left" vertical="center" wrapText="1"/>
    </xf>
    <xf numFmtId="0" fontId="15" fillId="10" borderId="3" xfId="57" applyFont="1" applyFill="1" applyBorder="1" applyAlignment="1">
      <alignment horizontal="left" vertical="center" wrapText="1"/>
    </xf>
    <xf numFmtId="0" fontId="13" fillId="12" borderId="7" xfId="57" applyFont="1" applyFill="1" applyBorder="1" applyAlignment="1">
      <alignment horizontal="left" vertical="center" wrapText="1"/>
    </xf>
    <xf numFmtId="0" fontId="13" fillId="12" borderId="6" xfId="57" applyFont="1" applyFill="1" applyBorder="1" applyAlignment="1">
      <alignment horizontal="left" vertical="center" wrapText="1"/>
    </xf>
    <xf numFmtId="0" fontId="7" fillId="0" borderId="0" xfId="57" applyFont="1" applyAlignment="1">
      <alignment horizontal="left" vertical="center"/>
    </xf>
    <xf numFmtId="0" fontId="15" fillId="10" borderId="7" xfId="57" applyFont="1" applyFill="1" applyBorder="1" applyAlignment="1">
      <alignment horizontal="left" vertical="center" wrapText="1"/>
    </xf>
    <xf numFmtId="0" fontId="15" fillId="10" borderId="6" xfId="57" applyFont="1" applyFill="1" applyBorder="1" applyAlignment="1">
      <alignment horizontal="left" vertical="center" wrapText="1"/>
    </xf>
    <xf numFmtId="0" fontId="13" fillId="12" borderId="7" xfId="57" applyFont="1" applyFill="1" applyBorder="1" applyAlignment="1">
      <alignment horizontal="left" vertical="center"/>
    </xf>
    <xf numFmtId="0" fontId="13" fillId="12" borderId="9" xfId="57" applyFont="1" applyFill="1" applyBorder="1" applyAlignment="1">
      <alignment horizontal="center" vertical="center"/>
    </xf>
    <xf numFmtId="0" fontId="13" fillId="12" borderId="9" xfId="57" applyFont="1" applyFill="1" applyBorder="1" applyAlignment="1">
      <alignment horizontal="left" vertical="center"/>
    </xf>
    <xf numFmtId="0" fontId="13" fillId="12" borderId="6" xfId="57" applyFont="1" applyFill="1" applyBorder="1" applyAlignment="1">
      <alignment horizontal="left" vertical="center"/>
    </xf>
    <xf numFmtId="0" fontId="7" fillId="0" borderId="12" xfId="57" applyFont="1" applyBorder="1" applyAlignment="1">
      <alignment horizontal="left" vertical="center"/>
    </xf>
    <xf numFmtId="0" fontId="0" fillId="0" borderId="1" xfId="57" applyBorder="1" applyAlignment="1">
      <alignment horizontal="left" vertical="center"/>
    </xf>
    <xf numFmtId="0" fontId="4" fillId="18" borderId="6" xfId="57" applyFont="1" applyFill="1" applyBorder="1" applyAlignment="1">
      <alignment horizontal="center" vertical="center"/>
    </xf>
    <xf numFmtId="0" fontId="6" fillId="12" borderId="7" xfId="57" applyFont="1" applyFill="1" applyBorder="1" applyAlignment="1">
      <alignment horizontal="left" vertical="center" wrapText="1"/>
    </xf>
    <xf numFmtId="0" fontId="6" fillId="12" borderId="6" xfId="57" applyFont="1" applyFill="1" applyBorder="1" applyAlignment="1">
      <alignment horizontal="left" vertical="center" wrapText="1"/>
    </xf>
    <xf numFmtId="0" fontId="16" fillId="0" borderId="0" xfId="57" applyFont="1" applyAlignment="1">
      <alignment horizontal="center" vertical="center"/>
    </xf>
    <xf numFmtId="0" fontId="29" fillId="0" borderId="0" xfId="57" applyFont="1" applyAlignment="1">
      <alignment horizontal="center" vertical="center"/>
    </xf>
    <xf numFmtId="0" fontId="11" fillId="0" borderId="0" xfId="55" applyFont="1" applyAlignment="1">
      <alignment horizontal="center" vertical="center"/>
    </xf>
    <xf numFmtId="0" fontId="19" fillId="0" borderId="0" xfId="49" applyFont="1">
      <alignment vertical="center"/>
    </xf>
    <xf numFmtId="0" fontId="30" fillId="0" borderId="0" xfId="49" applyFont="1">
      <alignment vertical="center"/>
    </xf>
    <xf numFmtId="0" fontId="30" fillId="0" borderId="0" xfId="49" applyFont="1" applyAlignment="1">
      <alignment horizontal="left" vertical="center"/>
    </xf>
    <xf numFmtId="0" fontId="10" fillId="0" borderId="1" xfId="53" applyFont="1" applyBorder="1" applyAlignment="1">
      <alignment horizontal="left" vertical="center"/>
    </xf>
    <xf numFmtId="0" fontId="12" fillId="4" borderId="1" xfId="49" applyFont="1" applyFill="1" applyBorder="1" applyAlignment="1">
      <alignment horizontal="center" vertical="center" wrapText="1"/>
    </xf>
    <xf numFmtId="0" fontId="12" fillId="4" borderId="1" xfId="49" applyFont="1" applyFill="1" applyBorder="1" applyAlignment="1">
      <alignment horizontal="left" vertical="center" wrapText="1"/>
    </xf>
    <xf numFmtId="0" fontId="13" fillId="5" borderId="1" xfId="49" applyFont="1" applyFill="1" applyBorder="1" applyAlignment="1">
      <alignment horizontal="center" vertical="center" wrapText="1"/>
    </xf>
    <xf numFmtId="0" fontId="13" fillId="5" borderId="1" xfId="49" applyFont="1" applyFill="1" applyBorder="1" applyAlignment="1">
      <alignment horizontal="left" vertical="center" wrapText="1"/>
    </xf>
    <xf numFmtId="0" fontId="15" fillId="0" borderId="1" xfId="50" applyFont="1" applyBorder="1" applyAlignment="1">
      <alignment horizontal="left"/>
    </xf>
    <xf numFmtId="0" fontId="15" fillId="0" borderId="1" xfId="49" applyFont="1" applyBorder="1" applyAlignment="1">
      <alignment horizontal="left"/>
    </xf>
    <xf numFmtId="0" fontId="2" fillId="0" borderId="1" xfId="49" applyFont="1" applyBorder="1" applyAlignment="1">
      <alignment horizontal="left" vertical="center"/>
    </xf>
    <xf numFmtId="0" fontId="2" fillId="14" borderId="1" xfId="49" applyFont="1" applyFill="1" applyBorder="1" applyAlignment="1">
      <alignment horizontal="center" vertical="center"/>
    </xf>
    <xf numFmtId="0" fontId="15" fillId="3" borderId="1" xfId="49" applyFont="1" applyFill="1" applyBorder="1" applyAlignment="1">
      <alignment horizontal="center" vertical="center" wrapText="1"/>
    </xf>
    <xf numFmtId="0" fontId="15" fillId="3" borderId="1" xfId="49" applyFont="1" applyFill="1" applyBorder="1" applyAlignment="1">
      <alignment horizontal="left" vertical="center" wrapText="1"/>
    </xf>
    <xf numFmtId="0" fontId="13" fillId="5" borderId="1" xfId="49" applyFont="1" applyFill="1" applyBorder="1" applyAlignment="1">
      <alignment horizontal="center" vertical="center"/>
    </xf>
    <xf numFmtId="0" fontId="10" fillId="0" borderId="1" xfId="49" applyFont="1" applyBorder="1" applyAlignment="1">
      <alignment horizontal="left" vertical="center"/>
    </xf>
    <xf numFmtId="0" fontId="10" fillId="14" borderId="1" xfId="49" applyFont="1" applyFill="1" applyBorder="1" applyAlignment="1">
      <alignment horizontal="left"/>
    </xf>
    <xf numFmtId="0" fontId="10" fillId="0" borderId="1" xfId="49" applyFont="1" applyBorder="1" applyAlignment="1">
      <alignment horizontal="left" vertical="center" wrapText="1"/>
    </xf>
    <xf numFmtId="0" fontId="10" fillId="0" borderId="1" xfId="49" applyFont="1" applyBorder="1" applyAlignment="1">
      <alignment vertical="center" wrapText="1"/>
    </xf>
    <xf numFmtId="0" fontId="10" fillId="0" borderId="1" xfId="49" applyFont="1" applyBorder="1" applyAlignment="1">
      <alignment horizontal="left"/>
    </xf>
    <xf numFmtId="0" fontId="5" fillId="8" borderId="4" xfId="49" applyFont="1" applyFill="1" applyBorder="1" applyAlignment="1">
      <alignment horizontal="center" vertical="center" wrapText="1"/>
    </xf>
    <xf numFmtId="0" fontId="5" fillId="8" borderId="5" xfId="49" applyFont="1" applyFill="1" applyBorder="1" applyAlignment="1">
      <alignment horizontal="center" vertical="center" wrapText="1"/>
    </xf>
    <xf numFmtId="0" fontId="5" fillId="8" borderId="5" xfId="49" applyFont="1" applyFill="1" applyBorder="1" applyAlignment="1">
      <alignment horizontal="left" vertical="center" wrapText="1"/>
    </xf>
    <xf numFmtId="0" fontId="6" fillId="5" borderId="1" xfId="49" applyFont="1" applyFill="1" applyBorder="1" applyAlignment="1">
      <alignment horizontal="left" vertical="center" wrapText="1"/>
    </xf>
    <xf numFmtId="0" fontId="15" fillId="0" borderId="1" xfId="53" applyFont="1" applyBorder="1" applyAlignment="1">
      <alignment horizontal="left" vertical="center"/>
    </xf>
    <xf numFmtId="0" fontId="14" fillId="9" borderId="1" xfId="49" applyFont="1" applyFill="1" applyBorder="1">
      <alignment vertical="center"/>
    </xf>
    <xf numFmtId="0" fontId="14" fillId="0" borderId="1" xfId="49" applyFont="1" applyBorder="1">
      <alignment vertical="center"/>
    </xf>
    <xf numFmtId="0" fontId="14" fillId="0" borderId="1" xfId="49" applyFont="1" applyBorder="1" applyAlignment="1">
      <alignment horizontal="left" vertical="center" wrapText="1"/>
    </xf>
    <xf numFmtId="0" fontId="10" fillId="22" borderId="1" xfId="53" applyFont="1" applyFill="1" applyBorder="1">
      <alignment vertical="center"/>
    </xf>
    <xf numFmtId="0" fontId="10" fillId="22" borderId="1" xfId="53" applyFont="1" applyFill="1" applyBorder="1" applyAlignment="1">
      <alignment vertical="center" wrapText="1"/>
    </xf>
    <xf numFmtId="0" fontId="11" fillId="0" borderId="0" xfId="49" applyFont="1" applyAlignment="1">
      <alignment horizontal="center" vertical="center"/>
    </xf>
    <xf numFmtId="0" fontId="5" fillId="8" borderId="3" xfId="49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left" vertical="center" wrapText="1"/>
    </xf>
    <xf numFmtId="0" fontId="2" fillId="23" borderId="1" xfId="49" applyFont="1" applyFill="1" applyBorder="1" applyAlignment="1">
      <alignment horizontal="left" vertical="center"/>
    </xf>
    <xf numFmtId="0" fontId="2" fillId="23" borderId="1" xfId="49" applyFont="1" applyFill="1" applyBorder="1" applyAlignment="1">
      <alignment horizontal="left" vertical="center" wrapText="1"/>
    </xf>
    <xf numFmtId="0" fontId="2" fillId="14" borderId="2" xfId="53" applyFont="1" applyFill="1" applyBorder="1" applyAlignment="1">
      <alignment horizontal="left" vertical="top" wrapText="1"/>
    </xf>
    <xf numFmtId="0" fontId="2" fillId="23" borderId="1" xfId="49" applyFont="1" applyFill="1" applyBorder="1" applyAlignment="1">
      <alignment vertical="center" wrapText="1"/>
    </xf>
    <xf numFmtId="0" fontId="2" fillId="14" borderId="7" xfId="53" applyFont="1" applyFill="1" applyBorder="1" applyAlignment="1">
      <alignment horizontal="left" vertical="top" wrapText="1"/>
    </xf>
    <xf numFmtId="0" fontId="14" fillId="14" borderId="1" xfId="49" applyFont="1" applyFill="1" applyBorder="1" applyAlignment="1">
      <alignment vertical="center" wrapText="1"/>
    </xf>
    <xf numFmtId="0" fontId="4" fillId="0" borderId="1" xfId="49" applyFont="1" applyBorder="1" applyAlignment="1">
      <alignment horizontal="left" vertical="center"/>
    </xf>
    <xf numFmtId="0" fontId="14" fillId="0" borderId="1" xfId="49" applyFont="1" applyBorder="1" applyAlignment="1">
      <alignment horizontal="center" vertical="center" wrapText="1"/>
    </xf>
    <xf numFmtId="0" fontId="2" fillId="9" borderId="1" xfId="49" applyFont="1" applyFill="1" applyBorder="1" applyAlignment="1">
      <alignment horizontal="left" vertical="center"/>
    </xf>
    <xf numFmtId="0" fontId="14" fillId="0" borderId="1" xfId="49" applyFont="1" applyBorder="1" applyAlignment="1">
      <alignment horizontal="left" vertical="center"/>
    </xf>
    <xf numFmtId="0" fontId="2" fillId="14" borderId="1" xfId="49" applyFont="1" applyFill="1" applyBorder="1" applyAlignment="1">
      <alignment horizontal="left" vertical="center"/>
    </xf>
    <xf numFmtId="0" fontId="2" fillId="22" borderId="1" xfId="53" applyFont="1" applyFill="1" applyBorder="1">
      <alignment vertical="center"/>
    </xf>
    <xf numFmtId="0" fontId="2" fillId="22" borderId="1" xfId="53" applyFont="1" applyFill="1" applyBorder="1" applyAlignment="1">
      <alignment vertical="center" wrapText="1"/>
    </xf>
    <xf numFmtId="0" fontId="14" fillId="0" borderId="1" xfId="49" applyFont="1" applyBorder="1" applyAlignment="1">
      <alignment vertical="center" wrapText="1"/>
    </xf>
    <xf numFmtId="0" fontId="2" fillId="0" borderId="1" xfId="49" applyFont="1" applyBorder="1" applyAlignment="1">
      <alignment horizontal="left" vertical="center" wrapText="1"/>
    </xf>
    <xf numFmtId="0" fontId="31" fillId="0" borderId="0" xfId="49" applyFont="1">
      <alignment vertical="center"/>
    </xf>
    <xf numFmtId="0" fontId="14" fillId="0" borderId="1" xfId="50" applyFont="1" applyBorder="1">
      <alignment vertical="center"/>
    </xf>
    <xf numFmtId="0" fontId="2" fillId="0" borderId="1" xfId="53" applyFont="1" applyBorder="1" applyAlignment="1">
      <alignment horizontal="left" vertical="center" wrapText="1"/>
    </xf>
    <xf numFmtId="0" fontId="2" fillId="14" borderId="1" xfId="53" applyFont="1" applyFill="1" applyBorder="1" applyAlignment="1">
      <alignment horizontal="left" vertical="center" wrapText="1"/>
    </xf>
    <xf numFmtId="0" fontId="10" fillId="14" borderId="1" xfId="49" applyFont="1" applyFill="1" applyBorder="1" applyAlignment="1">
      <alignment horizontal="left" vertical="center"/>
    </xf>
    <xf numFmtId="0" fontId="15" fillId="14" borderId="1" xfId="49" applyFont="1" applyFill="1" applyBorder="1" applyAlignment="1">
      <alignment horizontal="left"/>
    </xf>
    <xf numFmtId="0" fontId="4" fillId="14" borderId="1" xfId="49" applyFont="1" applyFill="1" applyBorder="1" applyAlignment="1">
      <alignment horizontal="left"/>
    </xf>
    <xf numFmtId="0" fontId="32" fillId="8" borderId="5" xfId="49" applyFont="1" applyFill="1" applyBorder="1" applyAlignment="1">
      <alignment horizontal="left" vertical="center" wrapText="1"/>
    </xf>
    <xf numFmtId="0" fontId="33" fillId="5" borderId="3" xfId="49" applyFont="1" applyFill="1" applyBorder="1" applyAlignment="1">
      <alignment horizontal="left" vertical="center" wrapText="1"/>
    </xf>
    <xf numFmtId="0" fontId="33" fillId="5" borderId="1" xfId="49" applyFont="1" applyFill="1" applyBorder="1" applyAlignment="1">
      <alignment horizontal="left" vertical="center" wrapText="1"/>
    </xf>
    <xf numFmtId="0" fontId="19" fillId="0" borderId="0" xfId="49" applyFont="1" applyAlignment="1">
      <alignment horizontal="left"/>
    </xf>
    <xf numFmtId="0" fontId="2" fillId="9" borderId="1" xfId="49" applyFont="1" applyFill="1" applyBorder="1">
      <alignment vertical="center"/>
    </xf>
    <xf numFmtId="0" fontId="15" fillId="0" borderId="0" xfId="49" applyFont="1" applyAlignment="1">
      <alignment horizontal="left" vertical="center"/>
    </xf>
    <xf numFmtId="0" fontId="15" fillId="14" borderId="1" xfId="53" applyFont="1" applyFill="1" applyBorder="1" applyAlignment="1">
      <alignment horizontal="left" vertical="center"/>
    </xf>
    <xf numFmtId="0" fontId="31" fillId="0" borderId="0" xfId="49" applyFont="1" applyAlignment="1">
      <alignment horizontal="center" vertical="center"/>
    </xf>
    <xf numFmtId="0" fontId="14" fillId="14" borderId="1" xfId="49" applyFont="1" applyFill="1" applyBorder="1" applyAlignment="1">
      <alignment horizontal="left"/>
    </xf>
    <xf numFmtId="0" fontId="14" fillId="0" borderId="1" xfId="49" applyFont="1" applyBorder="1" applyAlignment="1">
      <alignment horizontal="center" vertical="center"/>
    </xf>
    <xf numFmtId="0" fontId="14" fillId="14" borderId="1" xfId="49" applyFont="1" applyFill="1" applyBorder="1" applyAlignment="1">
      <alignment horizontal="left" vertical="center"/>
    </xf>
    <xf numFmtId="0" fontId="2" fillId="14" borderId="1" xfId="49" applyFont="1" applyFill="1" applyBorder="1">
      <alignment vertical="center"/>
    </xf>
    <xf numFmtId="0" fontId="2" fillId="16" borderId="1" xfId="53" applyFont="1" applyFill="1" applyBorder="1" applyAlignment="1"/>
    <xf numFmtId="0" fontId="2" fillId="16" borderId="1" xfId="53" applyFont="1" applyFill="1" applyBorder="1" applyAlignment="1">
      <alignment horizontal="center" vertical="center" wrapText="1"/>
    </xf>
    <xf numFmtId="0" fontId="2" fillId="16" borderId="1" xfId="53" applyFont="1" applyFill="1" applyBorder="1" applyAlignment="1">
      <alignment wrapText="1"/>
    </xf>
    <xf numFmtId="0" fontId="10" fillId="0" borderId="0" xfId="53" applyFont="1" applyAlignment="1">
      <alignment horizontal="left" vertical="center"/>
    </xf>
    <xf numFmtId="0" fontId="32" fillId="8" borderId="3" xfId="49" applyFont="1" applyFill="1" applyBorder="1" applyAlignment="1">
      <alignment horizontal="left" vertical="center" wrapText="1"/>
    </xf>
    <xf numFmtId="0" fontId="34" fillId="0" borderId="0" xfId="53" applyFont="1">
      <alignment vertical="center"/>
    </xf>
    <xf numFmtId="0" fontId="18" fillId="0" borderId="1" xfId="6" applyNumberFormat="1" applyFont="1" applyFill="1" applyBorder="1" applyAlignment="1" applyProtection="1">
      <alignment vertical="center" wrapText="1"/>
    </xf>
    <xf numFmtId="0" fontId="35" fillId="4" borderId="1" xfId="53" applyFont="1" applyFill="1" applyBorder="1" applyAlignment="1">
      <alignment vertical="center" wrapText="1"/>
    </xf>
    <xf numFmtId="0" fontId="35" fillId="4" borderId="1" xfId="53" applyFont="1" applyFill="1" applyBorder="1" applyAlignment="1">
      <alignment horizontal="center" vertical="center" wrapText="1"/>
    </xf>
    <xf numFmtId="0" fontId="13" fillId="5" borderId="1" xfId="53" applyFont="1" applyFill="1" applyBorder="1" applyAlignment="1">
      <alignment vertical="center" wrapText="1"/>
    </xf>
    <xf numFmtId="0" fontId="13" fillId="5" borderId="1" xfId="53" applyFont="1" applyFill="1" applyBorder="1" applyAlignment="1">
      <alignment horizontal="center" vertical="center" wrapText="1"/>
    </xf>
    <xf numFmtId="0" fontId="13" fillId="5" borderId="1" xfId="53" applyFont="1" applyFill="1" applyBorder="1">
      <alignment vertical="center"/>
    </xf>
    <xf numFmtId="0" fontId="10" fillId="0" borderId="1" xfId="49" applyFont="1" applyBorder="1">
      <alignment vertical="center"/>
    </xf>
    <xf numFmtId="0" fontId="15" fillId="0" borderId="1" xfId="53" applyFont="1" applyBorder="1" applyAlignment="1">
      <alignment horizontal="center" vertical="center" wrapText="1"/>
    </xf>
    <xf numFmtId="0" fontId="15" fillId="0" borderId="1" xfId="53" applyFont="1" applyBorder="1">
      <alignment vertical="center"/>
    </xf>
    <xf numFmtId="0" fontId="10" fillId="23" borderId="1" xfId="49" applyFont="1" applyFill="1" applyBorder="1" applyAlignment="1">
      <alignment horizontal="left" vertical="center"/>
    </xf>
    <xf numFmtId="0" fontId="10" fillId="23" borderId="1" xfId="49" applyFont="1" applyFill="1" applyBorder="1" applyAlignment="1">
      <alignment horizontal="center" vertical="center"/>
    </xf>
    <xf numFmtId="0" fontId="10" fillId="23" borderId="1" xfId="49" applyFont="1" applyFill="1" applyBorder="1" applyAlignment="1">
      <alignment horizontal="center" vertical="center" wrapText="1"/>
    </xf>
    <xf numFmtId="0" fontId="10" fillId="0" borderId="1" xfId="53" applyFont="1" applyBorder="1" applyAlignment="1">
      <alignment horizontal="left" vertical="center" wrapText="1"/>
    </xf>
    <xf numFmtId="0" fontId="10" fillId="0" borderId="13" xfId="53" applyFont="1" applyBorder="1">
      <alignment vertical="center"/>
    </xf>
    <xf numFmtId="0" fontId="10" fillId="0" borderId="0" xfId="49" applyFont="1" applyAlignment="1">
      <alignment horizontal="left" vertical="center" wrapText="1"/>
    </xf>
    <xf numFmtId="0" fontId="15" fillId="0" borderId="0" xfId="49" applyFont="1" applyAlignment="1">
      <alignment vertical="center" wrapText="1"/>
    </xf>
    <xf numFmtId="0" fontId="32" fillId="8" borderId="1" xfId="49" applyFont="1" applyFill="1" applyBorder="1" applyAlignment="1">
      <alignment horizontal="left" vertical="center" wrapText="1"/>
    </xf>
    <xf numFmtId="0" fontId="10" fillId="0" borderId="1" xfId="53" applyFont="1" applyBorder="1" applyAlignment="1">
      <alignment horizontal="left"/>
    </xf>
    <xf numFmtId="0" fontId="4" fillId="9" borderId="1" xfId="49" applyFont="1" applyFill="1" applyBorder="1">
      <alignment vertical="center"/>
    </xf>
    <xf numFmtId="0" fontId="14" fillId="9" borderId="1" xfId="49" applyFont="1" applyFill="1" applyBorder="1" applyAlignment="1"/>
    <xf numFmtId="0" fontId="14" fillId="0" borderId="1" xfId="49" applyFont="1" applyBorder="1" applyAlignment="1">
      <alignment wrapText="1"/>
    </xf>
    <xf numFmtId="0" fontId="14" fillId="0" borderId="1" xfId="49" applyFont="1" applyBorder="1" applyAlignment="1">
      <alignment horizontal="left" wrapText="1"/>
    </xf>
    <xf numFmtId="0" fontId="4" fillId="0" borderId="1" xfId="49" applyFont="1" applyBorder="1">
      <alignment vertical="center"/>
    </xf>
    <xf numFmtId="0" fontId="34" fillId="0" borderId="1" xfId="53" applyFont="1" applyBorder="1" applyAlignment="1">
      <alignment horizontal="left"/>
    </xf>
    <xf numFmtId="0" fontId="6" fillId="0" borderId="1" xfId="49" applyFont="1" applyBorder="1">
      <alignment vertical="center"/>
    </xf>
    <xf numFmtId="0" fontId="33" fillId="0" borderId="1" xfId="49" applyFont="1" applyBorder="1" applyAlignment="1">
      <alignment horizontal="left" vertical="center"/>
    </xf>
    <xf numFmtId="0" fontId="34" fillId="0" borderId="1" xfId="53" applyFont="1" applyBorder="1" applyAlignment="1">
      <alignment horizontal="left" vertical="center" wrapText="1"/>
    </xf>
    <xf numFmtId="0" fontId="34" fillId="0" borderId="1" xfId="53" applyFont="1" applyBorder="1">
      <alignment vertical="center"/>
    </xf>
    <xf numFmtId="0" fontId="14" fillId="0" borderId="1" xfId="49" applyFont="1" applyBorder="1" applyAlignment="1"/>
    <xf numFmtId="0" fontId="15" fillId="0" borderId="1" xfId="53" applyFont="1" applyBorder="1" applyAlignment="1">
      <alignment horizontal="center" vertical="center"/>
    </xf>
    <xf numFmtId="0" fontId="15" fillId="0" borderId="1" xfId="49" applyFont="1" applyBorder="1" applyAlignment="1"/>
    <xf numFmtId="0" fontId="10" fillId="14" borderId="1" xfId="53" applyFont="1" applyFill="1" applyBorder="1">
      <alignment vertical="center"/>
    </xf>
    <xf numFmtId="0" fontId="10" fillId="14" borderId="1" xfId="53" applyFont="1" applyFill="1" applyBorder="1" applyAlignment="1">
      <alignment vertical="center" wrapText="1"/>
    </xf>
    <xf numFmtId="0" fontId="10" fillId="0" borderId="1" xfId="53" applyFont="1" applyBorder="1" applyAlignment="1">
      <alignment horizontal="center" vertical="center" wrapText="1"/>
    </xf>
    <xf numFmtId="0" fontId="10" fillId="14" borderId="2" xfId="53" applyFont="1" applyFill="1" applyBorder="1" applyAlignment="1">
      <alignment horizontal="left" vertical="center" wrapText="1"/>
    </xf>
    <xf numFmtId="0" fontId="10" fillId="0" borderId="2" xfId="53" applyFont="1" applyBorder="1" applyAlignment="1">
      <alignment horizontal="left" vertical="center" wrapText="1"/>
    </xf>
    <xf numFmtId="0" fontId="10" fillId="14" borderId="14" xfId="53" applyFont="1" applyFill="1" applyBorder="1" applyAlignment="1">
      <alignment horizontal="left" vertical="center" wrapText="1"/>
    </xf>
    <xf numFmtId="0" fontId="10" fillId="0" borderId="7" xfId="53" applyFont="1" applyBorder="1" applyAlignment="1">
      <alignment horizontal="left" vertical="center" wrapText="1"/>
    </xf>
    <xf numFmtId="0" fontId="10" fillId="14" borderId="7" xfId="53" applyFont="1" applyFill="1" applyBorder="1" applyAlignment="1">
      <alignment horizontal="left" vertical="center" wrapText="1"/>
    </xf>
    <xf numFmtId="0" fontId="10" fillId="0" borderId="7" xfId="53" applyFont="1" applyBorder="1">
      <alignment vertical="center"/>
    </xf>
    <xf numFmtId="0" fontId="15" fillId="0" borderId="1" xfId="49" applyFont="1" applyBorder="1" applyAlignment="1">
      <alignment vertical="center" wrapText="1"/>
    </xf>
    <xf numFmtId="0" fontId="2" fillId="0" borderId="1" xfId="53" applyFont="1" applyBorder="1" applyAlignment="1">
      <alignment horizontal="left" vertical="center"/>
    </xf>
    <xf numFmtId="0" fontId="10" fillId="14" borderId="1" xfId="53" applyFont="1" applyFill="1" applyBorder="1" applyAlignment="1">
      <alignment horizontal="left" vertical="center"/>
    </xf>
    <xf numFmtId="0" fontId="15" fillId="0" borderId="1" xfId="53" applyFont="1" applyBorder="1" applyAlignment="1">
      <alignment horizontal="left"/>
    </xf>
    <xf numFmtId="0" fontId="2" fillId="0" borderId="0" xfId="53" applyFont="1" applyAlignment="1">
      <alignment horizontal="center" vertical="center"/>
    </xf>
    <xf numFmtId="0" fontId="10" fillId="0" borderId="3" xfId="53" applyFont="1" applyBorder="1">
      <alignment vertical="center"/>
    </xf>
    <xf numFmtId="0" fontId="0" fillId="0" borderId="3" xfId="49" applyBorder="1">
      <alignment vertical="center"/>
    </xf>
    <xf numFmtId="0" fontId="10" fillId="15" borderId="2" xfId="53" applyFont="1" applyFill="1" applyBorder="1" applyAlignment="1">
      <alignment horizontal="left" vertical="center" wrapText="1"/>
    </xf>
    <xf numFmtId="0" fontId="10" fillId="15" borderId="14" xfId="53" applyFont="1" applyFill="1" applyBorder="1" applyAlignment="1">
      <alignment horizontal="left" vertical="center" wrapText="1"/>
    </xf>
    <xf numFmtId="0" fontId="10" fillId="15" borderId="7" xfId="53" applyFont="1" applyFill="1" applyBorder="1" applyAlignment="1">
      <alignment horizontal="left" vertical="center" wrapText="1"/>
    </xf>
    <xf numFmtId="0" fontId="4" fillId="9" borderId="1" xfId="53" applyFont="1" applyFill="1" applyBorder="1" applyAlignment="1">
      <alignment horizontal="left" vertical="center"/>
    </xf>
    <xf numFmtId="0" fontId="2" fillId="0" borderId="1" xfId="53" applyFont="1" applyBorder="1" applyAlignment="1">
      <alignment horizontal="center" vertical="center" wrapText="1"/>
    </xf>
    <xf numFmtId="0" fontId="4" fillId="0" borderId="1" xfId="53" applyFont="1" applyBorder="1" applyAlignment="1">
      <alignment horizontal="center" vertical="center"/>
    </xf>
    <xf numFmtId="0" fontId="36" fillId="0" borderId="1" xfId="49" applyFont="1" applyBorder="1">
      <alignment vertical="center"/>
    </xf>
    <xf numFmtId="0" fontId="10" fillId="0" borderId="2" xfId="53" applyFont="1" applyBorder="1" applyAlignment="1">
      <alignment horizontal="left" vertical="top" wrapText="1"/>
    </xf>
    <xf numFmtId="0" fontId="10" fillId="0" borderId="1" xfId="49" applyFont="1" applyBorder="1" applyAlignment="1">
      <alignment horizontal="center" vertical="center"/>
    </xf>
    <xf numFmtId="0" fontId="10" fillId="0" borderId="14" xfId="53" applyFont="1" applyBorder="1" applyAlignment="1">
      <alignment horizontal="left" vertical="top" wrapText="1"/>
    </xf>
    <xf numFmtId="0" fontId="14" fillId="14" borderId="1" xfId="50" applyFont="1" applyFill="1" applyBorder="1">
      <alignment vertical="center"/>
    </xf>
    <xf numFmtId="0" fontId="10" fillId="0" borderId="7" xfId="53" applyFont="1" applyBorder="1" applyAlignment="1">
      <alignment horizontal="left" vertical="top" wrapText="1"/>
    </xf>
    <xf numFmtId="0" fontId="10" fillId="0" borderId="1" xfId="49" applyFont="1" applyBorder="1" applyAlignment="1">
      <alignment horizontal="center" vertical="center" wrapText="1"/>
    </xf>
    <xf numFmtId="0" fontId="32" fillId="8" borderId="1" xfId="49" applyFont="1" applyFill="1" applyBorder="1" applyAlignment="1">
      <alignment horizontal="center" vertical="center" wrapText="1"/>
    </xf>
    <xf numFmtId="0" fontId="33" fillId="5" borderId="1" xfId="49" applyFont="1" applyFill="1" applyBorder="1" applyAlignment="1">
      <alignment horizontal="center" vertical="center" wrapText="1"/>
    </xf>
    <xf numFmtId="0" fontId="15" fillId="14" borderId="1" xfId="53" applyFont="1" applyFill="1" applyBorder="1" applyAlignment="1">
      <alignment horizontal="left" vertical="center" wrapText="1"/>
    </xf>
    <xf numFmtId="0" fontId="2" fillId="0" borderId="3" xfId="53" applyFont="1" applyBorder="1" applyAlignment="1">
      <alignment horizontal="center" vertical="center"/>
    </xf>
    <xf numFmtId="0" fontId="4" fillId="0" borderId="1" xfId="56" applyFont="1" applyBorder="1" applyAlignment="1">
      <alignment horizontal="left" vertical="center"/>
    </xf>
    <xf numFmtId="0" fontId="14" fillId="0" borderId="1" xfId="50" applyFont="1" applyBorder="1" applyAlignment="1">
      <alignment horizontal="center" vertical="center"/>
    </xf>
    <xf numFmtId="0" fontId="4" fillId="9" borderId="1" xfId="49" applyFont="1" applyFill="1" applyBorder="1" applyAlignment="1">
      <alignment horizontal="left" vertical="center"/>
    </xf>
    <xf numFmtId="0" fontId="14" fillId="0" borderId="1" xfId="50" applyFont="1" applyBorder="1" applyAlignment="1">
      <alignment horizontal="center"/>
    </xf>
    <xf numFmtId="0" fontId="37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0" fillId="0" borderId="0" xfId="57" applyFont="1" applyAlignment="1">
      <alignment vertical="center"/>
    </xf>
    <xf numFmtId="0" fontId="33" fillId="9" borderId="1" xfId="0" applyFont="1" applyFill="1" applyBorder="1" applyAlignment="1">
      <alignment horizontal="left" vertical="center" wrapText="1"/>
    </xf>
    <xf numFmtId="0" fontId="33" fillId="9" borderId="1" xfId="0" applyFont="1" applyFill="1" applyBorder="1" applyAlignment="1">
      <alignment horizontal="left" vertical="center"/>
    </xf>
    <xf numFmtId="0" fontId="33" fillId="9" borderId="4" xfId="0" applyFont="1" applyFill="1" applyBorder="1" applyAlignment="1">
      <alignment horizontal="left" vertical="center" wrapText="1"/>
    </xf>
    <xf numFmtId="0" fontId="37" fillId="0" borderId="1" xfId="0" applyFont="1" applyBorder="1" applyAlignment="1">
      <alignment vertical="center" wrapText="1"/>
    </xf>
    <xf numFmtId="0" fontId="15" fillId="9" borderId="1" xfId="0" applyFont="1" applyFill="1" applyBorder="1" applyAlignment="1">
      <alignment horizontal="left" vertical="center"/>
    </xf>
    <xf numFmtId="0" fontId="38" fillId="9" borderId="1" xfId="6" applyFont="1" applyFill="1" applyBorder="1" applyAlignment="1">
      <alignment vertical="center"/>
    </xf>
    <xf numFmtId="0" fontId="15" fillId="9" borderId="1" xfId="0" applyFont="1" applyFill="1" applyBorder="1" applyAlignment="1">
      <alignment horizontal="left"/>
    </xf>
    <xf numFmtId="0" fontId="14" fillId="9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horizontal="left" vertical="top"/>
    </xf>
    <xf numFmtId="0" fontId="14" fillId="9" borderId="4" xfId="0" applyFont="1" applyFill="1" applyBorder="1" applyAlignment="1">
      <alignment vertical="center"/>
    </xf>
    <xf numFmtId="0" fontId="39" fillId="9" borderId="1" xfId="0" applyFont="1" applyFill="1" applyBorder="1" applyAlignment="1">
      <alignment horizontal="left" vertical="center"/>
    </xf>
    <xf numFmtId="0" fontId="40" fillId="9" borderId="1" xfId="6" applyFont="1" applyFill="1" applyBorder="1" applyAlignment="1">
      <alignment vertical="center"/>
    </xf>
    <xf numFmtId="0" fontId="14" fillId="14" borderId="1" xfId="0" applyFont="1" applyFill="1" applyBorder="1" applyAlignment="1">
      <alignment vertical="center"/>
    </xf>
    <xf numFmtId="0" fontId="2" fillId="9" borderId="1" xfId="57" applyFont="1" applyFill="1" applyBorder="1" applyAlignment="1">
      <alignment vertical="center"/>
    </xf>
    <xf numFmtId="0" fontId="4" fillId="9" borderId="1" xfId="57" applyFont="1" applyFill="1" applyBorder="1" applyAlignment="1">
      <alignment vertical="center"/>
    </xf>
    <xf numFmtId="0" fontId="7" fillId="9" borderId="1" xfId="57" applyFont="1" applyFill="1" applyBorder="1" applyAlignment="1">
      <alignment vertical="center"/>
    </xf>
    <xf numFmtId="0" fontId="2" fillId="9" borderId="1" xfId="6" applyFont="1" applyFill="1" applyBorder="1" applyAlignment="1">
      <alignment horizontal="left" vertical="center"/>
    </xf>
    <xf numFmtId="0" fontId="2" fillId="9" borderId="1" xfId="52" applyFont="1" applyFill="1" applyBorder="1" applyAlignment="1">
      <alignment horizontal="left"/>
    </xf>
    <xf numFmtId="0" fontId="2" fillId="9" borderId="1" xfId="52" applyFont="1" applyFill="1" applyBorder="1" applyAlignment="1">
      <alignment horizontal="left" vertical="center"/>
    </xf>
    <xf numFmtId="0" fontId="4" fillId="9" borderId="1" xfId="52" applyFont="1" applyFill="1" applyBorder="1" applyAlignment="1">
      <alignment horizontal="left"/>
    </xf>
    <xf numFmtId="0" fontId="14" fillId="9" borderId="1" xfId="0" applyFont="1" applyFill="1" applyBorder="1" applyAlignment="1">
      <alignment horizontal="left" vertical="center"/>
    </xf>
    <xf numFmtId="0" fontId="40" fillId="9" borderId="1" xfId="6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33" fillId="9" borderId="1" xfId="0" applyFont="1" applyFill="1" applyBorder="1">
      <alignment vertical="center"/>
    </xf>
    <xf numFmtId="0" fontId="33" fillId="9" borderId="1" xfId="0" applyFont="1" applyFill="1" applyBorder="1" applyAlignment="1">
      <alignment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8 4" xfId="49"/>
    <cellStyle name="常规 2" xfId="50"/>
    <cellStyle name="常规 2 2" xfId="51"/>
    <cellStyle name="常规 2 2 2" xfId="52"/>
    <cellStyle name="常规 2 3" xfId="53"/>
    <cellStyle name="常规 2 4" xfId="54"/>
    <cellStyle name="常规 2 5" xfId="55"/>
    <cellStyle name="常规 41" xfId="56"/>
    <cellStyle name="常规 6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tyles" Target="styles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externalLink" Target="externalLinks/externalLink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%20(x86)\zMail\app\temp\API&#25509;&#21475;&#20132;&#27969;&#23450;&#31295;_201808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修改日志"/>
      <sheetName val="说明"/>
      <sheetName val="API列表"/>
      <sheetName val="A.无线覆盖"/>
      <sheetName val="B.无线事件"/>
      <sheetName val="C.VOLTE事件"/>
      <sheetName val="D.端到端"/>
      <sheetName val="E.其他"/>
      <sheetName val="A.1.1"/>
      <sheetName val="A.1.2"/>
      <sheetName val="A.2.1"/>
      <sheetName val="A.2.2"/>
      <sheetName val="A.2.3"/>
      <sheetName val="A.2.4"/>
      <sheetName val="A.2.5"/>
      <sheetName val="A.2.6"/>
      <sheetName val="A.3.1"/>
      <sheetName val="A.3.2"/>
      <sheetName val="A.3.3"/>
      <sheetName val="A.3.4"/>
      <sheetName val="A.3.5"/>
      <sheetName val="A.4.1"/>
      <sheetName val="A.4.2"/>
      <sheetName val="A.4.3"/>
      <sheetName val="A.4.4"/>
      <sheetName val="A.4.5"/>
      <sheetName val="A.4.6"/>
      <sheetName val="A.4.7"/>
      <sheetName val="A.4.8"/>
      <sheetName val="A.4.9"/>
      <sheetName val="A.4.10"/>
      <sheetName val="B.1.1"/>
      <sheetName val="B.1.2"/>
      <sheetName val="B.1.3"/>
      <sheetName val="B.1.4"/>
      <sheetName val="B.1.5"/>
      <sheetName val="B.1.6"/>
      <sheetName val="B.1.7"/>
      <sheetName val="B.3.1"/>
      <sheetName val="B.3.2"/>
      <sheetName val="B.3.3"/>
      <sheetName val="C.1.1"/>
      <sheetName val="C.1.2"/>
      <sheetName val="C.1.3"/>
      <sheetName val="C.2.1"/>
      <sheetName val="C.3.1"/>
      <sheetName val="C.3.2"/>
      <sheetName val="C.3.3"/>
      <sheetName val="D.1.1"/>
      <sheetName val="D.2.1"/>
      <sheetName val="D.2.2"/>
      <sheetName val="D.2.3"/>
      <sheetName val="D.2.4"/>
      <sheetName val="D.3.1"/>
      <sheetName val="D.3.2"/>
      <sheetName val="D.3.3"/>
      <sheetName val="D.3.4"/>
      <sheetName val="D.3.5"/>
      <sheetName val="D.4.1"/>
      <sheetName val="D.4.2"/>
      <sheetName val="D.4.3"/>
      <sheetName val="D.4.4"/>
      <sheetName val="D.4.5"/>
      <sheetName val="D.4.6"/>
      <sheetName val="D.4.7"/>
      <sheetName val="D.4.8"/>
      <sheetName val="D.4.9"/>
      <sheetName val="D.4.10"/>
      <sheetName val="E.1.1"/>
      <sheetName val="E.1.2"/>
      <sheetName val="PM标准名称"/>
      <sheetName val="E.2.1"/>
      <sheetName val="E.2.2"/>
      <sheetName val="E.3.1"/>
      <sheetName val="E.3.2"/>
      <sheetName val="E.4.1"/>
      <sheetName val="E.4.2"/>
      <sheetName val="E.4.3"/>
      <sheetName val="E.4.4"/>
      <sheetName val="E.4.5"/>
      <sheetName val="E.4.6"/>
      <sheetName val="E.4.7"/>
      <sheetName val="E.4.8"/>
      <sheetName val="E.4.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3.8" outlineLevelCol="6"/>
  <sheetData>
    <row r="1" ht="24" spans="1:7">
      <c r="A1" s="488" t="s">
        <v>0</v>
      </c>
      <c r="B1" s="488" t="s">
        <v>1</v>
      </c>
      <c r="C1" s="488" t="s">
        <v>2</v>
      </c>
      <c r="D1" s="489" t="s">
        <v>3</v>
      </c>
      <c r="E1" s="489" t="s">
        <v>4</v>
      </c>
      <c r="F1" s="488" t="s">
        <v>5</v>
      </c>
      <c r="G1" s="488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zoomScale="130" zoomScaleNormal="130" workbookViewId="0">
      <selection activeCell="B2" sqref="B2"/>
    </sheetView>
  </sheetViews>
  <sheetFormatPr defaultColWidth="9" defaultRowHeight="13.8" outlineLevelCol="7"/>
  <cols>
    <col min="3" max="4" width="40.6296296296296" customWidth="1"/>
  </cols>
  <sheetData>
    <row r="1" s="461" customFormat="1" ht="36" customHeight="1" spans="1:8">
      <c r="A1" s="464" t="s">
        <v>7</v>
      </c>
      <c r="B1" s="464" t="s">
        <v>8</v>
      </c>
      <c r="C1" s="464" t="s">
        <v>9</v>
      </c>
      <c r="D1" s="465" t="s">
        <v>10</v>
      </c>
      <c r="E1" s="465" t="s">
        <v>11</v>
      </c>
      <c r="F1" s="464" t="s">
        <v>12</v>
      </c>
      <c r="G1" s="466" t="s">
        <v>13</v>
      </c>
      <c r="H1" s="467" t="s">
        <v>14</v>
      </c>
    </row>
    <row r="2" s="462" customFormat="1" ht="15" spans="1:8">
      <c r="A2" s="468" t="s">
        <v>15</v>
      </c>
      <c r="B2" s="469" t="str">
        <f>HYPERLINK("#"&amp;A2&amp;"!C2","链接")</f>
        <v>链接</v>
      </c>
      <c r="C2" s="470" t="s">
        <v>16</v>
      </c>
      <c r="D2" s="470" t="s">
        <v>17</v>
      </c>
      <c r="E2" s="471" t="s">
        <v>18</v>
      </c>
      <c r="F2" s="472" t="s">
        <v>19</v>
      </c>
      <c r="G2" s="473" t="s">
        <v>20</v>
      </c>
      <c r="H2" s="471" t="s">
        <v>21</v>
      </c>
    </row>
    <row r="3" s="462" customFormat="1" ht="15" spans="1:8">
      <c r="A3" s="474" t="s">
        <v>22</v>
      </c>
      <c r="B3" s="469" t="str">
        <f t="shared" ref="B3:B31" si="0">HYPERLINK("#"&amp;A3&amp;"!C2","链接")</f>
        <v>链接</v>
      </c>
      <c r="C3" s="470" t="s">
        <v>23</v>
      </c>
      <c r="D3" s="470" t="s">
        <v>24</v>
      </c>
      <c r="E3" s="471" t="s">
        <v>18</v>
      </c>
      <c r="F3" s="472" t="s">
        <v>25</v>
      </c>
      <c r="G3" s="473" t="s">
        <v>20</v>
      </c>
      <c r="H3" s="471" t="s">
        <v>21</v>
      </c>
    </row>
    <row r="4" s="462" customFormat="1" ht="15" spans="1:8">
      <c r="A4" s="474" t="s">
        <v>26</v>
      </c>
      <c r="B4" s="469" t="str">
        <f t="shared" si="0"/>
        <v>链接</v>
      </c>
      <c r="C4" s="470" t="s">
        <v>27</v>
      </c>
      <c r="D4" s="470" t="s">
        <v>28</v>
      </c>
      <c r="E4" s="471" t="s">
        <v>18</v>
      </c>
      <c r="F4" s="472" t="s">
        <v>29</v>
      </c>
      <c r="G4" s="473" t="s">
        <v>20</v>
      </c>
      <c r="H4" s="471" t="s">
        <v>21</v>
      </c>
    </row>
    <row r="5" s="462" customFormat="1" ht="15" spans="1:8">
      <c r="A5" s="474" t="s">
        <v>30</v>
      </c>
      <c r="B5" s="475" t="str">
        <f t="shared" si="0"/>
        <v>链接</v>
      </c>
      <c r="C5" s="470" t="s">
        <v>31</v>
      </c>
      <c r="D5" s="470" t="s">
        <v>32</v>
      </c>
      <c r="E5" s="471" t="s">
        <v>18</v>
      </c>
      <c r="F5" s="472" t="s">
        <v>33</v>
      </c>
      <c r="G5" s="473" t="s">
        <v>20</v>
      </c>
      <c r="H5" s="471" t="s">
        <v>21</v>
      </c>
    </row>
    <row r="6" s="462" customFormat="1" ht="15" spans="1:8">
      <c r="A6" s="474" t="s">
        <v>34</v>
      </c>
      <c r="B6" s="469" t="str">
        <f t="shared" si="0"/>
        <v>链接</v>
      </c>
      <c r="C6" s="470" t="s">
        <v>35</v>
      </c>
      <c r="D6" s="470" t="s">
        <v>36</v>
      </c>
      <c r="E6" s="471" t="s">
        <v>18</v>
      </c>
      <c r="F6" s="472" t="s">
        <v>37</v>
      </c>
      <c r="G6" s="473" t="s">
        <v>20</v>
      </c>
      <c r="H6" s="471" t="s">
        <v>21</v>
      </c>
    </row>
    <row r="7" s="462" customFormat="1" ht="15" spans="1:8">
      <c r="A7" s="468" t="s">
        <v>38</v>
      </c>
      <c r="B7" s="475" t="str">
        <f t="shared" si="0"/>
        <v>链接</v>
      </c>
      <c r="C7" s="470" t="s">
        <v>39</v>
      </c>
      <c r="D7" s="470" t="s">
        <v>40</v>
      </c>
      <c r="E7" s="471" t="s">
        <v>18</v>
      </c>
      <c r="F7" s="472" t="s">
        <v>41</v>
      </c>
      <c r="G7" s="473" t="s">
        <v>20</v>
      </c>
      <c r="H7" s="471" t="s">
        <v>21</v>
      </c>
    </row>
    <row r="8" s="462" customFormat="1" ht="15" spans="1:8">
      <c r="A8" s="474" t="s">
        <v>42</v>
      </c>
      <c r="B8" s="469" t="str">
        <f t="shared" si="0"/>
        <v>链接</v>
      </c>
      <c r="C8" s="470" t="s">
        <v>43</v>
      </c>
      <c r="D8" s="470" t="s">
        <v>44</v>
      </c>
      <c r="E8" s="471" t="s">
        <v>18</v>
      </c>
      <c r="F8" s="472" t="s">
        <v>45</v>
      </c>
      <c r="G8" s="473" t="s">
        <v>20</v>
      </c>
      <c r="H8" s="471" t="s">
        <v>21</v>
      </c>
    </row>
    <row r="9" s="462" customFormat="1" ht="15" spans="1:8">
      <c r="A9" s="468" t="s">
        <v>46</v>
      </c>
      <c r="B9" s="475" t="str">
        <f t="shared" si="0"/>
        <v>链接</v>
      </c>
      <c r="C9" s="470" t="s">
        <v>47</v>
      </c>
      <c r="D9" s="470" t="s">
        <v>48</v>
      </c>
      <c r="E9" s="471" t="s">
        <v>18</v>
      </c>
      <c r="F9" s="472" t="s">
        <v>49</v>
      </c>
      <c r="G9" s="473" t="s">
        <v>20</v>
      </c>
      <c r="H9" s="471" t="s">
        <v>21</v>
      </c>
    </row>
    <row r="10" s="462" customFormat="1" ht="15" spans="1:8">
      <c r="A10" s="474" t="s">
        <v>50</v>
      </c>
      <c r="B10" s="475" t="str">
        <f t="shared" si="0"/>
        <v>链接</v>
      </c>
      <c r="C10" s="470" t="s">
        <v>51</v>
      </c>
      <c r="D10" s="470" t="s">
        <v>52</v>
      </c>
      <c r="E10" s="471" t="s">
        <v>18</v>
      </c>
      <c r="F10" s="472" t="s">
        <v>53</v>
      </c>
      <c r="G10" s="473" t="s">
        <v>20</v>
      </c>
      <c r="H10" s="471" t="s">
        <v>21</v>
      </c>
    </row>
    <row r="11" s="462" customFormat="1" ht="15" spans="1:8">
      <c r="A11" s="468" t="s">
        <v>54</v>
      </c>
      <c r="B11" s="475" t="str">
        <f t="shared" si="0"/>
        <v>链接</v>
      </c>
      <c r="C11" s="470" t="s">
        <v>55</v>
      </c>
      <c r="D11" s="470" t="s">
        <v>56</v>
      </c>
      <c r="E11" s="476" t="s">
        <v>57</v>
      </c>
      <c r="F11" s="472" t="s">
        <v>58</v>
      </c>
      <c r="G11" s="473" t="s">
        <v>20</v>
      </c>
      <c r="H11" s="471" t="s">
        <v>21</v>
      </c>
    </row>
    <row r="12" s="463" customFormat="1" ht="15" spans="1:8">
      <c r="A12" s="477" t="s">
        <v>59</v>
      </c>
      <c r="B12" s="469" t="str">
        <f t="shared" si="0"/>
        <v>链接</v>
      </c>
      <c r="C12" s="478" t="s">
        <v>60</v>
      </c>
      <c r="D12" s="477" t="s">
        <v>61</v>
      </c>
      <c r="E12" s="477"/>
      <c r="F12" s="471"/>
      <c r="G12" s="471"/>
      <c r="H12" s="471" t="s">
        <v>21</v>
      </c>
    </row>
    <row r="13" s="463" customFormat="1" ht="15" spans="1:8">
      <c r="A13" s="477" t="s">
        <v>62</v>
      </c>
      <c r="B13" s="475" t="str">
        <f t="shared" si="0"/>
        <v>链接</v>
      </c>
      <c r="C13" s="478" t="s">
        <v>63</v>
      </c>
      <c r="D13" s="477" t="s">
        <v>64</v>
      </c>
      <c r="E13" s="477"/>
      <c r="F13" s="471"/>
      <c r="G13" s="471"/>
      <c r="H13" s="471" t="s">
        <v>21</v>
      </c>
    </row>
    <row r="14" s="463" customFormat="1" ht="15" spans="1:8">
      <c r="A14" s="477" t="s">
        <v>65</v>
      </c>
      <c r="B14" s="475" t="str">
        <f t="shared" si="0"/>
        <v>链接</v>
      </c>
      <c r="C14" s="478" t="s">
        <v>66</v>
      </c>
      <c r="D14" s="477" t="s">
        <v>67</v>
      </c>
      <c r="E14" s="477"/>
      <c r="F14" s="471"/>
      <c r="G14" s="471"/>
      <c r="H14" s="471" t="s">
        <v>21</v>
      </c>
    </row>
    <row r="15" s="463" customFormat="1" ht="15" spans="1:8">
      <c r="A15" s="477" t="s">
        <v>68</v>
      </c>
      <c r="B15" s="475" t="str">
        <f t="shared" si="0"/>
        <v>链接</v>
      </c>
      <c r="C15" s="478" t="s">
        <v>69</v>
      </c>
      <c r="D15" s="477" t="s">
        <v>70</v>
      </c>
      <c r="E15" s="477"/>
      <c r="F15" s="471"/>
      <c r="G15" s="471"/>
      <c r="H15" s="471" t="s">
        <v>21</v>
      </c>
    </row>
    <row r="16" s="463" customFormat="1" ht="15" spans="1:8">
      <c r="A16" s="477" t="s">
        <v>71</v>
      </c>
      <c r="B16" s="475" t="str">
        <f t="shared" si="0"/>
        <v>链接</v>
      </c>
      <c r="C16" s="478" t="s">
        <v>72</v>
      </c>
      <c r="D16" s="477" t="s">
        <v>73</v>
      </c>
      <c r="E16" s="477"/>
      <c r="F16" s="471"/>
      <c r="G16" s="471"/>
      <c r="H16" s="471" t="s">
        <v>21</v>
      </c>
    </row>
    <row r="17" s="463" customFormat="1" ht="15" spans="1:8">
      <c r="A17" s="477" t="s">
        <v>74</v>
      </c>
      <c r="B17" s="475" t="str">
        <f t="shared" si="0"/>
        <v>链接</v>
      </c>
      <c r="C17" s="479" t="s">
        <v>75</v>
      </c>
      <c r="D17" s="479" t="s">
        <v>76</v>
      </c>
      <c r="E17" s="477"/>
      <c r="F17" s="471"/>
      <c r="G17" s="471"/>
      <c r="H17" s="471" t="s">
        <v>21</v>
      </c>
    </row>
    <row r="18" s="463" customFormat="1" ht="15" spans="1:8">
      <c r="A18" s="477" t="s">
        <v>77</v>
      </c>
      <c r="B18" s="475" t="str">
        <f t="shared" si="0"/>
        <v>链接</v>
      </c>
      <c r="C18" s="226" t="s">
        <v>78</v>
      </c>
      <c r="D18" s="477" t="s">
        <v>79</v>
      </c>
      <c r="E18" s="477"/>
      <c r="F18" s="471"/>
      <c r="G18" s="471"/>
      <c r="H18" s="471" t="s">
        <v>21</v>
      </c>
    </row>
    <row r="19" s="463" customFormat="1" ht="15" spans="1:8">
      <c r="A19" s="477" t="s">
        <v>80</v>
      </c>
      <c r="B19" s="475" t="str">
        <f t="shared" si="0"/>
        <v>链接</v>
      </c>
      <c r="C19" s="478" t="s">
        <v>81</v>
      </c>
      <c r="D19" s="477" t="s">
        <v>82</v>
      </c>
      <c r="E19" s="477"/>
      <c r="F19" s="471"/>
      <c r="G19" s="471"/>
      <c r="H19" s="471" t="s">
        <v>21</v>
      </c>
    </row>
    <row r="20" s="463" customFormat="1" ht="15" spans="1:8">
      <c r="A20" s="477" t="s">
        <v>83</v>
      </c>
      <c r="B20" s="475" t="str">
        <f t="shared" si="0"/>
        <v>链接</v>
      </c>
      <c r="C20" s="478" t="s">
        <v>84</v>
      </c>
      <c r="D20" s="477" t="s">
        <v>85</v>
      </c>
      <c r="E20" s="477"/>
      <c r="F20" s="471"/>
      <c r="G20" s="471"/>
      <c r="H20" s="471" t="s">
        <v>21</v>
      </c>
    </row>
    <row r="21" s="463" customFormat="1" ht="15" spans="1:8">
      <c r="A21" s="477" t="s">
        <v>86</v>
      </c>
      <c r="B21" s="475" t="str">
        <f t="shared" si="0"/>
        <v>链接</v>
      </c>
      <c r="C21" s="477" t="s">
        <v>87</v>
      </c>
      <c r="D21" s="477" t="s">
        <v>88</v>
      </c>
      <c r="E21" s="477"/>
      <c r="F21" s="471"/>
      <c r="G21" s="471"/>
      <c r="H21" s="471" t="s">
        <v>21</v>
      </c>
    </row>
    <row r="22" s="463" customFormat="1" ht="15" spans="1:8">
      <c r="A22" s="477" t="s">
        <v>89</v>
      </c>
      <c r="B22" s="475" t="str">
        <f t="shared" si="0"/>
        <v>链接</v>
      </c>
      <c r="C22" s="477" t="s">
        <v>90</v>
      </c>
      <c r="D22" s="479" t="s">
        <v>91</v>
      </c>
      <c r="E22" s="477"/>
      <c r="F22" s="471"/>
      <c r="G22" s="471"/>
      <c r="H22" s="471" t="s">
        <v>21</v>
      </c>
    </row>
    <row r="23" s="463" customFormat="1" ht="15" spans="1:8">
      <c r="A23" s="477" t="s">
        <v>92</v>
      </c>
      <c r="B23" s="475" t="str">
        <f t="shared" si="0"/>
        <v>链接</v>
      </c>
      <c r="C23" s="226" t="s">
        <v>93</v>
      </c>
      <c r="D23" s="477" t="s">
        <v>94</v>
      </c>
      <c r="E23" s="477"/>
      <c r="F23" s="471"/>
      <c r="G23" s="471"/>
      <c r="H23" s="471" t="s">
        <v>21</v>
      </c>
    </row>
    <row r="24" s="462" customFormat="1" ht="13.2" spans="1:8">
      <c r="A24" s="480" t="s">
        <v>95</v>
      </c>
      <c r="B24" s="475" t="str">
        <f t="shared" si="0"/>
        <v>链接</v>
      </c>
      <c r="C24" s="481" t="s">
        <v>96</v>
      </c>
      <c r="D24" s="482" t="s">
        <v>97</v>
      </c>
      <c r="E24" s="471"/>
      <c r="F24" s="471"/>
      <c r="G24" s="471"/>
      <c r="H24" s="471" t="s">
        <v>21</v>
      </c>
    </row>
    <row r="25" s="462" customFormat="1" ht="13.2" spans="1:8">
      <c r="A25" s="480" t="s">
        <v>98</v>
      </c>
      <c r="B25" s="475" t="str">
        <f t="shared" si="0"/>
        <v>链接</v>
      </c>
      <c r="C25" s="481" t="s">
        <v>99</v>
      </c>
      <c r="D25" s="482" t="s">
        <v>100</v>
      </c>
      <c r="E25" s="471"/>
      <c r="F25" s="471"/>
      <c r="G25" s="471"/>
      <c r="H25" s="471" t="s">
        <v>21</v>
      </c>
    </row>
    <row r="26" s="462" customFormat="1" ht="13.2" spans="1:8">
      <c r="A26" s="480" t="s">
        <v>101</v>
      </c>
      <c r="B26" s="475" t="str">
        <f t="shared" si="0"/>
        <v>链接</v>
      </c>
      <c r="C26" s="483" t="s">
        <v>102</v>
      </c>
      <c r="D26" s="483" t="s">
        <v>103</v>
      </c>
      <c r="E26" s="471"/>
      <c r="F26" s="471"/>
      <c r="G26" s="471"/>
      <c r="H26" s="471" t="s">
        <v>21</v>
      </c>
    </row>
    <row r="27" s="462" customFormat="1" ht="13.2" spans="1:8">
      <c r="A27" s="480" t="s">
        <v>104</v>
      </c>
      <c r="B27" s="475" t="str">
        <f t="shared" si="0"/>
        <v>链接</v>
      </c>
      <c r="C27" s="483" t="s">
        <v>105</v>
      </c>
      <c r="D27" s="483" t="s">
        <v>106</v>
      </c>
      <c r="E27" s="471"/>
      <c r="F27" s="471"/>
      <c r="G27" s="471"/>
      <c r="H27" s="471" t="s">
        <v>21</v>
      </c>
    </row>
    <row r="28" s="462" customFormat="1" ht="13.2" spans="1:8">
      <c r="A28" s="480" t="s">
        <v>107</v>
      </c>
      <c r="B28" s="475" t="str">
        <f t="shared" si="0"/>
        <v>链接</v>
      </c>
      <c r="C28" s="481" t="s">
        <v>108</v>
      </c>
      <c r="D28" s="482" t="s">
        <v>109</v>
      </c>
      <c r="E28" s="471"/>
      <c r="F28" s="471"/>
      <c r="G28" s="471"/>
      <c r="H28" s="471" t="s">
        <v>21</v>
      </c>
    </row>
    <row r="29" s="462" customFormat="1" ht="13.2" spans="1:8">
      <c r="A29" s="480" t="s">
        <v>110</v>
      </c>
      <c r="B29" s="475" t="str">
        <f t="shared" si="0"/>
        <v>链接</v>
      </c>
      <c r="C29" s="481" t="s">
        <v>111</v>
      </c>
      <c r="D29" s="482" t="s">
        <v>112</v>
      </c>
      <c r="E29" s="471"/>
      <c r="F29" s="471"/>
      <c r="G29" s="471"/>
      <c r="H29" s="471" t="s">
        <v>21</v>
      </c>
    </row>
    <row r="30" s="462" customFormat="1" ht="13.2" spans="1:8">
      <c r="A30" s="480" t="s">
        <v>113</v>
      </c>
      <c r="B30" s="475" t="str">
        <f t="shared" si="0"/>
        <v>链接</v>
      </c>
      <c r="C30" s="483" t="s">
        <v>114</v>
      </c>
      <c r="D30" s="483" t="s">
        <v>115</v>
      </c>
      <c r="E30" s="471"/>
      <c r="F30" s="471"/>
      <c r="G30" s="471"/>
      <c r="H30" s="471" t="s">
        <v>21</v>
      </c>
    </row>
    <row r="31" s="462" customFormat="1" ht="13.2" spans="1:8">
      <c r="A31" s="480" t="s">
        <v>116</v>
      </c>
      <c r="B31" s="475" t="str">
        <f t="shared" si="0"/>
        <v>链接</v>
      </c>
      <c r="C31" s="483" t="s">
        <v>117</v>
      </c>
      <c r="D31" s="483" t="s">
        <v>118</v>
      </c>
      <c r="E31" s="471"/>
      <c r="F31" s="471"/>
      <c r="G31" s="471"/>
      <c r="H31" s="471" t="s">
        <v>21</v>
      </c>
    </row>
    <row r="32" s="462" customFormat="1" ht="13.2" spans="1:8">
      <c r="A32" s="484" t="s">
        <v>119</v>
      </c>
      <c r="B32" s="485" t="str">
        <f t="shared" ref="B32:B35" si="1">HYPERLINK("#"&amp;A32&amp;"!C2","链接")</f>
        <v>链接</v>
      </c>
      <c r="C32" s="486" t="s">
        <v>120</v>
      </c>
      <c r="D32" s="487" t="s">
        <v>121</v>
      </c>
      <c r="E32" s="484"/>
      <c r="F32" s="484"/>
      <c r="G32" s="484" t="s">
        <v>122</v>
      </c>
      <c r="H32" s="471" t="s">
        <v>21</v>
      </c>
    </row>
    <row r="33" s="462" customFormat="1" ht="13.2" spans="1:8">
      <c r="A33" s="484" t="s">
        <v>123</v>
      </c>
      <c r="B33" s="485" t="str">
        <f t="shared" si="1"/>
        <v>链接</v>
      </c>
      <c r="C33" s="486" t="s">
        <v>124</v>
      </c>
      <c r="D33" s="487" t="s">
        <v>125</v>
      </c>
      <c r="E33" s="484"/>
      <c r="F33" s="484"/>
      <c r="G33" s="484" t="s">
        <v>122</v>
      </c>
      <c r="H33" s="471" t="s">
        <v>21</v>
      </c>
    </row>
    <row r="34" s="462" customFormat="1" ht="13.2" spans="1:8">
      <c r="A34" s="484" t="s">
        <v>126</v>
      </c>
      <c r="B34" s="485" t="str">
        <f t="shared" si="1"/>
        <v>链接</v>
      </c>
      <c r="C34" s="486" t="s">
        <v>127</v>
      </c>
      <c r="D34" s="487" t="s">
        <v>128</v>
      </c>
      <c r="E34" s="484"/>
      <c r="F34" s="484"/>
      <c r="G34" s="484" t="s">
        <v>122</v>
      </c>
      <c r="H34" s="471" t="s">
        <v>21</v>
      </c>
    </row>
    <row r="35" s="462" customFormat="1" ht="13.2" spans="1:8">
      <c r="A35" s="484" t="s">
        <v>129</v>
      </c>
      <c r="B35" s="485" t="str">
        <f t="shared" si="1"/>
        <v>链接</v>
      </c>
      <c r="C35" s="486" t="s">
        <v>130</v>
      </c>
      <c r="D35" s="487" t="s">
        <v>131</v>
      </c>
      <c r="E35" s="484"/>
      <c r="F35" s="484"/>
      <c r="G35" s="484" t="s">
        <v>122</v>
      </c>
      <c r="H35" s="471" t="s">
        <v>21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L40"/>
  <sheetViews>
    <sheetView workbookViewId="0">
      <selection activeCell="B36" sqref="B36"/>
    </sheetView>
  </sheetViews>
  <sheetFormatPr defaultColWidth="67.75" defaultRowHeight="15"/>
  <cols>
    <col min="1" max="1" width="3" style="5" customWidth="1"/>
    <col min="2" max="2" width="18.1296296296296" style="40" customWidth="1"/>
    <col min="3" max="3" width="27.6296296296296" style="128" customWidth="1"/>
    <col min="4" max="4" width="19.8796296296296" style="128" customWidth="1"/>
    <col min="5" max="5" width="9.25" style="129" customWidth="1"/>
    <col min="6" max="6" width="20.5" style="40" customWidth="1"/>
    <col min="7" max="7" width="19.3796296296296" style="40" customWidth="1"/>
    <col min="8" max="8" width="12.5" style="40" customWidth="1"/>
    <col min="9" max="9" width="4.12962962962963" style="5" customWidth="1"/>
    <col min="10" max="10" width="7.5" style="5" customWidth="1"/>
    <col min="11" max="11" width="4.12962962962963" style="5" customWidth="1"/>
    <col min="12" max="12" width="7.5" style="5" customWidth="1"/>
    <col min="13" max="16384" width="67.75" style="5"/>
  </cols>
  <sheetData>
    <row r="1" s="40" customFormat="1" spans="2:8">
      <c r="B1" s="43" t="str">
        <f>HYPERLINK("#"&amp;"导航应用"&amp;"!B1","返回")</f>
        <v>返回</v>
      </c>
      <c r="C1" s="44"/>
      <c r="D1" s="44"/>
      <c r="E1" s="45"/>
      <c r="F1" s="46"/>
      <c r="G1" s="46"/>
      <c r="H1" s="44"/>
    </row>
    <row r="2" s="40" customFormat="1" ht="15.6" spans="2:8">
      <c r="B2" s="394" t="s">
        <v>132</v>
      </c>
      <c r="C2" s="394"/>
      <c r="D2" s="394"/>
      <c r="E2" s="395"/>
      <c r="F2" s="394"/>
      <c r="G2" s="394"/>
      <c r="H2" s="394"/>
    </row>
    <row r="3" s="40" customFormat="1" ht="15.6" spans="2:8">
      <c r="B3" s="396" t="s">
        <v>133</v>
      </c>
      <c r="C3" s="396" t="s">
        <v>134</v>
      </c>
      <c r="D3" s="396" t="s">
        <v>135</v>
      </c>
      <c r="E3" s="397" t="s">
        <v>136</v>
      </c>
      <c r="F3" s="398" t="s">
        <v>137</v>
      </c>
      <c r="G3" s="398" t="s">
        <v>138</v>
      </c>
      <c r="H3" s="326" t="s">
        <v>139</v>
      </c>
    </row>
    <row r="4" s="40" customFormat="1" spans="2:8">
      <c r="B4" s="6" t="s">
        <v>14</v>
      </c>
      <c r="C4" s="329" t="s">
        <v>16</v>
      </c>
      <c r="D4" s="329" t="s">
        <v>17</v>
      </c>
      <c r="E4" s="400" t="s">
        <v>140</v>
      </c>
      <c r="F4" s="401" t="s">
        <v>141</v>
      </c>
      <c r="G4" s="401"/>
      <c r="H4" s="401" t="s">
        <v>18</v>
      </c>
    </row>
    <row r="5" s="40" customFormat="1" ht="15.6" spans="2:8">
      <c r="B5" s="394" t="s">
        <v>142</v>
      </c>
      <c r="C5" s="394"/>
      <c r="D5" s="394"/>
      <c r="E5" s="395"/>
      <c r="F5" s="394"/>
      <c r="G5" s="394"/>
      <c r="H5" s="394"/>
    </row>
    <row r="6" s="40" customFormat="1" ht="15.6" spans="2:8">
      <c r="B6" s="334" t="s">
        <v>143</v>
      </c>
      <c r="C6" s="334" t="s">
        <v>144</v>
      </c>
      <c r="D6" s="334" t="s">
        <v>145</v>
      </c>
      <c r="E6" s="334" t="s">
        <v>146</v>
      </c>
      <c r="F6" s="334" t="s">
        <v>147</v>
      </c>
      <c r="G6" s="334" t="s">
        <v>13</v>
      </c>
      <c r="H6" s="334" t="s">
        <v>148</v>
      </c>
    </row>
    <row r="7" s="40" customFormat="1" spans="2:8">
      <c r="B7" s="330" t="s">
        <v>149</v>
      </c>
      <c r="C7" s="369" t="s">
        <v>130</v>
      </c>
      <c r="D7" s="399" t="s">
        <v>150</v>
      </c>
      <c r="E7" s="330" t="s">
        <v>151</v>
      </c>
      <c r="F7" s="330" t="s">
        <v>152</v>
      </c>
      <c r="G7" s="330" t="s">
        <v>153</v>
      </c>
      <c r="H7" s="330" t="s">
        <v>21</v>
      </c>
    </row>
    <row r="8" s="40" customFormat="1" spans="2:9">
      <c r="B8" s="330" t="s">
        <v>149</v>
      </c>
      <c r="C8" s="363" t="s">
        <v>154</v>
      </c>
      <c r="D8" s="330" t="s">
        <v>155</v>
      </c>
      <c r="E8" s="330" t="s">
        <v>156</v>
      </c>
      <c r="F8" s="330"/>
      <c r="G8" s="330" t="s">
        <v>157</v>
      </c>
      <c r="H8" s="338"/>
      <c r="I8" s="456"/>
    </row>
    <row r="9" s="40" customFormat="1" spans="2:8">
      <c r="B9" s="406"/>
      <c r="C9" s="407"/>
      <c r="D9" s="408"/>
      <c r="E9" s="129"/>
      <c r="H9" s="128"/>
    </row>
    <row r="10" s="40" customFormat="1" spans="2:12">
      <c r="B10" s="453" t="s">
        <v>158</v>
      </c>
      <c r="C10" s="453"/>
      <c r="D10" s="453"/>
      <c r="E10" s="453"/>
      <c r="F10" s="453"/>
      <c r="G10" s="453"/>
      <c r="H10" s="453"/>
      <c r="I10" s="453"/>
      <c r="J10" s="453"/>
      <c r="K10" s="453"/>
      <c r="L10" s="453"/>
    </row>
    <row r="11" s="40" customFormat="1" ht="24" spans="2:12">
      <c r="B11" s="454" t="s">
        <v>159</v>
      </c>
      <c r="C11" s="454" t="s">
        <v>160</v>
      </c>
      <c r="D11" s="454" t="s">
        <v>161</v>
      </c>
      <c r="E11" s="454" t="s">
        <v>162</v>
      </c>
      <c r="F11" s="454" t="s">
        <v>163</v>
      </c>
      <c r="G11" s="454" t="s">
        <v>164</v>
      </c>
      <c r="H11" s="454" t="s">
        <v>165</v>
      </c>
      <c r="I11" s="454" t="s">
        <v>13</v>
      </c>
      <c r="J11" s="454" t="s">
        <v>166</v>
      </c>
      <c r="K11" s="454" t="s">
        <v>167</v>
      </c>
      <c r="L11" s="454" t="s">
        <v>168</v>
      </c>
    </row>
    <row r="12" s="40" customFormat="1" spans="1:12">
      <c r="A12" s="344"/>
      <c r="B12" s="330" t="s">
        <v>169</v>
      </c>
      <c r="C12" s="330" t="s">
        <v>170</v>
      </c>
      <c r="D12" s="330" t="s">
        <v>171</v>
      </c>
      <c r="E12" s="190" t="s">
        <v>156</v>
      </c>
      <c r="F12" s="458"/>
      <c r="G12" s="117" t="s">
        <v>172</v>
      </c>
      <c r="H12" s="117"/>
      <c r="I12" s="118"/>
      <c r="J12" s="118" t="s">
        <v>173</v>
      </c>
      <c r="K12" s="118"/>
      <c r="L12" s="118"/>
    </row>
    <row r="13" s="40" customFormat="1" spans="1:12">
      <c r="A13" s="344"/>
      <c r="B13" s="330" t="s">
        <v>174</v>
      </c>
      <c r="C13" s="330" t="s">
        <v>175</v>
      </c>
      <c r="D13" s="330" t="s">
        <v>176</v>
      </c>
      <c r="E13" s="190" t="s">
        <v>151</v>
      </c>
      <c r="F13" s="458" t="s">
        <v>177</v>
      </c>
      <c r="G13" s="117" t="s">
        <v>172</v>
      </c>
      <c r="H13" s="117"/>
      <c r="I13" s="118"/>
      <c r="J13" s="118" t="s">
        <v>173</v>
      </c>
      <c r="K13" s="118"/>
      <c r="L13" s="118"/>
    </row>
    <row r="14" s="40" customFormat="1" spans="1:12">
      <c r="A14" s="344"/>
      <c r="B14" s="124" t="s">
        <v>178</v>
      </c>
      <c r="C14" s="330" t="s">
        <v>170</v>
      </c>
      <c r="D14" s="359" t="s">
        <v>179</v>
      </c>
      <c r="E14" s="190" t="s">
        <v>156</v>
      </c>
      <c r="F14" s="124"/>
      <c r="G14" s="117" t="s">
        <v>172</v>
      </c>
      <c r="H14" s="117"/>
      <c r="I14" s="118"/>
      <c r="J14" s="118" t="s">
        <v>173</v>
      </c>
      <c r="K14" s="118"/>
      <c r="L14" s="118"/>
    </row>
    <row r="15" s="40" customFormat="1" spans="1:12">
      <c r="A15" s="344"/>
      <c r="B15" s="124" t="s">
        <v>180</v>
      </c>
      <c r="C15" s="330" t="s">
        <v>170</v>
      </c>
      <c r="D15" s="359" t="s">
        <v>181</v>
      </c>
      <c r="E15" s="190" t="s">
        <v>156</v>
      </c>
      <c r="F15" s="124"/>
      <c r="G15" s="117" t="s">
        <v>172</v>
      </c>
      <c r="H15" s="117"/>
      <c r="I15" s="118"/>
      <c r="J15" s="118" t="s">
        <v>173</v>
      </c>
      <c r="K15" s="118"/>
      <c r="L15" s="118"/>
    </row>
    <row r="16" s="40" customFormat="1" spans="1:12">
      <c r="A16" s="344"/>
      <c r="B16" s="330" t="s">
        <v>182</v>
      </c>
      <c r="C16" s="330" t="s">
        <v>175</v>
      </c>
      <c r="D16" s="330" t="s">
        <v>183</v>
      </c>
      <c r="E16" s="190" t="s">
        <v>156</v>
      </c>
      <c r="F16" s="458"/>
      <c r="G16" s="117" t="s">
        <v>172</v>
      </c>
      <c r="H16" s="117"/>
      <c r="I16" s="118"/>
      <c r="J16" s="118" t="s">
        <v>173</v>
      </c>
      <c r="K16" s="118"/>
      <c r="L16" s="118"/>
    </row>
    <row r="17" s="40" customFormat="1" spans="1:12">
      <c r="A17" s="344"/>
      <c r="B17" s="124" t="s">
        <v>184</v>
      </c>
      <c r="C17" s="330" t="s">
        <v>175</v>
      </c>
      <c r="D17" s="359" t="s">
        <v>185</v>
      </c>
      <c r="E17" s="190" t="s">
        <v>156</v>
      </c>
      <c r="F17" s="124"/>
      <c r="G17" s="117" t="s">
        <v>172</v>
      </c>
      <c r="H17" s="117"/>
      <c r="I17" s="118"/>
      <c r="J17" s="118" t="s">
        <v>173</v>
      </c>
      <c r="K17" s="118"/>
      <c r="L17" s="118"/>
    </row>
    <row r="18" s="40" customFormat="1" spans="1:12">
      <c r="A18" s="344"/>
      <c r="B18" s="124" t="s">
        <v>186</v>
      </c>
      <c r="C18" s="330" t="s">
        <v>175</v>
      </c>
      <c r="D18" s="359" t="s">
        <v>187</v>
      </c>
      <c r="E18" s="190" t="s">
        <v>156</v>
      </c>
      <c r="F18" s="124"/>
      <c r="G18" s="117" t="s">
        <v>172</v>
      </c>
      <c r="H18" s="117"/>
      <c r="I18" s="118"/>
      <c r="J18" s="118" t="s">
        <v>173</v>
      </c>
      <c r="K18" s="118"/>
      <c r="L18" s="118"/>
    </row>
    <row r="19" s="40" customFormat="1" spans="1:12">
      <c r="A19" s="344"/>
      <c r="B19" s="361" t="s">
        <v>188</v>
      </c>
      <c r="C19" s="330" t="s">
        <v>175</v>
      </c>
      <c r="D19" s="330" t="s">
        <v>189</v>
      </c>
      <c r="E19" s="190" t="s">
        <v>151</v>
      </c>
      <c r="F19" s="124" t="s">
        <v>190</v>
      </c>
      <c r="G19" s="117" t="s">
        <v>172</v>
      </c>
      <c r="H19" s="117"/>
      <c r="I19" s="118"/>
      <c r="J19" s="118" t="s">
        <v>173</v>
      </c>
      <c r="K19" s="118"/>
      <c r="L19" s="118"/>
    </row>
    <row r="20" s="40" customFormat="1" spans="1:12">
      <c r="A20" s="344"/>
      <c r="B20" s="361" t="s">
        <v>191</v>
      </c>
      <c r="C20" s="330" t="s">
        <v>175</v>
      </c>
      <c r="D20" s="330" t="s">
        <v>192</v>
      </c>
      <c r="E20" s="190" t="s">
        <v>151</v>
      </c>
      <c r="F20" s="330" t="s">
        <v>191</v>
      </c>
      <c r="G20" s="117" t="s">
        <v>172</v>
      </c>
      <c r="H20" s="117"/>
      <c r="I20" s="118"/>
      <c r="J20" s="118" t="s">
        <v>173</v>
      </c>
      <c r="K20" s="118"/>
      <c r="L20" s="118"/>
    </row>
    <row r="21" s="40" customFormat="1" spans="1:12">
      <c r="A21" s="344"/>
      <c r="B21" s="361" t="s">
        <v>193</v>
      </c>
      <c r="C21" s="330" t="s">
        <v>175</v>
      </c>
      <c r="D21" s="330" t="s">
        <v>194</v>
      </c>
      <c r="E21" s="190" t="s">
        <v>151</v>
      </c>
      <c r="F21" s="330" t="s">
        <v>193</v>
      </c>
      <c r="G21" s="117" t="s">
        <v>172</v>
      </c>
      <c r="H21" s="117"/>
      <c r="I21" s="118"/>
      <c r="J21" s="118" t="s">
        <v>173</v>
      </c>
      <c r="K21" s="118"/>
      <c r="L21" s="118"/>
    </row>
    <row r="22" s="40" customFormat="1" spans="1:12">
      <c r="A22" s="344"/>
      <c r="B22" s="330" t="s">
        <v>195</v>
      </c>
      <c r="C22" s="330" t="s">
        <v>170</v>
      </c>
      <c r="D22" s="367" t="s">
        <v>196</v>
      </c>
      <c r="E22" s="190" t="s">
        <v>151</v>
      </c>
      <c r="F22" s="330" t="s">
        <v>195</v>
      </c>
      <c r="G22" s="117" t="s">
        <v>172</v>
      </c>
      <c r="H22" s="117"/>
      <c r="I22" s="118"/>
      <c r="J22" s="118" t="s">
        <v>173</v>
      </c>
      <c r="K22" s="118"/>
      <c r="L22" s="118"/>
    </row>
    <row r="23" s="40" customFormat="1" ht="26.4" spans="1:12">
      <c r="A23" s="344"/>
      <c r="B23" s="330" t="s">
        <v>197</v>
      </c>
      <c r="C23" s="330" t="s">
        <v>175</v>
      </c>
      <c r="D23" s="330" t="s">
        <v>198</v>
      </c>
      <c r="E23" s="190" t="s">
        <v>151</v>
      </c>
      <c r="F23" s="330" t="s">
        <v>197</v>
      </c>
      <c r="G23" s="117" t="s">
        <v>199</v>
      </c>
      <c r="H23" s="117"/>
      <c r="I23" s="118"/>
      <c r="J23" s="118" t="s">
        <v>173</v>
      </c>
      <c r="K23" s="118"/>
      <c r="L23" s="118"/>
    </row>
    <row r="24" s="40" customFormat="1" spans="1:12">
      <c r="A24" s="344"/>
      <c r="B24" s="459" t="s">
        <v>200</v>
      </c>
      <c r="C24" s="359" t="s">
        <v>175</v>
      </c>
      <c r="D24" s="359" t="s">
        <v>201</v>
      </c>
      <c r="E24" s="190" t="s">
        <v>151</v>
      </c>
      <c r="F24" s="359" t="s">
        <v>200</v>
      </c>
      <c r="G24" s="117" t="s">
        <v>172</v>
      </c>
      <c r="H24" s="117"/>
      <c r="I24" s="118"/>
      <c r="J24" s="118" t="s">
        <v>173</v>
      </c>
      <c r="K24" s="118"/>
      <c r="L24" s="118"/>
    </row>
    <row r="25" s="40" customFormat="1" spans="1:12">
      <c r="A25" s="344"/>
      <c r="B25" s="359" t="s">
        <v>202</v>
      </c>
      <c r="C25" s="359" t="s">
        <v>203</v>
      </c>
      <c r="D25" s="359" t="s">
        <v>204</v>
      </c>
      <c r="E25" s="190" t="s">
        <v>151</v>
      </c>
      <c r="F25" s="359" t="s">
        <v>202</v>
      </c>
      <c r="G25" s="117" t="s">
        <v>172</v>
      </c>
      <c r="H25" s="117"/>
      <c r="I25" s="118"/>
      <c r="J25" s="118" t="s">
        <v>173</v>
      </c>
      <c r="K25" s="118"/>
      <c r="L25" s="118"/>
    </row>
    <row r="26" s="40" customFormat="1" spans="1:12">
      <c r="A26" s="344"/>
      <c r="B26" s="359" t="s">
        <v>205</v>
      </c>
      <c r="C26" s="359" t="s">
        <v>203</v>
      </c>
      <c r="D26" s="359" t="s">
        <v>206</v>
      </c>
      <c r="E26" s="190" t="s">
        <v>151</v>
      </c>
      <c r="F26" s="359" t="s">
        <v>205</v>
      </c>
      <c r="G26" s="117" t="s">
        <v>172</v>
      </c>
      <c r="H26" s="117"/>
      <c r="I26" s="118"/>
      <c r="J26" s="118" t="s">
        <v>173</v>
      </c>
      <c r="K26" s="118"/>
      <c r="L26" s="118"/>
    </row>
    <row r="27" s="40" customFormat="1" spans="1:12">
      <c r="A27" s="344"/>
      <c r="B27" s="330" t="s">
        <v>207</v>
      </c>
      <c r="C27" s="330" t="s">
        <v>175</v>
      </c>
      <c r="D27" s="330" t="s">
        <v>208</v>
      </c>
      <c r="E27" s="190" t="s">
        <v>151</v>
      </c>
      <c r="F27" s="215" t="s">
        <v>209</v>
      </c>
      <c r="G27" s="117" t="s">
        <v>172</v>
      </c>
      <c r="H27" s="117"/>
      <c r="I27" s="118"/>
      <c r="J27" s="118" t="s">
        <v>173</v>
      </c>
      <c r="K27" s="118"/>
      <c r="L27" s="118" t="s">
        <v>210</v>
      </c>
    </row>
    <row r="28" s="40" customFormat="1" spans="1:12">
      <c r="A28" s="344"/>
      <c r="B28" s="443" t="s">
        <v>211</v>
      </c>
      <c r="C28" s="330" t="s">
        <v>175</v>
      </c>
      <c r="D28" s="359" t="s">
        <v>211</v>
      </c>
      <c r="E28" s="190" t="s">
        <v>151</v>
      </c>
      <c r="F28" s="124"/>
      <c r="G28" s="117" t="s">
        <v>212</v>
      </c>
      <c r="H28" s="117"/>
      <c r="I28" s="118"/>
      <c r="J28" s="118" t="s">
        <v>173</v>
      </c>
      <c r="K28" s="118"/>
      <c r="L28" s="118"/>
    </row>
    <row r="29" s="40" customFormat="1" spans="1:12">
      <c r="A29" s="344"/>
      <c r="B29" s="124" t="s">
        <v>213</v>
      </c>
      <c r="C29" s="330" t="s">
        <v>175</v>
      </c>
      <c r="D29" s="359" t="s">
        <v>214</v>
      </c>
      <c r="E29" s="190" t="s">
        <v>156</v>
      </c>
      <c r="F29" s="124"/>
      <c r="G29" s="117" t="s">
        <v>172</v>
      </c>
      <c r="H29" s="117"/>
      <c r="I29" s="118"/>
      <c r="J29" s="118" t="s">
        <v>173</v>
      </c>
      <c r="K29" s="118"/>
      <c r="L29" s="118"/>
    </row>
    <row r="30" s="40" customFormat="1" spans="1:12">
      <c r="A30" s="344"/>
      <c r="B30" s="124" t="s">
        <v>215</v>
      </c>
      <c r="C30" s="330" t="s">
        <v>175</v>
      </c>
      <c r="D30" s="359" t="s">
        <v>216</v>
      </c>
      <c r="E30" s="190" t="s">
        <v>156</v>
      </c>
      <c r="F30" s="124"/>
      <c r="G30" s="117" t="s">
        <v>172</v>
      </c>
      <c r="H30" s="117"/>
      <c r="I30" s="118"/>
      <c r="J30" s="118" t="s">
        <v>173</v>
      </c>
      <c r="K30" s="118"/>
      <c r="L30" s="118"/>
    </row>
    <row r="31" s="40" customFormat="1" spans="1:12">
      <c r="A31" s="344"/>
      <c r="B31" s="124" t="s">
        <v>217</v>
      </c>
      <c r="C31" s="359" t="s">
        <v>203</v>
      </c>
      <c r="D31" s="359" t="s">
        <v>218</v>
      </c>
      <c r="E31" s="190" t="s">
        <v>156</v>
      </c>
      <c r="F31" s="124"/>
      <c r="G31" s="117" t="s">
        <v>172</v>
      </c>
      <c r="H31" s="117"/>
      <c r="I31" s="118"/>
      <c r="J31" s="118" t="s">
        <v>173</v>
      </c>
      <c r="K31" s="118"/>
      <c r="L31" s="118"/>
    </row>
    <row r="32" s="40" customFormat="1" spans="1:12">
      <c r="A32" s="344"/>
      <c r="B32" s="124" t="s">
        <v>219</v>
      </c>
      <c r="C32" s="359" t="s">
        <v>203</v>
      </c>
      <c r="D32" s="359" t="s">
        <v>220</v>
      </c>
      <c r="E32" s="190" t="s">
        <v>156</v>
      </c>
      <c r="F32" s="124"/>
      <c r="G32" s="117" t="s">
        <v>172</v>
      </c>
      <c r="H32" s="117"/>
      <c r="I32" s="118"/>
      <c r="J32" s="118" t="s">
        <v>173</v>
      </c>
      <c r="K32" s="118"/>
      <c r="L32" s="118"/>
    </row>
    <row r="33" s="40" customFormat="1" spans="1:12">
      <c r="A33" s="344"/>
      <c r="B33" s="359" t="s">
        <v>221</v>
      </c>
      <c r="C33" s="359" t="s">
        <v>203</v>
      </c>
      <c r="D33" s="359" t="s">
        <v>221</v>
      </c>
      <c r="E33" s="190" t="s">
        <v>151</v>
      </c>
      <c r="F33" s="359" t="s">
        <v>221</v>
      </c>
      <c r="G33" s="117" t="s">
        <v>172</v>
      </c>
      <c r="H33" s="117"/>
      <c r="I33" s="118"/>
      <c r="J33" s="118" t="s">
        <v>222</v>
      </c>
      <c r="K33" s="118" t="s">
        <v>223</v>
      </c>
      <c r="L33" s="460" t="s">
        <v>224</v>
      </c>
    </row>
    <row r="34" s="40" customFormat="1" spans="1:12">
      <c r="A34" s="344"/>
      <c r="B34" s="359" t="s">
        <v>225</v>
      </c>
      <c r="C34" s="359" t="s">
        <v>203</v>
      </c>
      <c r="D34" s="359" t="s">
        <v>225</v>
      </c>
      <c r="E34" s="190" t="s">
        <v>151</v>
      </c>
      <c r="F34" s="359" t="s">
        <v>225</v>
      </c>
      <c r="G34" s="117" t="s">
        <v>172</v>
      </c>
      <c r="H34" s="117"/>
      <c r="I34" s="118"/>
      <c r="J34" s="118" t="s">
        <v>222</v>
      </c>
      <c r="K34" s="118" t="s">
        <v>226</v>
      </c>
      <c r="L34" s="460" t="s">
        <v>227</v>
      </c>
    </row>
    <row r="35" s="40" customFormat="1" spans="1:12">
      <c r="A35" s="344"/>
      <c r="B35" s="359" t="s">
        <v>228</v>
      </c>
      <c r="C35" s="359" t="s">
        <v>229</v>
      </c>
      <c r="D35" s="359" t="s">
        <v>230</v>
      </c>
      <c r="E35" s="190" t="s">
        <v>151</v>
      </c>
      <c r="F35" s="359" t="s">
        <v>228</v>
      </c>
      <c r="G35" s="117" t="s">
        <v>172</v>
      </c>
      <c r="H35" s="117"/>
      <c r="I35" s="118"/>
      <c r="J35" s="118" t="s">
        <v>222</v>
      </c>
      <c r="K35" s="118" t="s">
        <v>231</v>
      </c>
      <c r="L35" s="30" t="s">
        <v>232</v>
      </c>
    </row>
    <row r="36" s="40" customFormat="1" ht="26.4" spans="1:12">
      <c r="A36" s="344"/>
      <c r="B36" s="359" t="s">
        <v>233</v>
      </c>
      <c r="C36" s="359" t="s">
        <v>170</v>
      </c>
      <c r="D36" s="359" t="s">
        <v>234</v>
      </c>
      <c r="E36" s="190" t="s">
        <v>151</v>
      </c>
      <c r="F36" s="124"/>
      <c r="G36" s="117" t="s">
        <v>235</v>
      </c>
      <c r="H36" s="117" t="s">
        <v>236</v>
      </c>
      <c r="I36" s="118"/>
      <c r="J36" s="118" t="s">
        <v>222</v>
      </c>
      <c r="K36" s="118" t="s">
        <v>237</v>
      </c>
      <c r="L36" s="118" t="s">
        <v>238</v>
      </c>
    </row>
    <row r="37" s="40" customFormat="1" spans="1:12">
      <c r="A37" s="344"/>
      <c r="B37" s="364" t="s">
        <v>239</v>
      </c>
      <c r="C37" s="365" t="s">
        <v>170</v>
      </c>
      <c r="D37" s="365" t="s">
        <v>240</v>
      </c>
      <c r="E37" s="190"/>
      <c r="F37" s="124"/>
      <c r="G37" s="117"/>
      <c r="H37" s="117"/>
      <c r="I37" s="118"/>
      <c r="J37" s="118"/>
      <c r="K37" s="118"/>
      <c r="L37" s="118"/>
    </row>
    <row r="38" s="40" customFormat="1" spans="1:12">
      <c r="A38" s="410"/>
      <c r="B38" s="364" t="s">
        <v>177</v>
      </c>
      <c r="C38" s="365" t="s">
        <v>175</v>
      </c>
      <c r="D38" s="365" t="s">
        <v>176</v>
      </c>
      <c r="E38" s="190"/>
      <c r="F38" s="370"/>
      <c r="G38" s="370"/>
      <c r="H38" s="118"/>
      <c r="I38" s="118"/>
      <c r="J38" s="118"/>
      <c r="K38" s="118"/>
      <c r="L38" s="118"/>
    </row>
    <row r="39" spans="5:5">
      <c r="E39" s="40"/>
    </row>
    <row r="40" spans="5:5">
      <c r="E40" s="40"/>
    </row>
  </sheetData>
  <mergeCells count="1">
    <mergeCell ref="B10:L10"/>
  </mergeCells>
  <dataValidations count="1">
    <dataValidation type="list" allowBlank="1" showInputMessage="1" showErrorMessage="1" sqref="E4">
      <formula1>"D: Daily,W: Weekly,M: Monthly,Y: Yearly,D: Daily &amp; W: Weekly &amp;M: Monthly,H: Hourly"</formula1>
    </dataValidation>
  </dataValidations>
  <hyperlinks>
    <hyperlink ref="B1" location="导航!A1" display="=HYPERLINK(&quot;#&quot;&amp;&quot;导航应用&quot;&amp;&quot;!B1&quot;,&quot;返回&quot;)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L27"/>
  <sheetViews>
    <sheetView workbookViewId="0">
      <selection activeCell="C2" sqref="C2"/>
    </sheetView>
  </sheetViews>
  <sheetFormatPr defaultColWidth="67.75" defaultRowHeight="15"/>
  <cols>
    <col min="1" max="1" width="3" style="5" customWidth="1"/>
    <col min="2" max="2" width="17.6296296296296" style="40" customWidth="1"/>
    <col min="3" max="3" width="27" style="128" customWidth="1"/>
    <col min="4" max="4" width="21.8796296296296" style="128" customWidth="1"/>
    <col min="5" max="5" width="9.25" style="129" customWidth="1"/>
    <col min="6" max="6" width="20.8796296296296" style="40" customWidth="1"/>
    <col min="7" max="7" width="39.6296296296296" style="40" customWidth="1"/>
    <col min="8" max="8" width="12.25" style="40" customWidth="1"/>
    <col min="9" max="9" width="15.75" style="5" customWidth="1"/>
    <col min="10" max="10" width="7.5" style="5" customWidth="1"/>
    <col min="11" max="11" width="4.12962962962963" style="5" customWidth="1"/>
    <col min="12" max="12" width="7.5" style="5" customWidth="1"/>
    <col min="13" max="16384" width="67.75" style="5"/>
  </cols>
  <sheetData>
    <row r="1" s="40" customFormat="1" spans="2:8">
      <c r="B1" s="43" t="str">
        <f>HYPERLINK("#"&amp;"导航应用"&amp;"!B1","返回")</f>
        <v>返回</v>
      </c>
      <c r="C1" s="44"/>
      <c r="D1" s="44"/>
      <c r="E1" s="45"/>
      <c r="F1" s="46"/>
      <c r="G1" s="46"/>
      <c r="H1" s="44"/>
    </row>
    <row r="2" s="40" customFormat="1" ht="31.2" spans="2:8">
      <c r="B2" s="394" t="s">
        <v>132</v>
      </c>
      <c r="C2" s="394"/>
      <c r="D2" s="394"/>
      <c r="E2" s="395"/>
      <c r="F2" s="394"/>
      <c r="G2" s="394"/>
      <c r="H2" s="394"/>
    </row>
    <row r="3" s="40" customFormat="1" ht="15.6" spans="2:8">
      <c r="B3" s="396" t="s">
        <v>133</v>
      </c>
      <c r="C3" s="396" t="s">
        <v>134</v>
      </c>
      <c r="D3" s="396" t="s">
        <v>135</v>
      </c>
      <c r="E3" s="397" t="s">
        <v>136</v>
      </c>
      <c r="F3" s="398" t="s">
        <v>137</v>
      </c>
      <c r="G3" s="398" t="s">
        <v>138</v>
      </c>
      <c r="H3" s="326" t="s">
        <v>139</v>
      </c>
    </row>
    <row r="4" s="40" customFormat="1" spans="2:8">
      <c r="B4" s="6" t="s">
        <v>14</v>
      </c>
      <c r="C4" s="329" t="s">
        <v>23</v>
      </c>
      <c r="D4" s="329" t="s">
        <v>24</v>
      </c>
      <c r="E4" s="400" t="s">
        <v>140</v>
      </c>
      <c r="F4" s="401" t="s">
        <v>141</v>
      </c>
      <c r="G4" s="401"/>
      <c r="H4" s="401" t="s">
        <v>18</v>
      </c>
    </row>
    <row r="5" s="40" customFormat="1" ht="15.6" spans="2:8">
      <c r="B5" s="394" t="s">
        <v>142</v>
      </c>
      <c r="C5" s="394"/>
      <c r="D5" s="394"/>
      <c r="E5" s="395"/>
      <c r="F5" s="394"/>
      <c r="G5" s="394"/>
      <c r="H5" s="394"/>
    </row>
    <row r="6" s="40" customFormat="1" ht="15.6" spans="2:8">
      <c r="B6" s="334" t="s">
        <v>143</v>
      </c>
      <c r="C6" s="334" t="s">
        <v>144</v>
      </c>
      <c r="D6" s="334" t="s">
        <v>145</v>
      </c>
      <c r="E6" s="334" t="s">
        <v>146</v>
      </c>
      <c r="F6" s="334" t="s">
        <v>147</v>
      </c>
      <c r="G6" s="334" t="s">
        <v>13</v>
      </c>
      <c r="H6" s="334" t="s">
        <v>148</v>
      </c>
    </row>
    <row r="7" s="40" customFormat="1" spans="2:8">
      <c r="B7" s="330"/>
      <c r="C7" s="369" t="s">
        <v>108</v>
      </c>
      <c r="D7" s="330" t="s">
        <v>97</v>
      </c>
      <c r="E7" s="330" t="s">
        <v>151</v>
      </c>
      <c r="F7" s="117"/>
      <c r="G7" s="405" t="s">
        <v>241</v>
      </c>
      <c r="H7" s="330" t="s">
        <v>21</v>
      </c>
    </row>
    <row r="8" s="40" customFormat="1" spans="2:9">
      <c r="B8" s="330"/>
      <c r="C8" s="369" t="s">
        <v>111</v>
      </c>
      <c r="D8" s="330" t="s">
        <v>100</v>
      </c>
      <c r="E8" s="359" t="s">
        <v>156</v>
      </c>
      <c r="F8" s="118"/>
      <c r="G8" s="323"/>
      <c r="H8" s="330" t="s">
        <v>21</v>
      </c>
      <c r="I8" s="437"/>
    </row>
    <row r="9" s="40" customFormat="1" spans="2:8">
      <c r="B9" s="406"/>
      <c r="C9" s="407"/>
      <c r="D9" s="408"/>
      <c r="E9" s="129"/>
      <c r="H9" s="128"/>
    </row>
    <row r="10" s="40" customFormat="1" spans="2:12">
      <c r="B10" s="453" t="s">
        <v>158</v>
      </c>
      <c r="C10" s="453"/>
      <c r="D10" s="453"/>
      <c r="E10" s="453"/>
      <c r="F10" s="453"/>
      <c r="G10" s="453"/>
      <c r="H10" s="453"/>
      <c r="I10" s="453"/>
      <c r="J10" s="453"/>
      <c r="K10" s="453"/>
      <c r="L10" s="453"/>
    </row>
    <row r="11" s="40" customFormat="1" ht="24" spans="2:12">
      <c r="B11" s="454" t="s">
        <v>159</v>
      </c>
      <c r="C11" s="454" t="s">
        <v>160</v>
      </c>
      <c r="D11" s="454" t="s">
        <v>161</v>
      </c>
      <c r="E11" s="454" t="s">
        <v>162</v>
      </c>
      <c r="F11" s="454" t="s">
        <v>163</v>
      </c>
      <c r="G11" s="454" t="s">
        <v>164</v>
      </c>
      <c r="H11" s="454" t="s">
        <v>165</v>
      </c>
      <c r="I11" s="454" t="s">
        <v>13</v>
      </c>
      <c r="J11" s="454" t="s">
        <v>166</v>
      </c>
      <c r="K11" s="454" t="s">
        <v>167</v>
      </c>
      <c r="L11" s="454" t="s">
        <v>168</v>
      </c>
    </row>
    <row r="12" s="40" customFormat="1" spans="1:12">
      <c r="A12" s="344"/>
      <c r="B12" s="330" t="s">
        <v>169</v>
      </c>
      <c r="C12" s="330" t="s">
        <v>170</v>
      </c>
      <c r="D12" s="330" t="s">
        <v>171</v>
      </c>
      <c r="E12" s="190"/>
      <c r="F12" s="124"/>
      <c r="G12" s="117"/>
      <c r="H12" s="117"/>
      <c r="I12" s="118"/>
      <c r="J12" s="118"/>
      <c r="K12" s="118"/>
      <c r="L12" s="118"/>
    </row>
    <row r="13" s="40" customFormat="1" spans="1:12">
      <c r="A13" s="344"/>
      <c r="B13" s="330" t="s">
        <v>174</v>
      </c>
      <c r="C13" s="330" t="s">
        <v>175</v>
      </c>
      <c r="D13" s="330" t="s">
        <v>176</v>
      </c>
      <c r="E13" s="190"/>
      <c r="F13" s="124"/>
      <c r="G13" s="117"/>
      <c r="H13" s="117"/>
      <c r="I13" s="118"/>
      <c r="J13" s="118"/>
      <c r="K13" s="118"/>
      <c r="L13" s="118"/>
    </row>
    <row r="14" s="40" customFormat="1" spans="1:12">
      <c r="A14" s="410"/>
      <c r="B14" s="361" t="s">
        <v>188</v>
      </c>
      <c r="C14" s="330" t="s">
        <v>175</v>
      </c>
      <c r="D14" s="330" t="s">
        <v>189</v>
      </c>
      <c r="E14" s="359" t="s">
        <v>242</v>
      </c>
      <c r="F14" s="370" t="s">
        <v>188</v>
      </c>
      <c r="G14" s="117" t="s">
        <v>172</v>
      </c>
      <c r="H14" s="118"/>
      <c r="I14" s="118"/>
      <c r="J14" s="118"/>
      <c r="K14" s="118"/>
      <c r="L14" s="118"/>
    </row>
    <row r="15" s="40" customFormat="1" spans="1:12">
      <c r="A15" s="410"/>
      <c r="B15" s="361" t="s">
        <v>191</v>
      </c>
      <c r="C15" s="330" t="s">
        <v>175</v>
      </c>
      <c r="D15" s="330" t="s">
        <v>243</v>
      </c>
      <c r="E15" s="359" t="s">
        <v>242</v>
      </c>
      <c r="F15" s="370" t="s">
        <v>191</v>
      </c>
      <c r="G15" s="117" t="s">
        <v>172</v>
      </c>
      <c r="H15" s="118"/>
      <c r="I15" s="118"/>
      <c r="J15" s="118"/>
      <c r="K15" s="118"/>
      <c r="L15" s="118"/>
    </row>
    <row r="16" s="40" customFormat="1" spans="1:12">
      <c r="A16" s="410"/>
      <c r="B16" s="361" t="s">
        <v>244</v>
      </c>
      <c r="C16" s="330" t="s">
        <v>175</v>
      </c>
      <c r="D16" s="330" t="s">
        <v>245</v>
      </c>
      <c r="E16" s="359" t="s">
        <v>242</v>
      </c>
      <c r="F16" s="370" t="s">
        <v>244</v>
      </c>
      <c r="G16" s="117" t="s">
        <v>172</v>
      </c>
      <c r="H16" s="118"/>
      <c r="I16" s="118"/>
      <c r="J16" s="118"/>
      <c r="K16" s="118"/>
      <c r="L16" s="118"/>
    </row>
    <row r="17" s="40" customFormat="1" spans="1:12">
      <c r="A17" s="410"/>
      <c r="B17" s="361" t="s">
        <v>246</v>
      </c>
      <c r="C17" s="330" t="s">
        <v>175</v>
      </c>
      <c r="D17" s="330" t="s">
        <v>247</v>
      </c>
      <c r="E17" s="359" t="s">
        <v>242</v>
      </c>
      <c r="F17" s="370" t="s">
        <v>246</v>
      </c>
      <c r="G17" s="117" t="s">
        <v>172</v>
      </c>
      <c r="H17" s="118"/>
      <c r="I17" s="118"/>
      <c r="J17" s="118"/>
      <c r="K17" s="118"/>
      <c r="L17" s="118"/>
    </row>
    <row r="18" s="40" customFormat="1" spans="1:12">
      <c r="A18" s="344"/>
      <c r="B18" s="118" t="s">
        <v>248</v>
      </c>
      <c r="C18" s="118" t="s">
        <v>175</v>
      </c>
      <c r="D18" s="118" t="s">
        <v>249</v>
      </c>
      <c r="E18" s="359" t="s">
        <v>242</v>
      </c>
      <c r="F18" s="124" t="s">
        <v>248</v>
      </c>
      <c r="G18" s="117" t="s">
        <v>172</v>
      </c>
      <c r="H18" s="444"/>
      <c r="I18" s="118"/>
      <c r="J18" s="118"/>
      <c r="K18" s="118"/>
      <c r="L18" s="118"/>
    </row>
    <row r="19" s="40" customFormat="1" spans="1:12">
      <c r="A19" s="410"/>
      <c r="B19" s="118" t="s">
        <v>250</v>
      </c>
      <c r="C19" s="118" t="s">
        <v>175</v>
      </c>
      <c r="D19" s="118" t="s">
        <v>251</v>
      </c>
      <c r="E19" s="359" t="s">
        <v>242</v>
      </c>
      <c r="F19" s="415" t="s">
        <v>252</v>
      </c>
      <c r="G19" s="117" t="s">
        <v>172</v>
      </c>
      <c r="H19" s="118"/>
      <c r="I19" s="118"/>
      <c r="J19" s="118"/>
      <c r="K19" s="118"/>
      <c r="L19" s="118"/>
    </row>
    <row r="20" s="40" customFormat="1" spans="2:12">
      <c r="B20" s="434" t="s">
        <v>253</v>
      </c>
      <c r="C20" s="434" t="s">
        <v>229</v>
      </c>
      <c r="D20" s="434" t="s">
        <v>254</v>
      </c>
      <c r="E20" s="359" t="s">
        <v>242</v>
      </c>
      <c r="F20" s="434" t="s">
        <v>255</v>
      </c>
      <c r="G20" s="117" t="s">
        <v>256</v>
      </c>
      <c r="H20" s="118"/>
      <c r="I20" s="118"/>
      <c r="J20" s="118"/>
      <c r="K20" s="118"/>
      <c r="L20" s="118"/>
    </row>
    <row r="21" s="40" customFormat="1" spans="2:12">
      <c r="B21" s="124" t="s">
        <v>257</v>
      </c>
      <c r="C21" s="434" t="s">
        <v>229</v>
      </c>
      <c r="D21" s="124" t="s">
        <v>258</v>
      </c>
      <c r="E21" s="359" t="s">
        <v>242</v>
      </c>
      <c r="F21" s="30" t="s">
        <v>257</v>
      </c>
      <c r="G21" s="117" t="s">
        <v>259</v>
      </c>
      <c r="H21" s="118"/>
      <c r="I21" s="118" t="s">
        <v>260</v>
      </c>
      <c r="J21" s="118"/>
      <c r="K21" s="118" t="s">
        <v>261</v>
      </c>
      <c r="L21" s="118"/>
    </row>
    <row r="22" s="40" customFormat="1" spans="2:12">
      <c r="B22" s="434" t="s">
        <v>262</v>
      </c>
      <c r="C22" s="434" t="s">
        <v>203</v>
      </c>
      <c r="D22" s="434" t="s">
        <v>263</v>
      </c>
      <c r="E22" s="359" t="s">
        <v>242</v>
      </c>
      <c r="F22" s="30" t="s">
        <v>264</v>
      </c>
      <c r="G22" s="117" t="s">
        <v>265</v>
      </c>
      <c r="H22" s="118"/>
      <c r="I22" s="118"/>
      <c r="J22" s="118"/>
      <c r="K22" s="118" t="s">
        <v>266</v>
      </c>
      <c r="L22" s="118"/>
    </row>
    <row r="23" s="40" customFormat="1" spans="1:12">
      <c r="A23" s="436"/>
      <c r="B23" s="124" t="s">
        <v>267</v>
      </c>
      <c r="C23" s="434" t="s">
        <v>203</v>
      </c>
      <c r="D23" s="124" t="s">
        <v>268</v>
      </c>
      <c r="E23" s="359" t="s">
        <v>242</v>
      </c>
      <c r="F23" s="457" t="s">
        <v>269</v>
      </c>
      <c r="G23" s="118" t="s">
        <v>270</v>
      </c>
      <c r="H23" s="118"/>
      <c r="I23" s="118" t="s">
        <v>271</v>
      </c>
      <c r="J23" s="118"/>
      <c r="K23" s="118"/>
      <c r="L23" s="118"/>
    </row>
    <row r="24" ht="13.8" spans="2:12">
      <c r="B24" s="364" t="s">
        <v>239</v>
      </c>
      <c r="C24" s="365" t="s">
        <v>170</v>
      </c>
      <c r="D24" s="365" t="s">
        <v>240</v>
      </c>
      <c r="E24" s="30"/>
      <c r="F24" s="30"/>
      <c r="G24" s="30"/>
      <c r="H24" s="30"/>
      <c r="I24" s="30"/>
      <c r="J24" s="30"/>
      <c r="K24" s="30"/>
      <c r="L24" s="30"/>
    </row>
    <row r="25" ht="13.8" spans="2:12">
      <c r="B25" s="364" t="s">
        <v>177</v>
      </c>
      <c r="C25" s="365" t="s">
        <v>175</v>
      </c>
      <c r="D25" s="365" t="s">
        <v>176</v>
      </c>
      <c r="E25" s="30"/>
      <c r="F25" s="118"/>
      <c r="G25" s="118"/>
      <c r="H25" s="118"/>
      <c r="I25" s="30"/>
      <c r="J25" s="30"/>
      <c r="K25" s="30"/>
      <c r="L25" s="30"/>
    </row>
    <row r="26" spans="5:5">
      <c r="E26" s="40"/>
    </row>
    <row r="27" spans="5:5">
      <c r="E27" s="40"/>
    </row>
  </sheetData>
  <mergeCells count="2">
    <mergeCell ref="B10:L10"/>
    <mergeCell ref="G7:G8"/>
  </mergeCells>
  <dataValidations count="1">
    <dataValidation type="list" allowBlank="1" showInputMessage="1" showErrorMessage="1" sqref="E4">
      <formula1>"D: Daily,W: Weekly,M: Monthly,Y: Yearly,D: Daily &amp; W: Weekly &amp;M: Monthly,H: Hourly"</formula1>
    </dataValidation>
  </dataValidations>
  <hyperlinks>
    <hyperlink ref="B1" location="导航!A1" display="=HYPERLINK(&quot;#&quot;&amp;&quot;导航应用&quot;&amp;&quot;!B1&quot;,&quot;返回&quot;)"/>
  </hyperlink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topLeftCell="A12" workbookViewId="0">
      <selection activeCell="A29" sqref="$A29:$XFD31"/>
    </sheetView>
  </sheetViews>
  <sheetFormatPr defaultColWidth="67.75" defaultRowHeight="15"/>
  <cols>
    <col min="1" max="1" width="3" style="5" customWidth="1"/>
    <col min="2" max="2" width="29.75" style="40" customWidth="1"/>
    <col min="3" max="3" width="36.75" style="128" customWidth="1"/>
    <col min="4" max="4" width="26.75" style="128" customWidth="1"/>
    <col min="5" max="5" width="9.25" style="129" customWidth="1"/>
    <col min="6" max="6" width="10.75" style="40" customWidth="1"/>
    <col min="7" max="7" width="33.25" style="40" customWidth="1"/>
    <col min="8" max="8" width="28.6296296296296" style="40" customWidth="1"/>
    <col min="9" max="9" width="8.5" style="5" customWidth="1"/>
    <col min="10" max="10" width="7.5" style="5" customWidth="1"/>
    <col min="11" max="11" width="4.12962962962963" style="5" customWidth="1"/>
    <col min="12" max="12" width="7.5" style="5" customWidth="1"/>
    <col min="13" max="16384" width="67.75" style="5"/>
  </cols>
  <sheetData>
    <row r="1" s="40" customFormat="1" spans="2:8">
      <c r="B1" s="43" t="str">
        <f>HYPERLINK("#"&amp;"导航应用"&amp;"!B1","返回")</f>
        <v>返回</v>
      </c>
      <c r="C1" s="44"/>
      <c r="D1" s="44"/>
      <c r="E1" s="45"/>
      <c r="F1" s="46"/>
      <c r="G1" s="46"/>
      <c r="H1" s="44"/>
    </row>
    <row r="2" s="40" customFormat="1" ht="15.6" spans="2:8">
      <c r="B2" s="394" t="s">
        <v>132</v>
      </c>
      <c r="C2" s="394"/>
      <c r="D2" s="394"/>
      <c r="E2" s="395"/>
      <c r="F2" s="394"/>
      <c r="G2" s="394"/>
      <c r="H2" s="394"/>
    </row>
    <row r="3" s="40" customFormat="1" ht="15.6" spans="2:8">
      <c r="B3" s="396" t="s">
        <v>133</v>
      </c>
      <c r="C3" s="396" t="s">
        <v>134</v>
      </c>
      <c r="D3" s="396" t="s">
        <v>135</v>
      </c>
      <c r="E3" s="397" t="s">
        <v>136</v>
      </c>
      <c r="F3" s="398" t="s">
        <v>137</v>
      </c>
      <c r="G3" s="398" t="s">
        <v>138</v>
      </c>
      <c r="H3" s="326" t="s">
        <v>139</v>
      </c>
    </row>
    <row r="4" s="40" customFormat="1" spans="2:8">
      <c r="B4" s="6" t="s">
        <v>14</v>
      </c>
      <c r="C4" s="329" t="s">
        <v>27</v>
      </c>
      <c r="D4" s="329" t="s">
        <v>28</v>
      </c>
      <c r="E4" s="400" t="s">
        <v>140</v>
      </c>
      <c r="F4" s="401" t="s">
        <v>141</v>
      </c>
      <c r="G4" s="401"/>
      <c r="H4" s="401" t="s">
        <v>18</v>
      </c>
    </row>
    <row r="5" s="40" customFormat="1" ht="15.6" spans="2:8">
      <c r="B5" s="394" t="s">
        <v>142</v>
      </c>
      <c r="C5" s="394"/>
      <c r="D5" s="394"/>
      <c r="E5" s="395"/>
      <c r="F5" s="394"/>
      <c r="G5" s="394"/>
      <c r="H5" s="394"/>
    </row>
    <row r="6" s="40" customFormat="1" ht="15.6" spans="2:8">
      <c r="B6" s="334" t="s">
        <v>143</v>
      </c>
      <c r="C6" s="334" t="s">
        <v>144</v>
      </c>
      <c r="D6" s="334" t="s">
        <v>145</v>
      </c>
      <c r="E6" s="334" t="s">
        <v>146</v>
      </c>
      <c r="F6" s="334" t="s">
        <v>147</v>
      </c>
      <c r="G6" s="334" t="s">
        <v>13</v>
      </c>
      <c r="H6" s="334" t="s">
        <v>148</v>
      </c>
    </row>
    <row r="7" s="40" customFormat="1" ht="16.5" customHeight="1" spans="2:8">
      <c r="B7" s="335" t="s">
        <v>149</v>
      </c>
      <c r="C7" s="369" t="s">
        <v>114</v>
      </c>
      <c r="D7" s="335" t="s">
        <v>115</v>
      </c>
      <c r="E7" s="335" t="s">
        <v>151</v>
      </c>
      <c r="F7" s="118"/>
      <c r="G7" s="447" t="s">
        <v>272</v>
      </c>
      <c r="H7" s="448" t="s">
        <v>21</v>
      </c>
    </row>
    <row r="8" s="40" customFormat="1" spans="1:9">
      <c r="A8" s="5"/>
      <c r="B8" s="335" t="s">
        <v>149</v>
      </c>
      <c r="C8" s="369" t="s">
        <v>117</v>
      </c>
      <c r="D8" s="330" t="s">
        <v>118</v>
      </c>
      <c r="E8" s="359" t="s">
        <v>156</v>
      </c>
      <c r="F8" s="118"/>
      <c r="G8" s="449"/>
      <c r="H8" s="448" t="s">
        <v>21</v>
      </c>
      <c r="I8" s="456"/>
    </row>
    <row r="9" s="40" customFormat="1" spans="1:9">
      <c r="A9" s="5"/>
      <c r="B9" s="335" t="s">
        <v>149</v>
      </c>
      <c r="C9" s="450" t="s">
        <v>273</v>
      </c>
      <c r="D9" s="359" t="s">
        <v>274</v>
      </c>
      <c r="E9" s="359" t="s">
        <v>275</v>
      </c>
      <c r="F9" s="118"/>
      <c r="G9" s="451"/>
      <c r="H9" s="452"/>
      <c r="I9" s="437"/>
    </row>
    <row r="10" s="40" customFormat="1" spans="2:8">
      <c r="B10" s="406"/>
      <c r="C10" s="407"/>
      <c r="D10" s="408"/>
      <c r="E10" s="129"/>
      <c r="H10" s="128"/>
    </row>
    <row r="11" s="40" customFormat="1" spans="2:12">
      <c r="B11" s="453" t="s">
        <v>158</v>
      </c>
      <c r="C11" s="453"/>
      <c r="D11" s="453"/>
      <c r="E11" s="453"/>
      <c r="F11" s="453"/>
      <c r="G11" s="453"/>
      <c r="H11" s="453"/>
      <c r="I11" s="453"/>
      <c r="J11" s="453"/>
      <c r="K11" s="453"/>
      <c r="L11" s="453"/>
    </row>
    <row r="12" s="40" customFormat="1" ht="24" spans="2:12">
      <c r="B12" s="454" t="s">
        <v>159</v>
      </c>
      <c r="C12" s="454" t="s">
        <v>160</v>
      </c>
      <c r="D12" s="454" t="s">
        <v>161</v>
      </c>
      <c r="E12" s="454" t="s">
        <v>162</v>
      </c>
      <c r="F12" s="454" t="s">
        <v>163</v>
      </c>
      <c r="G12" s="454" t="s">
        <v>164</v>
      </c>
      <c r="H12" s="454" t="s">
        <v>165</v>
      </c>
      <c r="I12" s="454" t="s">
        <v>13</v>
      </c>
      <c r="J12" s="454" t="s">
        <v>166</v>
      </c>
      <c r="K12" s="454" t="s">
        <v>167</v>
      </c>
      <c r="L12" s="454" t="s">
        <v>168</v>
      </c>
    </row>
    <row r="13" s="40" customFormat="1" spans="1:12">
      <c r="A13" s="344"/>
      <c r="B13" s="330" t="s">
        <v>169</v>
      </c>
      <c r="C13" s="330" t="s">
        <v>170</v>
      </c>
      <c r="D13" s="330" t="s">
        <v>171</v>
      </c>
      <c r="E13" s="190"/>
      <c r="F13" s="124"/>
      <c r="G13" s="117"/>
      <c r="H13" s="117"/>
      <c r="I13" s="118"/>
      <c r="J13" s="118"/>
      <c r="K13" s="118"/>
      <c r="L13" s="118"/>
    </row>
    <row r="14" s="40" customFormat="1" spans="1:12">
      <c r="A14" s="344"/>
      <c r="B14" s="330" t="s">
        <v>174</v>
      </c>
      <c r="C14" s="330" t="s">
        <v>175</v>
      </c>
      <c r="D14" s="330" t="s">
        <v>176</v>
      </c>
      <c r="E14" s="190"/>
      <c r="F14" s="124"/>
      <c r="G14" s="117"/>
      <c r="H14" s="117"/>
      <c r="I14" s="118"/>
      <c r="J14" s="118"/>
      <c r="K14" s="118"/>
      <c r="L14" s="118"/>
    </row>
    <row r="15" s="40" customFormat="1" spans="1:12">
      <c r="A15" s="410"/>
      <c r="B15" s="361" t="s">
        <v>188</v>
      </c>
      <c r="C15" s="330" t="s">
        <v>175</v>
      </c>
      <c r="D15" s="330" t="s">
        <v>189</v>
      </c>
      <c r="E15" s="359" t="s">
        <v>242</v>
      </c>
      <c r="F15" s="405"/>
      <c r="G15" s="44"/>
      <c r="H15" s="46"/>
      <c r="I15" s="46"/>
      <c r="J15" s="46"/>
      <c r="K15" s="46"/>
      <c r="L15" s="46"/>
    </row>
    <row r="16" s="40" customFormat="1" spans="1:12">
      <c r="A16" s="410"/>
      <c r="B16" s="361" t="s">
        <v>191</v>
      </c>
      <c r="C16" s="330" t="s">
        <v>175</v>
      </c>
      <c r="D16" s="330" t="s">
        <v>243</v>
      </c>
      <c r="E16" s="359" t="s">
        <v>242</v>
      </c>
      <c r="F16" s="405"/>
      <c r="G16" s="44"/>
      <c r="H16" s="46"/>
      <c r="I16" s="46"/>
      <c r="J16" s="46"/>
      <c r="K16" s="46"/>
      <c r="L16" s="46"/>
    </row>
    <row r="17" s="40" customFormat="1" spans="1:12">
      <c r="A17" s="410"/>
      <c r="B17" s="361" t="s">
        <v>244</v>
      </c>
      <c r="C17" s="330" t="s">
        <v>175</v>
      </c>
      <c r="D17" s="330" t="s">
        <v>245</v>
      </c>
      <c r="E17" s="359" t="s">
        <v>242</v>
      </c>
      <c r="F17" s="405"/>
      <c r="G17" s="44"/>
      <c r="H17" s="46"/>
      <c r="I17" s="46"/>
      <c r="J17" s="46"/>
      <c r="K17" s="46"/>
      <c r="L17" s="46"/>
    </row>
    <row r="18" s="40" customFormat="1" spans="1:12">
      <c r="A18" s="344"/>
      <c r="B18" s="344" t="s">
        <v>276</v>
      </c>
      <c r="C18" s="330" t="s">
        <v>175</v>
      </c>
      <c r="D18" s="323" t="s">
        <v>277</v>
      </c>
      <c r="E18" s="323" t="s">
        <v>275</v>
      </c>
      <c r="F18" s="323" t="s">
        <v>278</v>
      </c>
      <c r="G18" s="44" t="s">
        <v>172</v>
      </c>
      <c r="H18" s="426"/>
      <c r="I18" s="46"/>
      <c r="J18" s="46"/>
      <c r="K18" s="46"/>
      <c r="L18" s="46"/>
    </row>
    <row r="19" s="40" customFormat="1" spans="1:12">
      <c r="A19" s="410"/>
      <c r="B19" s="344" t="s">
        <v>279</v>
      </c>
      <c r="C19" s="330" t="s">
        <v>175</v>
      </c>
      <c r="D19" s="323" t="s">
        <v>280</v>
      </c>
      <c r="E19" s="323" t="s">
        <v>275</v>
      </c>
      <c r="F19" s="323" t="s">
        <v>281</v>
      </c>
      <c r="G19" s="44" t="s">
        <v>172</v>
      </c>
      <c r="H19" s="46"/>
      <c r="I19" s="46"/>
      <c r="J19" s="46"/>
      <c r="K19" s="46"/>
      <c r="L19" s="46"/>
    </row>
    <row r="20" s="40" customFormat="1" spans="1:12">
      <c r="A20" s="410"/>
      <c r="B20" s="344" t="s">
        <v>282</v>
      </c>
      <c r="C20" s="330" t="s">
        <v>175</v>
      </c>
      <c r="D20" s="323" t="s">
        <v>283</v>
      </c>
      <c r="E20" s="323" t="s">
        <v>275</v>
      </c>
      <c r="F20" s="405"/>
      <c r="G20" s="405" t="s">
        <v>284</v>
      </c>
      <c r="H20" s="46"/>
      <c r="I20" s="46" t="s">
        <v>285</v>
      </c>
      <c r="J20" s="46"/>
      <c r="K20" s="46"/>
      <c r="L20" s="46"/>
    </row>
    <row r="21" s="40" customFormat="1" spans="1:12">
      <c r="A21" s="410"/>
      <c r="B21" s="344" t="s">
        <v>286</v>
      </c>
      <c r="C21" s="330" t="s">
        <v>175</v>
      </c>
      <c r="D21" s="323" t="s">
        <v>287</v>
      </c>
      <c r="E21" s="323" t="s">
        <v>275</v>
      </c>
      <c r="F21" s="405"/>
      <c r="G21" s="405" t="s">
        <v>284</v>
      </c>
      <c r="H21" s="46"/>
      <c r="I21" s="46" t="s">
        <v>285</v>
      </c>
      <c r="J21" s="46"/>
      <c r="K21" s="46"/>
      <c r="L21" s="46"/>
    </row>
    <row r="22" s="40" customFormat="1" spans="1:12">
      <c r="A22" s="436"/>
      <c r="B22" s="381" t="s">
        <v>288</v>
      </c>
      <c r="C22" s="323" t="s">
        <v>203</v>
      </c>
      <c r="D22" s="344" t="s">
        <v>289</v>
      </c>
      <c r="E22" s="359" t="s">
        <v>242</v>
      </c>
      <c r="F22" s="18"/>
      <c r="G22" s="344" t="s">
        <v>290</v>
      </c>
      <c r="H22" s="46"/>
      <c r="I22" s="46"/>
      <c r="J22" s="46"/>
      <c r="K22" s="46"/>
      <c r="L22" s="46"/>
    </row>
    <row r="23" s="40" customFormat="1" spans="1:12">
      <c r="A23" s="344"/>
      <c r="B23" s="381" t="s">
        <v>291</v>
      </c>
      <c r="C23" s="323" t="s">
        <v>203</v>
      </c>
      <c r="D23" s="344" t="s">
        <v>292</v>
      </c>
      <c r="E23" s="359" t="s">
        <v>242</v>
      </c>
      <c r="F23" s="18"/>
      <c r="G23" s="344" t="s">
        <v>293</v>
      </c>
      <c r="H23" s="46"/>
      <c r="I23" s="46"/>
      <c r="J23" s="46"/>
      <c r="K23" s="46"/>
      <c r="L23" s="46"/>
    </row>
    <row r="24" spans="1:12">
      <c r="A24" s="410"/>
      <c r="B24" s="323" t="s">
        <v>294</v>
      </c>
      <c r="C24" s="323" t="s">
        <v>203</v>
      </c>
      <c r="D24" s="344" t="s">
        <v>295</v>
      </c>
      <c r="E24" s="359" t="s">
        <v>242</v>
      </c>
      <c r="F24" s="337"/>
      <c r="G24" s="381" t="s">
        <v>296</v>
      </c>
      <c r="H24" s="46"/>
      <c r="I24" s="1"/>
      <c r="J24" s="1"/>
      <c r="K24" s="1"/>
      <c r="L24" s="1"/>
    </row>
    <row r="25" spans="1:12">
      <c r="A25" s="410"/>
      <c r="B25" s="323" t="s">
        <v>267</v>
      </c>
      <c r="C25" s="323" t="s">
        <v>203</v>
      </c>
      <c r="D25" s="344" t="s">
        <v>268</v>
      </c>
      <c r="E25" s="359" t="s">
        <v>242</v>
      </c>
      <c r="F25" s="337"/>
      <c r="G25" s="344" t="s">
        <v>297</v>
      </c>
      <c r="H25" s="30"/>
      <c r="I25" s="1"/>
      <c r="J25" s="1"/>
      <c r="K25" s="1"/>
      <c r="L25" s="1"/>
    </row>
    <row r="26" spans="1:12">
      <c r="A26" s="410"/>
      <c r="B26" s="323" t="s">
        <v>298</v>
      </c>
      <c r="C26" s="323" t="s">
        <v>203</v>
      </c>
      <c r="D26" s="344" t="s">
        <v>299</v>
      </c>
      <c r="E26" s="359" t="s">
        <v>242</v>
      </c>
      <c r="F26" s="18"/>
      <c r="G26" s="323" t="s">
        <v>284</v>
      </c>
      <c r="H26" s="30"/>
      <c r="I26" s="1"/>
      <c r="J26" s="1"/>
      <c r="K26" s="1"/>
      <c r="L26" s="1"/>
    </row>
    <row r="27" spans="1:12">
      <c r="A27" s="410"/>
      <c r="B27" s="323" t="s">
        <v>300</v>
      </c>
      <c r="C27" s="323" t="s">
        <v>203</v>
      </c>
      <c r="D27" s="344" t="s">
        <v>301</v>
      </c>
      <c r="E27" s="359" t="s">
        <v>242</v>
      </c>
      <c r="F27" s="18"/>
      <c r="G27" s="405" t="s">
        <v>284</v>
      </c>
      <c r="H27" s="46"/>
      <c r="I27" s="1"/>
      <c r="J27" s="1"/>
      <c r="K27" s="1"/>
      <c r="L27" s="1"/>
    </row>
    <row r="28" spans="1:12">
      <c r="A28" s="410"/>
      <c r="B28" s="323" t="s">
        <v>302</v>
      </c>
      <c r="C28" s="323" t="s">
        <v>203</v>
      </c>
      <c r="D28" s="344" t="s">
        <v>303</v>
      </c>
      <c r="E28" s="359" t="s">
        <v>242</v>
      </c>
      <c r="F28" s="18"/>
      <c r="G28" s="405" t="s">
        <v>304</v>
      </c>
      <c r="H28" s="46"/>
      <c r="I28" s="1"/>
      <c r="J28" s="1"/>
      <c r="K28" s="1"/>
      <c r="L28" s="1"/>
    </row>
    <row r="29" spans="1:12">
      <c r="A29" s="410"/>
      <c r="B29" s="323" t="s">
        <v>305</v>
      </c>
      <c r="C29" s="323" t="s">
        <v>203</v>
      </c>
      <c r="D29" s="344" t="s">
        <v>306</v>
      </c>
      <c r="E29" s="344" t="s">
        <v>151</v>
      </c>
      <c r="F29" s="337"/>
      <c r="G29" s="344" t="s">
        <v>307</v>
      </c>
      <c r="H29" s="46"/>
      <c r="I29" s="1"/>
      <c r="J29" s="1"/>
      <c r="K29" s="1"/>
      <c r="L29" s="1"/>
    </row>
    <row r="30" spans="1:12">
      <c r="A30" s="410"/>
      <c r="B30" s="323" t="s">
        <v>308</v>
      </c>
      <c r="C30" s="323" t="s">
        <v>203</v>
      </c>
      <c r="D30" s="344" t="s">
        <v>309</v>
      </c>
      <c r="E30" s="344" t="s">
        <v>151</v>
      </c>
      <c r="F30" s="337"/>
      <c r="G30" s="344" t="s">
        <v>310</v>
      </c>
      <c r="H30" s="46"/>
      <c r="I30" s="1"/>
      <c r="J30" s="1"/>
      <c r="K30" s="1"/>
      <c r="L30" s="1"/>
    </row>
    <row r="31" spans="1:12">
      <c r="A31" s="410"/>
      <c r="B31" s="323" t="s">
        <v>311</v>
      </c>
      <c r="C31" s="323" t="s">
        <v>203</v>
      </c>
      <c r="D31" s="344" t="s">
        <v>312</v>
      </c>
      <c r="E31" s="344" t="s">
        <v>151</v>
      </c>
      <c r="F31" s="18"/>
      <c r="G31" s="323" t="s">
        <v>284</v>
      </c>
      <c r="H31" s="46"/>
      <c r="I31" s="1"/>
      <c r="J31" s="1"/>
      <c r="K31" s="1"/>
      <c r="L31" s="1"/>
    </row>
    <row r="32" spans="1:12">
      <c r="A32" s="410"/>
      <c r="B32" s="323" t="s">
        <v>313</v>
      </c>
      <c r="C32" s="323" t="s">
        <v>203</v>
      </c>
      <c r="D32" s="344" t="s">
        <v>314</v>
      </c>
      <c r="E32" s="344" t="s">
        <v>151</v>
      </c>
      <c r="F32" s="18"/>
      <c r="G32" s="405" t="s">
        <v>284</v>
      </c>
      <c r="H32" s="46"/>
      <c r="I32" s="1"/>
      <c r="J32" s="1"/>
      <c r="K32" s="1"/>
      <c r="L32" s="1"/>
    </row>
    <row r="33" ht="30" spans="1:12">
      <c r="A33" s="410"/>
      <c r="B33" s="323" t="s">
        <v>315</v>
      </c>
      <c r="C33" s="323" t="s">
        <v>203</v>
      </c>
      <c r="D33" s="344" t="s">
        <v>316</v>
      </c>
      <c r="E33" s="344" t="s">
        <v>151</v>
      </c>
      <c r="F33" s="18"/>
      <c r="G33" s="405" t="s">
        <v>317</v>
      </c>
      <c r="H33" s="46"/>
      <c r="I33" s="1"/>
      <c r="J33" s="1"/>
      <c r="K33" s="1"/>
      <c r="L33" s="1"/>
    </row>
    <row r="34" spans="1:12">
      <c r="A34" s="410"/>
      <c r="B34" s="323" t="s">
        <v>318</v>
      </c>
      <c r="C34" s="323" t="s">
        <v>203</v>
      </c>
      <c r="D34" s="344" t="s">
        <v>319</v>
      </c>
      <c r="E34" s="344" t="s">
        <v>156</v>
      </c>
      <c r="F34" s="337"/>
      <c r="G34" s="344" t="s">
        <v>320</v>
      </c>
      <c r="H34" s="46"/>
      <c r="I34" s="1"/>
      <c r="J34" s="1"/>
      <c r="K34" s="1"/>
      <c r="L34" s="1"/>
    </row>
    <row r="35" spans="1:12">
      <c r="A35" s="410"/>
      <c r="B35" s="323" t="s">
        <v>321</v>
      </c>
      <c r="C35" s="323" t="s">
        <v>203</v>
      </c>
      <c r="D35" s="344" t="s">
        <v>322</v>
      </c>
      <c r="E35" s="344" t="s">
        <v>156</v>
      </c>
      <c r="F35" s="337"/>
      <c r="G35" s="344" t="s">
        <v>310</v>
      </c>
      <c r="H35" s="46"/>
      <c r="I35" s="1"/>
      <c r="J35" s="1"/>
      <c r="K35" s="1"/>
      <c r="L35" s="1"/>
    </row>
    <row r="36" spans="1:12">
      <c r="A36" s="410"/>
      <c r="B36" s="323" t="s">
        <v>323</v>
      </c>
      <c r="C36" s="323" t="s">
        <v>203</v>
      </c>
      <c r="D36" s="344" t="s">
        <v>324</v>
      </c>
      <c r="E36" s="344" t="s">
        <v>156</v>
      </c>
      <c r="F36" s="18"/>
      <c r="G36" s="323" t="s">
        <v>284</v>
      </c>
      <c r="H36" s="46"/>
      <c r="I36" s="1"/>
      <c r="J36" s="1"/>
      <c r="K36" s="1"/>
      <c r="L36" s="1"/>
    </row>
    <row r="37" spans="1:12">
      <c r="A37" s="410"/>
      <c r="B37" s="323" t="s">
        <v>325</v>
      </c>
      <c r="C37" s="323" t="s">
        <v>203</v>
      </c>
      <c r="D37" s="344" t="s">
        <v>326</v>
      </c>
      <c r="E37" s="344" t="s">
        <v>156</v>
      </c>
      <c r="F37" s="18"/>
      <c r="G37" s="405" t="s">
        <v>284</v>
      </c>
      <c r="H37" s="46"/>
      <c r="I37" s="1"/>
      <c r="J37" s="1"/>
      <c r="K37" s="1"/>
      <c r="L37" s="1"/>
    </row>
    <row r="38" ht="30" spans="1:12">
      <c r="A38" s="410"/>
      <c r="B38" s="323" t="s">
        <v>327</v>
      </c>
      <c r="C38" s="323" t="s">
        <v>203</v>
      </c>
      <c r="D38" s="344" t="s">
        <v>328</v>
      </c>
      <c r="E38" s="344" t="s">
        <v>156</v>
      </c>
      <c r="F38" s="18"/>
      <c r="G38" s="405" t="s">
        <v>329</v>
      </c>
      <c r="H38" s="46"/>
      <c r="I38" s="1"/>
      <c r="J38" s="1"/>
      <c r="K38" s="1"/>
      <c r="L38" s="1"/>
    </row>
    <row r="39" spans="1:12">
      <c r="A39" s="410"/>
      <c r="B39" s="323" t="s">
        <v>330</v>
      </c>
      <c r="C39" s="323" t="s">
        <v>203</v>
      </c>
      <c r="D39" s="344" t="s">
        <v>331</v>
      </c>
      <c r="E39" s="344" t="s">
        <v>151</v>
      </c>
      <c r="F39" s="30"/>
      <c r="G39" s="405" t="s">
        <v>332</v>
      </c>
      <c r="H39" s="46"/>
      <c r="I39" s="1"/>
      <c r="J39" s="1"/>
      <c r="K39" s="1"/>
      <c r="L39" s="1"/>
    </row>
    <row r="40" spans="1:12">
      <c r="A40" s="410"/>
      <c r="B40" s="323" t="s">
        <v>333</v>
      </c>
      <c r="C40" s="323" t="s">
        <v>203</v>
      </c>
      <c r="D40" s="344" t="s">
        <v>334</v>
      </c>
      <c r="E40" s="344" t="s">
        <v>156</v>
      </c>
      <c r="F40" s="18"/>
      <c r="G40" s="405" t="s">
        <v>332</v>
      </c>
      <c r="H40" s="46"/>
      <c r="I40" s="1"/>
      <c r="J40" s="1"/>
      <c r="K40" s="1"/>
      <c r="L40" s="1"/>
    </row>
    <row r="41" spans="1:12">
      <c r="A41" s="410"/>
      <c r="B41" s="435" t="s">
        <v>335</v>
      </c>
      <c r="C41" s="323" t="s">
        <v>203</v>
      </c>
      <c r="D41" s="344" t="s">
        <v>336</v>
      </c>
      <c r="E41" s="344" t="s">
        <v>151</v>
      </c>
      <c r="F41" s="18"/>
      <c r="G41" s="344" t="s">
        <v>337</v>
      </c>
      <c r="H41" s="46"/>
      <c r="I41" s="1"/>
      <c r="J41" s="1"/>
      <c r="K41" s="1"/>
      <c r="L41" s="1"/>
    </row>
    <row r="42" spans="1:12">
      <c r="A42" s="410"/>
      <c r="B42" s="435" t="s">
        <v>338</v>
      </c>
      <c r="C42" s="323" t="s">
        <v>203</v>
      </c>
      <c r="D42" s="344" t="s">
        <v>339</v>
      </c>
      <c r="E42" s="344" t="s">
        <v>156</v>
      </c>
      <c r="F42" s="18"/>
      <c r="G42" s="344" t="s">
        <v>340</v>
      </c>
      <c r="H42" s="46"/>
      <c r="I42" s="1"/>
      <c r="J42" s="1"/>
      <c r="K42" s="1"/>
      <c r="L42" s="1"/>
    </row>
    <row r="43" spans="1:12">
      <c r="A43" s="410"/>
      <c r="B43" s="323" t="s">
        <v>341</v>
      </c>
      <c r="C43" s="323" t="s">
        <v>203</v>
      </c>
      <c r="D43" s="344" t="s">
        <v>342</v>
      </c>
      <c r="E43" s="344" t="s">
        <v>151</v>
      </c>
      <c r="F43" s="18"/>
      <c r="G43" s="323" t="s">
        <v>343</v>
      </c>
      <c r="H43" s="46"/>
      <c r="I43" s="1"/>
      <c r="J43" s="1"/>
      <c r="K43" s="1"/>
      <c r="L43" s="1"/>
    </row>
    <row r="44" spans="1:12">
      <c r="A44" s="410"/>
      <c r="B44" s="323" t="s">
        <v>344</v>
      </c>
      <c r="C44" s="323" t="s">
        <v>203</v>
      </c>
      <c r="D44" s="344" t="s">
        <v>345</v>
      </c>
      <c r="E44" s="344" t="s">
        <v>156</v>
      </c>
      <c r="F44" s="18"/>
      <c r="G44" s="323" t="s">
        <v>346</v>
      </c>
      <c r="H44" s="46"/>
      <c r="I44" s="1"/>
      <c r="J44" s="1"/>
      <c r="K44" s="1"/>
      <c r="L44" s="1"/>
    </row>
    <row r="45" s="40" customFormat="1" spans="1:12">
      <c r="A45" s="436"/>
      <c r="B45" s="323" t="s">
        <v>347</v>
      </c>
      <c r="C45" s="323" t="s">
        <v>229</v>
      </c>
      <c r="D45" s="344" t="s">
        <v>348</v>
      </c>
      <c r="E45" s="359" t="s">
        <v>242</v>
      </c>
      <c r="F45" s="18"/>
      <c r="G45" s="455" t="s">
        <v>349</v>
      </c>
      <c r="H45" s="46"/>
      <c r="I45" s="46" t="s">
        <v>350</v>
      </c>
      <c r="J45" s="46"/>
      <c r="K45" s="46"/>
      <c r="L45" s="46"/>
    </row>
    <row r="46" s="40" customFormat="1" spans="1:12">
      <c r="A46" s="436"/>
      <c r="B46" s="323" t="s">
        <v>351</v>
      </c>
      <c r="C46" s="323" t="s">
        <v>229</v>
      </c>
      <c r="D46" s="344" t="s">
        <v>352</v>
      </c>
      <c r="E46" s="359" t="s">
        <v>242</v>
      </c>
      <c r="F46" s="18"/>
      <c r="G46" s="455" t="s">
        <v>349</v>
      </c>
      <c r="H46" s="46"/>
      <c r="I46" s="46" t="s">
        <v>350</v>
      </c>
      <c r="J46" s="46"/>
      <c r="K46" s="46"/>
      <c r="L46" s="46"/>
    </row>
    <row r="47" spans="1:12">
      <c r="A47" s="410"/>
      <c r="B47" s="323" t="s">
        <v>353</v>
      </c>
      <c r="C47" s="323" t="s">
        <v>229</v>
      </c>
      <c r="D47" s="323" t="s">
        <v>354</v>
      </c>
      <c r="E47" s="359" t="s">
        <v>242</v>
      </c>
      <c r="F47" s="337"/>
      <c r="G47" s="455" t="s">
        <v>349</v>
      </c>
      <c r="H47" s="46"/>
      <c r="I47" s="46" t="s">
        <v>350</v>
      </c>
      <c r="J47" s="1"/>
      <c r="K47" s="1"/>
      <c r="L47" s="1"/>
    </row>
    <row r="48" spans="1:12">
      <c r="A48" s="410"/>
      <c r="B48" s="323" t="s">
        <v>355</v>
      </c>
      <c r="C48" s="323" t="s">
        <v>229</v>
      </c>
      <c r="D48" s="323" t="s">
        <v>356</v>
      </c>
      <c r="E48" s="359" t="s">
        <v>242</v>
      </c>
      <c r="F48" s="18"/>
      <c r="G48" s="455" t="s">
        <v>349</v>
      </c>
      <c r="H48" s="46"/>
      <c r="I48" s="46" t="s">
        <v>350</v>
      </c>
      <c r="J48" s="1"/>
      <c r="K48" s="1"/>
      <c r="L48" s="1"/>
    </row>
    <row r="49" s="40" customFormat="1" spans="1:12">
      <c r="A49" s="436"/>
      <c r="B49" s="435" t="s">
        <v>357</v>
      </c>
      <c r="C49" s="323" t="s">
        <v>203</v>
      </c>
      <c r="D49" s="344" t="s">
        <v>358</v>
      </c>
      <c r="E49" s="359" t="s">
        <v>242</v>
      </c>
      <c r="F49" s="18"/>
      <c r="G49" s="385" t="s">
        <v>359</v>
      </c>
      <c r="H49" s="46"/>
      <c r="I49" s="46"/>
      <c r="J49" s="46"/>
      <c r="K49" s="46"/>
      <c r="L49" s="46"/>
    </row>
    <row r="50" s="40" customFormat="1" spans="1:12">
      <c r="A50" s="410"/>
      <c r="B50" s="435" t="s">
        <v>360</v>
      </c>
      <c r="C50" s="323" t="s">
        <v>203</v>
      </c>
      <c r="D50" s="362" t="s">
        <v>361</v>
      </c>
      <c r="E50" s="359" t="s">
        <v>242</v>
      </c>
      <c r="F50" s="337"/>
      <c r="G50" s="148" t="s">
        <v>362</v>
      </c>
      <c r="H50" s="46"/>
      <c r="I50" s="1"/>
      <c r="J50" s="1"/>
      <c r="K50" s="1"/>
      <c r="L50" s="1"/>
    </row>
    <row r="51" s="40" customFormat="1" spans="1:12">
      <c r="A51" s="436"/>
      <c r="B51" s="435" t="s">
        <v>363</v>
      </c>
      <c r="C51" s="323" t="s">
        <v>203</v>
      </c>
      <c r="D51" s="362" t="s">
        <v>364</v>
      </c>
      <c r="E51" s="359" t="s">
        <v>242</v>
      </c>
      <c r="F51" s="18"/>
      <c r="G51" s="363" t="s">
        <v>365</v>
      </c>
      <c r="H51" s="46"/>
      <c r="I51" s="46"/>
      <c r="J51" s="46"/>
      <c r="K51" s="46"/>
      <c r="L51" s="46"/>
    </row>
    <row r="52" spans="1:12">
      <c r="A52" s="410"/>
      <c r="B52" s="348" t="s">
        <v>239</v>
      </c>
      <c r="C52" s="349" t="s">
        <v>170</v>
      </c>
      <c r="D52" s="349" t="s">
        <v>240</v>
      </c>
      <c r="E52" s="344"/>
      <c r="F52" s="18"/>
      <c r="G52" s="405"/>
      <c r="H52" s="46"/>
      <c r="I52" s="1"/>
      <c r="J52" s="1"/>
      <c r="K52" s="1"/>
      <c r="L52" s="1"/>
    </row>
    <row r="53" spans="1:12">
      <c r="A53" s="410"/>
      <c r="B53" s="348" t="s">
        <v>177</v>
      </c>
      <c r="C53" s="349" t="s">
        <v>175</v>
      </c>
      <c r="D53" s="349" t="s">
        <v>176</v>
      </c>
      <c r="E53" s="344"/>
      <c r="F53" s="18"/>
      <c r="G53" s="405"/>
      <c r="H53" s="46"/>
      <c r="I53" s="1"/>
      <c r="J53" s="1"/>
      <c r="K53" s="1"/>
      <c r="L53" s="1"/>
    </row>
    <row r="54" spans="5:5">
      <c r="E54" s="40"/>
    </row>
    <row r="55" spans="5:5">
      <c r="E55" s="40"/>
    </row>
  </sheetData>
  <mergeCells count="2">
    <mergeCell ref="B11:L11"/>
    <mergeCell ref="G7:G9"/>
  </mergeCells>
  <dataValidations count="1">
    <dataValidation type="list" allowBlank="1" showInputMessage="1" showErrorMessage="1" sqref="E4">
      <formula1>"D: Daily,W: Weekly,M: Monthly,Y: Yearly,D: Daily &amp; W: Weekly &amp;M: Monthly,H: Hourly"</formula1>
    </dataValidation>
  </dataValidations>
  <hyperlinks>
    <hyperlink ref="B1" location="导航!A1" display="=HYPERLINK(&quot;#&quot;&amp;&quot;导航应用&quot;&amp;&quot;!B1&quot;,&quot;返回&quot;)"/>
  </hyperlink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L38"/>
  <sheetViews>
    <sheetView workbookViewId="0">
      <selection activeCell="A22" sqref="$A22:$XFD22"/>
    </sheetView>
  </sheetViews>
  <sheetFormatPr defaultColWidth="67.75" defaultRowHeight="15"/>
  <cols>
    <col min="1" max="1" width="3" style="5" customWidth="1"/>
    <col min="2" max="2" width="29.75" style="40" customWidth="1"/>
    <col min="3" max="3" width="37.25" style="128" customWidth="1"/>
    <col min="4" max="4" width="26.75" style="128" customWidth="1"/>
    <col min="5" max="5" width="9.25" style="129" customWidth="1"/>
    <col min="6" max="6" width="13.3796296296296" style="40" customWidth="1"/>
    <col min="7" max="7" width="28.75" style="40" customWidth="1"/>
    <col min="8" max="8" width="28.6296296296296" style="40" customWidth="1"/>
    <col min="9" max="9" width="4.12962962962963" style="5" customWidth="1"/>
    <col min="10" max="10" width="7.5" style="5" customWidth="1"/>
    <col min="11" max="11" width="4.12962962962963" style="5" customWidth="1"/>
    <col min="12" max="12" width="7.5" style="5" customWidth="1"/>
    <col min="13" max="16384" width="67.75" style="5"/>
  </cols>
  <sheetData>
    <row r="1" s="40" customFormat="1" spans="2:8">
      <c r="B1" s="43" t="str">
        <f>HYPERLINK("#"&amp;"导航应用"&amp;"!B1","返回")</f>
        <v>返回</v>
      </c>
      <c r="C1" s="44"/>
      <c r="D1" s="44"/>
      <c r="E1" s="45"/>
      <c r="F1" s="46"/>
      <c r="G1" s="46"/>
      <c r="H1" s="44"/>
    </row>
    <row r="2" s="40" customFormat="1" ht="15.6" spans="2:8">
      <c r="B2" s="394" t="s">
        <v>132</v>
      </c>
      <c r="C2" s="394"/>
      <c r="D2" s="394"/>
      <c r="E2" s="395"/>
      <c r="F2" s="394"/>
      <c r="G2" s="394"/>
      <c r="H2" s="394"/>
    </row>
    <row r="3" s="40" customFormat="1" ht="15.6" spans="2:8">
      <c r="B3" s="396" t="s">
        <v>133</v>
      </c>
      <c r="C3" s="396" t="s">
        <v>134</v>
      </c>
      <c r="D3" s="396" t="s">
        <v>135</v>
      </c>
      <c r="E3" s="397" t="s">
        <v>136</v>
      </c>
      <c r="F3" s="398" t="s">
        <v>137</v>
      </c>
      <c r="G3" s="398" t="s">
        <v>138</v>
      </c>
      <c r="H3" s="326" t="s">
        <v>139</v>
      </c>
    </row>
    <row r="4" s="40" customFormat="1" spans="2:8">
      <c r="B4" s="6" t="s">
        <v>14</v>
      </c>
      <c r="C4" s="329" t="s">
        <v>366</v>
      </c>
      <c r="D4" s="329" t="s">
        <v>32</v>
      </c>
      <c r="E4" s="400" t="s">
        <v>140</v>
      </c>
      <c r="F4" s="401" t="s">
        <v>141</v>
      </c>
      <c r="G4" s="401"/>
      <c r="H4" s="401" t="s">
        <v>18</v>
      </c>
    </row>
    <row r="5" s="40" customFormat="1" ht="15.6" spans="2:8">
      <c r="B5" s="394" t="s">
        <v>142</v>
      </c>
      <c r="C5" s="394"/>
      <c r="D5" s="394"/>
      <c r="E5" s="395"/>
      <c r="F5" s="394"/>
      <c r="G5" s="394"/>
      <c r="H5" s="394"/>
    </row>
    <row r="6" s="40" customFormat="1" ht="15.6" spans="2:8">
      <c r="B6" s="334" t="s">
        <v>143</v>
      </c>
      <c r="C6" s="334" t="s">
        <v>144</v>
      </c>
      <c r="D6" s="334" t="s">
        <v>145</v>
      </c>
      <c r="E6" s="334" t="s">
        <v>146</v>
      </c>
      <c r="F6" s="334" t="s">
        <v>147</v>
      </c>
      <c r="G6" s="334" t="s">
        <v>13</v>
      </c>
      <c r="H6" s="334" t="s">
        <v>148</v>
      </c>
    </row>
    <row r="7" s="40" customFormat="1" spans="2:8">
      <c r="B7" s="330" t="s">
        <v>149</v>
      </c>
      <c r="C7" s="369" t="s">
        <v>96</v>
      </c>
      <c r="D7" s="330" t="s">
        <v>97</v>
      </c>
      <c r="E7" s="330" t="s">
        <v>151</v>
      </c>
      <c r="F7" s="330"/>
      <c r="G7" s="440" t="s">
        <v>367</v>
      </c>
      <c r="H7" s="338"/>
    </row>
    <row r="8" s="40" customFormat="1" spans="2:9">
      <c r="B8" s="330" t="s">
        <v>149</v>
      </c>
      <c r="C8" s="369" t="s">
        <v>99</v>
      </c>
      <c r="D8" s="330" t="s">
        <v>100</v>
      </c>
      <c r="E8" s="359" t="s">
        <v>156</v>
      </c>
      <c r="F8" s="330"/>
      <c r="G8" s="441"/>
      <c r="H8" s="338"/>
      <c r="I8" s="437"/>
    </row>
    <row r="9" s="40" customFormat="1" spans="2:8">
      <c r="B9" s="330" t="s">
        <v>149</v>
      </c>
      <c r="C9" s="369" t="s">
        <v>368</v>
      </c>
      <c r="D9" s="335" t="s">
        <v>125</v>
      </c>
      <c r="E9" s="399" t="s">
        <v>275</v>
      </c>
      <c r="F9" s="338"/>
      <c r="G9" s="442"/>
      <c r="H9" s="399" t="s">
        <v>21</v>
      </c>
    </row>
    <row r="10" s="40" customFormat="1" spans="1:9">
      <c r="A10" s="5"/>
      <c r="B10" s="330"/>
      <c r="C10" s="434"/>
      <c r="D10" s="415"/>
      <c r="E10" s="118"/>
      <c r="F10" s="30"/>
      <c r="G10" s="46"/>
      <c r="H10" s="338"/>
      <c r="I10" s="437"/>
    </row>
    <row r="11" s="40" customFormat="1" spans="2:8">
      <c r="B11" s="406"/>
      <c r="C11" s="407"/>
      <c r="D11" s="408"/>
      <c r="E11" s="129"/>
      <c r="H11" s="128"/>
    </row>
    <row r="12" s="40" customFormat="1" spans="2:12">
      <c r="B12" s="409" t="s">
        <v>158</v>
      </c>
      <c r="C12" s="409"/>
      <c r="D12" s="409"/>
      <c r="E12" s="409"/>
      <c r="F12" s="409"/>
      <c r="G12" s="409"/>
      <c r="H12" s="409"/>
      <c r="I12" s="409"/>
      <c r="J12" s="409"/>
      <c r="K12" s="409"/>
      <c r="L12" s="409"/>
    </row>
    <row r="13" s="40" customFormat="1" spans="2:12">
      <c r="B13" s="377" t="s">
        <v>159</v>
      </c>
      <c r="C13" s="377" t="s">
        <v>160</v>
      </c>
      <c r="D13" s="377" t="s">
        <v>161</v>
      </c>
      <c r="E13" s="377" t="s">
        <v>162</v>
      </c>
      <c r="F13" s="377" t="s">
        <v>163</v>
      </c>
      <c r="G13" s="377" t="s">
        <v>164</v>
      </c>
      <c r="H13" s="377" t="s">
        <v>165</v>
      </c>
      <c r="I13" s="377" t="s">
        <v>13</v>
      </c>
      <c r="J13" s="377" t="s">
        <v>166</v>
      </c>
      <c r="K13" s="377" t="s">
        <v>167</v>
      </c>
      <c r="L13" s="377" t="s">
        <v>168</v>
      </c>
    </row>
    <row r="14" s="40" customFormat="1" spans="1:12">
      <c r="A14" s="344"/>
      <c r="B14" s="330" t="s">
        <v>169</v>
      </c>
      <c r="C14" s="330" t="s">
        <v>170</v>
      </c>
      <c r="D14" s="330" t="s">
        <v>171</v>
      </c>
      <c r="E14" s="190"/>
      <c r="F14" s="124"/>
      <c r="G14" s="117"/>
      <c r="H14" s="117"/>
      <c r="I14" s="118"/>
      <c r="J14" s="118"/>
      <c r="K14" s="118"/>
      <c r="L14" s="118"/>
    </row>
    <row r="15" s="40" customFormat="1" spans="1:12">
      <c r="A15" s="344"/>
      <c r="B15" s="330" t="s">
        <v>174</v>
      </c>
      <c r="C15" s="330" t="s">
        <v>175</v>
      </c>
      <c r="D15" s="330" t="s">
        <v>176</v>
      </c>
      <c r="E15" s="190"/>
      <c r="F15" s="124"/>
      <c r="G15" s="117"/>
      <c r="H15" s="117"/>
      <c r="I15" s="118"/>
      <c r="J15" s="118"/>
      <c r="K15" s="118"/>
      <c r="L15" s="118"/>
    </row>
    <row r="16" s="40" customFormat="1" spans="1:12">
      <c r="A16" s="410"/>
      <c r="B16" s="361" t="s">
        <v>193</v>
      </c>
      <c r="C16" s="330" t="s">
        <v>175</v>
      </c>
      <c r="D16" s="330" t="s">
        <v>194</v>
      </c>
      <c r="E16" s="359" t="s">
        <v>275</v>
      </c>
      <c r="F16" s="370" t="s">
        <v>193</v>
      </c>
      <c r="G16" s="167" t="s">
        <v>172</v>
      </c>
      <c r="H16" s="118"/>
      <c r="I16" s="118"/>
      <c r="J16" s="118"/>
      <c r="K16" s="118"/>
      <c r="L16" s="118"/>
    </row>
    <row r="17" s="40" customFormat="1" spans="1:12">
      <c r="A17" s="410"/>
      <c r="B17" s="361" t="s">
        <v>188</v>
      </c>
      <c r="C17" s="330" t="s">
        <v>175</v>
      </c>
      <c r="D17" s="330" t="s">
        <v>189</v>
      </c>
      <c r="E17" s="359" t="s">
        <v>275</v>
      </c>
      <c r="F17" s="370" t="s">
        <v>190</v>
      </c>
      <c r="G17" s="167" t="s">
        <v>172</v>
      </c>
      <c r="H17" s="118"/>
      <c r="I17" s="118"/>
      <c r="J17" s="118"/>
      <c r="K17" s="118"/>
      <c r="L17" s="118"/>
    </row>
    <row r="18" s="40" customFormat="1" spans="1:12">
      <c r="A18" s="410"/>
      <c r="B18" s="361" t="s">
        <v>191</v>
      </c>
      <c r="C18" s="330" t="s">
        <v>175</v>
      </c>
      <c r="D18" s="330" t="s">
        <v>192</v>
      </c>
      <c r="E18" s="359" t="s">
        <v>275</v>
      </c>
      <c r="F18" s="370" t="s">
        <v>191</v>
      </c>
      <c r="G18" s="167" t="s">
        <v>172</v>
      </c>
      <c r="H18" s="118"/>
      <c r="I18" s="118"/>
      <c r="J18" s="118"/>
      <c r="K18" s="118"/>
      <c r="L18" s="118"/>
    </row>
    <row r="19" s="40" customFormat="1" spans="1:12">
      <c r="A19" s="410"/>
      <c r="B19" s="361" t="s">
        <v>195</v>
      </c>
      <c r="C19" s="330" t="s">
        <v>175</v>
      </c>
      <c r="D19" s="330" t="s">
        <v>196</v>
      </c>
      <c r="E19" s="359" t="s">
        <v>275</v>
      </c>
      <c r="F19" s="434" t="s">
        <v>195</v>
      </c>
      <c r="G19" s="167" t="s">
        <v>172</v>
      </c>
      <c r="H19" s="118"/>
      <c r="I19" s="118"/>
      <c r="J19" s="118"/>
      <c r="K19" s="118"/>
      <c r="L19" s="118" t="s">
        <v>369</v>
      </c>
    </row>
    <row r="20" s="40" customFormat="1" spans="1:12">
      <c r="A20" s="410"/>
      <c r="B20" s="361" t="s">
        <v>370</v>
      </c>
      <c r="C20" s="330" t="s">
        <v>175</v>
      </c>
      <c r="D20" s="330" t="s">
        <v>371</v>
      </c>
      <c r="E20" s="359" t="s">
        <v>275</v>
      </c>
      <c r="F20" s="434" t="s">
        <v>370</v>
      </c>
      <c r="G20" s="167" t="s">
        <v>172</v>
      </c>
      <c r="H20" s="118"/>
      <c r="I20" s="118"/>
      <c r="J20" s="118"/>
      <c r="K20" s="118"/>
      <c r="L20" s="118"/>
    </row>
    <row r="21" s="40" customFormat="1" spans="1:12">
      <c r="A21" s="410"/>
      <c r="B21" s="361" t="s">
        <v>372</v>
      </c>
      <c r="C21" s="330" t="s">
        <v>175</v>
      </c>
      <c r="D21" s="330" t="s">
        <v>373</v>
      </c>
      <c r="E21" s="359" t="s">
        <v>275</v>
      </c>
      <c r="F21" s="434" t="s">
        <v>372</v>
      </c>
      <c r="G21" s="167" t="s">
        <v>172</v>
      </c>
      <c r="H21" s="118"/>
      <c r="I21" s="118"/>
      <c r="J21" s="118"/>
      <c r="K21" s="118"/>
      <c r="L21" s="118"/>
    </row>
    <row r="22" s="40" customFormat="1" spans="1:12">
      <c r="A22" s="410"/>
      <c r="B22" s="361" t="s">
        <v>374</v>
      </c>
      <c r="C22" s="330" t="s">
        <v>175</v>
      </c>
      <c r="D22" s="330" t="s">
        <v>375</v>
      </c>
      <c r="E22" s="359" t="s">
        <v>275</v>
      </c>
      <c r="F22" s="434" t="s">
        <v>374</v>
      </c>
      <c r="G22" s="167" t="s">
        <v>172</v>
      </c>
      <c r="H22" s="118"/>
      <c r="I22" s="118"/>
      <c r="J22" s="118"/>
      <c r="K22" s="118"/>
      <c r="L22" s="118"/>
    </row>
    <row r="23" s="40" customFormat="1" spans="1:12">
      <c r="A23" s="410"/>
      <c r="B23" s="361" t="s">
        <v>376</v>
      </c>
      <c r="C23" s="363" t="s">
        <v>203</v>
      </c>
      <c r="D23" s="330" t="s">
        <v>377</v>
      </c>
      <c r="E23" s="359" t="s">
        <v>275</v>
      </c>
      <c r="F23" s="434" t="s">
        <v>376</v>
      </c>
      <c r="G23" s="167" t="s">
        <v>172</v>
      </c>
      <c r="H23" s="118"/>
      <c r="I23" s="118"/>
      <c r="J23" s="118"/>
      <c r="K23" s="118"/>
      <c r="L23" s="118"/>
    </row>
    <row r="24" s="40" customFormat="1" spans="1:12">
      <c r="A24" s="410"/>
      <c r="B24" s="361" t="s">
        <v>378</v>
      </c>
      <c r="C24" s="363" t="s">
        <v>203</v>
      </c>
      <c r="D24" s="330" t="s">
        <v>379</v>
      </c>
      <c r="E24" s="359" t="s">
        <v>275</v>
      </c>
      <c r="F24" s="434" t="s">
        <v>378</v>
      </c>
      <c r="G24" s="167" t="s">
        <v>172</v>
      </c>
      <c r="H24" s="118"/>
      <c r="I24" s="118"/>
      <c r="J24" s="118"/>
      <c r="K24" s="118"/>
      <c r="L24" s="118"/>
    </row>
    <row r="25" s="40" customFormat="1" spans="1:12">
      <c r="A25" s="410"/>
      <c r="B25" s="361" t="s">
        <v>380</v>
      </c>
      <c r="C25" s="330" t="s">
        <v>175</v>
      </c>
      <c r="D25" s="330" t="s">
        <v>381</v>
      </c>
      <c r="E25" s="359" t="s">
        <v>275</v>
      </c>
      <c r="F25" s="434" t="s">
        <v>380</v>
      </c>
      <c r="G25" s="167" t="s">
        <v>172</v>
      </c>
      <c r="H25" s="118"/>
      <c r="I25" s="118"/>
      <c r="J25" s="118"/>
      <c r="K25" s="118"/>
      <c r="L25" s="118"/>
    </row>
    <row r="26" s="40" customFormat="1" spans="1:12">
      <c r="A26" s="410"/>
      <c r="B26" s="361" t="s">
        <v>382</v>
      </c>
      <c r="C26" s="330" t="s">
        <v>175</v>
      </c>
      <c r="D26" s="330" t="s">
        <v>383</v>
      </c>
      <c r="E26" s="359" t="s">
        <v>275</v>
      </c>
      <c r="F26" s="434" t="s">
        <v>382</v>
      </c>
      <c r="G26" s="167" t="s">
        <v>172</v>
      </c>
      <c r="H26" s="118"/>
      <c r="I26" s="118"/>
      <c r="J26" s="118"/>
      <c r="K26" s="118"/>
      <c r="L26" s="118"/>
    </row>
    <row r="27" s="40" customFormat="1" spans="1:12">
      <c r="A27" s="410"/>
      <c r="B27" s="361" t="s">
        <v>384</v>
      </c>
      <c r="C27" s="363" t="s">
        <v>203</v>
      </c>
      <c r="D27" s="330" t="s">
        <v>385</v>
      </c>
      <c r="E27" s="359" t="s">
        <v>275</v>
      </c>
      <c r="F27" s="434" t="s">
        <v>384</v>
      </c>
      <c r="G27" s="167" t="s">
        <v>172</v>
      </c>
      <c r="H27" s="118"/>
      <c r="I27" s="118"/>
      <c r="J27" s="118"/>
      <c r="K27" s="118"/>
      <c r="L27" s="118"/>
    </row>
    <row r="28" s="40" customFormat="1" spans="1:12">
      <c r="A28" s="410"/>
      <c r="B28" s="361" t="s">
        <v>386</v>
      </c>
      <c r="C28" s="363" t="s">
        <v>203</v>
      </c>
      <c r="D28" s="330" t="s">
        <v>387</v>
      </c>
      <c r="E28" s="359" t="s">
        <v>275</v>
      </c>
      <c r="F28" s="434" t="s">
        <v>386</v>
      </c>
      <c r="G28" s="167" t="s">
        <v>172</v>
      </c>
      <c r="H28" s="118"/>
      <c r="I28" s="118"/>
      <c r="J28" s="118"/>
      <c r="K28" s="118"/>
      <c r="L28" s="118"/>
    </row>
    <row r="29" s="40" customFormat="1" spans="1:12">
      <c r="A29" s="410"/>
      <c r="B29" s="361" t="s">
        <v>246</v>
      </c>
      <c r="C29" s="330" t="s">
        <v>175</v>
      </c>
      <c r="D29" s="330" t="s">
        <v>247</v>
      </c>
      <c r="E29" s="359" t="s">
        <v>242</v>
      </c>
      <c r="F29" s="434" t="s">
        <v>246</v>
      </c>
      <c r="G29" s="167" t="s">
        <v>172</v>
      </c>
      <c r="H29" s="118"/>
      <c r="I29" s="118"/>
      <c r="J29" s="118"/>
      <c r="K29" s="118"/>
      <c r="L29" s="118"/>
    </row>
    <row r="30" s="40" customFormat="1" spans="1:12">
      <c r="A30" s="344"/>
      <c r="B30" s="443" t="s">
        <v>248</v>
      </c>
      <c r="C30" s="330" t="s">
        <v>175</v>
      </c>
      <c r="D30" s="434" t="s">
        <v>388</v>
      </c>
      <c r="E30" s="359" t="s">
        <v>242</v>
      </c>
      <c r="F30" s="124" t="s">
        <v>389</v>
      </c>
      <c r="G30" s="167" t="s">
        <v>172</v>
      </c>
      <c r="H30" s="444"/>
      <c r="I30" s="118"/>
      <c r="J30" s="118"/>
      <c r="K30" s="118"/>
      <c r="L30" s="118"/>
    </row>
    <row r="31" s="40" customFormat="1" spans="1:12">
      <c r="A31" s="410"/>
      <c r="B31" s="443" t="s">
        <v>250</v>
      </c>
      <c r="C31" s="330" t="s">
        <v>175</v>
      </c>
      <c r="D31" s="434" t="s">
        <v>390</v>
      </c>
      <c r="E31" s="359" t="s">
        <v>242</v>
      </c>
      <c r="F31" s="434" t="s">
        <v>391</v>
      </c>
      <c r="G31" s="167" t="s">
        <v>172</v>
      </c>
      <c r="H31" s="118"/>
      <c r="I31" s="118"/>
      <c r="J31" s="118"/>
      <c r="K31" s="118"/>
      <c r="L31" s="118"/>
    </row>
    <row r="32" s="40" customFormat="1" spans="2:12">
      <c r="B32" s="434" t="s">
        <v>253</v>
      </c>
      <c r="C32" s="330" t="s">
        <v>229</v>
      </c>
      <c r="D32" s="434" t="s">
        <v>254</v>
      </c>
      <c r="E32" s="359" t="s">
        <v>242</v>
      </c>
      <c r="F32" s="173" t="s">
        <v>255</v>
      </c>
      <c r="G32" s="167" t="s">
        <v>392</v>
      </c>
      <c r="H32" s="118"/>
      <c r="I32" s="118"/>
      <c r="J32" s="118"/>
      <c r="K32" s="118"/>
      <c r="L32" s="118"/>
    </row>
    <row r="33" s="40" customFormat="1" spans="2:12">
      <c r="B33" s="124" t="s">
        <v>393</v>
      </c>
      <c r="C33" s="330" t="s">
        <v>229</v>
      </c>
      <c r="D33" s="124" t="s">
        <v>394</v>
      </c>
      <c r="E33" s="359" t="s">
        <v>242</v>
      </c>
      <c r="F33" s="124"/>
      <c r="G33" s="117" t="s">
        <v>259</v>
      </c>
      <c r="H33" s="118"/>
      <c r="I33" s="118"/>
      <c r="J33" s="118"/>
      <c r="K33" s="118" t="s">
        <v>261</v>
      </c>
      <c r="L33" s="118"/>
    </row>
    <row r="34" s="40" customFormat="1" spans="2:12">
      <c r="B34" s="434" t="s">
        <v>262</v>
      </c>
      <c r="C34" s="434" t="s">
        <v>203</v>
      </c>
      <c r="D34" s="434" t="s">
        <v>395</v>
      </c>
      <c r="E34" s="359" t="s">
        <v>242</v>
      </c>
      <c r="F34" s="434"/>
      <c r="G34" s="117" t="s">
        <v>265</v>
      </c>
      <c r="H34" s="118"/>
      <c r="I34" s="118"/>
      <c r="J34" s="118"/>
      <c r="K34" s="118" t="s">
        <v>266</v>
      </c>
      <c r="L34" s="118"/>
    </row>
    <row r="35" s="40" customFormat="1" spans="1:12">
      <c r="A35" s="436"/>
      <c r="B35" s="179" t="s">
        <v>396</v>
      </c>
      <c r="C35" s="434" t="s">
        <v>203</v>
      </c>
      <c r="D35" s="124" t="s">
        <v>397</v>
      </c>
      <c r="E35" s="359" t="s">
        <v>242</v>
      </c>
      <c r="F35" s="18"/>
      <c r="G35" s="170" t="s">
        <v>310</v>
      </c>
      <c r="H35" s="118"/>
      <c r="I35" s="118"/>
      <c r="J35" s="118"/>
      <c r="K35" s="118"/>
      <c r="L35" s="118"/>
    </row>
    <row r="36" spans="1:12">
      <c r="A36" s="410"/>
      <c r="B36" s="364" t="s">
        <v>239</v>
      </c>
      <c r="C36" s="365" t="s">
        <v>170</v>
      </c>
      <c r="D36" s="365" t="s">
        <v>240</v>
      </c>
      <c r="E36" s="445"/>
      <c r="F36" s="18"/>
      <c r="G36" s="370"/>
      <c r="H36" s="118"/>
      <c r="I36" s="446"/>
      <c r="J36" s="446"/>
      <c r="K36" s="446"/>
      <c r="L36" s="446"/>
    </row>
    <row r="37" spans="1:12">
      <c r="A37" s="410"/>
      <c r="B37" s="364" t="s">
        <v>177</v>
      </c>
      <c r="C37" s="365" t="s">
        <v>175</v>
      </c>
      <c r="D37" s="365" t="s">
        <v>176</v>
      </c>
      <c r="E37" s="445"/>
      <c r="F37" s="18"/>
      <c r="G37" s="370"/>
      <c r="H37" s="118"/>
      <c r="I37" s="446"/>
      <c r="J37" s="446"/>
      <c r="K37" s="446"/>
      <c r="L37" s="446"/>
    </row>
    <row r="38" spans="5:5">
      <c r="E38" s="40"/>
    </row>
  </sheetData>
  <mergeCells count="2">
    <mergeCell ref="B12:L12"/>
    <mergeCell ref="G7:G9"/>
  </mergeCells>
  <dataValidations count="1">
    <dataValidation type="list" allowBlank="1" showInputMessage="1" showErrorMessage="1" sqref="E4">
      <formula1>"D: Daily,W: Weekly,M: Monthly,Y: Yearly,D: Daily &amp; W: Weekly &amp;M: Monthly,H: Hourly"</formula1>
    </dataValidation>
  </dataValidations>
  <hyperlinks>
    <hyperlink ref="B1" location="导航!A1" display="=HYPERLINK(&quot;#&quot;&amp;&quot;导航应用&quot;&amp;&quot;!B1&quot;,&quot;返回&quot;)"/>
  </hyperlink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58"/>
  <sheetViews>
    <sheetView topLeftCell="A2" workbookViewId="0">
      <selection activeCell="D4" sqref="D4"/>
    </sheetView>
  </sheetViews>
  <sheetFormatPr defaultColWidth="67.75" defaultRowHeight="15"/>
  <cols>
    <col min="1" max="1" width="3" style="1" customWidth="1"/>
    <col min="2" max="2" width="29.75" style="46" customWidth="1"/>
    <col min="3" max="3" width="45.3796296296296" style="44" customWidth="1"/>
    <col min="4" max="4" width="26.75" style="44" customWidth="1"/>
    <col min="5" max="5" width="9.25" style="45" customWidth="1"/>
    <col min="6" max="6" width="19.5" style="46" customWidth="1"/>
    <col min="7" max="7" width="10.75" style="46" customWidth="1"/>
    <col min="8" max="8" width="28.6296296296296" style="46" customWidth="1"/>
    <col min="9" max="9" width="9.5" style="1" customWidth="1"/>
    <col min="10" max="10" width="7.5" style="1" customWidth="1"/>
    <col min="11" max="11" width="7.37962962962963" style="1" customWidth="1"/>
    <col min="12" max="12" width="7.5" style="1" customWidth="1"/>
    <col min="13" max="16384" width="67.75" style="1"/>
  </cols>
  <sheetData>
    <row r="1" s="46" customFormat="1" spans="2:8">
      <c r="B1" s="43" t="str">
        <f>HYPERLINK("#"&amp;"导航应用"&amp;"!B1","返回")</f>
        <v>返回</v>
      </c>
      <c r="C1" s="44"/>
      <c r="D1" s="44"/>
      <c r="E1" s="45"/>
      <c r="H1" s="44"/>
    </row>
    <row r="2" s="46" customFormat="1" ht="15.6" spans="2:8">
      <c r="B2" s="394" t="s">
        <v>132</v>
      </c>
      <c r="C2" s="394"/>
      <c r="D2" s="394"/>
      <c r="E2" s="395"/>
      <c r="F2" s="394"/>
      <c r="G2" s="394"/>
      <c r="H2" s="394"/>
    </row>
    <row r="3" s="46" customFormat="1" ht="15.6" spans="2:8">
      <c r="B3" s="396" t="s">
        <v>133</v>
      </c>
      <c r="C3" s="396" t="s">
        <v>134</v>
      </c>
      <c r="D3" s="396" t="s">
        <v>135</v>
      </c>
      <c r="E3" s="397" t="s">
        <v>136</v>
      </c>
      <c r="F3" s="398" t="s">
        <v>137</v>
      </c>
      <c r="G3" s="398" t="s">
        <v>138</v>
      </c>
      <c r="H3" s="326" t="s">
        <v>139</v>
      </c>
    </row>
    <row r="4" s="46" customFormat="1" spans="2:8">
      <c r="B4" s="6" t="s">
        <v>14</v>
      </c>
      <c r="C4" s="329" t="s">
        <v>35</v>
      </c>
      <c r="D4" s="329" t="s">
        <v>36</v>
      </c>
      <c r="E4" s="400" t="s">
        <v>140</v>
      </c>
      <c r="F4" s="401" t="s">
        <v>141</v>
      </c>
      <c r="G4" s="401"/>
      <c r="H4" s="401" t="s">
        <v>18</v>
      </c>
    </row>
    <row r="5" s="46" customFormat="1" ht="15.6" spans="2:8">
      <c r="B5" s="394" t="s">
        <v>142</v>
      </c>
      <c r="C5" s="394"/>
      <c r="D5" s="394"/>
      <c r="E5" s="395"/>
      <c r="F5" s="394"/>
      <c r="G5" s="394"/>
      <c r="H5" s="394"/>
    </row>
    <row r="6" s="46" customFormat="1" ht="15.6" spans="2:8">
      <c r="B6" s="334" t="s">
        <v>143</v>
      </c>
      <c r="C6" s="334" t="s">
        <v>144</v>
      </c>
      <c r="D6" s="334" t="s">
        <v>145</v>
      </c>
      <c r="E6" s="334" t="s">
        <v>146</v>
      </c>
      <c r="F6" s="334" t="s">
        <v>147</v>
      </c>
      <c r="G6" s="334" t="s">
        <v>13</v>
      </c>
      <c r="H6" s="334" t="s">
        <v>148</v>
      </c>
    </row>
    <row r="7" s="40" customFormat="1" ht="16.5" customHeight="1" spans="2:8">
      <c r="B7" s="330"/>
      <c r="C7" s="369" t="s">
        <v>102</v>
      </c>
      <c r="D7" s="330" t="s">
        <v>103</v>
      </c>
      <c r="E7" s="330" t="s">
        <v>151</v>
      </c>
      <c r="F7" s="427" t="s">
        <v>367</v>
      </c>
      <c r="G7" s="428"/>
      <c r="H7" s="338"/>
    </row>
    <row r="8" s="40" customFormat="1" spans="2:9">
      <c r="B8" s="330"/>
      <c r="C8" s="369" t="s">
        <v>105</v>
      </c>
      <c r="D8" s="330" t="s">
        <v>106</v>
      </c>
      <c r="E8" s="359" t="s">
        <v>156</v>
      </c>
      <c r="F8" s="429"/>
      <c r="G8" s="430"/>
      <c r="H8" s="338"/>
      <c r="I8" s="437"/>
    </row>
    <row r="9" s="40" customFormat="1" spans="2:8">
      <c r="B9" s="335"/>
      <c r="C9" s="369" t="s">
        <v>368</v>
      </c>
      <c r="D9" s="335" t="s">
        <v>125</v>
      </c>
      <c r="E9" s="399" t="s">
        <v>275</v>
      </c>
      <c r="F9" s="431"/>
      <c r="G9" s="432"/>
      <c r="H9" s="399" t="s">
        <v>21</v>
      </c>
    </row>
    <row r="10" s="46" customFormat="1" spans="3:8">
      <c r="C10" s="337"/>
      <c r="D10" s="433"/>
      <c r="E10" s="45"/>
      <c r="H10" s="44"/>
    </row>
    <row r="11" s="46" customFormat="1" spans="2:13">
      <c r="B11" s="409" t="s">
        <v>158</v>
      </c>
      <c r="C11" s="409"/>
      <c r="D11" s="409"/>
      <c r="E11" s="409"/>
      <c r="F11" s="409"/>
      <c r="G11" s="409"/>
      <c r="H11" s="409"/>
      <c r="I11" s="409"/>
      <c r="J11" s="409"/>
      <c r="K11" s="409"/>
      <c r="L11" s="409"/>
      <c r="M11" s="438"/>
    </row>
    <row r="12" s="46" customFormat="1" ht="24" spans="2:13">
      <c r="B12" s="377" t="s">
        <v>159</v>
      </c>
      <c r="C12" s="377" t="s">
        <v>160</v>
      </c>
      <c r="D12" s="377" t="s">
        <v>161</v>
      </c>
      <c r="E12" s="377" t="s">
        <v>162</v>
      </c>
      <c r="F12" s="377" t="s">
        <v>163</v>
      </c>
      <c r="G12" s="377" t="s">
        <v>164</v>
      </c>
      <c r="H12" s="377" t="s">
        <v>165</v>
      </c>
      <c r="I12" s="377" t="s">
        <v>13</v>
      </c>
      <c r="J12" s="377" t="s">
        <v>166</v>
      </c>
      <c r="K12" s="377" t="s">
        <v>167</v>
      </c>
      <c r="L12" s="377" t="s">
        <v>168</v>
      </c>
      <c r="M12" s="438"/>
    </row>
    <row r="13" s="40" customFormat="1" spans="1:12">
      <c r="A13" s="344"/>
      <c r="B13" s="330" t="s">
        <v>169</v>
      </c>
      <c r="C13" s="330" t="s">
        <v>170</v>
      </c>
      <c r="D13" s="330" t="s">
        <v>171</v>
      </c>
      <c r="E13" s="190"/>
      <c r="F13" s="124"/>
      <c r="G13" s="117"/>
      <c r="H13" s="117"/>
      <c r="I13" s="118"/>
      <c r="J13" s="118"/>
      <c r="K13" s="118"/>
      <c r="L13" s="118"/>
    </row>
    <row r="14" s="40" customFormat="1" spans="1:12">
      <c r="A14" s="344"/>
      <c r="B14" s="330" t="s">
        <v>174</v>
      </c>
      <c r="C14" s="330" t="s">
        <v>175</v>
      </c>
      <c r="D14" s="330" t="s">
        <v>176</v>
      </c>
      <c r="E14" s="190"/>
      <c r="F14" s="124"/>
      <c r="G14" s="117"/>
      <c r="H14" s="117"/>
      <c r="I14" s="118"/>
      <c r="J14" s="118"/>
      <c r="K14" s="118"/>
      <c r="L14" s="118"/>
    </row>
    <row r="15" s="40" customFormat="1" spans="1:12">
      <c r="A15" s="410"/>
      <c r="B15" s="361" t="s">
        <v>193</v>
      </c>
      <c r="C15" s="330" t="s">
        <v>175</v>
      </c>
      <c r="D15" s="330" t="s">
        <v>194</v>
      </c>
      <c r="E15" s="359" t="s">
        <v>275</v>
      </c>
      <c r="F15" s="370" t="s">
        <v>193</v>
      </c>
      <c r="G15" s="167" t="s">
        <v>172</v>
      </c>
      <c r="H15" s="118"/>
      <c r="I15" s="118"/>
      <c r="J15" s="118"/>
      <c r="K15" s="118"/>
      <c r="L15" s="118"/>
    </row>
    <row r="16" s="40" customFormat="1" spans="1:12">
      <c r="A16" s="410"/>
      <c r="B16" s="361" t="s">
        <v>188</v>
      </c>
      <c r="C16" s="330" t="s">
        <v>175</v>
      </c>
      <c r="D16" s="330" t="s">
        <v>189</v>
      </c>
      <c r="E16" s="359" t="s">
        <v>275</v>
      </c>
      <c r="F16" s="370" t="s">
        <v>190</v>
      </c>
      <c r="G16" s="167" t="s">
        <v>172</v>
      </c>
      <c r="H16" s="118"/>
      <c r="I16" s="118"/>
      <c r="J16" s="118"/>
      <c r="K16" s="118"/>
      <c r="L16" s="118"/>
    </row>
    <row r="17" s="40" customFormat="1" spans="1:12">
      <c r="A17" s="410"/>
      <c r="B17" s="361" t="s">
        <v>191</v>
      </c>
      <c r="C17" s="330" t="s">
        <v>175</v>
      </c>
      <c r="D17" s="330" t="s">
        <v>192</v>
      </c>
      <c r="E17" s="359" t="s">
        <v>275</v>
      </c>
      <c r="F17" s="370" t="s">
        <v>191</v>
      </c>
      <c r="G17" s="167" t="s">
        <v>172</v>
      </c>
      <c r="H17" s="118"/>
      <c r="I17" s="118"/>
      <c r="J17" s="118"/>
      <c r="K17" s="118"/>
      <c r="L17" s="118"/>
    </row>
    <row r="18" s="40" customFormat="1" spans="1:12">
      <c r="A18" s="410"/>
      <c r="B18" s="361" t="s">
        <v>195</v>
      </c>
      <c r="C18" s="330" t="s">
        <v>175</v>
      </c>
      <c r="D18" s="330" t="s">
        <v>196</v>
      </c>
      <c r="E18" s="359" t="s">
        <v>275</v>
      </c>
      <c r="F18" s="434" t="s">
        <v>195</v>
      </c>
      <c r="G18" s="167" t="s">
        <v>172</v>
      </c>
      <c r="H18" s="118"/>
      <c r="I18" s="118"/>
      <c r="J18" s="118"/>
      <c r="K18" s="118"/>
      <c r="L18" s="118" t="s">
        <v>369</v>
      </c>
    </row>
    <row r="19" s="40" customFormat="1" spans="1:12">
      <c r="A19" s="410"/>
      <c r="B19" s="361" t="s">
        <v>370</v>
      </c>
      <c r="C19" s="330" t="s">
        <v>175</v>
      </c>
      <c r="D19" s="330" t="s">
        <v>371</v>
      </c>
      <c r="E19" s="359" t="s">
        <v>275</v>
      </c>
      <c r="F19" s="434" t="s">
        <v>370</v>
      </c>
      <c r="G19" s="167" t="s">
        <v>172</v>
      </c>
      <c r="H19" s="118"/>
      <c r="I19" s="118"/>
      <c r="J19" s="118"/>
      <c r="K19" s="118"/>
      <c r="L19" s="118"/>
    </row>
    <row r="20" s="40" customFormat="1" spans="1:12">
      <c r="A20" s="410"/>
      <c r="B20" s="361" t="s">
        <v>372</v>
      </c>
      <c r="C20" s="330" t="s">
        <v>175</v>
      </c>
      <c r="D20" s="330" t="s">
        <v>373</v>
      </c>
      <c r="E20" s="359" t="s">
        <v>275</v>
      </c>
      <c r="F20" s="434" t="s">
        <v>372</v>
      </c>
      <c r="G20" s="167" t="s">
        <v>172</v>
      </c>
      <c r="H20" s="118"/>
      <c r="I20" s="118"/>
      <c r="J20" s="118"/>
      <c r="K20" s="118"/>
      <c r="L20" s="118"/>
    </row>
    <row r="21" s="40" customFormat="1" spans="1:12">
      <c r="A21" s="410"/>
      <c r="B21" s="361" t="s">
        <v>374</v>
      </c>
      <c r="C21" s="330" t="s">
        <v>175</v>
      </c>
      <c r="D21" s="330" t="s">
        <v>375</v>
      </c>
      <c r="E21" s="359" t="s">
        <v>275</v>
      </c>
      <c r="F21" s="434" t="s">
        <v>374</v>
      </c>
      <c r="G21" s="167" t="s">
        <v>172</v>
      </c>
      <c r="H21" s="118"/>
      <c r="I21" s="118"/>
      <c r="J21" s="118"/>
      <c r="K21" s="118"/>
      <c r="L21" s="118"/>
    </row>
    <row r="22" s="40" customFormat="1" spans="1:12">
      <c r="A22" s="410"/>
      <c r="B22" s="361" t="s">
        <v>376</v>
      </c>
      <c r="C22" s="330" t="s">
        <v>203</v>
      </c>
      <c r="D22" s="330" t="s">
        <v>377</v>
      </c>
      <c r="E22" s="359" t="s">
        <v>275</v>
      </c>
      <c r="F22" s="434" t="s">
        <v>376</v>
      </c>
      <c r="G22" s="167" t="s">
        <v>172</v>
      </c>
      <c r="H22" s="118"/>
      <c r="I22" s="118"/>
      <c r="J22" s="118"/>
      <c r="K22" s="118"/>
      <c r="L22" s="118"/>
    </row>
    <row r="23" s="40" customFormat="1" spans="1:12">
      <c r="A23" s="410"/>
      <c r="B23" s="361" t="s">
        <v>378</v>
      </c>
      <c r="C23" s="330" t="s">
        <v>203</v>
      </c>
      <c r="D23" s="330" t="s">
        <v>379</v>
      </c>
      <c r="E23" s="359" t="s">
        <v>275</v>
      </c>
      <c r="F23" s="434" t="s">
        <v>378</v>
      </c>
      <c r="G23" s="167" t="s">
        <v>172</v>
      </c>
      <c r="H23" s="118"/>
      <c r="I23" s="118"/>
      <c r="J23" s="118"/>
      <c r="K23" s="118"/>
      <c r="L23" s="118"/>
    </row>
    <row r="24" s="40" customFormat="1" spans="1:12">
      <c r="A24" s="410"/>
      <c r="B24" s="361" t="s">
        <v>380</v>
      </c>
      <c r="C24" s="330" t="s">
        <v>175</v>
      </c>
      <c r="D24" s="330" t="s">
        <v>381</v>
      </c>
      <c r="E24" s="359" t="s">
        <v>275</v>
      </c>
      <c r="F24" s="434" t="s">
        <v>380</v>
      </c>
      <c r="G24" s="167" t="s">
        <v>172</v>
      </c>
      <c r="H24" s="118"/>
      <c r="I24" s="118"/>
      <c r="J24" s="118"/>
      <c r="K24" s="118"/>
      <c r="L24" s="118"/>
    </row>
    <row r="25" s="40" customFormat="1" spans="1:12">
      <c r="A25" s="410"/>
      <c r="B25" s="361" t="s">
        <v>382</v>
      </c>
      <c r="C25" s="330" t="s">
        <v>175</v>
      </c>
      <c r="D25" s="330" t="s">
        <v>383</v>
      </c>
      <c r="E25" s="359" t="s">
        <v>275</v>
      </c>
      <c r="F25" s="434" t="s">
        <v>382</v>
      </c>
      <c r="G25" s="167" t="s">
        <v>172</v>
      </c>
      <c r="H25" s="118"/>
      <c r="I25" s="118"/>
      <c r="J25" s="118"/>
      <c r="K25" s="118"/>
      <c r="L25" s="118"/>
    </row>
    <row r="26" s="40" customFormat="1" spans="1:12">
      <c r="A26" s="410"/>
      <c r="B26" s="361" t="s">
        <v>384</v>
      </c>
      <c r="C26" s="330" t="s">
        <v>203</v>
      </c>
      <c r="D26" s="330" t="s">
        <v>385</v>
      </c>
      <c r="E26" s="359" t="s">
        <v>275</v>
      </c>
      <c r="F26" s="434" t="s">
        <v>384</v>
      </c>
      <c r="G26" s="167" t="s">
        <v>172</v>
      </c>
      <c r="H26" s="118"/>
      <c r="I26" s="118"/>
      <c r="J26" s="118"/>
      <c r="K26" s="118"/>
      <c r="L26" s="118"/>
    </row>
    <row r="27" s="40" customFormat="1" spans="1:12">
      <c r="A27" s="410"/>
      <c r="B27" s="361" t="s">
        <v>386</v>
      </c>
      <c r="C27" s="330" t="s">
        <v>203</v>
      </c>
      <c r="D27" s="330" t="s">
        <v>387</v>
      </c>
      <c r="E27" s="359" t="s">
        <v>275</v>
      </c>
      <c r="F27" s="434" t="s">
        <v>386</v>
      </c>
      <c r="G27" s="167" t="s">
        <v>172</v>
      </c>
      <c r="H27" s="118"/>
      <c r="I27" s="118"/>
      <c r="J27" s="118"/>
      <c r="K27" s="118"/>
      <c r="L27" s="118"/>
    </row>
    <row r="28" spans="1:13">
      <c r="A28" s="410"/>
      <c r="B28" s="323" t="s">
        <v>294</v>
      </c>
      <c r="C28" s="323" t="s">
        <v>203</v>
      </c>
      <c r="D28" s="344" t="s">
        <v>295</v>
      </c>
      <c r="E28" s="344" t="s">
        <v>242</v>
      </c>
      <c r="F28" s="344"/>
      <c r="G28" s="424" t="s">
        <v>398</v>
      </c>
      <c r="M28" s="439" t="s">
        <v>399</v>
      </c>
    </row>
    <row r="29" spans="1:13">
      <c r="A29" s="410"/>
      <c r="B29" s="323" t="s">
        <v>267</v>
      </c>
      <c r="C29" s="323" t="s">
        <v>203</v>
      </c>
      <c r="D29" s="344" t="s">
        <v>268</v>
      </c>
      <c r="E29" s="344" t="s">
        <v>242</v>
      </c>
      <c r="F29" s="344"/>
      <c r="G29" s="424" t="s">
        <v>400</v>
      </c>
      <c r="M29" s="439" t="s">
        <v>401</v>
      </c>
    </row>
    <row r="30" spans="1:13">
      <c r="A30" s="410"/>
      <c r="B30" s="323" t="s">
        <v>298</v>
      </c>
      <c r="C30" s="323" t="s">
        <v>203</v>
      </c>
      <c r="D30" s="344" t="s">
        <v>299</v>
      </c>
      <c r="E30" s="344" t="s">
        <v>242</v>
      </c>
      <c r="F30" s="344"/>
      <c r="G30" s="46" t="s">
        <v>284</v>
      </c>
      <c r="M30" s="439"/>
    </row>
    <row r="31" spans="1:13">
      <c r="A31" s="410"/>
      <c r="B31" s="323" t="s">
        <v>300</v>
      </c>
      <c r="C31" s="323" t="s">
        <v>203</v>
      </c>
      <c r="D31" s="344" t="s">
        <v>301</v>
      </c>
      <c r="E31" s="344" t="s">
        <v>242</v>
      </c>
      <c r="F31" s="344"/>
      <c r="G31" s="46" t="s">
        <v>284</v>
      </c>
      <c r="M31" s="439"/>
    </row>
    <row r="32" s="5" customFormat="1" spans="1:12">
      <c r="A32" s="410"/>
      <c r="B32" s="323" t="s">
        <v>302</v>
      </c>
      <c r="C32" s="323" t="s">
        <v>203</v>
      </c>
      <c r="D32" s="344" t="s">
        <v>303</v>
      </c>
      <c r="E32" s="344" t="s">
        <v>242</v>
      </c>
      <c r="F32" s="18"/>
      <c r="G32" s="323" t="s">
        <v>304</v>
      </c>
      <c r="H32" s="46"/>
      <c r="I32" s="1"/>
      <c r="J32" s="1"/>
      <c r="K32" s="1"/>
      <c r="L32" s="1"/>
    </row>
    <row r="33" s="5" customFormat="1" spans="1:12">
      <c r="A33" s="410"/>
      <c r="B33" s="323" t="s">
        <v>305</v>
      </c>
      <c r="C33" s="323" t="s">
        <v>203</v>
      </c>
      <c r="D33" s="344" t="s">
        <v>306</v>
      </c>
      <c r="E33" s="344" t="s">
        <v>151</v>
      </c>
      <c r="F33" s="335"/>
      <c r="G33" s="323" t="s">
        <v>307</v>
      </c>
      <c r="H33" s="46"/>
      <c r="I33" s="1"/>
      <c r="J33" s="1"/>
      <c r="K33" s="1"/>
      <c r="L33" s="1"/>
    </row>
    <row r="34" s="5" customFormat="1" spans="1:12">
      <c r="A34" s="410"/>
      <c r="B34" s="323" t="s">
        <v>308</v>
      </c>
      <c r="C34" s="323" t="s">
        <v>203</v>
      </c>
      <c r="D34" s="344" t="s">
        <v>309</v>
      </c>
      <c r="E34" s="344" t="s">
        <v>151</v>
      </c>
      <c r="F34" s="335"/>
      <c r="G34" s="323" t="s">
        <v>310</v>
      </c>
      <c r="H34" s="46"/>
      <c r="I34" s="1"/>
      <c r="J34" s="1"/>
      <c r="K34" s="1"/>
      <c r="L34" s="1"/>
    </row>
    <row r="35" s="5" customFormat="1" spans="1:12">
      <c r="A35" s="410"/>
      <c r="B35" s="323" t="s">
        <v>311</v>
      </c>
      <c r="C35" s="323" t="s">
        <v>203</v>
      </c>
      <c r="D35" s="344" t="s">
        <v>312</v>
      </c>
      <c r="E35" s="344" t="s">
        <v>151</v>
      </c>
      <c r="F35" s="18"/>
      <c r="G35" s="323" t="s">
        <v>284</v>
      </c>
      <c r="H35" s="46"/>
      <c r="I35" s="1"/>
      <c r="J35" s="1"/>
      <c r="K35" s="1"/>
      <c r="L35" s="1"/>
    </row>
    <row r="36" s="5" customFormat="1" spans="1:12">
      <c r="A36" s="410"/>
      <c r="B36" s="323" t="s">
        <v>313</v>
      </c>
      <c r="C36" s="323" t="s">
        <v>203</v>
      </c>
      <c r="D36" s="344" t="s">
        <v>314</v>
      </c>
      <c r="E36" s="344" t="s">
        <v>151</v>
      </c>
      <c r="F36" s="18"/>
      <c r="G36" s="323" t="s">
        <v>284</v>
      </c>
      <c r="H36" s="46"/>
      <c r="I36" s="1"/>
      <c r="J36" s="1"/>
      <c r="K36" s="1"/>
      <c r="L36" s="1"/>
    </row>
    <row r="37" s="5" customFormat="1" spans="1:12">
      <c r="A37" s="410"/>
      <c r="B37" s="323" t="s">
        <v>315</v>
      </c>
      <c r="C37" s="323" t="s">
        <v>203</v>
      </c>
      <c r="D37" s="344" t="s">
        <v>316</v>
      </c>
      <c r="E37" s="344" t="s">
        <v>151</v>
      </c>
      <c r="F37" s="18"/>
      <c r="G37" s="323" t="s">
        <v>317</v>
      </c>
      <c r="H37" s="46"/>
      <c r="I37" s="1"/>
      <c r="J37" s="1"/>
      <c r="K37" s="1"/>
      <c r="L37" s="1"/>
    </row>
    <row r="38" s="5" customFormat="1" spans="1:12">
      <c r="A38" s="410"/>
      <c r="B38" s="323" t="s">
        <v>318</v>
      </c>
      <c r="C38" s="323" t="s">
        <v>203</v>
      </c>
      <c r="D38" s="344" t="s">
        <v>319</v>
      </c>
      <c r="E38" s="344" t="s">
        <v>156</v>
      </c>
      <c r="F38" s="335"/>
      <c r="G38" s="323" t="s">
        <v>320</v>
      </c>
      <c r="H38" s="46"/>
      <c r="I38" s="1"/>
      <c r="J38" s="1"/>
      <c r="K38" s="1"/>
      <c r="L38" s="1"/>
    </row>
    <row r="39" s="5" customFormat="1" spans="1:12">
      <c r="A39" s="410"/>
      <c r="B39" s="323" t="s">
        <v>321</v>
      </c>
      <c r="C39" s="323" t="s">
        <v>203</v>
      </c>
      <c r="D39" s="344" t="s">
        <v>322</v>
      </c>
      <c r="E39" s="344" t="s">
        <v>156</v>
      </c>
      <c r="F39" s="335"/>
      <c r="G39" s="323" t="s">
        <v>310</v>
      </c>
      <c r="H39" s="46"/>
      <c r="I39" s="1"/>
      <c r="J39" s="1"/>
      <c r="K39" s="1"/>
      <c r="L39" s="1"/>
    </row>
    <row r="40" s="5" customFormat="1" spans="1:12">
      <c r="A40" s="410"/>
      <c r="B40" s="323" t="s">
        <v>323</v>
      </c>
      <c r="C40" s="323" t="s">
        <v>203</v>
      </c>
      <c r="D40" s="344" t="s">
        <v>324</v>
      </c>
      <c r="E40" s="344" t="s">
        <v>156</v>
      </c>
      <c r="F40" s="18"/>
      <c r="G40" s="323" t="s">
        <v>284</v>
      </c>
      <c r="H40" s="46"/>
      <c r="I40" s="1"/>
      <c r="J40" s="1"/>
      <c r="K40" s="1"/>
      <c r="L40" s="1"/>
    </row>
    <row r="41" s="5" customFormat="1" spans="1:12">
      <c r="A41" s="410"/>
      <c r="B41" s="323" t="s">
        <v>325</v>
      </c>
      <c r="C41" s="323" t="s">
        <v>203</v>
      </c>
      <c r="D41" s="344" t="s">
        <v>326</v>
      </c>
      <c r="E41" s="344" t="s">
        <v>156</v>
      </c>
      <c r="F41" s="18"/>
      <c r="G41" s="323" t="s">
        <v>284</v>
      </c>
      <c r="H41" s="46"/>
      <c r="I41" s="1"/>
      <c r="J41" s="1"/>
      <c r="K41" s="1"/>
      <c r="L41" s="1"/>
    </row>
    <row r="42" s="5" customFormat="1" spans="1:12">
      <c r="A42" s="410"/>
      <c r="B42" s="323" t="s">
        <v>327</v>
      </c>
      <c r="C42" s="323" t="s">
        <v>203</v>
      </c>
      <c r="D42" s="344" t="s">
        <v>328</v>
      </c>
      <c r="E42" s="344" t="s">
        <v>156</v>
      </c>
      <c r="F42" s="18"/>
      <c r="G42" s="323" t="s">
        <v>329</v>
      </c>
      <c r="H42" s="46"/>
      <c r="I42" s="1"/>
      <c r="J42" s="1"/>
      <c r="K42" s="1"/>
      <c r="L42" s="1"/>
    </row>
    <row r="43" spans="1:13">
      <c r="A43" s="410"/>
      <c r="B43" s="323" t="s">
        <v>330</v>
      </c>
      <c r="C43" s="323" t="s">
        <v>170</v>
      </c>
      <c r="D43" s="344" t="s">
        <v>331</v>
      </c>
      <c r="E43" s="344" t="s">
        <v>151</v>
      </c>
      <c r="F43" s="344"/>
      <c r="G43" s="323" t="s">
        <v>332</v>
      </c>
      <c r="M43" s="439"/>
    </row>
    <row r="44" spans="1:13">
      <c r="A44" s="410"/>
      <c r="B44" s="323" t="s">
        <v>333</v>
      </c>
      <c r="C44" s="323" t="s">
        <v>170</v>
      </c>
      <c r="D44" s="344" t="s">
        <v>334</v>
      </c>
      <c r="E44" s="344" t="s">
        <v>156</v>
      </c>
      <c r="F44" s="344"/>
      <c r="G44" s="323" t="s">
        <v>332</v>
      </c>
      <c r="M44" s="439"/>
    </row>
    <row r="45" spans="1:13">
      <c r="A45" s="410"/>
      <c r="B45" s="435" t="s">
        <v>335</v>
      </c>
      <c r="C45" s="323" t="s">
        <v>203</v>
      </c>
      <c r="D45" s="344" t="s">
        <v>336</v>
      </c>
      <c r="E45" s="344" t="s">
        <v>151</v>
      </c>
      <c r="F45" s="344"/>
      <c r="G45" s="323" t="s">
        <v>337</v>
      </c>
      <c r="M45" s="439"/>
    </row>
    <row r="46" spans="1:13">
      <c r="A46" s="410"/>
      <c r="B46" s="435" t="s">
        <v>338</v>
      </c>
      <c r="C46" s="323" t="s">
        <v>203</v>
      </c>
      <c r="D46" s="344" t="s">
        <v>339</v>
      </c>
      <c r="E46" s="344" t="s">
        <v>156</v>
      </c>
      <c r="F46" s="344"/>
      <c r="G46" s="323" t="s">
        <v>340</v>
      </c>
      <c r="M46" s="439"/>
    </row>
    <row r="47" spans="1:13">
      <c r="A47" s="410"/>
      <c r="B47" s="323" t="s">
        <v>402</v>
      </c>
      <c r="C47" s="323" t="s">
        <v>203</v>
      </c>
      <c r="D47" s="344" t="s">
        <v>342</v>
      </c>
      <c r="E47" s="344" t="s">
        <v>151</v>
      </c>
      <c r="F47" s="344"/>
      <c r="G47" s="323" t="s">
        <v>343</v>
      </c>
      <c r="M47" s="439"/>
    </row>
    <row r="48" spans="1:13">
      <c r="A48" s="410"/>
      <c r="B48" s="323" t="s">
        <v>403</v>
      </c>
      <c r="C48" s="323" t="s">
        <v>203</v>
      </c>
      <c r="D48" s="344" t="s">
        <v>345</v>
      </c>
      <c r="E48" s="344" t="s">
        <v>156</v>
      </c>
      <c r="F48" s="344"/>
      <c r="G48" s="323" t="s">
        <v>346</v>
      </c>
      <c r="M48" s="439"/>
    </row>
    <row r="49" s="46" customFormat="1" spans="1:13">
      <c r="A49" s="436"/>
      <c r="B49" s="344" t="s">
        <v>404</v>
      </c>
      <c r="C49" s="323" t="s">
        <v>229</v>
      </c>
      <c r="D49" s="344" t="s">
        <v>348</v>
      </c>
      <c r="E49" s="344" t="s">
        <v>242</v>
      </c>
      <c r="F49" s="344"/>
      <c r="G49" s="381" t="s">
        <v>349</v>
      </c>
      <c r="I49" s="46" t="s">
        <v>350</v>
      </c>
      <c r="M49" s="438"/>
    </row>
    <row r="50" s="46" customFormat="1" spans="1:13">
      <c r="A50" s="436"/>
      <c r="B50" s="344" t="s">
        <v>405</v>
      </c>
      <c r="C50" s="323" t="s">
        <v>229</v>
      </c>
      <c r="D50" s="344" t="s">
        <v>352</v>
      </c>
      <c r="E50" s="344" t="s">
        <v>242</v>
      </c>
      <c r="F50" s="344"/>
      <c r="G50" s="381" t="s">
        <v>349</v>
      </c>
      <c r="I50" s="46" t="s">
        <v>350</v>
      </c>
      <c r="M50" s="438"/>
    </row>
    <row r="51" spans="1:13">
      <c r="A51" s="410"/>
      <c r="B51" s="344" t="s">
        <v>406</v>
      </c>
      <c r="C51" s="323" t="s">
        <v>229</v>
      </c>
      <c r="D51" s="323" t="s">
        <v>354</v>
      </c>
      <c r="E51" s="344" t="s">
        <v>242</v>
      </c>
      <c r="F51" s="344"/>
      <c r="G51" s="381" t="s">
        <v>349</v>
      </c>
      <c r="I51" s="46" t="s">
        <v>350</v>
      </c>
      <c r="M51" s="439"/>
    </row>
    <row r="52" spans="1:13">
      <c r="A52" s="410"/>
      <c r="B52" s="344" t="s">
        <v>407</v>
      </c>
      <c r="C52" s="323" t="s">
        <v>229</v>
      </c>
      <c r="D52" s="323" t="s">
        <v>356</v>
      </c>
      <c r="E52" s="344" t="s">
        <v>242</v>
      </c>
      <c r="F52" s="344"/>
      <c r="G52" s="381" t="s">
        <v>349</v>
      </c>
      <c r="I52" s="46" t="s">
        <v>350</v>
      </c>
      <c r="M52" s="439"/>
    </row>
    <row r="53" s="46" customFormat="1" spans="1:13">
      <c r="A53" s="436"/>
      <c r="B53" s="435" t="s">
        <v>357</v>
      </c>
      <c r="C53" s="323" t="s">
        <v>203</v>
      </c>
      <c r="D53" s="344" t="s">
        <v>358</v>
      </c>
      <c r="E53" s="344" t="s">
        <v>242</v>
      </c>
      <c r="F53" s="344"/>
      <c r="G53" s="385" t="s">
        <v>408</v>
      </c>
      <c r="M53" s="438"/>
    </row>
    <row r="54" s="46" customFormat="1" spans="1:13">
      <c r="A54" s="436"/>
      <c r="B54" s="435" t="s">
        <v>360</v>
      </c>
      <c r="C54" s="323" t="s">
        <v>203</v>
      </c>
      <c r="D54" s="362" t="s">
        <v>361</v>
      </c>
      <c r="E54" s="344" t="s">
        <v>242</v>
      </c>
      <c r="F54" s="344"/>
      <c r="G54" s="148" t="s">
        <v>409</v>
      </c>
      <c r="M54" s="438"/>
    </row>
    <row r="55" s="46" customFormat="1" spans="1:13">
      <c r="A55" s="410"/>
      <c r="B55" s="435" t="s">
        <v>363</v>
      </c>
      <c r="C55" s="323" t="s">
        <v>203</v>
      </c>
      <c r="D55" s="362" t="s">
        <v>364</v>
      </c>
      <c r="E55" s="344" t="s">
        <v>242</v>
      </c>
      <c r="F55" s="344"/>
      <c r="G55" s="363" t="s">
        <v>410</v>
      </c>
      <c r="I55" s="1"/>
      <c r="J55" s="1"/>
      <c r="K55" s="1"/>
      <c r="L55" s="1"/>
      <c r="M55" s="438"/>
    </row>
    <row r="56" spans="1:13">
      <c r="A56" s="410"/>
      <c r="B56" s="348" t="s">
        <v>239</v>
      </c>
      <c r="C56" s="349" t="s">
        <v>170</v>
      </c>
      <c r="D56" s="349" t="s">
        <v>240</v>
      </c>
      <c r="E56" s="422"/>
      <c r="F56" s="344"/>
      <c r="G56" s="405"/>
      <c r="M56" s="439"/>
    </row>
    <row r="57" spans="1:13">
      <c r="A57" s="410"/>
      <c r="B57" s="348" t="s">
        <v>177</v>
      </c>
      <c r="C57" s="349" t="s">
        <v>175</v>
      </c>
      <c r="D57" s="349" t="s">
        <v>176</v>
      </c>
      <c r="E57" s="422"/>
      <c r="F57" s="18"/>
      <c r="G57" s="405"/>
      <c r="M57" s="439"/>
    </row>
    <row r="58" spans="5:5">
      <c r="E58" s="46"/>
    </row>
  </sheetData>
  <mergeCells count="3">
    <mergeCell ref="B11:L11"/>
    <mergeCell ref="F7:F9"/>
    <mergeCell ref="G7:G8"/>
  </mergeCells>
  <dataValidations count="1">
    <dataValidation type="list" allowBlank="1" showInputMessage="1" showErrorMessage="1" sqref="E4">
      <formula1>"D: Daily,W: Weekly,M: Monthly,Y: Yearly,D: Daily &amp; W: Weekly &amp;M: Monthly,H: Hourly"</formula1>
    </dataValidation>
  </dataValidations>
  <hyperlinks>
    <hyperlink ref="B1" location="导航!A1" display="=HYPERLINK(&quot;#&quot;&amp;&quot;导航应用&quot;&amp;&quot;!B1&quot;,&quot;返回&quot;)"/>
  </hyperlink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L20"/>
  <sheetViews>
    <sheetView workbookViewId="0">
      <selection activeCell="G15" sqref="G15"/>
    </sheetView>
  </sheetViews>
  <sheetFormatPr defaultColWidth="67.75" defaultRowHeight="15"/>
  <cols>
    <col min="1" max="1" width="3" style="5" customWidth="1"/>
    <col min="2" max="2" width="17.6296296296296" style="40" customWidth="1"/>
    <col min="3" max="3" width="40.2222222222222" style="128" customWidth="1"/>
    <col min="4" max="4" width="37.4444444444444" style="128" customWidth="1"/>
    <col min="5" max="5" width="9.25" style="129" customWidth="1"/>
    <col min="6" max="6" width="10.6296296296296" style="40" customWidth="1"/>
    <col min="7" max="7" width="51.8888888888889" style="40" customWidth="1"/>
    <col min="8" max="8" width="28.6296296296296" style="40" customWidth="1"/>
    <col min="9" max="9" width="19.75" style="5" customWidth="1"/>
    <col min="10" max="10" width="7.5" style="5" customWidth="1"/>
    <col min="11" max="11" width="4.12962962962963" style="5" customWidth="1"/>
    <col min="12" max="12" width="7.5" style="5" customWidth="1"/>
    <col min="13" max="16384" width="67.75" style="5"/>
  </cols>
  <sheetData>
    <row r="1" s="40" customFormat="1" spans="2:8">
      <c r="B1" s="43" t="str">
        <f>HYPERLINK("#"&amp;"导航应用"&amp;"!B1","返回")</f>
        <v>返回</v>
      </c>
      <c r="C1" s="44"/>
      <c r="D1" s="44"/>
      <c r="E1" s="45"/>
      <c r="F1" s="46"/>
      <c r="G1" s="46"/>
      <c r="H1" s="44"/>
    </row>
    <row r="2" s="40" customFormat="1" ht="31.2" spans="2:8">
      <c r="B2" s="394" t="s">
        <v>132</v>
      </c>
      <c r="C2" s="394"/>
      <c r="D2" s="394"/>
      <c r="E2" s="395"/>
      <c r="F2" s="394"/>
      <c r="G2" s="394"/>
      <c r="H2" s="394"/>
    </row>
    <row r="3" s="40" customFormat="1" ht="15.6" spans="2:8">
      <c r="B3" s="396" t="s">
        <v>133</v>
      </c>
      <c r="C3" s="396" t="s">
        <v>134</v>
      </c>
      <c r="D3" s="396" t="s">
        <v>135</v>
      </c>
      <c r="E3" s="397" t="s">
        <v>136</v>
      </c>
      <c r="F3" s="398" t="s">
        <v>137</v>
      </c>
      <c r="G3" s="398" t="s">
        <v>138</v>
      </c>
      <c r="H3" s="326" t="s">
        <v>139</v>
      </c>
    </row>
    <row r="4" s="40" customFormat="1" spans="2:8">
      <c r="B4" s="6" t="s">
        <v>14</v>
      </c>
      <c r="C4" s="329" t="s">
        <v>39</v>
      </c>
      <c r="D4" s="329" t="s">
        <v>40</v>
      </c>
      <c r="E4" s="400" t="s">
        <v>140</v>
      </c>
      <c r="F4" s="401" t="s">
        <v>141</v>
      </c>
      <c r="G4" s="401"/>
      <c r="H4" s="401" t="s">
        <v>18</v>
      </c>
    </row>
    <row r="5" s="40" customFormat="1" ht="15.6" spans="2:8">
      <c r="B5" s="394" t="s">
        <v>142</v>
      </c>
      <c r="C5" s="394"/>
      <c r="D5" s="394"/>
      <c r="E5" s="395"/>
      <c r="F5" s="394"/>
      <c r="G5" s="394"/>
      <c r="H5" s="394"/>
    </row>
    <row r="6" s="40" customFormat="1" ht="15.6" spans="2:8">
      <c r="B6" s="334" t="s">
        <v>143</v>
      </c>
      <c r="C6" s="334" t="s">
        <v>144</v>
      </c>
      <c r="D6" s="334" t="s">
        <v>145</v>
      </c>
      <c r="E6" s="334" t="s">
        <v>146</v>
      </c>
      <c r="F6" s="334" t="s">
        <v>147</v>
      </c>
      <c r="G6" s="334" t="s">
        <v>13</v>
      </c>
      <c r="H6" s="334" t="s">
        <v>148</v>
      </c>
    </row>
    <row r="7" s="40" customFormat="1" ht="30" spans="2:8">
      <c r="B7" s="402"/>
      <c r="C7" s="369" t="s">
        <v>43</v>
      </c>
      <c r="D7" s="423" t="s">
        <v>44</v>
      </c>
      <c r="E7" s="399" t="s">
        <v>151</v>
      </c>
      <c r="F7" s="338" t="s">
        <v>411</v>
      </c>
      <c r="G7" s="44"/>
      <c r="H7" s="338" t="s">
        <v>412</v>
      </c>
    </row>
    <row r="8" s="40" customFormat="1" spans="2:8">
      <c r="B8" s="406"/>
      <c r="C8" s="407"/>
      <c r="D8" s="408"/>
      <c r="E8" s="129"/>
      <c r="H8" s="128"/>
    </row>
    <row r="9" s="40" customFormat="1" spans="2:12">
      <c r="B9" s="409" t="s">
        <v>158</v>
      </c>
      <c r="C9" s="409"/>
      <c r="D9" s="409"/>
      <c r="E9" s="409"/>
      <c r="F9" s="409"/>
      <c r="G9" s="409"/>
      <c r="H9" s="409"/>
      <c r="I9" s="409"/>
      <c r="J9" s="409"/>
      <c r="K9" s="409"/>
      <c r="L9" s="409"/>
    </row>
    <row r="10" s="40" customFormat="1" ht="24" spans="2:12">
      <c r="B10" s="377" t="s">
        <v>159</v>
      </c>
      <c r="C10" s="377" t="s">
        <v>160</v>
      </c>
      <c r="D10" s="377" t="s">
        <v>161</v>
      </c>
      <c r="E10" s="377" t="s">
        <v>162</v>
      </c>
      <c r="F10" s="377" t="s">
        <v>163</v>
      </c>
      <c r="G10" s="377" t="s">
        <v>164</v>
      </c>
      <c r="H10" s="377" t="s">
        <v>165</v>
      </c>
      <c r="I10" s="377" t="s">
        <v>13</v>
      </c>
      <c r="J10" s="377" t="s">
        <v>166</v>
      </c>
      <c r="K10" s="377" t="s">
        <v>167</v>
      </c>
      <c r="L10" s="377" t="s">
        <v>168</v>
      </c>
    </row>
    <row r="11" s="40" customFormat="1" spans="1:12">
      <c r="A11" s="344"/>
      <c r="B11" s="330" t="s">
        <v>169</v>
      </c>
      <c r="C11" s="330" t="s">
        <v>170</v>
      </c>
      <c r="D11" s="330" t="s">
        <v>171</v>
      </c>
      <c r="E11" s="190"/>
      <c r="F11" s="124"/>
      <c r="G11" s="117"/>
      <c r="H11" s="117"/>
      <c r="I11" s="118"/>
      <c r="J11" s="118"/>
      <c r="K11" s="118"/>
      <c r="L11" s="118"/>
    </row>
    <row r="12" s="40" customFormat="1" spans="1:12">
      <c r="A12" s="344"/>
      <c r="B12" s="330" t="s">
        <v>174</v>
      </c>
      <c r="C12" s="330" t="s">
        <v>175</v>
      </c>
      <c r="D12" s="330" t="s">
        <v>176</v>
      </c>
      <c r="E12" s="190"/>
      <c r="F12" s="124"/>
      <c r="G12" s="117"/>
      <c r="H12" s="117"/>
      <c r="I12" s="118"/>
      <c r="J12" s="118"/>
      <c r="K12" s="118"/>
      <c r="L12" s="118"/>
    </row>
    <row r="13" s="40" customFormat="1" spans="1:12">
      <c r="A13" s="410"/>
      <c r="B13" s="361" t="s">
        <v>188</v>
      </c>
      <c r="C13" s="330" t="s">
        <v>175</v>
      </c>
      <c r="D13" s="330" t="s">
        <v>189</v>
      </c>
      <c r="E13" s="359" t="s">
        <v>151</v>
      </c>
      <c r="F13" s="405"/>
      <c r="G13" s="44"/>
      <c r="H13" s="46"/>
      <c r="I13" s="46"/>
      <c r="J13" s="46"/>
      <c r="K13" s="46"/>
      <c r="L13" s="46"/>
    </row>
    <row r="14" s="40" customFormat="1" spans="1:12">
      <c r="A14" s="410"/>
      <c r="B14" s="361" t="s">
        <v>191</v>
      </c>
      <c r="C14" s="330" t="s">
        <v>175</v>
      </c>
      <c r="D14" s="330" t="s">
        <v>243</v>
      </c>
      <c r="E14" s="359" t="s">
        <v>151</v>
      </c>
      <c r="F14" s="405"/>
      <c r="G14" s="44"/>
      <c r="H14" s="46"/>
      <c r="I14" s="46"/>
      <c r="J14" s="46"/>
      <c r="K14" s="46"/>
      <c r="L14" s="46"/>
    </row>
    <row r="15" s="40" customFormat="1" ht="31" customHeight="1" spans="1:12">
      <c r="A15" s="410"/>
      <c r="B15" s="330" t="s">
        <v>413</v>
      </c>
      <c r="C15" s="330" t="s">
        <v>175</v>
      </c>
      <c r="D15" s="330" t="s">
        <v>414</v>
      </c>
      <c r="E15" s="359" t="s">
        <v>151</v>
      </c>
      <c r="F15" s="405"/>
      <c r="G15" s="424" t="s">
        <v>415</v>
      </c>
      <c r="I15" s="46" t="s">
        <v>416</v>
      </c>
      <c r="J15" s="46"/>
      <c r="K15" s="46"/>
      <c r="L15" s="46"/>
    </row>
    <row r="16" s="40" customFormat="1" ht="120" spans="1:12">
      <c r="A16" s="344"/>
      <c r="B16" s="330" t="s">
        <v>308</v>
      </c>
      <c r="C16" s="330" t="s">
        <v>203</v>
      </c>
      <c r="D16" s="330" t="s">
        <v>309</v>
      </c>
      <c r="E16" s="359" t="s">
        <v>151</v>
      </c>
      <c r="F16" s="344"/>
      <c r="G16" s="425" t="s">
        <v>417</v>
      </c>
      <c r="H16" s="426"/>
      <c r="I16" s="46"/>
      <c r="J16" s="46"/>
      <c r="K16" s="46"/>
      <c r="L16" s="46"/>
    </row>
    <row r="17" ht="120" spans="1:12">
      <c r="A17" s="410"/>
      <c r="B17" s="330" t="s">
        <v>321</v>
      </c>
      <c r="C17" s="330" t="s">
        <v>203</v>
      </c>
      <c r="D17" s="330" t="s">
        <v>322</v>
      </c>
      <c r="E17" s="359" t="s">
        <v>151</v>
      </c>
      <c r="F17" s="344"/>
      <c r="G17" s="425" t="s">
        <v>418</v>
      </c>
      <c r="H17" s="46"/>
      <c r="I17" s="1"/>
      <c r="J17" s="1"/>
      <c r="K17" s="1"/>
      <c r="L17" s="1"/>
    </row>
    <row r="18" spans="1:12">
      <c r="A18" s="410"/>
      <c r="B18" s="348" t="s">
        <v>239</v>
      </c>
      <c r="C18" s="349" t="s">
        <v>170</v>
      </c>
      <c r="D18" s="349" t="s">
        <v>240</v>
      </c>
      <c r="E18" s="422"/>
      <c r="F18" s="18"/>
      <c r="G18" s="405"/>
      <c r="H18" s="46"/>
      <c r="I18" s="1"/>
      <c r="J18" s="1"/>
      <c r="K18" s="1"/>
      <c r="L18" s="1"/>
    </row>
    <row r="19" spans="1:12">
      <c r="A19" s="410"/>
      <c r="B19" s="348" t="s">
        <v>177</v>
      </c>
      <c r="C19" s="349" t="s">
        <v>175</v>
      </c>
      <c r="D19" s="349" t="s">
        <v>176</v>
      </c>
      <c r="E19" s="422"/>
      <c r="F19" s="18"/>
      <c r="G19" s="405"/>
      <c r="H19" s="46"/>
      <c r="I19" s="1"/>
      <c r="J19" s="1"/>
      <c r="K19" s="1"/>
      <c r="L19" s="1"/>
    </row>
    <row r="20" spans="5:5">
      <c r="E20" s="40"/>
    </row>
  </sheetData>
  <mergeCells count="1">
    <mergeCell ref="B9:L9"/>
  </mergeCells>
  <dataValidations count="1">
    <dataValidation type="list" allowBlank="1" showInputMessage="1" showErrorMessage="1" sqref="E4">
      <formula1>"D: Daily,W: Weekly,M: Monthly,Y: Yearly,D: Daily &amp; W: Weekly &amp;M: Monthly,H: Hourly"</formula1>
    </dataValidation>
  </dataValidations>
  <hyperlinks>
    <hyperlink ref="B1" location="导航!A1" display="=HYPERLINK(&quot;#&quot;&amp;&quot;导航应用&quot;&amp;&quot;!B1&quot;,&quot;返回&quot;)"/>
  </hyperlink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L64"/>
  <sheetViews>
    <sheetView workbookViewId="0">
      <selection activeCell="C7" sqref="C7"/>
    </sheetView>
  </sheetViews>
  <sheetFormatPr defaultColWidth="67.75" defaultRowHeight="15"/>
  <cols>
    <col min="1" max="1" width="3" style="5" customWidth="1"/>
    <col min="2" max="2" width="29.75" style="40" customWidth="1"/>
    <col min="3" max="3" width="28.8796296296296" style="128" customWidth="1"/>
    <col min="4" max="4" width="26.75" style="128" customWidth="1"/>
    <col min="5" max="5" width="9.25" style="129" customWidth="1"/>
    <col min="6" max="6" width="10.5" style="40" customWidth="1"/>
    <col min="7" max="7" width="13" style="40" customWidth="1"/>
    <col min="8" max="8" width="12.25" style="40" customWidth="1"/>
    <col min="9" max="9" width="15" style="5" customWidth="1"/>
    <col min="10" max="10" width="7.5" style="5" customWidth="1"/>
    <col min="11" max="11" width="4.12962962962963" style="5" customWidth="1"/>
    <col min="12" max="12" width="8.25" style="5" customWidth="1"/>
    <col min="13" max="16384" width="67.75" style="5"/>
  </cols>
  <sheetData>
    <row r="1" s="40" customFormat="1" spans="2:8">
      <c r="B1" s="43" t="str">
        <f>HYPERLINK("#"&amp;"导航应用"&amp;"!B1","返回")</f>
        <v>返回</v>
      </c>
      <c r="C1" s="393"/>
      <c r="D1" s="393"/>
      <c r="E1" s="45"/>
      <c r="F1" s="46"/>
      <c r="G1" s="46"/>
      <c r="H1" s="44"/>
    </row>
    <row r="2" s="40" customFormat="1" ht="15.6" spans="2:8">
      <c r="B2" s="394" t="s">
        <v>132</v>
      </c>
      <c r="C2" s="394"/>
      <c r="D2" s="394"/>
      <c r="E2" s="395"/>
      <c r="F2" s="394"/>
      <c r="G2" s="394"/>
      <c r="H2" s="394"/>
    </row>
    <row r="3" s="40" customFormat="1" ht="15.6" spans="2:8">
      <c r="B3" s="396" t="s">
        <v>133</v>
      </c>
      <c r="C3" s="396" t="s">
        <v>134</v>
      </c>
      <c r="D3" s="396" t="s">
        <v>135</v>
      </c>
      <c r="E3" s="397" t="s">
        <v>136</v>
      </c>
      <c r="F3" s="398" t="s">
        <v>137</v>
      </c>
      <c r="G3" s="398" t="s">
        <v>138</v>
      </c>
      <c r="H3" s="326" t="s">
        <v>139</v>
      </c>
    </row>
    <row r="4" s="40" customFormat="1" spans="2:8">
      <c r="B4" s="6" t="s">
        <v>14</v>
      </c>
      <c r="C4" s="30" t="s">
        <v>43</v>
      </c>
      <c r="D4" s="399" t="s">
        <v>44</v>
      </c>
      <c r="E4" s="400" t="s">
        <v>140</v>
      </c>
      <c r="F4" s="401" t="s">
        <v>141</v>
      </c>
      <c r="G4" s="401"/>
      <c r="H4" s="401" t="s">
        <v>18</v>
      </c>
    </row>
    <row r="5" s="40" customFormat="1" ht="15.6" spans="2:8">
      <c r="B5" s="394" t="s">
        <v>142</v>
      </c>
      <c r="C5" s="394"/>
      <c r="D5" s="394"/>
      <c r="E5" s="395"/>
      <c r="F5" s="394"/>
      <c r="G5" s="394"/>
      <c r="H5" s="394"/>
    </row>
    <row r="6" s="40" customFormat="1" ht="15.6" spans="2:8">
      <c r="B6" s="334" t="s">
        <v>143</v>
      </c>
      <c r="C6" s="334" t="s">
        <v>144</v>
      </c>
      <c r="D6" s="334" t="s">
        <v>145</v>
      </c>
      <c r="E6" s="334" t="s">
        <v>146</v>
      </c>
      <c r="F6" s="334" t="s">
        <v>147</v>
      </c>
      <c r="G6" s="334" t="s">
        <v>13</v>
      </c>
      <c r="H6" s="334" t="s">
        <v>148</v>
      </c>
    </row>
    <row r="7" s="40" customFormat="1" spans="2:8">
      <c r="B7" s="402"/>
      <c r="C7" s="369" t="s">
        <v>419</v>
      </c>
      <c r="D7" s="399" t="s">
        <v>420</v>
      </c>
      <c r="E7" s="403" t="s">
        <v>21</v>
      </c>
      <c r="F7" s="404"/>
      <c r="G7" s="405"/>
      <c r="H7" s="404" t="s">
        <v>412</v>
      </c>
    </row>
    <row r="8" s="40" customFormat="1" spans="2:8">
      <c r="B8" s="406"/>
      <c r="C8" s="407"/>
      <c r="D8" s="408"/>
      <c r="E8" s="129"/>
      <c r="H8" s="128"/>
    </row>
    <row r="9" s="40" customFormat="1" spans="2:12">
      <c r="B9" s="409" t="s">
        <v>158</v>
      </c>
      <c r="C9" s="409"/>
      <c r="D9" s="409"/>
      <c r="E9" s="409"/>
      <c r="F9" s="409"/>
      <c r="G9" s="409"/>
      <c r="H9" s="409"/>
      <c r="I9" s="409"/>
      <c r="J9" s="409"/>
      <c r="K9" s="409"/>
      <c r="L9" s="409"/>
    </row>
    <row r="10" s="40" customFormat="1" ht="24" spans="2:12">
      <c r="B10" s="377" t="s">
        <v>159</v>
      </c>
      <c r="C10" s="377" t="s">
        <v>160</v>
      </c>
      <c r="D10" s="377" t="s">
        <v>161</v>
      </c>
      <c r="E10" s="377" t="s">
        <v>162</v>
      </c>
      <c r="F10" s="377" t="s">
        <v>163</v>
      </c>
      <c r="G10" s="377" t="s">
        <v>164</v>
      </c>
      <c r="H10" s="377" t="s">
        <v>165</v>
      </c>
      <c r="I10" s="377" t="s">
        <v>13</v>
      </c>
      <c r="J10" s="377" t="s">
        <v>166</v>
      </c>
      <c r="K10" s="377" t="s">
        <v>167</v>
      </c>
      <c r="L10" s="377" t="s">
        <v>168</v>
      </c>
    </row>
    <row r="11" s="40" customFormat="1" spans="1:12">
      <c r="A11" s="344"/>
      <c r="B11" s="330" t="s">
        <v>174</v>
      </c>
      <c r="C11" s="330" t="s">
        <v>175</v>
      </c>
      <c r="D11" s="330" t="s">
        <v>176</v>
      </c>
      <c r="E11" s="190"/>
      <c r="F11" s="124"/>
      <c r="G11" s="117"/>
      <c r="H11" s="117"/>
      <c r="I11" s="118"/>
      <c r="J11" s="118"/>
      <c r="K11" s="118"/>
      <c r="L11" s="118"/>
    </row>
    <row r="12" s="40" customFormat="1" spans="1:12">
      <c r="A12" s="410"/>
      <c r="B12" s="345" t="s">
        <v>421</v>
      </c>
      <c r="C12" s="346" t="s">
        <v>175</v>
      </c>
      <c r="D12" s="346" t="s">
        <v>208</v>
      </c>
      <c r="E12" s="359" t="s">
        <v>422</v>
      </c>
      <c r="F12" s="405"/>
      <c r="G12" s="44" t="s">
        <v>172</v>
      </c>
      <c r="H12" s="46"/>
      <c r="I12" s="23" t="s">
        <v>423</v>
      </c>
      <c r="J12" s="46"/>
      <c r="K12" s="46"/>
      <c r="L12" s="46"/>
    </row>
    <row r="13" s="40" customFormat="1" ht="33.75" customHeight="1" spans="1:12">
      <c r="A13" s="410"/>
      <c r="B13" s="345" t="s">
        <v>424</v>
      </c>
      <c r="C13" s="346" t="s">
        <v>175</v>
      </c>
      <c r="D13" s="346" t="s">
        <v>425</v>
      </c>
      <c r="E13" s="359" t="s">
        <v>422</v>
      </c>
      <c r="F13" s="405"/>
      <c r="G13" s="44" t="s">
        <v>172</v>
      </c>
      <c r="H13" s="46"/>
      <c r="I13" s="23" t="s">
        <v>426</v>
      </c>
      <c r="J13" s="46"/>
      <c r="K13" s="46"/>
      <c r="L13" s="46"/>
    </row>
    <row r="14" s="40" customFormat="1" spans="1:12">
      <c r="A14" s="410"/>
      <c r="B14" s="345" t="s">
        <v>427</v>
      </c>
      <c r="C14" s="346" t="s">
        <v>175</v>
      </c>
      <c r="D14" s="346" t="s">
        <v>428</v>
      </c>
      <c r="E14" s="359" t="s">
        <v>422</v>
      </c>
      <c r="F14" s="405"/>
      <c r="G14" s="44" t="s">
        <v>172</v>
      </c>
      <c r="H14" s="46"/>
      <c r="I14" s="359" t="s">
        <v>429</v>
      </c>
      <c r="J14" s="46"/>
      <c r="K14" s="46"/>
      <c r="L14" s="46"/>
    </row>
    <row r="15" s="40" customFormat="1" spans="1:12">
      <c r="A15" s="410"/>
      <c r="B15" s="345" t="s">
        <v>430</v>
      </c>
      <c r="C15" s="346" t="s">
        <v>229</v>
      </c>
      <c r="D15" s="346" t="s">
        <v>431</v>
      </c>
      <c r="E15" s="359" t="s">
        <v>422</v>
      </c>
      <c r="F15" s="405"/>
      <c r="G15" s="44" t="s">
        <v>172</v>
      </c>
      <c r="H15" s="46"/>
      <c r="I15" s="46"/>
      <c r="J15" s="46"/>
      <c r="K15" s="46"/>
      <c r="L15" s="46"/>
    </row>
    <row r="16" s="40" customFormat="1" spans="1:12">
      <c r="A16" s="410"/>
      <c r="B16" s="379" t="s">
        <v>432</v>
      </c>
      <c r="C16" s="346" t="s">
        <v>175</v>
      </c>
      <c r="D16" s="330" t="s">
        <v>433</v>
      </c>
      <c r="E16" s="359" t="s">
        <v>422</v>
      </c>
      <c r="F16" s="405"/>
      <c r="G16" s="44" t="s">
        <v>172</v>
      </c>
      <c r="H16" s="46"/>
      <c r="I16" s="46"/>
      <c r="J16" s="46"/>
      <c r="K16" s="46"/>
      <c r="L16" s="46"/>
    </row>
    <row r="17" s="40" customFormat="1" spans="1:12">
      <c r="A17" s="410"/>
      <c r="B17" s="411" t="s">
        <v>434</v>
      </c>
      <c r="C17" s="346" t="s">
        <v>175</v>
      </c>
      <c r="D17" s="330" t="s">
        <v>435</v>
      </c>
      <c r="E17" s="359" t="s">
        <v>422</v>
      </c>
      <c r="F17" s="405"/>
      <c r="G17" s="44" t="s">
        <v>172</v>
      </c>
      <c r="H17" s="46"/>
      <c r="I17" s="46"/>
      <c r="J17" s="46"/>
      <c r="K17" s="46"/>
      <c r="L17" s="46"/>
    </row>
    <row r="18" s="40" customFormat="1" spans="1:12">
      <c r="A18" s="410"/>
      <c r="B18" s="412" t="s">
        <v>188</v>
      </c>
      <c r="C18" s="413" t="s">
        <v>175</v>
      </c>
      <c r="D18" s="414" t="s">
        <v>189</v>
      </c>
      <c r="E18" s="359" t="s">
        <v>422</v>
      </c>
      <c r="F18" s="405"/>
      <c r="G18" s="44" t="s">
        <v>172</v>
      </c>
      <c r="H18" s="46"/>
      <c r="I18" s="46"/>
      <c r="J18" s="46"/>
      <c r="K18" s="46"/>
      <c r="L18" s="46"/>
    </row>
    <row r="19" s="40" customFormat="1" spans="1:12">
      <c r="A19" s="410"/>
      <c r="B19" s="412" t="s">
        <v>191</v>
      </c>
      <c r="C19" s="413" t="s">
        <v>175</v>
      </c>
      <c r="D19" s="414" t="s">
        <v>436</v>
      </c>
      <c r="E19" s="359" t="s">
        <v>422</v>
      </c>
      <c r="F19" s="405"/>
      <c r="G19" s="44" t="s">
        <v>172</v>
      </c>
      <c r="H19" s="46"/>
      <c r="I19" s="46"/>
      <c r="J19" s="46"/>
      <c r="K19" s="46"/>
      <c r="L19" s="46"/>
    </row>
    <row r="20" s="40" customFormat="1" spans="1:12">
      <c r="A20" s="410"/>
      <c r="B20" s="415" t="s">
        <v>278</v>
      </c>
      <c r="C20" s="413" t="s">
        <v>175</v>
      </c>
      <c r="D20" s="330" t="s">
        <v>437</v>
      </c>
      <c r="E20" s="359" t="s">
        <v>422</v>
      </c>
      <c r="F20" s="405"/>
      <c r="G20" s="44" t="s">
        <v>172</v>
      </c>
      <c r="H20" s="46"/>
      <c r="I20" s="46"/>
      <c r="J20" s="46"/>
      <c r="K20" s="46"/>
      <c r="L20" s="46"/>
    </row>
    <row r="21" s="40" customFormat="1" spans="1:12">
      <c r="A21" s="410"/>
      <c r="B21" s="415" t="s">
        <v>438</v>
      </c>
      <c r="C21" s="413" t="s">
        <v>175</v>
      </c>
      <c r="D21" s="330" t="s">
        <v>439</v>
      </c>
      <c r="E21" s="359" t="s">
        <v>422</v>
      </c>
      <c r="F21" s="405"/>
      <c r="G21" s="44" t="s">
        <v>172</v>
      </c>
      <c r="H21" s="46"/>
      <c r="I21" s="46"/>
      <c r="J21" s="46"/>
      <c r="K21" s="46"/>
      <c r="L21" s="46"/>
    </row>
    <row r="22" s="40" customFormat="1" spans="1:12">
      <c r="A22" s="410"/>
      <c r="B22" s="415" t="s">
        <v>169</v>
      </c>
      <c r="C22" s="413" t="s">
        <v>170</v>
      </c>
      <c r="D22" s="330" t="s">
        <v>440</v>
      </c>
      <c r="E22" s="359" t="s">
        <v>422</v>
      </c>
      <c r="F22" s="405"/>
      <c r="G22" s="44" t="s">
        <v>172</v>
      </c>
      <c r="H22" s="46"/>
      <c r="I22" s="46"/>
      <c r="J22" s="46"/>
      <c r="K22" s="46"/>
      <c r="L22" s="46"/>
    </row>
    <row r="23" spans="2:12">
      <c r="B23" s="415" t="s">
        <v>182</v>
      </c>
      <c r="C23" s="413" t="s">
        <v>175</v>
      </c>
      <c r="D23" s="128" t="s">
        <v>183</v>
      </c>
      <c r="E23" s="359" t="s">
        <v>422</v>
      </c>
      <c r="G23" s="44" t="s">
        <v>172</v>
      </c>
      <c r="H23" s="46"/>
      <c r="I23" s="1"/>
      <c r="J23" s="1"/>
      <c r="K23" s="1"/>
      <c r="L23" s="1"/>
    </row>
    <row r="24" s="40" customFormat="1" spans="1:12">
      <c r="A24" s="410"/>
      <c r="B24" s="415" t="s">
        <v>178</v>
      </c>
      <c r="C24" s="413" t="s">
        <v>170</v>
      </c>
      <c r="D24" s="330" t="s">
        <v>441</v>
      </c>
      <c r="E24" s="359" t="s">
        <v>422</v>
      </c>
      <c r="F24" s="405"/>
      <c r="G24" s="44" t="s">
        <v>172</v>
      </c>
      <c r="H24" s="46"/>
      <c r="I24" s="46"/>
      <c r="J24" s="46"/>
      <c r="K24" s="46"/>
      <c r="L24" s="46"/>
    </row>
    <row r="25" s="40" customFormat="1" spans="1:12">
      <c r="A25" s="410"/>
      <c r="B25" s="415" t="s">
        <v>184</v>
      </c>
      <c r="C25" s="413" t="s">
        <v>175</v>
      </c>
      <c r="D25" s="330" t="s">
        <v>185</v>
      </c>
      <c r="E25" s="359" t="s">
        <v>422</v>
      </c>
      <c r="F25" s="405"/>
      <c r="G25" s="44" t="s">
        <v>172</v>
      </c>
      <c r="H25" s="46"/>
      <c r="I25" s="46"/>
      <c r="J25" s="46"/>
      <c r="K25" s="46"/>
      <c r="L25" s="46"/>
    </row>
    <row r="26" s="40" customFormat="1" spans="1:12">
      <c r="A26" s="410"/>
      <c r="B26" s="359" t="s">
        <v>442</v>
      </c>
      <c r="C26" s="362" t="s">
        <v>170</v>
      </c>
      <c r="D26" s="359" t="s">
        <v>443</v>
      </c>
      <c r="E26" s="359" t="s">
        <v>422</v>
      </c>
      <c r="F26" s="405"/>
      <c r="G26" s="44" t="s">
        <v>172</v>
      </c>
      <c r="H26" s="46"/>
      <c r="I26" s="46"/>
      <c r="J26" s="46"/>
      <c r="K26" s="46"/>
      <c r="L26" s="46"/>
    </row>
    <row r="27" s="40" customFormat="1" spans="1:12">
      <c r="A27" s="410"/>
      <c r="B27" s="359" t="s">
        <v>444</v>
      </c>
      <c r="C27" s="362" t="s">
        <v>170</v>
      </c>
      <c r="D27" s="359" t="s">
        <v>445</v>
      </c>
      <c r="E27" s="359" t="s">
        <v>422</v>
      </c>
      <c r="F27" s="405"/>
      <c r="G27" s="44" t="s">
        <v>172</v>
      </c>
      <c r="H27" s="46"/>
      <c r="I27" s="46"/>
      <c r="J27" s="46"/>
      <c r="K27" s="46"/>
      <c r="L27" s="46"/>
    </row>
    <row r="28" s="40" customFormat="1" spans="1:12">
      <c r="A28" s="410"/>
      <c r="B28" s="415" t="s">
        <v>446</v>
      </c>
      <c r="C28" s="330" t="s">
        <v>175</v>
      </c>
      <c r="D28" s="330" t="s">
        <v>447</v>
      </c>
      <c r="E28" s="359" t="s">
        <v>422</v>
      </c>
      <c r="F28" s="405"/>
      <c r="G28" s="44" t="s">
        <v>172</v>
      </c>
      <c r="H28" s="46"/>
      <c r="I28" s="46"/>
      <c r="J28" s="46"/>
      <c r="K28" s="46"/>
      <c r="L28" s="46"/>
    </row>
    <row r="29" s="392" customFormat="1" ht="15.6" spans="1:12">
      <c r="A29" s="416"/>
      <c r="B29" s="417" t="s">
        <v>448</v>
      </c>
      <c r="C29" s="330" t="s">
        <v>175</v>
      </c>
      <c r="D29" s="418" t="s">
        <v>449</v>
      </c>
      <c r="E29" s="359" t="s">
        <v>422</v>
      </c>
      <c r="F29" s="419"/>
      <c r="G29" s="44" t="s">
        <v>172</v>
      </c>
      <c r="H29" s="420"/>
      <c r="I29" s="420"/>
      <c r="J29" s="420"/>
      <c r="K29" s="420"/>
      <c r="L29" s="420" t="s">
        <v>450</v>
      </c>
    </row>
    <row r="30" s="40" customFormat="1" ht="39.6" spans="1:12">
      <c r="A30" s="410"/>
      <c r="B30" s="415" t="s">
        <v>451</v>
      </c>
      <c r="C30" s="330" t="s">
        <v>175</v>
      </c>
      <c r="D30" s="330" t="s">
        <v>452</v>
      </c>
      <c r="E30" s="359" t="s">
        <v>422</v>
      </c>
      <c r="F30" s="405"/>
      <c r="G30" s="44" t="s">
        <v>172</v>
      </c>
      <c r="H30" s="46"/>
      <c r="I30" s="117" t="s">
        <v>453</v>
      </c>
      <c r="J30" s="46"/>
      <c r="K30" s="46"/>
      <c r="L30" s="46"/>
    </row>
    <row r="31" s="40" customFormat="1" spans="1:12">
      <c r="A31" s="410"/>
      <c r="B31" s="415" t="s">
        <v>454</v>
      </c>
      <c r="C31" s="330" t="s">
        <v>175</v>
      </c>
      <c r="D31" s="330" t="s">
        <v>455</v>
      </c>
      <c r="E31" s="359" t="s">
        <v>422</v>
      </c>
      <c r="F31" s="405"/>
      <c r="G31" s="44" t="s">
        <v>172</v>
      </c>
      <c r="H31" s="46"/>
      <c r="I31" s="118" t="s">
        <v>456</v>
      </c>
      <c r="J31" s="46"/>
      <c r="K31" s="46"/>
      <c r="L31" s="46"/>
    </row>
    <row r="32" s="40" customFormat="1" spans="1:12">
      <c r="A32" s="410"/>
      <c r="B32" s="415" t="s">
        <v>457</v>
      </c>
      <c r="C32" s="362" t="s">
        <v>203</v>
      </c>
      <c r="D32" s="330" t="s">
        <v>458</v>
      </c>
      <c r="E32" s="359" t="s">
        <v>422</v>
      </c>
      <c r="F32" s="405"/>
      <c r="G32" s="44" t="s">
        <v>172</v>
      </c>
      <c r="H32" s="46"/>
      <c r="I32" s="46"/>
      <c r="J32" s="46"/>
      <c r="K32" s="46"/>
      <c r="L32" s="46"/>
    </row>
    <row r="33" s="40" customFormat="1" spans="1:12">
      <c r="A33" s="410"/>
      <c r="B33" s="346" t="s">
        <v>459</v>
      </c>
      <c r="C33" s="362" t="s">
        <v>203</v>
      </c>
      <c r="D33" s="346" t="s">
        <v>460</v>
      </c>
      <c r="E33" s="359" t="s">
        <v>422</v>
      </c>
      <c r="F33" s="405"/>
      <c r="G33" s="46" t="s">
        <v>461</v>
      </c>
      <c r="H33" s="46"/>
      <c r="I33" s="46"/>
      <c r="J33" s="46"/>
      <c r="K33" s="46"/>
      <c r="L33" s="46"/>
    </row>
    <row r="34" s="40" customFormat="1" spans="1:12">
      <c r="A34" s="410"/>
      <c r="B34" s="346" t="s">
        <v>221</v>
      </c>
      <c r="C34" s="346" t="s">
        <v>170</v>
      </c>
      <c r="D34" s="346" t="s">
        <v>462</v>
      </c>
      <c r="E34" s="359" t="s">
        <v>422</v>
      </c>
      <c r="F34" s="405"/>
      <c r="G34" s="44" t="s">
        <v>172</v>
      </c>
      <c r="H34" s="46"/>
      <c r="I34" s="46"/>
      <c r="J34" s="46"/>
      <c r="K34" s="46"/>
      <c r="L34" s="46"/>
    </row>
    <row r="35" s="40" customFormat="1" spans="1:12">
      <c r="A35" s="410"/>
      <c r="B35" s="421" t="s">
        <v>463</v>
      </c>
      <c r="C35" s="421" t="s">
        <v>175</v>
      </c>
      <c r="D35" s="421" t="s">
        <v>464</v>
      </c>
      <c r="E35" s="359" t="s">
        <v>422</v>
      </c>
      <c r="F35" s="405"/>
      <c r="G35" s="44" t="s">
        <v>172</v>
      </c>
      <c r="H35" s="46"/>
      <c r="I35" s="46"/>
      <c r="J35" s="46"/>
      <c r="K35" s="46"/>
      <c r="L35" s="46"/>
    </row>
    <row r="36" s="40" customFormat="1" spans="1:12">
      <c r="A36" s="410"/>
      <c r="B36" s="421" t="s">
        <v>465</v>
      </c>
      <c r="C36" s="421" t="s">
        <v>175</v>
      </c>
      <c r="D36" s="421" t="s">
        <v>466</v>
      </c>
      <c r="E36" s="359" t="s">
        <v>422</v>
      </c>
      <c r="F36" s="405"/>
      <c r="G36" s="44" t="s">
        <v>172</v>
      </c>
      <c r="H36" s="46"/>
      <c r="I36" s="46"/>
      <c r="J36" s="46"/>
      <c r="K36" s="46"/>
      <c r="L36" s="46"/>
    </row>
    <row r="37" s="40" customFormat="1" spans="1:12">
      <c r="A37" s="410"/>
      <c r="B37" s="346" t="s">
        <v>467</v>
      </c>
      <c r="C37" s="346" t="s">
        <v>170</v>
      </c>
      <c r="D37" s="346" t="s">
        <v>468</v>
      </c>
      <c r="E37" s="359" t="s">
        <v>422</v>
      </c>
      <c r="F37" s="405"/>
      <c r="G37" s="44" t="s">
        <v>172</v>
      </c>
      <c r="H37" s="46"/>
      <c r="I37" s="46"/>
      <c r="J37" s="46"/>
      <c r="K37" s="46"/>
      <c r="L37" s="46"/>
    </row>
    <row r="38" s="40" customFormat="1" spans="1:12">
      <c r="A38" s="410"/>
      <c r="B38" s="346" t="s">
        <v>469</v>
      </c>
      <c r="C38" s="421" t="s">
        <v>175</v>
      </c>
      <c r="D38" s="346" t="s">
        <v>470</v>
      </c>
      <c r="E38" s="359" t="s">
        <v>422</v>
      </c>
      <c r="F38" s="405"/>
      <c r="G38" s="44" t="s">
        <v>172</v>
      </c>
      <c r="H38" s="46"/>
      <c r="I38" s="46"/>
      <c r="J38" s="46"/>
      <c r="K38" s="46"/>
      <c r="L38" s="46"/>
    </row>
    <row r="39" s="40" customFormat="1" spans="1:12">
      <c r="A39" s="410"/>
      <c r="B39" s="346" t="s">
        <v>471</v>
      </c>
      <c r="C39" s="346" t="s">
        <v>175</v>
      </c>
      <c r="D39" s="346" t="s">
        <v>472</v>
      </c>
      <c r="E39" s="359" t="s">
        <v>422</v>
      </c>
      <c r="F39" s="405"/>
      <c r="G39" s="44" t="s">
        <v>172</v>
      </c>
      <c r="H39" s="46"/>
      <c r="I39" s="46"/>
      <c r="J39" s="46"/>
      <c r="K39" s="46"/>
      <c r="L39" s="46"/>
    </row>
    <row r="40" s="40" customFormat="1" spans="1:12">
      <c r="A40" s="410"/>
      <c r="B40" s="362" t="s">
        <v>473</v>
      </c>
      <c r="C40" s="362" t="s">
        <v>203</v>
      </c>
      <c r="D40" s="362" t="s">
        <v>474</v>
      </c>
      <c r="E40" s="359" t="s">
        <v>422</v>
      </c>
      <c r="F40" s="405"/>
      <c r="G40" s="44" t="s">
        <v>172</v>
      </c>
      <c r="H40" s="46"/>
      <c r="I40" s="46"/>
      <c r="J40" s="46"/>
      <c r="K40" s="46"/>
      <c r="L40" s="46"/>
    </row>
    <row r="41" s="40" customFormat="1" spans="1:12">
      <c r="A41" s="410"/>
      <c r="B41" s="362" t="s">
        <v>475</v>
      </c>
      <c r="C41" s="362" t="s">
        <v>203</v>
      </c>
      <c r="D41" s="362" t="s">
        <v>476</v>
      </c>
      <c r="E41" s="359" t="s">
        <v>422</v>
      </c>
      <c r="F41" s="405"/>
      <c r="G41" s="44" t="s">
        <v>172</v>
      </c>
      <c r="H41" s="46"/>
      <c r="I41" s="46"/>
      <c r="J41" s="46"/>
      <c r="K41" s="46"/>
      <c r="L41" s="46"/>
    </row>
    <row r="42" s="40" customFormat="1" spans="1:12">
      <c r="A42" s="410"/>
      <c r="B42" s="362" t="s">
        <v>477</v>
      </c>
      <c r="C42" s="362" t="s">
        <v>203</v>
      </c>
      <c r="D42" s="362" t="s">
        <v>478</v>
      </c>
      <c r="E42" s="359" t="s">
        <v>422</v>
      </c>
      <c r="F42" s="405"/>
      <c r="G42" s="44" t="s">
        <v>172</v>
      </c>
      <c r="H42" s="46"/>
      <c r="I42" s="46"/>
      <c r="J42" s="46"/>
      <c r="K42" s="46"/>
      <c r="L42" s="46"/>
    </row>
    <row r="43" s="40" customFormat="1" spans="1:12">
      <c r="A43" s="410"/>
      <c r="B43" s="362" t="s">
        <v>479</v>
      </c>
      <c r="C43" s="362" t="s">
        <v>203</v>
      </c>
      <c r="D43" s="362" t="s">
        <v>480</v>
      </c>
      <c r="E43" s="359" t="s">
        <v>422</v>
      </c>
      <c r="F43" s="405"/>
      <c r="G43" s="44" t="s">
        <v>172</v>
      </c>
      <c r="H43" s="46"/>
      <c r="I43" s="46"/>
      <c r="J43" s="46"/>
      <c r="K43" s="46"/>
      <c r="L43" s="46"/>
    </row>
    <row r="44" s="40" customFormat="1" spans="1:12">
      <c r="A44" s="410"/>
      <c r="B44" s="362" t="s">
        <v>481</v>
      </c>
      <c r="C44" s="362" t="s">
        <v>203</v>
      </c>
      <c r="D44" s="362" t="s">
        <v>482</v>
      </c>
      <c r="E44" s="359" t="s">
        <v>422</v>
      </c>
      <c r="F44" s="405"/>
      <c r="G44" s="44" t="s">
        <v>172</v>
      </c>
      <c r="H44" s="46"/>
      <c r="I44" s="46"/>
      <c r="J44" s="46"/>
      <c r="K44" s="46"/>
      <c r="L44" s="46"/>
    </row>
    <row r="45" s="40" customFormat="1" spans="1:12">
      <c r="A45" s="410"/>
      <c r="B45" s="362" t="s">
        <v>483</v>
      </c>
      <c r="C45" s="362" t="s">
        <v>203</v>
      </c>
      <c r="D45" s="362" t="s">
        <v>484</v>
      </c>
      <c r="E45" s="359" t="s">
        <v>422</v>
      </c>
      <c r="F45" s="405"/>
      <c r="G45" s="44" t="s">
        <v>172</v>
      </c>
      <c r="H45" s="46"/>
      <c r="I45" s="46"/>
      <c r="J45" s="46"/>
      <c r="K45" s="46"/>
      <c r="L45" s="46"/>
    </row>
    <row r="46" s="40" customFormat="1" spans="1:12">
      <c r="A46" s="410"/>
      <c r="B46" s="362" t="s">
        <v>485</v>
      </c>
      <c r="C46" s="362" t="s">
        <v>203</v>
      </c>
      <c r="D46" s="362" t="s">
        <v>486</v>
      </c>
      <c r="E46" s="359" t="s">
        <v>422</v>
      </c>
      <c r="F46" s="405"/>
      <c r="G46" s="44" t="s">
        <v>172</v>
      </c>
      <c r="H46" s="46"/>
      <c r="I46" s="46"/>
      <c r="J46" s="46"/>
      <c r="K46" s="46"/>
      <c r="L46" s="46"/>
    </row>
    <row r="47" s="40" customFormat="1" spans="1:12">
      <c r="A47" s="410"/>
      <c r="B47" s="362" t="s">
        <v>487</v>
      </c>
      <c r="C47" s="362" t="s">
        <v>203</v>
      </c>
      <c r="D47" s="362" t="s">
        <v>488</v>
      </c>
      <c r="E47" s="359" t="s">
        <v>422</v>
      </c>
      <c r="F47" s="405"/>
      <c r="G47" s="44" t="s">
        <v>172</v>
      </c>
      <c r="H47" s="46"/>
      <c r="I47" s="46"/>
      <c r="J47" s="46"/>
      <c r="K47" s="46"/>
      <c r="L47" s="46"/>
    </row>
    <row r="48" s="40" customFormat="1" spans="1:12">
      <c r="A48" s="410"/>
      <c r="B48" s="362" t="s">
        <v>489</v>
      </c>
      <c r="C48" s="362" t="s">
        <v>203</v>
      </c>
      <c r="D48" s="362" t="s">
        <v>490</v>
      </c>
      <c r="E48" s="359" t="s">
        <v>422</v>
      </c>
      <c r="F48" s="405"/>
      <c r="G48" s="44" t="s">
        <v>172</v>
      </c>
      <c r="H48" s="46"/>
      <c r="I48" s="46"/>
      <c r="J48" s="46"/>
      <c r="K48" s="46"/>
      <c r="L48" s="46"/>
    </row>
    <row r="49" s="40" customFormat="1" spans="1:12">
      <c r="A49" s="410"/>
      <c r="B49" s="362" t="s">
        <v>491</v>
      </c>
      <c r="C49" s="362" t="s">
        <v>203</v>
      </c>
      <c r="D49" s="362" t="s">
        <v>492</v>
      </c>
      <c r="E49" s="359" t="s">
        <v>422</v>
      </c>
      <c r="F49" s="405"/>
      <c r="G49" s="44" t="s">
        <v>172</v>
      </c>
      <c r="H49" s="46"/>
      <c r="I49" s="46"/>
      <c r="J49" s="46"/>
      <c r="K49" s="46"/>
      <c r="L49" s="46"/>
    </row>
    <row r="50" s="40" customFormat="1" spans="1:12">
      <c r="A50" s="410"/>
      <c r="B50" s="362" t="s">
        <v>493</v>
      </c>
      <c r="C50" s="362" t="s">
        <v>203</v>
      </c>
      <c r="D50" s="362" t="s">
        <v>494</v>
      </c>
      <c r="E50" s="359" t="s">
        <v>422</v>
      </c>
      <c r="F50" s="405"/>
      <c r="G50" s="44" t="s">
        <v>172</v>
      </c>
      <c r="H50" s="46"/>
      <c r="I50" s="46"/>
      <c r="J50" s="46"/>
      <c r="K50" s="46"/>
      <c r="L50" s="46"/>
    </row>
    <row r="51" s="40" customFormat="1" spans="1:12">
      <c r="A51" s="410"/>
      <c r="B51" s="362" t="s">
        <v>495</v>
      </c>
      <c r="C51" s="362" t="s">
        <v>203</v>
      </c>
      <c r="D51" s="362" t="s">
        <v>496</v>
      </c>
      <c r="E51" s="359" t="s">
        <v>422</v>
      </c>
      <c r="F51" s="405"/>
      <c r="G51" s="44" t="s">
        <v>172</v>
      </c>
      <c r="H51" s="46"/>
      <c r="I51" s="46"/>
      <c r="J51" s="46"/>
      <c r="K51" s="46"/>
      <c r="L51" s="46"/>
    </row>
    <row r="52" s="40" customFormat="1" spans="1:12">
      <c r="A52" s="410"/>
      <c r="B52" s="362" t="s">
        <v>497</v>
      </c>
      <c r="C52" s="362" t="s">
        <v>203</v>
      </c>
      <c r="D52" s="362" t="s">
        <v>498</v>
      </c>
      <c r="E52" s="359" t="s">
        <v>422</v>
      </c>
      <c r="F52" s="405"/>
      <c r="G52" s="44" t="s">
        <v>172</v>
      </c>
      <c r="H52" s="46"/>
      <c r="I52" s="46"/>
      <c r="J52" s="46"/>
      <c r="K52" s="46"/>
      <c r="L52" s="46"/>
    </row>
    <row r="53" s="40" customFormat="1" spans="1:12">
      <c r="A53" s="410"/>
      <c r="B53" s="362" t="s">
        <v>499</v>
      </c>
      <c r="C53" s="362" t="s">
        <v>203</v>
      </c>
      <c r="D53" s="362" t="s">
        <v>500</v>
      </c>
      <c r="E53" s="359" t="s">
        <v>422</v>
      </c>
      <c r="F53" s="405"/>
      <c r="G53" s="44" t="s">
        <v>172</v>
      </c>
      <c r="H53" s="46"/>
      <c r="I53" s="46"/>
      <c r="J53" s="46"/>
      <c r="K53" s="46"/>
      <c r="L53" s="46"/>
    </row>
    <row r="54" s="40" customFormat="1" spans="1:12">
      <c r="A54" s="410"/>
      <c r="B54" s="362" t="s">
        <v>501</v>
      </c>
      <c r="C54" s="362" t="s">
        <v>203</v>
      </c>
      <c r="D54" s="362" t="s">
        <v>502</v>
      </c>
      <c r="E54" s="359" t="s">
        <v>422</v>
      </c>
      <c r="F54" s="405"/>
      <c r="G54" s="44" t="s">
        <v>172</v>
      </c>
      <c r="H54" s="46"/>
      <c r="I54" s="46"/>
      <c r="J54" s="46"/>
      <c r="K54" s="46"/>
      <c r="L54" s="46"/>
    </row>
    <row r="55" s="40" customFormat="1" spans="1:12">
      <c r="A55" s="410"/>
      <c r="B55" s="362" t="s">
        <v>503</v>
      </c>
      <c r="C55" s="362" t="s">
        <v>203</v>
      </c>
      <c r="D55" s="362" t="s">
        <v>504</v>
      </c>
      <c r="E55" s="359" t="s">
        <v>422</v>
      </c>
      <c r="F55" s="405"/>
      <c r="G55" s="44" t="s">
        <v>172</v>
      </c>
      <c r="H55" s="46"/>
      <c r="I55" s="46"/>
      <c r="J55" s="46"/>
      <c r="K55" s="46"/>
      <c r="L55" s="46"/>
    </row>
    <row r="56" s="40" customFormat="1" spans="1:12">
      <c r="A56" s="410"/>
      <c r="B56" s="362" t="s">
        <v>505</v>
      </c>
      <c r="C56" s="362" t="s">
        <v>203</v>
      </c>
      <c r="D56" s="362" t="s">
        <v>506</v>
      </c>
      <c r="E56" s="359" t="s">
        <v>422</v>
      </c>
      <c r="F56" s="405"/>
      <c r="G56" s="44" t="s">
        <v>172</v>
      </c>
      <c r="H56" s="46"/>
      <c r="I56" s="46"/>
      <c r="J56" s="46"/>
      <c r="K56" s="46"/>
      <c r="L56" s="46"/>
    </row>
    <row r="57" s="40" customFormat="1" spans="1:12">
      <c r="A57" s="410"/>
      <c r="B57" s="362" t="s">
        <v>507</v>
      </c>
      <c r="C57" s="362" t="s">
        <v>203</v>
      </c>
      <c r="D57" s="362" t="s">
        <v>508</v>
      </c>
      <c r="E57" s="359" t="s">
        <v>422</v>
      </c>
      <c r="F57" s="405"/>
      <c r="G57" s="44" t="s">
        <v>172</v>
      </c>
      <c r="H57" s="46"/>
      <c r="I57" s="46"/>
      <c r="J57" s="46"/>
      <c r="K57" s="46"/>
      <c r="L57" s="46"/>
    </row>
    <row r="58" s="40" customFormat="1" spans="1:12">
      <c r="A58" s="410"/>
      <c r="B58" s="362" t="s">
        <v>509</v>
      </c>
      <c r="C58" s="362" t="s">
        <v>203</v>
      </c>
      <c r="D58" s="362" t="s">
        <v>510</v>
      </c>
      <c r="E58" s="359" t="s">
        <v>422</v>
      </c>
      <c r="F58" s="405"/>
      <c r="G58" s="44" t="s">
        <v>172</v>
      </c>
      <c r="H58" s="46"/>
      <c r="I58" s="46"/>
      <c r="J58" s="46"/>
      <c r="K58" s="46"/>
      <c r="L58" s="46"/>
    </row>
    <row r="59" s="40" customFormat="1" spans="1:12">
      <c r="A59" s="410"/>
      <c r="B59" s="362" t="s">
        <v>511</v>
      </c>
      <c r="C59" s="362" t="s">
        <v>203</v>
      </c>
      <c r="D59" s="362" t="s">
        <v>512</v>
      </c>
      <c r="E59" s="359" t="s">
        <v>422</v>
      </c>
      <c r="F59" s="405"/>
      <c r="G59" s="44" t="s">
        <v>172</v>
      </c>
      <c r="H59" s="46"/>
      <c r="I59" s="46"/>
      <c r="J59" s="46"/>
      <c r="K59" s="46"/>
      <c r="L59" s="46"/>
    </row>
    <row r="60" s="40" customFormat="1" spans="1:12">
      <c r="A60" s="410"/>
      <c r="B60" s="362" t="s">
        <v>513</v>
      </c>
      <c r="C60" s="362" t="s">
        <v>203</v>
      </c>
      <c r="D60" s="362" t="s">
        <v>514</v>
      </c>
      <c r="E60" s="359" t="s">
        <v>422</v>
      </c>
      <c r="F60" s="405"/>
      <c r="G60" s="44" t="s">
        <v>172</v>
      </c>
      <c r="H60" s="46"/>
      <c r="I60" s="46"/>
      <c r="J60" s="46"/>
      <c r="K60" s="46"/>
      <c r="L60" s="46"/>
    </row>
    <row r="61" s="40" customFormat="1" spans="1:12">
      <c r="A61" s="410"/>
      <c r="B61" s="362" t="s">
        <v>515</v>
      </c>
      <c r="C61" s="362" t="s">
        <v>203</v>
      </c>
      <c r="D61" s="362" t="s">
        <v>516</v>
      </c>
      <c r="E61" s="359" t="s">
        <v>422</v>
      </c>
      <c r="F61" s="405"/>
      <c r="G61" s="44" t="s">
        <v>172</v>
      </c>
      <c r="H61" s="46"/>
      <c r="I61" s="46"/>
      <c r="J61" s="46"/>
      <c r="K61" s="46"/>
      <c r="L61" s="46"/>
    </row>
    <row r="62" spans="1:12">
      <c r="A62" s="410"/>
      <c r="B62" s="348" t="s">
        <v>239</v>
      </c>
      <c r="C62" s="349" t="s">
        <v>170</v>
      </c>
      <c r="D62" s="349" t="s">
        <v>240</v>
      </c>
      <c r="E62" s="422"/>
      <c r="F62" s="18"/>
      <c r="G62" s="405"/>
      <c r="H62" s="46"/>
      <c r="I62" s="1"/>
      <c r="J62" s="1"/>
      <c r="K62" s="1"/>
      <c r="L62" s="1"/>
    </row>
    <row r="63" spans="1:12">
      <c r="A63" s="410"/>
      <c r="B63" s="348" t="s">
        <v>177</v>
      </c>
      <c r="C63" s="349" t="s">
        <v>175</v>
      </c>
      <c r="D63" s="349" t="s">
        <v>176</v>
      </c>
      <c r="E63" s="422"/>
      <c r="F63" s="18"/>
      <c r="G63" s="405"/>
      <c r="H63" s="46"/>
      <c r="I63" s="1"/>
      <c r="J63" s="1"/>
      <c r="K63" s="1"/>
      <c r="L63" s="1"/>
    </row>
    <row r="64" spans="5:5">
      <c r="E64" s="40"/>
    </row>
  </sheetData>
  <mergeCells count="1">
    <mergeCell ref="B9:L9"/>
  </mergeCells>
  <dataValidations count="1">
    <dataValidation type="list" allowBlank="1" showInputMessage="1" showErrorMessage="1" sqref="E4">
      <formula1>"D: Daily,W: Weekly,M: Monthly,Y: Yearly,D: Daily &amp; W: Weekly &amp;M: Monthly,H: Hourly"</formula1>
    </dataValidation>
  </dataValidations>
  <hyperlinks>
    <hyperlink ref="B1" location="导航!A1" display="=HYPERLINK(&quot;#&quot;&amp;&quot;导航应用&quot;&amp;&quot;!B1&quot;,&quot;返回&quot;)"/>
  </hyperlink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42"/>
  <sheetViews>
    <sheetView topLeftCell="A6" workbookViewId="0">
      <selection activeCell="C4" sqref="C4"/>
    </sheetView>
  </sheetViews>
  <sheetFormatPr defaultColWidth="9" defaultRowHeight="13.8"/>
  <cols>
    <col min="1" max="1" width="5" style="321" customWidth="1"/>
    <col min="2" max="2" width="31.5" style="321" customWidth="1"/>
    <col min="3" max="3" width="53.7777777777778" style="321" customWidth="1"/>
    <col min="4" max="4" width="31.5" style="321" customWidth="1"/>
    <col min="5" max="5" width="16.25" style="321" customWidth="1"/>
    <col min="6" max="6" width="15.6296296296296" style="321" customWidth="1"/>
    <col min="7" max="7" width="99.8888888888889" style="321" customWidth="1"/>
    <col min="8" max="8" width="12" style="321" customWidth="1"/>
    <col min="9" max="9" width="31.1111111111111" style="322" customWidth="1"/>
    <col min="10" max="10" width="12.5" style="321" customWidth="1"/>
    <col min="11" max="11" width="14.1296296296296" style="321" customWidth="1"/>
    <col min="12" max="12" width="12.3796296296296" style="321" customWidth="1"/>
    <col min="13" max="16384" width="9" style="321"/>
  </cols>
  <sheetData>
    <row r="1" s="40" customFormat="1" ht="15" spans="2:9">
      <c r="B1" s="43" t="str">
        <f>HYPERLINK("#"&amp;"导航应用"&amp;"!B1","返回")</f>
        <v>返回</v>
      </c>
      <c r="C1" s="44"/>
      <c r="D1" s="44"/>
      <c r="E1" s="45"/>
      <c r="F1" s="46"/>
      <c r="G1" s="46"/>
      <c r="H1" s="47"/>
      <c r="I1" s="390"/>
    </row>
    <row r="2" ht="17.4" spans="2:8">
      <c r="B2" s="324" t="s">
        <v>132</v>
      </c>
      <c r="C2" s="324"/>
      <c r="D2" s="324"/>
      <c r="E2" s="324"/>
      <c r="F2" s="324"/>
      <c r="G2" s="324"/>
      <c r="H2" s="324"/>
    </row>
    <row r="3" ht="15.6" spans="2:8">
      <c r="B3" s="326" t="s">
        <v>133</v>
      </c>
      <c r="C3" s="326" t="s">
        <v>134</v>
      </c>
      <c r="D3" s="326" t="s">
        <v>135</v>
      </c>
      <c r="E3" s="326" t="s">
        <v>136</v>
      </c>
      <c r="F3" s="326" t="s">
        <v>137</v>
      </c>
      <c r="G3" s="326" t="s">
        <v>138</v>
      </c>
      <c r="H3" s="326" t="s">
        <v>139</v>
      </c>
    </row>
    <row r="4" ht="15.6" spans="2:14">
      <c r="B4" s="6" t="s">
        <v>517</v>
      </c>
      <c r="C4" s="352" t="s">
        <v>47</v>
      </c>
      <c r="D4" s="352" t="s">
        <v>48</v>
      </c>
      <c r="E4" s="6" t="s">
        <v>174</v>
      </c>
      <c r="F4" s="6" t="s">
        <v>141</v>
      </c>
      <c r="G4" s="29"/>
      <c r="H4" s="6" t="s">
        <v>518</v>
      </c>
      <c r="N4" s="350"/>
    </row>
    <row r="5" ht="15" spans="2:8">
      <c r="B5" s="332"/>
      <c r="C5" s="332"/>
      <c r="D5" s="332"/>
      <c r="E5" s="332"/>
      <c r="F5" s="332"/>
      <c r="G5" s="332"/>
      <c r="H5" s="332"/>
    </row>
    <row r="6" ht="17.4" spans="2:8">
      <c r="B6" s="324" t="s">
        <v>142</v>
      </c>
      <c r="C6" s="324"/>
      <c r="D6" s="324"/>
      <c r="E6" s="324"/>
      <c r="F6" s="324"/>
      <c r="G6" s="324"/>
      <c r="H6" s="324"/>
    </row>
    <row r="7" ht="15.6" spans="2:8">
      <c r="B7" s="334" t="s">
        <v>143</v>
      </c>
      <c r="C7" s="334" t="s">
        <v>144</v>
      </c>
      <c r="D7" s="334" t="s">
        <v>145</v>
      </c>
      <c r="E7" s="334" t="s">
        <v>146</v>
      </c>
      <c r="F7" s="334" t="s">
        <v>147</v>
      </c>
      <c r="G7" s="334" t="s">
        <v>13</v>
      </c>
      <c r="H7" s="334" t="s">
        <v>148</v>
      </c>
    </row>
    <row r="8" s="40" customFormat="1" ht="16.5" customHeight="1" spans="2:8">
      <c r="B8" s="335" t="s">
        <v>149</v>
      </c>
      <c r="C8" s="369" t="s">
        <v>114</v>
      </c>
      <c r="D8" s="330" t="s">
        <v>115</v>
      </c>
      <c r="E8" s="330" t="s">
        <v>151</v>
      </c>
      <c r="F8" s="370"/>
      <c r="G8" s="371" t="s">
        <v>519</v>
      </c>
      <c r="H8" s="6" t="s">
        <v>21</v>
      </c>
    </row>
    <row r="9" s="40" customFormat="1" ht="15" spans="1:9">
      <c r="A9" s="5"/>
      <c r="B9" s="335" t="s">
        <v>149</v>
      </c>
      <c r="C9" s="369" t="s">
        <v>117</v>
      </c>
      <c r="D9" s="330" t="s">
        <v>118</v>
      </c>
      <c r="E9" s="359" t="s">
        <v>156</v>
      </c>
      <c r="F9" s="370"/>
      <c r="G9" s="371"/>
      <c r="H9" s="6" t="s">
        <v>21</v>
      </c>
      <c r="I9" s="322"/>
    </row>
    <row r="10" ht="78" customHeight="1" spans="2:8">
      <c r="B10" s="372" t="s">
        <v>149</v>
      </c>
      <c r="C10" s="373" t="s">
        <v>16</v>
      </c>
      <c r="D10" s="374" t="s">
        <v>17</v>
      </c>
      <c r="E10" s="346" t="s">
        <v>275</v>
      </c>
      <c r="F10" s="346"/>
      <c r="G10" s="371"/>
      <c r="H10" s="346"/>
    </row>
    <row r="11" ht="15" spans="2:8">
      <c r="B11" s="372" t="s">
        <v>149</v>
      </c>
      <c r="C11" s="352" t="s">
        <v>47</v>
      </c>
      <c r="D11" s="352" t="s">
        <v>48</v>
      </c>
      <c r="E11" s="346" t="s">
        <v>520</v>
      </c>
      <c r="F11" s="346" t="s">
        <v>521</v>
      </c>
      <c r="G11" s="371"/>
      <c r="H11" s="346"/>
    </row>
    <row r="12" spans="2:12">
      <c r="B12" s="375" t="s">
        <v>158</v>
      </c>
      <c r="C12" s="375"/>
      <c r="D12" s="375"/>
      <c r="E12" s="375"/>
      <c r="F12" s="375"/>
      <c r="G12" s="375"/>
      <c r="H12" s="375"/>
      <c r="I12" s="375"/>
      <c r="J12" s="375"/>
      <c r="K12" s="375"/>
      <c r="L12" s="391"/>
    </row>
    <row r="13" ht="24" spans="2:14">
      <c r="B13" s="376" t="s">
        <v>159</v>
      </c>
      <c r="C13" s="377" t="s">
        <v>160</v>
      </c>
      <c r="D13" s="377" t="s">
        <v>161</v>
      </c>
      <c r="E13" s="377" t="s">
        <v>162</v>
      </c>
      <c r="F13" s="377" t="s">
        <v>163</v>
      </c>
      <c r="G13" s="377" t="s">
        <v>164</v>
      </c>
      <c r="H13" s="377" t="s">
        <v>165</v>
      </c>
      <c r="I13" s="377" t="s">
        <v>13</v>
      </c>
      <c r="J13" s="377" t="s">
        <v>166</v>
      </c>
      <c r="K13" s="377" t="s">
        <v>167</v>
      </c>
      <c r="L13" s="377" t="s">
        <v>168</v>
      </c>
      <c r="M13" s="321" t="s">
        <v>522</v>
      </c>
      <c r="N13" s="321" t="s">
        <v>523</v>
      </c>
    </row>
    <row r="14" ht="15" spans="2:13">
      <c r="B14" s="330" t="s">
        <v>174</v>
      </c>
      <c r="C14" s="6" t="s">
        <v>175</v>
      </c>
      <c r="D14" s="330" t="s">
        <v>524</v>
      </c>
      <c r="E14" s="6"/>
      <c r="F14" s="330"/>
      <c r="G14" s="344"/>
      <c r="H14" s="6"/>
      <c r="I14" s="330"/>
      <c r="J14" s="6" t="s">
        <v>173</v>
      </c>
      <c r="K14" s="6"/>
      <c r="L14" s="30"/>
      <c r="M14" s="321" t="str">
        <f>_xlfn.CONCAT(",",G14," as ",B14)</f>
        <v>, as day</v>
      </c>
    </row>
    <row r="15" s="320" customFormat="1" ht="26.4" spans="1:13">
      <c r="A15" s="378"/>
      <c r="B15" s="379" t="s">
        <v>169</v>
      </c>
      <c r="C15" s="6" t="s">
        <v>170</v>
      </c>
      <c r="D15" s="30" t="s">
        <v>525</v>
      </c>
      <c r="E15" s="6" t="s">
        <v>242</v>
      </c>
      <c r="F15" s="367" t="s">
        <v>169</v>
      </c>
      <c r="G15" s="358" t="s">
        <v>526</v>
      </c>
      <c r="H15" s="30"/>
      <c r="I15" s="330"/>
      <c r="J15" s="6" t="s">
        <v>173</v>
      </c>
      <c r="K15" s="30"/>
      <c r="L15" s="30"/>
      <c r="M15" s="321" t="str">
        <f t="shared" ref="M15:M42" si="0">_xlfn.CONCAT(",",G15," as ",B15)</f>
        <v>,全国维度时，置null; 省市维度时直取 as provincecode</v>
      </c>
    </row>
    <row r="16" s="320" customFormat="1" ht="26.4" spans="1:13">
      <c r="A16" s="380"/>
      <c r="B16" s="379" t="s">
        <v>178</v>
      </c>
      <c r="C16" s="6" t="s">
        <v>170</v>
      </c>
      <c r="D16" s="30" t="s">
        <v>527</v>
      </c>
      <c r="E16" s="6" t="s">
        <v>242</v>
      </c>
      <c r="F16" s="330" t="s">
        <v>178</v>
      </c>
      <c r="G16" s="358" t="s">
        <v>528</v>
      </c>
      <c r="H16" s="11"/>
      <c r="I16" s="330"/>
      <c r="J16" s="6" t="s">
        <v>173</v>
      </c>
      <c r="K16" s="30"/>
      <c r="L16" s="30"/>
      <c r="M16" s="321" t="str">
        <f t="shared" si="0"/>
        <v>,全国省维度时，置null; 市维度时直取 as citycode</v>
      </c>
    </row>
    <row r="17" spans="2:13">
      <c r="B17" s="361" t="s">
        <v>529</v>
      </c>
      <c r="C17" s="6" t="s">
        <v>170</v>
      </c>
      <c r="D17" s="330" t="s">
        <v>530</v>
      </c>
      <c r="E17" s="6" t="s">
        <v>242</v>
      </c>
      <c r="F17" s="330"/>
      <c r="G17" s="363" t="s">
        <v>531</v>
      </c>
      <c r="H17" s="6"/>
      <c r="I17" s="330" t="s">
        <v>531</v>
      </c>
      <c r="J17" s="6" t="s">
        <v>173</v>
      </c>
      <c r="K17" s="6" t="s">
        <v>237</v>
      </c>
      <c r="L17" s="30" t="s">
        <v>532</v>
      </c>
      <c r="M17" s="321" t="str">
        <f t="shared" si="0"/>
        <v>,0：全国维度
1：省维度
2：市维度 as data_level</v>
      </c>
    </row>
    <row r="18" spans="2:13">
      <c r="B18" s="30" t="s">
        <v>533</v>
      </c>
      <c r="C18" s="6" t="s">
        <v>203</v>
      </c>
      <c r="D18" s="330" t="s">
        <v>534</v>
      </c>
      <c r="E18" s="6" t="s">
        <v>242</v>
      </c>
      <c r="F18" s="6"/>
      <c r="G18" s="363" t="s">
        <v>310</v>
      </c>
      <c r="H18" s="6"/>
      <c r="I18" s="330" t="s">
        <v>535</v>
      </c>
      <c r="J18" s="6" t="s">
        <v>222</v>
      </c>
      <c r="K18" s="6"/>
      <c r="L18" s="30"/>
      <c r="M18" s="321" t="str">
        <f t="shared" si="0"/>
        <v>,(1-sum(total_badcnt)/sum(total_cnt))*100 as data_perception_score</v>
      </c>
    </row>
    <row r="19" ht="15" spans="2:13">
      <c r="B19" s="363" t="s">
        <v>536</v>
      </c>
      <c r="C19" s="6" t="s">
        <v>203</v>
      </c>
      <c r="D19" s="330" t="s">
        <v>537</v>
      </c>
      <c r="E19" s="6" t="s">
        <v>242</v>
      </c>
      <c r="F19" s="330"/>
      <c r="G19" s="381" t="s">
        <v>538</v>
      </c>
      <c r="H19" s="6"/>
      <c r="I19" s="330" t="s">
        <v>539</v>
      </c>
      <c r="J19" s="6" t="s">
        <v>222</v>
      </c>
      <c r="K19" s="6"/>
      <c r="L19" s="30"/>
      <c r="M19" s="321" t="str">
        <f t="shared" si="0"/>
        <v>,sum(nvl(total_rsrp_cnt)-nvl(less110_rsrp_cnt)+nvl(total_ssrsrp_cnt)-nvl(less110_ssrsrp_cnt,0))/sum(nvl(total_rsrp_cnt,0)+nvl(total_ssrsrp_cnt)) as cover_ratio</v>
      </c>
    </row>
    <row r="20" s="368" customFormat="1" ht="15.6" spans="1:13">
      <c r="A20" s="382"/>
      <c r="B20" s="383" t="s">
        <v>357</v>
      </c>
      <c r="C20" s="384" t="s">
        <v>203</v>
      </c>
      <c r="D20" s="362" t="s">
        <v>540</v>
      </c>
      <c r="E20" s="6" t="s">
        <v>242</v>
      </c>
      <c r="F20" s="216"/>
      <c r="G20" s="385" t="s">
        <v>408</v>
      </c>
      <c r="H20" s="362"/>
      <c r="I20" s="362" t="s">
        <v>541</v>
      </c>
      <c r="J20" s="6" t="s">
        <v>222</v>
      </c>
      <c r="K20" s="362"/>
      <c r="L20" s="362"/>
      <c r="M20" s="321" t="str">
        <f t="shared" si="0"/>
        <v>,sum(nvl(attach_suc,0)+nvl(regis_suc,0))/sum(nvl(attach_req,0)+nvl(regis_req,0)) as attach_succ_ratio</v>
      </c>
    </row>
    <row r="21" s="368" customFormat="1" ht="15.6" spans="1:13">
      <c r="A21" s="382"/>
      <c r="B21" s="383" t="s">
        <v>542</v>
      </c>
      <c r="C21" s="384" t="s">
        <v>203</v>
      </c>
      <c r="D21" s="362" t="s">
        <v>361</v>
      </c>
      <c r="E21" s="6" t="s">
        <v>242</v>
      </c>
      <c r="G21" s="148" t="s">
        <v>409</v>
      </c>
      <c r="H21" s="362"/>
      <c r="I21" s="362" t="s">
        <v>541</v>
      </c>
      <c r="J21" s="6" t="s">
        <v>222</v>
      </c>
      <c r="K21" s="362"/>
      <c r="L21" s="362"/>
      <c r="M21" s="321" t="str">
        <f t="shared" si="0"/>
        <v>,sum(nvl(uecntx_abnormrel,0)+nvl(ue_normalcontextrelease,0))/sum(nvl(uecntx_abnormrel,0)+nvl(uecntx_normrel,0)+nvl(ue_contextrelease,0)) as drop_ratio</v>
      </c>
    </row>
    <row r="22" spans="2:13">
      <c r="B22" s="363" t="s">
        <v>363</v>
      </c>
      <c r="C22" s="384" t="s">
        <v>203</v>
      </c>
      <c r="D22" s="362" t="s">
        <v>364</v>
      </c>
      <c r="E22" s="6" t="s">
        <v>242</v>
      </c>
      <c r="F22" s="216"/>
      <c r="G22" s="363" t="s">
        <v>410</v>
      </c>
      <c r="H22" s="6"/>
      <c r="I22" s="362" t="s">
        <v>541</v>
      </c>
      <c r="J22" s="6" t="s">
        <v>222</v>
      </c>
      <c r="K22" s="6"/>
      <c r="L22" s="30"/>
      <c r="M22" s="321" t="str">
        <f t="shared" si="0"/>
        <v>,sum(nvl(ho_succoutintraenb,0)+nvl(ho_succsamefreq,0)+nvl(ho_succdifffreq,0))/sum(nvl(ho_attsamefreq,0)+nvl(ho_attdifffreq,0)+nvl(ho_attoutintraenb,0)) as handover_succ_ratio</v>
      </c>
    </row>
    <row r="23" spans="2:13">
      <c r="B23" s="386" t="s">
        <v>543</v>
      </c>
      <c r="C23" s="6" t="s">
        <v>203</v>
      </c>
      <c r="D23" s="330" t="s">
        <v>544</v>
      </c>
      <c r="E23" s="6" t="s">
        <v>275</v>
      </c>
      <c r="F23" s="6"/>
      <c r="G23" s="363" t="s">
        <v>545</v>
      </c>
      <c r="H23" s="6"/>
      <c r="I23" s="330" t="s">
        <v>539</v>
      </c>
      <c r="J23" s="6" t="s">
        <v>222</v>
      </c>
      <c r="K23" s="6"/>
      <c r="L23" s="30"/>
      <c r="M23" s="321" t="str">
        <f t="shared" si="0"/>
        <v>,sum(weak_cover_flag)/count(weak_cover_flag) as coverbad_road_ratio</v>
      </c>
    </row>
    <row r="24" ht="15" spans="2:13">
      <c r="B24" s="363" t="s">
        <v>335</v>
      </c>
      <c r="C24" s="6" t="s">
        <v>203</v>
      </c>
      <c r="D24" s="330" t="s">
        <v>546</v>
      </c>
      <c r="E24" s="6" t="s">
        <v>275</v>
      </c>
      <c r="F24" s="330"/>
      <c r="G24" s="381" t="s">
        <v>547</v>
      </c>
      <c r="H24" s="6"/>
      <c r="I24" s="330" t="s">
        <v>548</v>
      </c>
      <c r="J24" s="6" t="s">
        <v>222</v>
      </c>
      <c r="K24" s="6"/>
      <c r="L24" s="30"/>
      <c r="M24" s="321" t="str">
        <f t="shared" si="0"/>
        <v>,sum(case when rsrp&gt;=-110 and rattype='4G' then 1 else 0 end)/sum(case when rattype='4G' then 1 else 0 end) as lte_cover_ratio</v>
      </c>
    </row>
    <row r="25" ht="15" spans="2:13">
      <c r="B25" s="363" t="s">
        <v>549</v>
      </c>
      <c r="C25" s="331" t="s">
        <v>203</v>
      </c>
      <c r="D25" s="330" t="s">
        <v>550</v>
      </c>
      <c r="E25" s="6" t="s">
        <v>520</v>
      </c>
      <c r="F25" s="363" t="s">
        <v>549</v>
      </c>
      <c r="G25" s="344" t="s">
        <v>551</v>
      </c>
      <c r="H25" s="6"/>
      <c r="I25" s="330" t="s">
        <v>539</v>
      </c>
      <c r="J25" s="6" t="s">
        <v>222</v>
      </c>
      <c r="K25" s="6"/>
      <c r="L25" s="30"/>
      <c r="M25" s="321" t="str">
        <f t="shared" si="0"/>
        <v>,4G综合覆盖率环比=(当天-前一天)/前一天 as lte_cover_ratio_dod</v>
      </c>
    </row>
    <row r="26" ht="15" spans="2:13">
      <c r="B26" s="386" t="s">
        <v>552</v>
      </c>
      <c r="C26" s="331" t="s">
        <v>203</v>
      </c>
      <c r="D26" s="330" t="s">
        <v>553</v>
      </c>
      <c r="E26" s="6" t="s">
        <v>275</v>
      </c>
      <c r="F26" s="6"/>
      <c r="G26" s="381" t="s">
        <v>554</v>
      </c>
      <c r="H26" s="6"/>
      <c r="I26" s="330" t="s">
        <v>548</v>
      </c>
      <c r="J26" s="6" t="s">
        <v>222</v>
      </c>
      <c r="K26" s="6"/>
      <c r="L26" s="30"/>
      <c r="M26" s="321" t="str">
        <f t="shared" si="0"/>
        <v>,sum(case when rsrp&gt;=-80 and rattype='4G' then 1 else 0 end)/sum(case when rattype='4G' then 1 else 0 end) as lte_rsrp_seg1_ratio</v>
      </c>
    </row>
    <row r="27" ht="15" spans="2:13">
      <c r="B27" s="386" t="s">
        <v>555</v>
      </c>
      <c r="C27" s="331" t="s">
        <v>203</v>
      </c>
      <c r="D27" s="330" t="s">
        <v>556</v>
      </c>
      <c r="E27" s="6" t="s">
        <v>275</v>
      </c>
      <c r="F27" s="6"/>
      <c r="G27" s="381" t="s">
        <v>557</v>
      </c>
      <c r="H27" s="6"/>
      <c r="I27" s="330" t="s">
        <v>548</v>
      </c>
      <c r="J27" s="6" t="s">
        <v>222</v>
      </c>
      <c r="K27" s="6"/>
      <c r="L27" s="30"/>
      <c r="M27" s="321" t="str">
        <f t="shared" si="0"/>
        <v>,sum(case when rsrp&lt;-80 and  rsrp&gt;=-90 and rattype='4G' then 1 else 0 end)/sum(case when rattype='4G' then 1 else 0 end) as lte_rsrp_seg2_ratio</v>
      </c>
    </row>
    <row r="28" ht="15" spans="2:13">
      <c r="B28" s="386" t="s">
        <v>558</v>
      </c>
      <c r="C28" s="331" t="s">
        <v>203</v>
      </c>
      <c r="D28" s="330" t="s">
        <v>559</v>
      </c>
      <c r="E28" s="6" t="s">
        <v>275</v>
      </c>
      <c r="F28" s="6"/>
      <c r="G28" s="381" t="s">
        <v>560</v>
      </c>
      <c r="H28" s="6"/>
      <c r="I28" s="330" t="s">
        <v>548</v>
      </c>
      <c r="J28" s="6" t="s">
        <v>222</v>
      </c>
      <c r="K28" s="6"/>
      <c r="L28" s="30"/>
      <c r="M28" s="321" t="str">
        <f t="shared" si="0"/>
        <v>,sum(case when rsrp&lt;-90 and  rsrp&gt;=-100 and rattype='4G' then 1 else 0 end)/sum(case when rattype='4G' then 1 else 0 end) as lte_rsrp_seg3_ratio</v>
      </c>
    </row>
    <row r="29" ht="15" spans="2:13">
      <c r="B29" s="386" t="s">
        <v>561</v>
      </c>
      <c r="C29" s="331" t="s">
        <v>203</v>
      </c>
      <c r="D29" s="330" t="s">
        <v>562</v>
      </c>
      <c r="E29" s="6" t="s">
        <v>275</v>
      </c>
      <c r="F29" s="6"/>
      <c r="G29" s="381" t="s">
        <v>563</v>
      </c>
      <c r="H29" s="6"/>
      <c r="I29" s="330" t="s">
        <v>548</v>
      </c>
      <c r="J29" s="6" t="s">
        <v>222</v>
      </c>
      <c r="K29" s="6"/>
      <c r="L29" s="30"/>
      <c r="M29" s="321" t="str">
        <f t="shared" si="0"/>
        <v>,sum(case when rsrp&lt;-100 and  rsrp&gt;=-105 and rattype='4G' then 1 else 0 end)/sum(case when rattype='4G' then 1 else 0 end) as lte_rsrp_seg4_ratio</v>
      </c>
    </row>
    <row r="30" ht="15" spans="2:13">
      <c r="B30" s="386" t="s">
        <v>564</v>
      </c>
      <c r="C30" s="331" t="s">
        <v>203</v>
      </c>
      <c r="D30" s="330" t="s">
        <v>565</v>
      </c>
      <c r="E30" s="6" t="s">
        <v>275</v>
      </c>
      <c r="F30" s="6"/>
      <c r="G30" s="381" t="s">
        <v>566</v>
      </c>
      <c r="H30" s="6"/>
      <c r="I30" s="330" t="s">
        <v>548</v>
      </c>
      <c r="J30" s="6" t="s">
        <v>222</v>
      </c>
      <c r="K30" s="6"/>
      <c r="L30" s="30"/>
      <c r="M30" s="321" t="str">
        <f t="shared" si="0"/>
        <v>,sum(case when rsrp&lt;-105 and  rsrp&gt;=-110 and rattype='4G' then 1 else 0 end)/sum(case when rattype='4G' then 1 else 0 end) as lte_rsrp_seg5_ratio</v>
      </c>
    </row>
    <row r="31" ht="15" spans="2:13">
      <c r="B31" s="386" t="s">
        <v>567</v>
      </c>
      <c r="C31" s="331" t="s">
        <v>203</v>
      </c>
      <c r="D31" s="330" t="s">
        <v>568</v>
      </c>
      <c r="E31" s="6" t="s">
        <v>275</v>
      </c>
      <c r="F31" s="6"/>
      <c r="G31" s="381" t="s">
        <v>569</v>
      </c>
      <c r="H31" s="6"/>
      <c r="I31" s="330" t="s">
        <v>548</v>
      </c>
      <c r="J31" s="6" t="s">
        <v>222</v>
      </c>
      <c r="K31" s="6"/>
      <c r="L31" s="30"/>
      <c r="M31" s="321" t="str">
        <f t="shared" si="0"/>
        <v>,sum(case when rsrp&lt;-110 and  rsrp&gt;=-115 and rattype='4G' then 1 else 0 end)/sum(case when rattype='4G' then 1 else 0 end) as lte_rsrp_seg6_ratio</v>
      </c>
    </row>
    <row r="32" ht="15" spans="2:13">
      <c r="B32" s="386" t="s">
        <v>570</v>
      </c>
      <c r="C32" s="331" t="s">
        <v>203</v>
      </c>
      <c r="D32" s="330" t="s">
        <v>571</v>
      </c>
      <c r="E32" s="6" t="s">
        <v>275</v>
      </c>
      <c r="F32" s="6"/>
      <c r="G32" s="381" t="s">
        <v>572</v>
      </c>
      <c r="H32" s="6"/>
      <c r="I32" s="330" t="s">
        <v>548</v>
      </c>
      <c r="J32" s="6" t="s">
        <v>222</v>
      </c>
      <c r="K32" s="6"/>
      <c r="L32" s="30"/>
      <c r="M32" s="321" t="str">
        <f t="shared" si="0"/>
        <v>,sum(case when rsrp&lt;-115 and rattype='4G' then 1 else 0 end)/sum(case when rattype='4G' then 1 else 0 end) as lte_rsrp_seg7_ratio</v>
      </c>
    </row>
    <row r="33" ht="15" spans="2:13">
      <c r="B33" s="363" t="s">
        <v>338</v>
      </c>
      <c r="C33" s="6" t="s">
        <v>203</v>
      </c>
      <c r="D33" s="330" t="s">
        <v>573</v>
      </c>
      <c r="E33" s="6" t="s">
        <v>275</v>
      </c>
      <c r="F33" s="330"/>
      <c r="G33" s="381" t="s">
        <v>574</v>
      </c>
      <c r="H33" s="6"/>
      <c r="I33" s="330" t="s">
        <v>548</v>
      </c>
      <c r="J33" s="6" t="s">
        <v>222</v>
      </c>
      <c r="K33" s="6"/>
      <c r="L33" s="30"/>
      <c r="M33" s="321" t="str">
        <f t="shared" si="0"/>
        <v>,sum(case when rsrp&gt;=-110 and rattype='5G' then 1 else 0 end)/sum(case when rattype='5G' then 1 else 0 end) as nr_cover_ratio</v>
      </c>
    </row>
    <row r="34" ht="15" spans="2:13">
      <c r="B34" s="363" t="s">
        <v>575</v>
      </c>
      <c r="C34" s="331" t="s">
        <v>203</v>
      </c>
      <c r="D34" s="330" t="s">
        <v>576</v>
      </c>
      <c r="E34" s="6" t="s">
        <v>275</v>
      </c>
      <c r="F34" s="330"/>
      <c r="G34" s="344" t="s">
        <v>577</v>
      </c>
      <c r="H34" s="6"/>
      <c r="I34" s="330" t="s">
        <v>539</v>
      </c>
      <c r="J34" s="6" t="s">
        <v>222</v>
      </c>
      <c r="K34" s="6"/>
      <c r="L34" s="30"/>
      <c r="M34" s="321" t="str">
        <f t="shared" si="0"/>
        <v>,5G综合覆盖率环比=(当天-前一天)/前一天 as nr_cover_ratio_dod</v>
      </c>
    </row>
    <row r="35" ht="15" spans="2:13">
      <c r="B35" s="386" t="s">
        <v>578</v>
      </c>
      <c r="C35" s="331" t="s">
        <v>203</v>
      </c>
      <c r="D35" s="330" t="s">
        <v>579</v>
      </c>
      <c r="E35" s="6" t="s">
        <v>275</v>
      </c>
      <c r="F35" s="363" t="s">
        <v>575</v>
      </c>
      <c r="G35" s="381" t="s">
        <v>580</v>
      </c>
      <c r="H35" s="6"/>
      <c r="I35" s="330" t="s">
        <v>548</v>
      </c>
      <c r="J35" s="6" t="s">
        <v>222</v>
      </c>
      <c r="K35" s="6"/>
      <c r="L35" s="30"/>
      <c r="M35" s="321" t="str">
        <f t="shared" si="0"/>
        <v>,sum(case when rsrp&gt;=-80 and rattype='5G' then 1 else 0 end)/sum(case when rattype='5G' then 1 else 0 end) as nr_rsrp_seg1_ratio</v>
      </c>
    </row>
    <row r="36" ht="15" spans="2:13">
      <c r="B36" s="386" t="s">
        <v>581</v>
      </c>
      <c r="C36" s="331" t="s">
        <v>203</v>
      </c>
      <c r="D36" s="330" t="s">
        <v>582</v>
      </c>
      <c r="E36" s="6" t="s">
        <v>275</v>
      </c>
      <c r="F36" s="6"/>
      <c r="G36" s="381" t="s">
        <v>583</v>
      </c>
      <c r="H36" s="6"/>
      <c r="I36" s="330" t="s">
        <v>548</v>
      </c>
      <c r="J36" s="6" t="s">
        <v>222</v>
      </c>
      <c r="K36" s="6"/>
      <c r="L36" s="30"/>
      <c r="M36" s="321" t="str">
        <f t="shared" si="0"/>
        <v>,sum(case when rsrp&lt;-80 and  rsrp&gt;=-90 and rattype='5G' then 1 else 0 end)/sum(case when rattype='5G' then 1 else 0 end) as nr_rsrp_seg2_ratio</v>
      </c>
    </row>
    <row r="37" ht="15" spans="2:13">
      <c r="B37" s="386" t="s">
        <v>584</v>
      </c>
      <c r="C37" s="331" t="s">
        <v>203</v>
      </c>
      <c r="D37" s="330" t="s">
        <v>585</v>
      </c>
      <c r="E37" s="6" t="s">
        <v>275</v>
      </c>
      <c r="F37" s="6"/>
      <c r="G37" s="381" t="s">
        <v>586</v>
      </c>
      <c r="H37" s="6"/>
      <c r="I37" s="330" t="s">
        <v>548</v>
      </c>
      <c r="J37" s="6" t="s">
        <v>222</v>
      </c>
      <c r="K37" s="6"/>
      <c r="L37" s="30"/>
      <c r="M37" s="321" t="str">
        <f t="shared" si="0"/>
        <v>,sum(case when rsrp&lt;-90 and  rsrp&gt;=-100 and rattype='5G' then 1 else 0 end)/sum(case when rattype='5G' then 1 else 0 end) as nr_rsrp_seg3_ratio</v>
      </c>
    </row>
    <row r="38" ht="15" spans="2:13">
      <c r="B38" s="386" t="s">
        <v>587</v>
      </c>
      <c r="C38" s="331" t="s">
        <v>203</v>
      </c>
      <c r="D38" s="330" t="s">
        <v>588</v>
      </c>
      <c r="E38" s="6" t="s">
        <v>275</v>
      </c>
      <c r="F38" s="6"/>
      <c r="G38" s="381" t="s">
        <v>589</v>
      </c>
      <c r="H38" s="6"/>
      <c r="I38" s="330" t="s">
        <v>548</v>
      </c>
      <c r="J38" s="6" t="s">
        <v>222</v>
      </c>
      <c r="K38" s="6"/>
      <c r="L38" s="30"/>
      <c r="M38" s="321" t="str">
        <f t="shared" si="0"/>
        <v>,sum(case when rsrp&lt;-100 and  rsrp&gt;=-105 and rattype='5G' then 1 else 0 end)/sum(case when rattype='5G' then 1 else 0 end) as nr_rsrp_seg4_ratio</v>
      </c>
    </row>
    <row r="39" ht="15" spans="2:13">
      <c r="B39" s="386" t="s">
        <v>590</v>
      </c>
      <c r="C39" s="331" t="s">
        <v>203</v>
      </c>
      <c r="D39" s="330" t="s">
        <v>591</v>
      </c>
      <c r="E39" s="6" t="s">
        <v>275</v>
      </c>
      <c r="F39" s="6"/>
      <c r="G39" s="381" t="s">
        <v>592</v>
      </c>
      <c r="H39" s="6"/>
      <c r="I39" s="330" t="s">
        <v>548</v>
      </c>
      <c r="J39" s="6" t="s">
        <v>222</v>
      </c>
      <c r="K39" s="6"/>
      <c r="L39" s="30"/>
      <c r="M39" s="321" t="str">
        <f t="shared" si="0"/>
        <v>,sum(case when rsrp&lt;-105 and  rsrp&gt;=-110 and rattype='5G' then 1 else 0 end)/sum(case when rattype='5G' then 1 else 0 end) as nr_rsrp_seg5_ratio</v>
      </c>
    </row>
    <row r="40" ht="15" spans="2:13">
      <c r="B40" s="386" t="s">
        <v>593</v>
      </c>
      <c r="C40" s="331" t="s">
        <v>203</v>
      </c>
      <c r="D40" s="330" t="s">
        <v>594</v>
      </c>
      <c r="E40" s="6" t="s">
        <v>275</v>
      </c>
      <c r="F40" s="6"/>
      <c r="G40" s="381" t="s">
        <v>595</v>
      </c>
      <c r="H40" s="6"/>
      <c r="I40" s="330" t="s">
        <v>548</v>
      </c>
      <c r="J40" s="6" t="s">
        <v>222</v>
      </c>
      <c r="K40" s="6"/>
      <c r="L40" s="30"/>
      <c r="M40" s="321" t="str">
        <f t="shared" si="0"/>
        <v>,sum(case when rsrp&lt;-110 and  rsrp&gt;=-115 and rattype='5G' then 1 else 0 end)/sum(case when rattype='5G' then 1 else 0 end) as nr_rsrp_seg6_ratio</v>
      </c>
    </row>
    <row r="41" ht="15" spans="2:13">
      <c r="B41" s="386" t="s">
        <v>596</v>
      </c>
      <c r="C41" s="331" t="s">
        <v>203</v>
      </c>
      <c r="D41" s="330" t="s">
        <v>597</v>
      </c>
      <c r="E41" s="6" t="s">
        <v>275</v>
      </c>
      <c r="F41" s="6"/>
      <c r="G41" s="381" t="s">
        <v>598</v>
      </c>
      <c r="H41" s="6"/>
      <c r="I41" s="330" t="s">
        <v>548</v>
      </c>
      <c r="J41" s="6" t="s">
        <v>222</v>
      </c>
      <c r="K41" s="6"/>
      <c r="L41" s="30"/>
      <c r="M41" s="321" t="str">
        <f t="shared" si="0"/>
        <v>,sum(case when rsrp&lt;-115 and rattype='5G' then 1 else 0 end)/sum(case when rattype='5G' then 1 else 0 end) as nr_rsrp_seg7_ratio</v>
      </c>
    </row>
    <row r="42" spans="2:13">
      <c r="B42" s="387" t="s">
        <v>177</v>
      </c>
      <c r="C42" s="388" t="s">
        <v>175</v>
      </c>
      <c r="D42" s="389" t="s">
        <v>599</v>
      </c>
      <c r="E42" s="6"/>
      <c r="F42" s="6"/>
      <c r="G42" s="6"/>
      <c r="H42" s="6"/>
      <c r="I42" s="330"/>
      <c r="J42" s="6"/>
      <c r="K42" s="6"/>
      <c r="L42" s="6"/>
      <c r="M42" s="321" t="str">
        <f t="shared" si="0"/>
        <v>, as p_date</v>
      </c>
    </row>
  </sheetData>
  <autoFilter xmlns:etc="http://www.wps.cn/officeDocument/2017/etCustomData" ref="A13:N42" etc:filterBottomFollowUsedRange="0">
    <extLst/>
  </autoFilter>
  <mergeCells count="5">
    <mergeCell ref="B2:H2"/>
    <mergeCell ref="B6:H6"/>
    <mergeCell ref="B12:L12"/>
    <mergeCell ref="F8:F9"/>
    <mergeCell ref="G8:G10"/>
  </mergeCells>
  <hyperlinks>
    <hyperlink ref="B1" location="导航!A1" display="=HYPERLINK(&quot;#&quot;&amp;&quot;导航应用&quot;&amp;&quot;!B1&quot;,&quot;返回&quot;)"/>
  </hyperlink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B1:N33"/>
  <sheetViews>
    <sheetView tabSelected="1" topLeftCell="A7" workbookViewId="0">
      <selection activeCell="A20" sqref="$A20:$XFD22"/>
    </sheetView>
  </sheetViews>
  <sheetFormatPr defaultColWidth="9" defaultRowHeight="13.8"/>
  <cols>
    <col min="1" max="1" width="6" style="321" customWidth="1"/>
    <col min="2" max="2" width="19.75" style="321" customWidth="1"/>
    <col min="3" max="3" width="25.8796296296296" style="321" customWidth="1"/>
    <col min="4" max="4" width="20.5" style="321" customWidth="1"/>
    <col min="5" max="5" width="16.25" style="321" customWidth="1"/>
    <col min="6" max="6" width="14.8796296296296" style="322" customWidth="1"/>
    <col min="7" max="7" width="70.6666666666667" style="321" customWidth="1"/>
    <col min="8" max="8" width="12" style="321" customWidth="1"/>
    <col min="9" max="9" width="20.5" style="321" customWidth="1"/>
    <col min="10" max="10" width="12.5" style="321" customWidth="1"/>
    <col min="11" max="11" width="14.1296296296296" style="321" customWidth="1"/>
    <col min="12" max="12" width="12.3796296296296" style="321" customWidth="1"/>
    <col min="13" max="16384" width="9" style="321"/>
  </cols>
  <sheetData>
    <row r="1" s="40" customFormat="1" ht="15" spans="2:8">
      <c r="B1" s="43" t="str">
        <f>HYPERLINK("#"&amp;"导航应用"&amp;"!B1","返回")</f>
        <v>返回</v>
      </c>
      <c r="C1" s="44"/>
      <c r="D1" s="44"/>
      <c r="E1" s="45"/>
      <c r="F1" s="323"/>
      <c r="G1" s="46"/>
      <c r="H1" s="47"/>
    </row>
    <row r="2" ht="17.4" spans="2:8">
      <c r="B2" s="324" t="s">
        <v>132</v>
      </c>
      <c r="C2" s="324"/>
      <c r="D2" s="324"/>
      <c r="E2" s="324"/>
      <c r="F2" s="325"/>
      <c r="G2" s="324"/>
      <c r="H2" s="324"/>
    </row>
    <row r="3" ht="15.6" spans="2:8">
      <c r="B3" s="326" t="s">
        <v>133</v>
      </c>
      <c r="C3" s="326" t="s">
        <v>134</v>
      </c>
      <c r="D3" s="326" t="s">
        <v>135</v>
      </c>
      <c r="E3" s="326" t="s">
        <v>136</v>
      </c>
      <c r="F3" s="327" t="s">
        <v>137</v>
      </c>
      <c r="G3" s="326" t="s">
        <v>138</v>
      </c>
      <c r="H3" s="326" t="s">
        <v>139</v>
      </c>
    </row>
    <row r="4" ht="26.4" spans="2:14">
      <c r="B4" s="6" t="s">
        <v>14</v>
      </c>
      <c r="C4" s="352" t="s">
        <v>51</v>
      </c>
      <c r="D4" s="352" t="s">
        <v>52</v>
      </c>
      <c r="E4" s="6" t="s">
        <v>174</v>
      </c>
      <c r="F4" s="330" t="s">
        <v>141</v>
      </c>
      <c r="G4" s="6"/>
      <c r="H4" s="6" t="s">
        <v>518</v>
      </c>
      <c r="N4" s="350"/>
    </row>
    <row r="5" ht="15" spans="2:8">
      <c r="B5" s="332"/>
      <c r="C5" s="332"/>
      <c r="D5" s="332"/>
      <c r="E5" s="332"/>
      <c r="F5" s="333"/>
      <c r="G5" s="332"/>
      <c r="H5" s="332"/>
    </row>
    <row r="6" ht="17.4" spans="2:8">
      <c r="B6" s="324" t="s">
        <v>142</v>
      </c>
      <c r="C6" s="324"/>
      <c r="D6" s="324"/>
      <c r="E6" s="324"/>
      <c r="F6" s="325"/>
      <c r="G6" s="324"/>
      <c r="H6" s="324"/>
    </row>
    <row r="7" ht="15.6" spans="2:8">
      <c r="B7" s="334" t="s">
        <v>143</v>
      </c>
      <c r="C7" s="334" t="s">
        <v>144</v>
      </c>
      <c r="D7" s="334" t="s">
        <v>145</v>
      </c>
      <c r="E7" s="334" t="s">
        <v>146</v>
      </c>
      <c r="F7" s="334" t="s">
        <v>147</v>
      </c>
      <c r="G7" s="334" t="s">
        <v>13</v>
      </c>
      <c r="H7" s="334" t="s">
        <v>148</v>
      </c>
    </row>
    <row r="8" ht="105" customHeight="1" spans="2:8">
      <c r="B8" s="353" t="s">
        <v>149</v>
      </c>
      <c r="C8" s="330" t="s">
        <v>108</v>
      </c>
      <c r="D8" s="330" t="s">
        <v>109</v>
      </c>
      <c r="E8" s="353" t="s">
        <v>151</v>
      </c>
      <c r="F8" s="354"/>
      <c r="G8" s="355" t="s">
        <v>600</v>
      </c>
      <c r="H8" s="356" t="s">
        <v>21</v>
      </c>
    </row>
    <row r="9" spans="2:8">
      <c r="B9" s="353" t="s">
        <v>149</v>
      </c>
      <c r="C9" s="330" t="s">
        <v>111</v>
      </c>
      <c r="D9" s="330" t="s">
        <v>112</v>
      </c>
      <c r="E9" s="353" t="s">
        <v>156</v>
      </c>
      <c r="F9" s="354"/>
      <c r="G9" s="357"/>
      <c r="H9" s="356" t="s">
        <v>21</v>
      </c>
    </row>
    <row r="10" spans="2:12">
      <c r="B10" s="340" t="s">
        <v>158</v>
      </c>
      <c r="C10" s="341"/>
      <c r="D10" s="341"/>
      <c r="E10" s="341"/>
      <c r="F10" s="342"/>
      <c r="G10" s="341"/>
      <c r="H10" s="341"/>
      <c r="I10" s="341"/>
      <c r="J10" s="341"/>
      <c r="K10" s="341"/>
      <c r="L10" s="351"/>
    </row>
    <row r="11" ht="24" spans="2:12">
      <c r="B11" s="10" t="s">
        <v>159</v>
      </c>
      <c r="C11" s="10" t="s">
        <v>160</v>
      </c>
      <c r="D11" s="10" t="s">
        <v>161</v>
      </c>
      <c r="E11" s="10" t="s">
        <v>162</v>
      </c>
      <c r="F11" s="343" t="s">
        <v>163</v>
      </c>
      <c r="G11" s="10" t="s">
        <v>164</v>
      </c>
      <c r="H11" s="10" t="s">
        <v>165</v>
      </c>
      <c r="I11" s="10" t="s">
        <v>13</v>
      </c>
      <c r="J11" s="10" t="s">
        <v>166</v>
      </c>
      <c r="K11" s="10" t="s">
        <v>167</v>
      </c>
      <c r="L11" s="10" t="s">
        <v>168</v>
      </c>
    </row>
    <row r="12" ht="15" spans="2:12">
      <c r="B12" s="330" t="s">
        <v>174</v>
      </c>
      <c r="C12" s="6" t="s">
        <v>175</v>
      </c>
      <c r="D12" s="330" t="s">
        <v>524</v>
      </c>
      <c r="E12" s="6"/>
      <c r="F12" s="330"/>
      <c r="G12" s="344"/>
      <c r="H12" s="6"/>
      <c r="I12" s="330"/>
      <c r="J12" s="6" t="s">
        <v>173</v>
      </c>
      <c r="K12" s="6"/>
      <c r="L12" s="30"/>
    </row>
    <row r="13" s="320" customFormat="1" ht="39.6" spans="2:12">
      <c r="B13" s="345" t="s">
        <v>169</v>
      </c>
      <c r="C13" s="346" t="s">
        <v>170</v>
      </c>
      <c r="D13" s="346" t="s">
        <v>525</v>
      </c>
      <c r="E13" s="6" t="s">
        <v>242</v>
      </c>
      <c r="F13" s="347" t="s">
        <v>169</v>
      </c>
      <c r="G13" s="358" t="s">
        <v>526</v>
      </c>
      <c r="H13" s="346"/>
      <c r="I13" s="346"/>
      <c r="J13" s="6" t="s">
        <v>173</v>
      </c>
      <c r="K13" s="346"/>
      <c r="L13" s="346"/>
    </row>
    <row r="14" s="320" customFormat="1" ht="26.4" spans="2:12">
      <c r="B14" s="345" t="s">
        <v>178</v>
      </c>
      <c r="C14" s="346" t="s">
        <v>170</v>
      </c>
      <c r="D14" s="346" t="s">
        <v>527</v>
      </c>
      <c r="E14" s="6" t="s">
        <v>242</v>
      </c>
      <c r="F14" s="359" t="s">
        <v>178</v>
      </c>
      <c r="G14" s="358" t="s">
        <v>528</v>
      </c>
      <c r="H14" s="360"/>
      <c r="I14" s="346"/>
      <c r="J14" s="6" t="s">
        <v>173</v>
      </c>
      <c r="K14" s="346"/>
      <c r="L14" s="346"/>
    </row>
    <row r="15" spans="2:12">
      <c r="B15" s="361" t="s">
        <v>529</v>
      </c>
      <c r="C15" s="362" t="s">
        <v>170</v>
      </c>
      <c r="D15" s="330" t="s">
        <v>530</v>
      </c>
      <c r="E15" s="6" t="s">
        <v>242</v>
      </c>
      <c r="F15" s="330"/>
      <c r="G15" s="363" t="s">
        <v>531</v>
      </c>
      <c r="H15" s="6"/>
      <c r="I15" s="330" t="s">
        <v>531</v>
      </c>
      <c r="J15" s="6" t="s">
        <v>173</v>
      </c>
      <c r="K15" s="6" t="s">
        <v>237</v>
      </c>
      <c r="L15" s="30" t="s">
        <v>532</v>
      </c>
    </row>
    <row r="16" ht="52.8" spans="2:12">
      <c r="B16" s="361" t="s">
        <v>601</v>
      </c>
      <c r="C16" s="362" t="s">
        <v>175</v>
      </c>
      <c r="D16" s="330" t="s">
        <v>602</v>
      </c>
      <c r="E16" s="6" t="s">
        <v>242</v>
      </c>
      <c r="F16" s="330"/>
      <c r="G16" s="363" t="s">
        <v>603</v>
      </c>
      <c r="H16" s="6"/>
      <c r="I16" s="367" t="s">
        <v>604</v>
      </c>
      <c r="J16" s="6" t="s">
        <v>173</v>
      </c>
      <c r="K16" s="6" t="s">
        <v>237</v>
      </c>
      <c r="L16" s="30" t="s">
        <v>605</v>
      </c>
    </row>
    <row r="17" spans="2:12">
      <c r="B17" s="361" t="s">
        <v>606</v>
      </c>
      <c r="C17" s="362" t="s">
        <v>170</v>
      </c>
      <c r="D17" s="330" t="s">
        <v>607</v>
      </c>
      <c r="E17" s="6" t="s">
        <v>242</v>
      </c>
      <c r="F17" s="330"/>
      <c r="G17" s="330" t="s">
        <v>608</v>
      </c>
      <c r="H17" s="6"/>
      <c r="I17" s="330" t="s">
        <v>609</v>
      </c>
      <c r="J17" s="6" t="s">
        <v>173</v>
      </c>
      <c r="K17" s="6" t="s">
        <v>237</v>
      </c>
      <c r="L17" s="30" t="s">
        <v>610</v>
      </c>
    </row>
    <row r="18" spans="2:12">
      <c r="B18" s="345" t="s">
        <v>611</v>
      </c>
      <c r="C18" s="346" t="s">
        <v>175</v>
      </c>
      <c r="D18" s="346" t="s">
        <v>612</v>
      </c>
      <c r="E18" s="6" t="s">
        <v>242</v>
      </c>
      <c r="F18" s="330" t="s">
        <v>611</v>
      </c>
      <c r="G18" s="6" t="s">
        <v>172</v>
      </c>
      <c r="H18" s="6"/>
      <c r="I18" s="330"/>
      <c r="J18" s="6" t="s">
        <v>173</v>
      </c>
      <c r="K18" s="6"/>
      <c r="L18" s="30"/>
    </row>
    <row r="19" spans="2:12">
      <c r="B19" s="345" t="s">
        <v>252</v>
      </c>
      <c r="C19" s="346" t="s">
        <v>175</v>
      </c>
      <c r="D19" s="346" t="s">
        <v>613</v>
      </c>
      <c r="E19" s="6" t="s">
        <v>242</v>
      </c>
      <c r="F19" s="330" t="s">
        <v>252</v>
      </c>
      <c r="G19" s="6" t="s">
        <v>172</v>
      </c>
      <c r="H19" s="6"/>
      <c r="I19" s="330"/>
      <c r="J19" s="6" t="s">
        <v>173</v>
      </c>
      <c r="K19" s="6"/>
      <c r="L19" s="30"/>
    </row>
    <row r="20" spans="2:12">
      <c r="B20" s="346" t="s">
        <v>257</v>
      </c>
      <c r="C20" s="346" t="s">
        <v>203</v>
      </c>
      <c r="D20" s="346" t="s">
        <v>394</v>
      </c>
      <c r="E20" s="6" t="s">
        <v>242</v>
      </c>
      <c r="F20" s="362" t="s">
        <v>257</v>
      </c>
      <c r="G20" s="6" t="s">
        <v>392</v>
      </c>
      <c r="H20" s="6"/>
      <c r="I20" s="330" t="s">
        <v>614</v>
      </c>
      <c r="J20" s="6" t="s">
        <v>222</v>
      </c>
      <c r="K20" s="6" t="s">
        <v>615</v>
      </c>
      <c r="L20" s="30" t="s">
        <v>232</v>
      </c>
    </row>
    <row r="21" spans="2:12">
      <c r="B21" s="346" t="s">
        <v>264</v>
      </c>
      <c r="C21" s="346" t="s">
        <v>203</v>
      </c>
      <c r="D21" s="346" t="s">
        <v>395</v>
      </c>
      <c r="E21" s="6" t="s">
        <v>242</v>
      </c>
      <c r="F21" s="362" t="s">
        <v>264</v>
      </c>
      <c r="G21" s="6" t="s">
        <v>392</v>
      </c>
      <c r="H21" s="6"/>
      <c r="I21" s="330" t="s">
        <v>614</v>
      </c>
      <c r="J21" s="6" t="s">
        <v>222</v>
      </c>
      <c r="K21" s="6" t="s">
        <v>616</v>
      </c>
      <c r="L21" s="30" t="s">
        <v>232</v>
      </c>
    </row>
    <row r="22" spans="2:12">
      <c r="B22" s="346" t="s">
        <v>617</v>
      </c>
      <c r="C22" s="346" t="s">
        <v>229</v>
      </c>
      <c r="D22" s="346" t="s">
        <v>618</v>
      </c>
      <c r="E22" s="6" t="s">
        <v>242</v>
      </c>
      <c r="F22" s="362" t="s">
        <v>255</v>
      </c>
      <c r="G22" s="6" t="s">
        <v>392</v>
      </c>
      <c r="H22" s="6"/>
      <c r="I22" s="330" t="s">
        <v>614</v>
      </c>
      <c r="J22" s="6" t="s">
        <v>222</v>
      </c>
      <c r="K22" s="6" t="s">
        <v>231</v>
      </c>
      <c r="L22" s="30" t="s">
        <v>232</v>
      </c>
    </row>
    <row r="23" spans="2:12">
      <c r="B23" s="346" t="s">
        <v>619</v>
      </c>
      <c r="C23" s="346" t="s">
        <v>203</v>
      </c>
      <c r="D23" s="346" t="s">
        <v>620</v>
      </c>
      <c r="E23" s="6" t="s">
        <v>242</v>
      </c>
      <c r="F23" s="330"/>
      <c r="G23" s="330" t="s">
        <v>621</v>
      </c>
      <c r="H23" s="6"/>
      <c r="I23" s="330" t="s">
        <v>614</v>
      </c>
      <c r="J23" s="6" t="s">
        <v>222</v>
      </c>
      <c r="K23" s="6" t="s">
        <v>622</v>
      </c>
      <c r="L23" s="30" t="s">
        <v>623</v>
      </c>
    </row>
    <row r="24" spans="2:12">
      <c r="B24" s="346" t="s">
        <v>624</v>
      </c>
      <c r="C24" s="346" t="s">
        <v>203</v>
      </c>
      <c r="D24" s="346" t="s">
        <v>625</v>
      </c>
      <c r="E24" s="6" t="s">
        <v>151</v>
      </c>
      <c r="F24" s="362" t="s">
        <v>257</v>
      </c>
      <c r="G24" s="6" t="s">
        <v>392</v>
      </c>
      <c r="H24" s="6"/>
      <c r="I24" s="330"/>
      <c r="J24" s="6" t="s">
        <v>222</v>
      </c>
      <c r="K24" s="6" t="s">
        <v>615</v>
      </c>
      <c r="L24" s="30" t="s">
        <v>232</v>
      </c>
    </row>
    <row r="25" spans="2:12">
      <c r="B25" s="346" t="s">
        <v>626</v>
      </c>
      <c r="C25" s="346" t="s">
        <v>203</v>
      </c>
      <c r="D25" s="346" t="s">
        <v>627</v>
      </c>
      <c r="E25" s="6" t="s">
        <v>151</v>
      </c>
      <c r="F25" s="362" t="s">
        <v>264</v>
      </c>
      <c r="G25" s="6" t="s">
        <v>392</v>
      </c>
      <c r="H25" s="6"/>
      <c r="I25" s="330"/>
      <c r="J25" s="6" t="s">
        <v>222</v>
      </c>
      <c r="K25" s="6" t="s">
        <v>616</v>
      </c>
      <c r="L25" s="30" t="s">
        <v>232</v>
      </c>
    </row>
    <row r="26" spans="2:12">
      <c r="B26" s="346" t="s">
        <v>628</v>
      </c>
      <c r="C26" s="346" t="s">
        <v>229</v>
      </c>
      <c r="D26" s="346" t="s">
        <v>629</v>
      </c>
      <c r="E26" s="6" t="s">
        <v>151</v>
      </c>
      <c r="F26" s="362" t="s">
        <v>255</v>
      </c>
      <c r="G26" s="6" t="s">
        <v>392</v>
      </c>
      <c r="H26" s="6"/>
      <c r="I26" s="330"/>
      <c r="J26" s="6" t="s">
        <v>222</v>
      </c>
      <c r="K26" s="6" t="s">
        <v>231</v>
      </c>
      <c r="L26" s="30" t="s">
        <v>232</v>
      </c>
    </row>
    <row r="27" spans="2:12">
      <c r="B27" s="346" t="s">
        <v>630</v>
      </c>
      <c r="C27" s="346" t="s">
        <v>203</v>
      </c>
      <c r="D27" s="346" t="s">
        <v>631</v>
      </c>
      <c r="E27" s="6" t="s">
        <v>151</v>
      </c>
      <c r="F27" s="330"/>
      <c r="G27" s="330" t="s">
        <v>621</v>
      </c>
      <c r="H27" s="6"/>
      <c r="I27" s="330"/>
      <c r="J27" s="6" t="s">
        <v>222</v>
      </c>
      <c r="K27" s="6" t="s">
        <v>622</v>
      </c>
      <c r="L27" s="30" t="s">
        <v>623</v>
      </c>
    </row>
    <row r="28" spans="2:12">
      <c r="B28" s="346" t="s">
        <v>632</v>
      </c>
      <c r="C28" s="346" t="s">
        <v>203</v>
      </c>
      <c r="D28" s="346" t="s">
        <v>633</v>
      </c>
      <c r="E28" s="6" t="s">
        <v>156</v>
      </c>
      <c r="F28" s="362" t="s">
        <v>257</v>
      </c>
      <c r="G28" s="6" t="s">
        <v>392</v>
      </c>
      <c r="H28" s="6"/>
      <c r="I28" s="330"/>
      <c r="J28" s="6" t="s">
        <v>222</v>
      </c>
      <c r="K28" s="6" t="s">
        <v>615</v>
      </c>
      <c r="L28" s="30" t="s">
        <v>232</v>
      </c>
    </row>
    <row r="29" spans="2:12">
      <c r="B29" s="346" t="s">
        <v>634</v>
      </c>
      <c r="C29" s="346" t="s">
        <v>203</v>
      </c>
      <c r="D29" s="346" t="s">
        <v>635</v>
      </c>
      <c r="E29" s="6" t="s">
        <v>156</v>
      </c>
      <c r="F29" s="362" t="s">
        <v>264</v>
      </c>
      <c r="G29" s="6" t="s">
        <v>392</v>
      </c>
      <c r="H29" s="6"/>
      <c r="I29" s="330"/>
      <c r="J29" s="6" t="s">
        <v>222</v>
      </c>
      <c r="K29" s="6" t="s">
        <v>616</v>
      </c>
      <c r="L29" s="30" t="s">
        <v>232</v>
      </c>
    </row>
    <row r="30" spans="2:12">
      <c r="B30" s="346" t="s">
        <v>636</v>
      </c>
      <c r="C30" s="346" t="s">
        <v>229</v>
      </c>
      <c r="D30" s="346" t="s">
        <v>637</v>
      </c>
      <c r="E30" s="6" t="s">
        <v>156</v>
      </c>
      <c r="F30" s="362" t="s">
        <v>255</v>
      </c>
      <c r="G30" s="6" t="s">
        <v>392</v>
      </c>
      <c r="H30" s="6"/>
      <c r="I30" s="330"/>
      <c r="J30" s="6" t="s">
        <v>222</v>
      </c>
      <c r="K30" s="6" t="s">
        <v>231</v>
      </c>
      <c r="L30" s="30" t="s">
        <v>232</v>
      </c>
    </row>
    <row r="31" spans="2:12">
      <c r="B31" s="346" t="s">
        <v>638</v>
      </c>
      <c r="C31" s="346" t="s">
        <v>203</v>
      </c>
      <c r="D31" s="346" t="s">
        <v>639</v>
      </c>
      <c r="E31" s="6" t="s">
        <v>156</v>
      </c>
      <c r="F31" s="330"/>
      <c r="G31" s="330" t="s">
        <v>621</v>
      </c>
      <c r="H31" s="6"/>
      <c r="I31" s="330"/>
      <c r="J31" s="6" t="s">
        <v>222</v>
      </c>
      <c r="K31" s="6" t="s">
        <v>622</v>
      </c>
      <c r="L31" s="30" t="s">
        <v>623</v>
      </c>
    </row>
    <row r="32" spans="2:12">
      <c r="B32" s="364" t="s">
        <v>239</v>
      </c>
      <c r="C32" s="365" t="s">
        <v>170</v>
      </c>
      <c r="D32" s="365" t="s">
        <v>240</v>
      </c>
      <c r="E32" s="6"/>
      <c r="F32" s="330"/>
      <c r="G32" s="330"/>
      <c r="H32" s="6"/>
      <c r="I32" s="330"/>
      <c r="J32" s="6"/>
      <c r="K32" s="6"/>
      <c r="L32" s="30"/>
    </row>
    <row r="33" s="320" customFormat="1" ht="15" spans="2:12">
      <c r="B33" s="364" t="s">
        <v>177</v>
      </c>
      <c r="C33" s="365" t="s">
        <v>175</v>
      </c>
      <c r="D33" s="365" t="s">
        <v>177</v>
      </c>
      <c r="E33" s="359"/>
      <c r="F33" s="347"/>
      <c r="G33" s="366"/>
      <c r="H33" s="346"/>
      <c r="I33" s="346"/>
      <c r="J33" s="346"/>
      <c r="K33" s="346"/>
      <c r="L33" s="346"/>
    </row>
  </sheetData>
  <mergeCells count="4">
    <mergeCell ref="B2:H2"/>
    <mergeCell ref="B6:H6"/>
    <mergeCell ref="B10:L10"/>
    <mergeCell ref="G8:G9"/>
  </mergeCells>
  <hyperlinks>
    <hyperlink ref="B1" location="导航!A1" display="=HYPERLINK(&quot;#&quot;&amp;&quot;导航应用&quot;&amp;&quot;!B1&quot;,&quot;返回&quot;)"/>
  </hyperlink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B1:N24"/>
  <sheetViews>
    <sheetView workbookViewId="0">
      <selection activeCell="B12" sqref="B12:B23"/>
    </sheetView>
  </sheetViews>
  <sheetFormatPr defaultColWidth="9" defaultRowHeight="13.8"/>
  <cols>
    <col min="1" max="1" width="6" style="321" customWidth="1"/>
    <col min="2" max="2" width="19.75" style="321" customWidth="1"/>
    <col min="3" max="3" width="25.8796296296296" style="321" customWidth="1"/>
    <col min="4" max="4" width="20.5" style="321" customWidth="1"/>
    <col min="5" max="5" width="16.25" style="321" customWidth="1"/>
    <col min="6" max="6" width="13.6296296296296" style="322" customWidth="1"/>
    <col min="7" max="7" width="14.8796296296296" style="321" customWidth="1"/>
    <col min="8" max="8" width="12" style="321" customWidth="1"/>
    <col min="9" max="9" width="20.5" style="321" customWidth="1"/>
    <col min="10" max="10" width="12.5" style="321" customWidth="1"/>
    <col min="11" max="11" width="14.1296296296296" style="321" customWidth="1"/>
    <col min="12" max="12" width="12.3796296296296" style="321" customWidth="1"/>
    <col min="13" max="16384" width="9" style="321"/>
  </cols>
  <sheetData>
    <row r="1" s="40" customFormat="1" ht="15" spans="2:8">
      <c r="B1" s="43" t="str">
        <f>HYPERLINK("#"&amp;"导航应用"&amp;"!B1","返回")</f>
        <v>返回</v>
      </c>
      <c r="C1" s="44"/>
      <c r="D1" s="44"/>
      <c r="E1" s="45"/>
      <c r="F1" s="323"/>
      <c r="G1" s="46"/>
      <c r="H1" s="47"/>
    </row>
    <row r="2" ht="17.4" spans="2:8">
      <c r="B2" s="324" t="s">
        <v>132</v>
      </c>
      <c r="C2" s="324"/>
      <c r="D2" s="324"/>
      <c r="E2" s="324"/>
      <c r="F2" s="325"/>
      <c r="G2" s="324"/>
      <c r="H2" s="324"/>
    </row>
    <row r="3" ht="15.6" spans="2:8">
      <c r="B3" s="326" t="s">
        <v>133</v>
      </c>
      <c r="C3" s="326" t="s">
        <v>134</v>
      </c>
      <c r="D3" s="326" t="s">
        <v>135</v>
      </c>
      <c r="E3" s="326" t="s">
        <v>136</v>
      </c>
      <c r="F3" s="327" t="s">
        <v>137</v>
      </c>
      <c r="G3" s="326" t="s">
        <v>138</v>
      </c>
      <c r="H3" s="326" t="s">
        <v>139</v>
      </c>
    </row>
    <row r="4" ht="15.6" spans="2:14">
      <c r="B4" s="6" t="s">
        <v>14</v>
      </c>
      <c r="C4" s="328" t="s">
        <v>55</v>
      </c>
      <c r="D4" s="329" t="s">
        <v>56</v>
      </c>
      <c r="E4" s="6" t="s">
        <v>174</v>
      </c>
      <c r="F4" s="330" t="s">
        <v>141</v>
      </c>
      <c r="G4" s="6"/>
      <c r="H4" s="331" t="s">
        <v>57</v>
      </c>
      <c r="N4" s="350"/>
    </row>
    <row r="5" ht="15" spans="2:8">
      <c r="B5" s="332"/>
      <c r="C5" s="332"/>
      <c r="D5" s="332"/>
      <c r="E5" s="332"/>
      <c r="F5" s="333"/>
      <c r="G5" s="332"/>
      <c r="H5" s="332"/>
    </row>
    <row r="6" ht="17.4" spans="2:8">
      <c r="B6" s="324" t="s">
        <v>142</v>
      </c>
      <c r="C6" s="324"/>
      <c r="D6" s="324"/>
      <c r="E6" s="324"/>
      <c r="F6" s="325"/>
      <c r="G6" s="324"/>
      <c r="H6" s="324"/>
    </row>
    <row r="7" ht="15.6" spans="2:8">
      <c r="B7" s="334" t="s">
        <v>143</v>
      </c>
      <c r="C7" s="334" t="s">
        <v>144</v>
      </c>
      <c r="D7" s="334" t="s">
        <v>145</v>
      </c>
      <c r="E7" s="334" t="s">
        <v>146</v>
      </c>
      <c r="F7" s="334" t="s">
        <v>147</v>
      </c>
      <c r="G7" s="334" t="s">
        <v>13</v>
      </c>
      <c r="H7" s="334" t="s">
        <v>148</v>
      </c>
    </row>
    <row r="8" ht="15" spans="2:8">
      <c r="B8" s="335"/>
      <c r="C8" s="336" t="s">
        <v>154</v>
      </c>
      <c r="D8" s="335" t="s">
        <v>640</v>
      </c>
      <c r="E8" s="335" t="s">
        <v>151</v>
      </c>
      <c r="F8" s="337"/>
      <c r="G8" s="44"/>
      <c r="H8" s="338" t="s">
        <v>21</v>
      </c>
    </row>
    <row r="9" ht="15" spans="2:8">
      <c r="B9" s="335"/>
      <c r="C9" s="339"/>
      <c r="D9" s="335"/>
      <c r="E9" s="335"/>
      <c r="F9" s="337"/>
      <c r="G9" s="44"/>
      <c r="H9" s="338"/>
    </row>
    <row r="10" spans="2:12">
      <c r="B10" s="340" t="s">
        <v>158</v>
      </c>
      <c r="C10" s="341"/>
      <c r="D10" s="341"/>
      <c r="E10" s="341"/>
      <c r="F10" s="342"/>
      <c r="G10" s="341"/>
      <c r="H10" s="341"/>
      <c r="I10" s="341"/>
      <c r="J10" s="341"/>
      <c r="K10" s="341"/>
      <c r="L10" s="351"/>
    </row>
    <row r="11" ht="24" spans="2:12">
      <c r="B11" s="10" t="s">
        <v>159</v>
      </c>
      <c r="C11" s="10" t="s">
        <v>160</v>
      </c>
      <c r="D11" s="10" t="s">
        <v>161</v>
      </c>
      <c r="E11" s="10" t="s">
        <v>162</v>
      </c>
      <c r="F11" s="343" t="s">
        <v>163</v>
      </c>
      <c r="G11" s="10" t="s">
        <v>164</v>
      </c>
      <c r="H11" s="10" t="s">
        <v>165</v>
      </c>
      <c r="I11" s="10" t="s">
        <v>13</v>
      </c>
      <c r="J11" s="10" t="s">
        <v>166</v>
      </c>
      <c r="K11" s="10" t="s">
        <v>167</v>
      </c>
      <c r="L11" s="10" t="s">
        <v>168</v>
      </c>
    </row>
    <row r="12" ht="15" spans="2:12">
      <c r="B12" s="330" t="s">
        <v>174</v>
      </c>
      <c r="C12" s="330" t="s">
        <v>175</v>
      </c>
      <c r="D12" s="330" t="s">
        <v>524</v>
      </c>
      <c r="E12" s="6"/>
      <c r="F12" s="330"/>
      <c r="G12" s="344" t="s">
        <v>172</v>
      </c>
      <c r="H12" s="6"/>
      <c r="I12" s="330"/>
      <c r="J12" s="6"/>
      <c r="K12" s="6"/>
      <c r="L12" s="30"/>
    </row>
    <row r="13" s="320" customFormat="1" ht="15" spans="2:12">
      <c r="B13" s="345" t="s">
        <v>211</v>
      </c>
      <c r="C13" s="346" t="s">
        <v>175</v>
      </c>
      <c r="D13" s="346" t="s">
        <v>211</v>
      </c>
      <c r="E13" s="6" t="s">
        <v>151</v>
      </c>
      <c r="F13" s="347"/>
      <c r="G13" s="344" t="s">
        <v>172</v>
      </c>
      <c r="H13" s="346"/>
      <c r="I13" s="346"/>
      <c r="J13" s="346"/>
      <c r="K13" s="346"/>
      <c r="L13" s="346"/>
    </row>
    <row r="14" s="320" customFormat="1" ht="15" spans="2:12">
      <c r="B14" s="346" t="s">
        <v>641</v>
      </c>
      <c r="C14" s="346" t="s">
        <v>175</v>
      </c>
      <c r="D14" s="346" t="s">
        <v>214</v>
      </c>
      <c r="E14" s="6" t="s">
        <v>151</v>
      </c>
      <c r="F14" s="347"/>
      <c r="G14" s="344" t="s">
        <v>172</v>
      </c>
      <c r="H14" s="346"/>
      <c r="I14" s="346"/>
      <c r="J14" s="346"/>
      <c r="K14" s="346"/>
      <c r="L14" s="346"/>
    </row>
    <row r="15" s="320" customFormat="1" ht="15" spans="2:12">
      <c r="B15" s="346" t="s">
        <v>421</v>
      </c>
      <c r="C15" s="346" t="s">
        <v>175</v>
      </c>
      <c r="D15" s="346" t="s">
        <v>642</v>
      </c>
      <c r="E15" s="6" t="s">
        <v>151</v>
      </c>
      <c r="F15" s="347"/>
      <c r="G15" s="344" t="s">
        <v>172</v>
      </c>
      <c r="H15" s="346"/>
      <c r="I15" s="346"/>
      <c r="J15" s="346"/>
      <c r="K15" s="346"/>
      <c r="L15" s="346"/>
    </row>
    <row r="16" s="320" customFormat="1" ht="15" spans="2:12">
      <c r="B16" s="346" t="s">
        <v>215</v>
      </c>
      <c r="C16" s="346" t="s">
        <v>175</v>
      </c>
      <c r="D16" s="346" t="s">
        <v>216</v>
      </c>
      <c r="E16" s="6" t="s">
        <v>151</v>
      </c>
      <c r="F16" s="347"/>
      <c r="G16" s="344" t="s">
        <v>172</v>
      </c>
      <c r="H16" s="346"/>
      <c r="I16" s="346"/>
      <c r="J16" s="346"/>
      <c r="K16" s="346"/>
      <c r="L16" s="346"/>
    </row>
    <row r="17" s="320" customFormat="1" ht="15" spans="2:12">
      <c r="B17" s="346" t="s">
        <v>643</v>
      </c>
      <c r="C17" s="346" t="s">
        <v>175</v>
      </c>
      <c r="D17" s="346" t="s">
        <v>644</v>
      </c>
      <c r="E17" s="6" t="s">
        <v>151</v>
      </c>
      <c r="F17" s="347"/>
      <c r="G17" s="344" t="s">
        <v>172</v>
      </c>
      <c r="H17" s="346"/>
      <c r="I17" s="346"/>
      <c r="J17" s="346"/>
      <c r="K17" s="346"/>
      <c r="L17" s="346"/>
    </row>
    <row r="18" s="320" customFormat="1" ht="15" spans="2:12">
      <c r="B18" s="346" t="s">
        <v>184</v>
      </c>
      <c r="C18" s="346" t="s">
        <v>175</v>
      </c>
      <c r="D18" s="346" t="s">
        <v>179</v>
      </c>
      <c r="E18" s="6" t="s">
        <v>151</v>
      </c>
      <c r="F18" s="347"/>
      <c r="G18" s="344" t="s">
        <v>172</v>
      </c>
      <c r="H18" s="346"/>
      <c r="I18" s="346"/>
      <c r="J18" s="346"/>
      <c r="K18" s="346"/>
      <c r="L18" s="346"/>
    </row>
    <row r="19" s="320" customFormat="1" ht="15" spans="2:12">
      <c r="B19" s="346" t="s">
        <v>186</v>
      </c>
      <c r="C19" s="346" t="s">
        <v>175</v>
      </c>
      <c r="D19" s="346" t="s">
        <v>181</v>
      </c>
      <c r="E19" s="6" t="s">
        <v>151</v>
      </c>
      <c r="F19" s="347"/>
      <c r="G19" s="344" t="s">
        <v>172</v>
      </c>
      <c r="H19" s="346"/>
      <c r="I19" s="346"/>
      <c r="J19" s="346"/>
      <c r="K19" s="346"/>
      <c r="L19" s="346"/>
    </row>
    <row r="20" s="320" customFormat="1" ht="15" spans="2:12">
      <c r="B20" s="346" t="s">
        <v>645</v>
      </c>
      <c r="C20" s="346" t="s">
        <v>203</v>
      </c>
      <c r="D20" s="346" t="s">
        <v>646</v>
      </c>
      <c r="E20" s="6" t="s">
        <v>151</v>
      </c>
      <c r="F20" s="347"/>
      <c r="G20" s="344" t="s">
        <v>172</v>
      </c>
      <c r="H20" s="346"/>
      <c r="I20" s="346"/>
      <c r="J20" s="346"/>
      <c r="K20" s="346"/>
      <c r="L20" s="346"/>
    </row>
    <row r="21" s="320" customFormat="1" ht="15" spans="2:12">
      <c r="B21" s="346" t="s">
        <v>647</v>
      </c>
      <c r="C21" s="346" t="s">
        <v>203</v>
      </c>
      <c r="D21" s="346" t="s">
        <v>173</v>
      </c>
      <c r="E21" s="6" t="s">
        <v>151</v>
      </c>
      <c r="F21" s="347"/>
      <c r="G21" s="344" t="s">
        <v>172</v>
      </c>
      <c r="H21" s="346"/>
      <c r="I21" s="346"/>
      <c r="J21" s="346"/>
      <c r="K21" s="346"/>
      <c r="L21" s="346"/>
    </row>
    <row r="22" s="320" customFormat="1" ht="15" spans="2:12">
      <c r="B22" s="346" t="s">
        <v>648</v>
      </c>
      <c r="C22" s="346" t="s">
        <v>170</v>
      </c>
      <c r="D22" s="346" t="s">
        <v>649</v>
      </c>
      <c r="E22" s="6" t="s">
        <v>151</v>
      </c>
      <c r="F22" s="347"/>
      <c r="G22" s="344" t="s">
        <v>172</v>
      </c>
      <c r="H22" s="346"/>
      <c r="I22" s="346"/>
      <c r="J22" s="346"/>
      <c r="K22" s="346"/>
      <c r="L22" s="346"/>
    </row>
    <row r="23" s="320" customFormat="1" ht="15" spans="2:12">
      <c r="B23" s="346" t="s">
        <v>650</v>
      </c>
      <c r="C23" s="346" t="s">
        <v>175</v>
      </c>
      <c r="D23" s="346" t="s">
        <v>651</v>
      </c>
      <c r="E23" s="6" t="s">
        <v>151</v>
      </c>
      <c r="F23" s="347"/>
      <c r="G23" s="344" t="s">
        <v>172</v>
      </c>
      <c r="H23" s="346"/>
      <c r="I23" s="346"/>
      <c r="J23" s="346"/>
      <c r="K23" s="346"/>
      <c r="L23" s="346" t="s">
        <v>652</v>
      </c>
    </row>
    <row r="24" ht="15" spans="2:5">
      <c r="B24" s="348" t="s">
        <v>177</v>
      </c>
      <c r="C24" s="349" t="s">
        <v>175</v>
      </c>
      <c r="D24" s="349" t="s">
        <v>177</v>
      </c>
      <c r="E24" s="6"/>
    </row>
  </sheetData>
  <mergeCells count="3">
    <mergeCell ref="B2:H2"/>
    <mergeCell ref="B6:H6"/>
    <mergeCell ref="B10:L10"/>
  </mergeCells>
  <hyperlinks>
    <hyperlink ref="B1" location="导航!A1" display="=HYPERLINK(&quot;#&quot;&amp;&quot;导航应用&quot;&amp;&quot;!B1&quot;,&quot;返回&quot;)"/>
  </hyperlink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302"/>
  <sheetViews>
    <sheetView workbookViewId="0">
      <selection activeCell="N21" sqref="N21"/>
    </sheetView>
  </sheetViews>
  <sheetFormatPr defaultColWidth="9" defaultRowHeight="13.8"/>
  <cols>
    <col min="1" max="1" width="9" style="75"/>
    <col min="2" max="2" width="27.25" style="299" customWidth="1"/>
    <col min="3" max="3" width="17.3796296296296" style="75" customWidth="1"/>
    <col min="4" max="4" width="35" style="299" customWidth="1"/>
    <col min="5" max="5" width="11.5" style="300" customWidth="1"/>
    <col min="6" max="6" width="17.3796296296296" style="75" customWidth="1"/>
    <col min="7" max="7" width="25.75" style="75" customWidth="1"/>
    <col min="8" max="8" width="17.3796296296296" style="75" customWidth="1"/>
    <col min="9" max="11" width="9" style="75"/>
    <col min="12" max="12" width="15.2222222222222" style="75" customWidth="1"/>
    <col min="13" max="13" width="14.4444444444444" style="300" customWidth="1"/>
    <col min="14" max="14" width="15.1111111111111" style="300" customWidth="1"/>
    <col min="15" max="16384" width="9" style="75"/>
  </cols>
  <sheetData>
    <row r="1" ht="15.6" spans="2:14">
      <c r="B1" s="301" t="str">
        <f>HYPERLINK("#"&amp;"导航应用"&amp;"!B1","返回")</f>
        <v>返回</v>
      </c>
      <c r="C1" s="78"/>
      <c r="D1" s="302"/>
      <c r="E1" s="131"/>
      <c r="F1" s="78"/>
      <c r="G1" s="302"/>
      <c r="H1" s="78"/>
      <c r="I1" s="76"/>
      <c r="J1" s="76"/>
      <c r="K1" s="76"/>
      <c r="L1" s="100"/>
      <c r="M1" s="317"/>
      <c r="N1" s="317"/>
    </row>
    <row r="2" ht="18" customHeight="1" spans="2:14">
      <c r="B2" s="79" t="s">
        <v>653</v>
      </c>
      <c r="C2" s="79"/>
      <c r="D2" s="79"/>
      <c r="E2" s="79"/>
      <c r="F2" s="79"/>
      <c r="G2" s="79"/>
      <c r="H2" s="79"/>
      <c r="I2" s="76"/>
      <c r="J2" s="76"/>
      <c r="K2" s="76"/>
      <c r="L2" s="100"/>
      <c r="M2" s="317"/>
      <c r="N2" s="317"/>
    </row>
    <row r="3" ht="15.6" spans="2:14">
      <c r="B3" s="303" t="s">
        <v>654</v>
      </c>
      <c r="C3" s="81" t="s">
        <v>655</v>
      </c>
      <c r="D3" s="304" t="s">
        <v>656</v>
      </c>
      <c r="E3" s="81" t="s">
        <v>657</v>
      </c>
      <c r="F3" s="81" t="s">
        <v>658</v>
      </c>
      <c r="G3" s="304" t="s">
        <v>659</v>
      </c>
      <c r="H3" s="81" t="s">
        <v>660</v>
      </c>
      <c r="I3" s="76"/>
      <c r="J3" s="76"/>
      <c r="K3" s="76"/>
      <c r="L3" s="100"/>
      <c r="M3" s="317"/>
      <c r="N3" s="317"/>
    </row>
    <row r="4" ht="15.6" spans="2:14">
      <c r="B4" s="269"/>
      <c r="C4" s="135" t="s">
        <v>60</v>
      </c>
      <c r="D4" s="101"/>
      <c r="E4" s="64" t="s">
        <v>661</v>
      </c>
      <c r="F4" s="158" t="s">
        <v>141</v>
      </c>
      <c r="G4" s="305"/>
      <c r="H4" s="263"/>
      <c r="I4" s="76"/>
      <c r="J4" s="76"/>
      <c r="K4" s="76"/>
      <c r="L4" s="100"/>
      <c r="M4" s="317"/>
      <c r="N4" s="76"/>
    </row>
    <row r="5" ht="15.6" spans="2:14">
      <c r="B5" s="306"/>
      <c r="C5" s="87"/>
      <c r="D5" s="307"/>
      <c r="E5" s="87"/>
      <c r="F5" s="87"/>
      <c r="G5" s="302"/>
      <c r="H5" s="131"/>
      <c r="I5" s="76"/>
      <c r="J5" s="76"/>
      <c r="K5" s="76"/>
      <c r="L5" s="100"/>
      <c r="M5" s="317"/>
      <c r="N5" s="317"/>
    </row>
    <row r="6" ht="18" customHeight="1" spans="2:14">
      <c r="B6" s="79" t="s">
        <v>662</v>
      </c>
      <c r="C6" s="79"/>
      <c r="D6" s="79"/>
      <c r="E6" s="79"/>
      <c r="F6" s="79"/>
      <c r="G6" s="79"/>
      <c r="H6" s="79"/>
      <c r="I6" s="76"/>
      <c r="J6" s="76"/>
      <c r="K6" s="76"/>
      <c r="L6" s="100"/>
      <c r="M6" s="317"/>
      <c r="N6" s="317"/>
    </row>
    <row r="7" ht="15.6" spans="2:14">
      <c r="B7" s="308" t="s">
        <v>663</v>
      </c>
      <c r="C7" s="309" t="s">
        <v>664</v>
      </c>
      <c r="D7" s="310" t="s">
        <v>665</v>
      </c>
      <c r="E7" s="309" t="s">
        <v>666</v>
      </c>
      <c r="F7" s="89" t="s">
        <v>667</v>
      </c>
      <c r="G7" s="311" t="s">
        <v>668</v>
      </c>
      <c r="H7" s="89" t="s">
        <v>669</v>
      </c>
      <c r="I7" s="76"/>
      <c r="J7" s="76"/>
      <c r="K7" s="76"/>
      <c r="L7" s="100"/>
      <c r="M7" s="317"/>
      <c r="N7" s="317"/>
    </row>
    <row r="8" ht="15.6" spans="2:14">
      <c r="B8" s="312"/>
      <c r="C8" s="200" t="s">
        <v>670</v>
      </c>
      <c r="D8" s="313"/>
      <c r="E8" s="138" t="s">
        <v>671</v>
      </c>
      <c r="F8" s="64"/>
      <c r="G8" s="101"/>
      <c r="H8" s="314" t="s">
        <v>672</v>
      </c>
      <c r="I8" s="76"/>
      <c r="J8" s="76"/>
      <c r="K8" s="76"/>
      <c r="L8" s="100"/>
      <c r="M8" s="317"/>
      <c r="N8" s="317"/>
    </row>
    <row r="9" ht="15.6" spans="2:14">
      <c r="B9" s="95"/>
      <c r="C9" s="76"/>
      <c r="D9" s="95"/>
      <c r="E9" s="76"/>
      <c r="F9" s="76"/>
      <c r="G9" s="95"/>
      <c r="H9" s="76"/>
      <c r="I9" s="76"/>
      <c r="J9" s="76"/>
      <c r="K9" s="76"/>
      <c r="L9" s="100"/>
      <c r="M9" s="317"/>
      <c r="N9" s="317"/>
    </row>
    <row r="10" ht="16.5" customHeight="1" spans="2:14">
      <c r="B10" s="187" t="s">
        <v>673</v>
      </c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317"/>
      <c r="N10" s="317"/>
    </row>
    <row r="11" ht="16.2" spans="2:14">
      <c r="B11" s="315" t="s">
        <v>674</v>
      </c>
      <c r="C11" s="94" t="s">
        <v>675</v>
      </c>
      <c r="D11" s="316" t="s">
        <v>676</v>
      </c>
      <c r="E11" s="94" t="s">
        <v>677</v>
      </c>
      <c r="F11" s="94" t="s">
        <v>678</v>
      </c>
      <c r="G11" s="316" t="s">
        <v>679</v>
      </c>
      <c r="H11" s="94" t="s">
        <v>680</v>
      </c>
      <c r="I11" s="94" t="s">
        <v>681</v>
      </c>
      <c r="J11" s="94" t="s">
        <v>682</v>
      </c>
      <c r="K11" s="94" t="s">
        <v>683</v>
      </c>
      <c r="L11" s="94" t="s">
        <v>684</v>
      </c>
      <c r="M11" s="318" t="s">
        <v>685</v>
      </c>
      <c r="N11" s="318" t="s">
        <v>686</v>
      </c>
    </row>
    <row r="12" ht="15.6" spans="2:14">
      <c r="B12" s="269" t="s">
        <v>174</v>
      </c>
      <c r="C12" s="64" t="s">
        <v>687</v>
      </c>
      <c r="D12" s="101" t="s">
        <v>688</v>
      </c>
      <c r="E12" s="64" t="s">
        <v>671</v>
      </c>
      <c r="F12" s="101" t="s">
        <v>177</v>
      </c>
      <c r="G12" s="221" t="s">
        <v>689</v>
      </c>
      <c r="H12" s="64"/>
      <c r="I12" s="64"/>
      <c r="J12" s="61" t="s">
        <v>173</v>
      </c>
      <c r="K12" s="64"/>
      <c r="L12" s="64"/>
      <c r="M12" s="317"/>
      <c r="N12" s="317"/>
    </row>
    <row r="13" ht="15.6" spans="2:14">
      <c r="B13" s="269" t="s">
        <v>690</v>
      </c>
      <c r="C13" s="64" t="s">
        <v>691</v>
      </c>
      <c r="D13" s="101" t="s">
        <v>692</v>
      </c>
      <c r="E13" s="64" t="s">
        <v>671</v>
      </c>
      <c r="F13" s="101" t="s">
        <v>693</v>
      </c>
      <c r="G13" s="221" t="s">
        <v>689</v>
      </c>
      <c r="H13" s="64"/>
      <c r="I13" s="61"/>
      <c r="J13" s="61" t="s">
        <v>173</v>
      </c>
      <c r="K13" s="64"/>
      <c r="L13" s="64"/>
      <c r="M13" s="317"/>
      <c r="N13" s="317"/>
    </row>
    <row r="14" ht="15.6" spans="2:14">
      <c r="B14" s="269" t="s">
        <v>694</v>
      </c>
      <c r="C14" s="64" t="s">
        <v>691</v>
      </c>
      <c r="D14" s="101" t="s">
        <v>695</v>
      </c>
      <c r="E14" s="64" t="s">
        <v>671</v>
      </c>
      <c r="F14" s="101" t="s">
        <v>696</v>
      </c>
      <c r="G14" s="221" t="s">
        <v>689</v>
      </c>
      <c r="H14" s="64"/>
      <c r="I14" s="61"/>
      <c r="J14" s="61" t="s">
        <v>173</v>
      </c>
      <c r="K14" s="64"/>
      <c r="L14" s="64"/>
      <c r="M14" s="317"/>
      <c r="N14" s="317"/>
    </row>
    <row r="15" ht="15.6" spans="2:14">
      <c r="B15" s="270" t="s">
        <v>697</v>
      </c>
      <c r="C15" s="64" t="s">
        <v>691</v>
      </c>
      <c r="D15" s="101" t="s">
        <v>698</v>
      </c>
      <c r="E15" s="64" t="s">
        <v>671</v>
      </c>
      <c r="F15" s="289" t="s">
        <v>169</v>
      </c>
      <c r="G15" s="221" t="s">
        <v>689</v>
      </c>
      <c r="H15" s="64"/>
      <c r="I15" s="61"/>
      <c r="J15" s="61" t="s">
        <v>173</v>
      </c>
      <c r="K15" s="64"/>
      <c r="L15" s="64"/>
      <c r="M15" s="317"/>
      <c r="N15" s="317"/>
    </row>
    <row r="16" ht="15.6" spans="2:14">
      <c r="B16" s="270" t="s">
        <v>699</v>
      </c>
      <c r="C16" s="64" t="s">
        <v>691</v>
      </c>
      <c r="D16" s="101" t="s">
        <v>700</v>
      </c>
      <c r="E16" s="64" t="s">
        <v>671</v>
      </c>
      <c r="F16" s="289" t="s">
        <v>178</v>
      </c>
      <c r="G16" s="221" t="s">
        <v>689</v>
      </c>
      <c r="H16" s="64"/>
      <c r="I16" s="61"/>
      <c r="J16" s="61" t="s">
        <v>173</v>
      </c>
      <c r="K16" s="64"/>
      <c r="L16" s="64"/>
      <c r="M16" s="317"/>
      <c r="N16" s="317"/>
    </row>
    <row r="17" ht="15.6" spans="2:14">
      <c r="B17" s="270" t="s">
        <v>701</v>
      </c>
      <c r="C17" s="64" t="s">
        <v>691</v>
      </c>
      <c r="D17" s="101" t="s">
        <v>702</v>
      </c>
      <c r="E17" s="64" t="s">
        <v>671</v>
      </c>
      <c r="F17" s="289" t="s">
        <v>180</v>
      </c>
      <c r="G17" s="221" t="s">
        <v>689</v>
      </c>
      <c r="H17" s="64"/>
      <c r="I17" s="61"/>
      <c r="J17" s="61" t="s">
        <v>173</v>
      </c>
      <c r="K17" s="64"/>
      <c r="L17" s="64"/>
      <c r="M17" s="317"/>
      <c r="N17" s="317"/>
    </row>
    <row r="18" ht="15.6" spans="2:14">
      <c r="B18" s="270" t="s">
        <v>703</v>
      </c>
      <c r="C18" s="64" t="s">
        <v>691</v>
      </c>
      <c r="D18" s="101" t="s">
        <v>704</v>
      </c>
      <c r="E18" s="64" t="s">
        <v>671</v>
      </c>
      <c r="F18" s="101" t="s">
        <v>207</v>
      </c>
      <c r="G18" s="221" t="s">
        <v>689</v>
      </c>
      <c r="H18" s="64"/>
      <c r="I18" s="61"/>
      <c r="J18" s="61" t="s">
        <v>173</v>
      </c>
      <c r="K18" s="64"/>
      <c r="L18" s="64"/>
      <c r="M18" s="317"/>
      <c r="N18" s="317"/>
    </row>
    <row r="19" ht="15.6" spans="2:14">
      <c r="B19" s="270" t="s">
        <v>705</v>
      </c>
      <c r="C19" s="64" t="s">
        <v>706</v>
      </c>
      <c r="D19" s="101" t="s">
        <v>707</v>
      </c>
      <c r="E19" s="64" t="s">
        <v>671</v>
      </c>
      <c r="F19" s="229" t="s">
        <v>708</v>
      </c>
      <c r="G19" s="221" t="s">
        <v>709</v>
      </c>
      <c r="H19" s="64"/>
      <c r="I19" s="61"/>
      <c r="J19" s="61" t="s">
        <v>173</v>
      </c>
      <c r="K19" s="64"/>
      <c r="L19" s="64"/>
      <c r="M19" s="317"/>
      <c r="N19" s="317"/>
    </row>
    <row r="20" ht="15.6" spans="2:14">
      <c r="B20" s="270" t="s">
        <v>710</v>
      </c>
      <c r="C20" s="64" t="s">
        <v>706</v>
      </c>
      <c r="D20" s="101" t="s">
        <v>711</v>
      </c>
      <c r="E20" s="64" t="s">
        <v>671</v>
      </c>
      <c r="F20" s="229" t="s">
        <v>708</v>
      </c>
      <c r="G20" s="221" t="s">
        <v>712</v>
      </c>
      <c r="H20" s="64"/>
      <c r="I20" s="61"/>
      <c r="J20" s="61" t="s">
        <v>173</v>
      </c>
      <c r="K20" s="64"/>
      <c r="L20" s="64"/>
      <c r="M20" s="317"/>
      <c r="N20" s="317"/>
    </row>
    <row r="21" ht="15.6" spans="2:14">
      <c r="B21" s="270" t="s">
        <v>211</v>
      </c>
      <c r="C21" s="64" t="s">
        <v>175</v>
      </c>
      <c r="D21" s="101" t="s">
        <v>713</v>
      </c>
      <c r="E21" s="64" t="s">
        <v>671</v>
      </c>
      <c r="F21" s="229" t="s">
        <v>708</v>
      </c>
      <c r="G21" s="221" t="s">
        <v>714</v>
      </c>
      <c r="H21" s="64"/>
      <c r="I21" s="61"/>
      <c r="J21" s="61" t="s">
        <v>173</v>
      </c>
      <c r="K21" s="64"/>
      <c r="L21" s="64"/>
      <c r="M21" s="317"/>
      <c r="N21" s="317"/>
    </row>
    <row r="22" ht="15.6" spans="2:14">
      <c r="B22" s="270" t="s">
        <v>715</v>
      </c>
      <c r="C22" s="64" t="s">
        <v>687</v>
      </c>
      <c r="D22" s="101" t="s">
        <v>716</v>
      </c>
      <c r="E22" s="64" t="s">
        <v>671</v>
      </c>
      <c r="F22" s="101" t="s">
        <v>191</v>
      </c>
      <c r="G22" s="221" t="s">
        <v>689</v>
      </c>
      <c r="H22" s="64"/>
      <c r="I22" s="61"/>
      <c r="J22" s="61" t="s">
        <v>173</v>
      </c>
      <c r="K22" s="64"/>
      <c r="L22" s="64"/>
      <c r="M22" s="317"/>
      <c r="N22" s="317"/>
    </row>
    <row r="23" ht="15.6" spans="2:14">
      <c r="B23" s="270" t="s">
        <v>717</v>
      </c>
      <c r="C23" s="64" t="s">
        <v>687</v>
      </c>
      <c r="D23" s="101" t="s">
        <v>718</v>
      </c>
      <c r="E23" s="64" t="s">
        <v>671</v>
      </c>
      <c r="F23" s="101" t="s">
        <v>188</v>
      </c>
      <c r="G23" s="221" t="s">
        <v>689</v>
      </c>
      <c r="H23" s="64"/>
      <c r="I23" s="61"/>
      <c r="J23" s="61" t="s">
        <v>173</v>
      </c>
      <c r="K23" s="64"/>
      <c r="L23" s="64"/>
      <c r="M23" s="317"/>
      <c r="N23" s="317"/>
    </row>
    <row r="24" ht="15.6" spans="2:14">
      <c r="B24" s="270" t="s">
        <v>719</v>
      </c>
      <c r="C24" s="64" t="s">
        <v>687</v>
      </c>
      <c r="D24" s="101" t="s">
        <v>720</v>
      </c>
      <c r="E24" s="64" t="s">
        <v>671</v>
      </c>
      <c r="F24" s="101" t="s">
        <v>244</v>
      </c>
      <c r="G24" s="221" t="s">
        <v>689</v>
      </c>
      <c r="H24" s="64"/>
      <c r="I24" s="61"/>
      <c r="J24" s="61" t="s">
        <v>173</v>
      </c>
      <c r="K24" s="64"/>
      <c r="L24" s="64"/>
      <c r="M24" s="317"/>
      <c r="N24" s="317"/>
    </row>
    <row r="25" ht="15.6" spans="2:14">
      <c r="B25" s="270" t="s">
        <v>721</v>
      </c>
      <c r="C25" s="64" t="s">
        <v>691</v>
      </c>
      <c r="D25" s="101" t="s">
        <v>722</v>
      </c>
      <c r="E25" s="64" t="s">
        <v>671</v>
      </c>
      <c r="F25" s="229" t="s">
        <v>244</v>
      </c>
      <c r="G25" s="221" t="s">
        <v>723</v>
      </c>
      <c r="H25" s="64"/>
      <c r="I25" s="61"/>
      <c r="J25" s="61" t="s">
        <v>173</v>
      </c>
      <c r="K25" s="64"/>
      <c r="L25" s="64"/>
      <c r="M25" s="317"/>
      <c r="N25" s="317"/>
    </row>
    <row r="26" ht="15.6" spans="2:14">
      <c r="B26" s="270" t="s">
        <v>724</v>
      </c>
      <c r="C26" s="64" t="s">
        <v>687</v>
      </c>
      <c r="D26" s="101" t="s">
        <v>724</v>
      </c>
      <c r="E26" s="64" t="s">
        <v>671</v>
      </c>
      <c r="F26" s="101" t="s">
        <v>725</v>
      </c>
      <c r="G26" s="221" t="s">
        <v>689</v>
      </c>
      <c r="H26" s="64"/>
      <c r="I26" s="61"/>
      <c r="J26" s="61" t="s">
        <v>173</v>
      </c>
      <c r="K26" s="64"/>
      <c r="L26" s="64"/>
      <c r="M26" s="317"/>
      <c r="N26" s="317"/>
    </row>
    <row r="27" ht="15.6" spans="2:14">
      <c r="B27" s="270" t="s">
        <v>726</v>
      </c>
      <c r="C27" s="64" t="s">
        <v>687</v>
      </c>
      <c r="D27" s="101" t="s">
        <v>727</v>
      </c>
      <c r="E27" s="64" t="s">
        <v>671</v>
      </c>
      <c r="F27" s="101" t="s">
        <v>728</v>
      </c>
      <c r="G27" s="221" t="s">
        <v>689</v>
      </c>
      <c r="H27" s="64"/>
      <c r="I27" s="61"/>
      <c r="J27" s="61" t="s">
        <v>173</v>
      </c>
      <c r="K27" s="64"/>
      <c r="L27" s="64"/>
      <c r="M27" s="317"/>
      <c r="N27" s="317"/>
    </row>
    <row r="28" ht="15.6" spans="2:14">
      <c r="B28" s="270" t="s">
        <v>729</v>
      </c>
      <c r="C28" s="64" t="s">
        <v>687</v>
      </c>
      <c r="D28" s="101" t="s">
        <v>729</v>
      </c>
      <c r="E28" s="64" t="s">
        <v>671</v>
      </c>
      <c r="F28" s="101" t="s">
        <v>730</v>
      </c>
      <c r="G28" s="221" t="s">
        <v>689</v>
      </c>
      <c r="H28" s="64"/>
      <c r="I28" s="61"/>
      <c r="J28" s="61" t="s">
        <v>173</v>
      </c>
      <c r="K28" s="64"/>
      <c r="L28" s="64"/>
      <c r="M28" s="317"/>
      <c r="N28" s="317"/>
    </row>
    <row r="29" ht="15.6" spans="2:14">
      <c r="B29" s="270" t="s">
        <v>731</v>
      </c>
      <c r="C29" s="64" t="s">
        <v>687</v>
      </c>
      <c r="D29" s="101" t="s">
        <v>731</v>
      </c>
      <c r="E29" s="64" t="s">
        <v>671</v>
      </c>
      <c r="F29" s="101" t="s">
        <v>732</v>
      </c>
      <c r="G29" s="221" t="s">
        <v>689</v>
      </c>
      <c r="H29" s="64"/>
      <c r="I29" s="61"/>
      <c r="J29" s="61" t="s">
        <v>173</v>
      </c>
      <c r="K29" s="64"/>
      <c r="L29" s="64"/>
      <c r="M29" s="317"/>
      <c r="N29" s="317"/>
    </row>
    <row r="30" ht="15.6" spans="2:14">
      <c r="B30" s="270" t="s">
        <v>733</v>
      </c>
      <c r="C30" s="64" t="s">
        <v>687</v>
      </c>
      <c r="D30" s="101" t="s">
        <v>734</v>
      </c>
      <c r="E30" s="64" t="s">
        <v>671</v>
      </c>
      <c r="F30" s="101" t="s">
        <v>735</v>
      </c>
      <c r="G30" s="221" t="s">
        <v>689</v>
      </c>
      <c r="H30" s="64"/>
      <c r="I30" s="61"/>
      <c r="J30" s="61" t="s">
        <v>173</v>
      </c>
      <c r="K30" s="64"/>
      <c r="L30" s="64"/>
      <c r="M30" s="317"/>
      <c r="N30" s="317"/>
    </row>
    <row r="31" ht="15.6" spans="2:14">
      <c r="B31" s="270" t="s">
        <v>736</v>
      </c>
      <c r="C31" s="64" t="s">
        <v>691</v>
      </c>
      <c r="D31" s="101" t="s">
        <v>737</v>
      </c>
      <c r="E31" s="64" t="s">
        <v>671</v>
      </c>
      <c r="F31" s="101" t="s">
        <v>738</v>
      </c>
      <c r="G31" s="221" t="s">
        <v>689</v>
      </c>
      <c r="H31" s="64"/>
      <c r="I31" s="61"/>
      <c r="J31" s="61" t="s">
        <v>173</v>
      </c>
      <c r="K31" s="64"/>
      <c r="L31" s="64"/>
      <c r="M31" s="317"/>
      <c r="N31" s="317"/>
    </row>
    <row r="32" ht="15.6" spans="2:14">
      <c r="B32" s="270" t="s">
        <v>739</v>
      </c>
      <c r="C32" s="64" t="s">
        <v>691</v>
      </c>
      <c r="D32" s="101" t="s">
        <v>739</v>
      </c>
      <c r="E32" s="64" t="s">
        <v>671</v>
      </c>
      <c r="F32" s="101" t="s">
        <v>246</v>
      </c>
      <c r="G32" s="221" t="s">
        <v>740</v>
      </c>
      <c r="H32" s="64"/>
      <c r="I32" s="61"/>
      <c r="J32" s="61" t="s">
        <v>173</v>
      </c>
      <c r="K32" s="64"/>
      <c r="L32" s="64"/>
      <c r="M32" s="317"/>
      <c r="N32" s="317"/>
    </row>
    <row r="33" ht="15.6" spans="2:14">
      <c r="B33" s="270" t="s">
        <v>741</v>
      </c>
      <c r="C33" s="64" t="s">
        <v>691</v>
      </c>
      <c r="D33" s="101" t="s">
        <v>742</v>
      </c>
      <c r="E33" s="64" t="s">
        <v>671</v>
      </c>
      <c r="F33" s="101" t="s">
        <v>246</v>
      </c>
      <c r="G33" s="221" t="s">
        <v>689</v>
      </c>
      <c r="H33" s="64"/>
      <c r="I33" s="61"/>
      <c r="J33" s="61" t="s">
        <v>173</v>
      </c>
      <c r="K33" s="64"/>
      <c r="L33" s="64"/>
      <c r="M33" s="317"/>
      <c r="N33" s="317"/>
    </row>
    <row r="34" ht="15.6" spans="2:14">
      <c r="B34" s="270" t="s">
        <v>743</v>
      </c>
      <c r="C34" s="64" t="s">
        <v>691</v>
      </c>
      <c r="D34" s="101" t="s">
        <v>744</v>
      </c>
      <c r="E34" s="64" t="s">
        <v>671</v>
      </c>
      <c r="F34" s="101" t="s">
        <v>745</v>
      </c>
      <c r="G34" s="221" t="s">
        <v>689</v>
      </c>
      <c r="H34" s="64"/>
      <c r="I34" s="61"/>
      <c r="J34" s="61" t="s">
        <v>173</v>
      </c>
      <c r="K34" s="64"/>
      <c r="L34" s="64"/>
      <c r="M34" s="317"/>
      <c r="N34" s="317"/>
    </row>
    <row r="35" s="192" customFormat="1" ht="15.6" spans="1:14">
      <c r="A35" s="191"/>
      <c r="B35" s="287" t="s">
        <v>746</v>
      </c>
      <c r="C35" s="229" t="s">
        <v>175</v>
      </c>
      <c r="D35" s="229" t="s">
        <v>747</v>
      </c>
      <c r="E35" s="84" t="s">
        <v>422</v>
      </c>
      <c r="F35" s="201"/>
      <c r="G35" s="200" t="s">
        <v>748</v>
      </c>
      <c r="H35" s="229"/>
      <c r="I35" s="229"/>
      <c r="J35" s="61" t="s">
        <v>173</v>
      </c>
      <c r="K35" s="229" t="s">
        <v>749</v>
      </c>
      <c r="L35" s="229" t="s">
        <v>750</v>
      </c>
      <c r="M35" s="319"/>
      <c r="N35" s="319"/>
    </row>
    <row r="36" ht="15.6" spans="2:14">
      <c r="B36" s="270" t="s">
        <v>751</v>
      </c>
      <c r="C36" s="64" t="s">
        <v>687</v>
      </c>
      <c r="D36" s="101" t="s">
        <v>752</v>
      </c>
      <c r="E36" s="64" t="s">
        <v>671</v>
      </c>
      <c r="F36" s="64"/>
      <c r="G36" s="221" t="s">
        <v>753</v>
      </c>
      <c r="H36" s="101"/>
      <c r="I36" s="61"/>
      <c r="J36" s="61" t="s">
        <v>173</v>
      </c>
      <c r="K36" s="64"/>
      <c r="L36" s="64"/>
      <c r="M36" s="317"/>
      <c r="N36" s="317"/>
    </row>
    <row r="37" ht="15.6" spans="2:14">
      <c r="B37" s="269" t="s">
        <v>754</v>
      </c>
      <c r="C37" s="64" t="s">
        <v>706</v>
      </c>
      <c r="D37" s="101" t="s">
        <v>755</v>
      </c>
      <c r="E37" s="64" t="s">
        <v>671</v>
      </c>
      <c r="F37" s="64"/>
      <c r="G37" s="221" t="s">
        <v>756</v>
      </c>
      <c r="H37" s="101"/>
      <c r="I37" s="61"/>
      <c r="J37" s="61"/>
      <c r="K37" s="64"/>
      <c r="L37" s="64"/>
      <c r="M37" s="317"/>
      <c r="N37" s="317"/>
    </row>
    <row r="38" ht="15.6" spans="2:14">
      <c r="B38" s="269" t="s">
        <v>757</v>
      </c>
      <c r="C38" s="64" t="s">
        <v>706</v>
      </c>
      <c r="D38" s="101" t="s">
        <v>758</v>
      </c>
      <c r="E38" s="64" t="s">
        <v>671</v>
      </c>
      <c r="F38" s="64"/>
      <c r="G38" s="221" t="s">
        <v>759</v>
      </c>
      <c r="H38" s="101"/>
      <c r="I38" s="61"/>
      <c r="J38" s="61"/>
      <c r="K38" s="64"/>
      <c r="L38" s="64"/>
      <c r="M38" s="317"/>
      <c r="N38" s="317"/>
    </row>
    <row r="39" ht="15.6" spans="2:14">
      <c r="B39" s="269" t="s">
        <v>760</v>
      </c>
      <c r="C39" s="64" t="s">
        <v>706</v>
      </c>
      <c r="D39" s="101" t="s">
        <v>761</v>
      </c>
      <c r="E39" s="64" t="s">
        <v>671</v>
      </c>
      <c r="F39" s="64"/>
      <c r="G39" s="221" t="s">
        <v>762</v>
      </c>
      <c r="H39" s="101"/>
      <c r="I39" s="61"/>
      <c r="J39" s="61"/>
      <c r="K39" s="64"/>
      <c r="L39" s="64"/>
      <c r="M39" s="317"/>
      <c r="N39" s="317"/>
    </row>
    <row r="40" ht="15.6" spans="2:14">
      <c r="B40" s="269" t="s">
        <v>763</v>
      </c>
      <c r="C40" s="64" t="s">
        <v>706</v>
      </c>
      <c r="D40" s="101" t="s">
        <v>764</v>
      </c>
      <c r="E40" s="64" t="s">
        <v>671</v>
      </c>
      <c r="F40" s="64"/>
      <c r="G40" s="221" t="s">
        <v>765</v>
      </c>
      <c r="H40" s="101"/>
      <c r="I40" s="61"/>
      <c r="J40" s="61"/>
      <c r="K40" s="64"/>
      <c r="L40" s="64"/>
      <c r="M40" s="317"/>
      <c r="N40" s="317"/>
    </row>
    <row r="41" ht="15.6" spans="2:14">
      <c r="B41" s="269" t="s">
        <v>766</v>
      </c>
      <c r="C41" s="64" t="s">
        <v>706</v>
      </c>
      <c r="D41" s="101" t="s">
        <v>767</v>
      </c>
      <c r="E41" s="64" t="s">
        <v>671</v>
      </c>
      <c r="F41" s="64"/>
      <c r="G41" s="221" t="s">
        <v>768</v>
      </c>
      <c r="H41" s="101"/>
      <c r="I41" s="61"/>
      <c r="J41" s="61"/>
      <c r="K41" s="64"/>
      <c r="L41" s="64"/>
      <c r="M41" s="317"/>
      <c r="N41" s="317"/>
    </row>
    <row r="42" ht="15.6" spans="2:14">
      <c r="B42" s="269" t="s">
        <v>769</v>
      </c>
      <c r="C42" s="64" t="s">
        <v>706</v>
      </c>
      <c r="D42" s="101" t="s">
        <v>770</v>
      </c>
      <c r="E42" s="64" t="s">
        <v>671</v>
      </c>
      <c r="F42" s="64"/>
      <c r="G42" s="221" t="s">
        <v>771</v>
      </c>
      <c r="H42" s="101"/>
      <c r="I42" s="61"/>
      <c r="J42" s="61"/>
      <c r="K42" s="64"/>
      <c r="L42" s="64"/>
      <c r="M42" s="317"/>
      <c r="N42" s="317"/>
    </row>
    <row r="43" ht="15.6" spans="2:14">
      <c r="B43" s="269" t="s">
        <v>772</v>
      </c>
      <c r="C43" s="64" t="s">
        <v>706</v>
      </c>
      <c r="D43" s="101" t="s">
        <v>773</v>
      </c>
      <c r="E43" s="64" t="s">
        <v>671</v>
      </c>
      <c r="F43" s="64"/>
      <c r="G43" s="221" t="s">
        <v>774</v>
      </c>
      <c r="H43" s="101"/>
      <c r="I43" s="61"/>
      <c r="J43" s="61"/>
      <c r="K43" s="64"/>
      <c r="L43" s="64"/>
      <c r="M43" s="317"/>
      <c r="N43" s="317"/>
    </row>
    <row r="44" ht="15.6" spans="2:14">
      <c r="B44" s="269" t="s">
        <v>775</v>
      </c>
      <c r="C44" s="64" t="s">
        <v>706</v>
      </c>
      <c r="D44" s="101" t="s">
        <v>776</v>
      </c>
      <c r="E44" s="64" t="s">
        <v>671</v>
      </c>
      <c r="F44" s="64"/>
      <c r="G44" s="221" t="s">
        <v>777</v>
      </c>
      <c r="H44" s="101"/>
      <c r="I44" s="61"/>
      <c r="J44" s="61"/>
      <c r="K44" s="64"/>
      <c r="L44" s="64"/>
      <c r="M44" s="317"/>
      <c r="N44" s="317"/>
    </row>
    <row r="45" ht="15.6" spans="2:14">
      <c r="B45" s="269" t="s">
        <v>778</v>
      </c>
      <c r="C45" s="64" t="s">
        <v>706</v>
      </c>
      <c r="D45" s="101" t="s">
        <v>779</v>
      </c>
      <c r="E45" s="64" t="s">
        <v>671</v>
      </c>
      <c r="F45" s="64"/>
      <c r="G45" s="221" t="s">
        <v>780</v>
      </c>
      <c r="H45" s="101"/>
      <c r="I45" s="61"/>
      <c r="J45" s="61"/>
      <c r="K45" s="64"/>
      <c r="L45" s="64"/>
      <c r="M45" s="317"/>
      <c r="N45" s="317"/>
    </row>
    <row r="46" ht="15.6" spans="2:14">
      <c r="B46" s="269" t="s">
        <v>781</v>
      </c>
      <c r="C46" s="64" t="s">
        <v>706</v>
      </c>
      <c r="D46" s="101" t="s">
        <v>782</v>
      </c>
      <c r="E46" s="64" t="s">
        <v>671</v>
      </c>
      <c r="F46" s="64"/>
      <c r="G46" s="221" t="s">
        <v>783</v>
      </c>
      <c r="H46" s="101"/>
      <c r="I46" s="61"/>
      <c r="J46" s="61"/>
      <c r="K46" s="64"/>
      <c r="L46" s="64"/>
      <c r="M46" s="317"/>
      <c r="N46" s="317"/>
    </row>
    <row r="47" ht="15.6" spans="2:14">
      <c r="B47" s="269" t="s">
        <v>784</v>
      </c>
      <c r="C47" s="64" t="s">
        <v>706</v>
      </c>
      <c r="D47" s="101" t="s">
        <v>785</v>
      </c>
      <c r="E47" s="64" t="s">
        <v>671</v>
      </c>
      <c r="F47" s="64"/>
      <c r="G47" s="221" t="s">
        <v>786</v>
      </c>
      <c r="H47" s="101"/>
      <c r="I47" s="61"/>
      <c r="J47" s="61"/>
      <c r="K47" s="64"/>
      <c r="L47" s="64"/>
      <c r="M47" s="317"/>
      <c r="N47" s="317"/>
    </row>
    <row r="48" ht="15.6" spans="2:14">
      <c r="B48" s="269" t="s">
        <v>787</v>
      </c>
      <c r="C48" s="64" t="s">
        <v>706</v>
      </c>
      <c r="D48" s="101" t="s">
        <v>788</v>
      </c>
      <c r="E48" s="64" t="s">
        <v>671</v>
      </c>
      <c r="F48" s="64"/>
      <c r="G48" s="221" t="s">
        <v>789</v>
      </c>
      <c r="H48" s="101"/>
      <c r="I48" s="61"/>
      <c r="J48" s="61"/>
      <c r="K48" s="64"/>
      <c r="L48" s="64"/>
      <c r="M48" s="317"/>
      <c r="N48" s="317"/>
    </row>
    <row r="49" ht="15.6" spans="2:14">
      <c r="B49" s="269" t="s">
        <v>790</v>
      </c>
      <c r="C49" s="64" t="s">
        <v>706</v>
      </c>
      <c r="D49" s="101" t="s">
        <v>791</v>
      </c>
      <c r="E49" s="64" t="s">
        <v>671</v>
      </c>
      <c r="F49" s="64"/>
      <c r="G49" s="221" t="s">
        <v>792</v>
      </c>
      <c r="H49" s="101"/>
      <c r="I49" s="61"/>
      <c r="J49" s="61"/>
      <c r="K49" s="64"/>
      <c r="L49" s="64"/>
      <c r="M49" s="317"/>
      <c r="N49" s="317"/>
    </row>
    <row r="50" ht="15.6" spans="2:14">
      <c r="B50" s="269" t="s">
        <v>793</v>
      </c>
      <c r="C50" s="64" t="s">
        <v>706</v>
      </c>
      <c r="D50" s="101" t="s">
        <v>794</v>
      </c>
      <c r="E50" s="64" t="s">
        <v>671</v>
      </c>
      <c r="F50" s="64"/>
      <c r="G50" s="221" t="s">
        <v>795</v>
      </c>
      <c r="H50" s="101"/>
      <c r="I50" s="61"/>
      <c r="J50" s="61"/>
      <c r="K50" s="64"/>
      <c r="L50" s="64"/>
      <c r="M50" s="317"/>
      <c r="N50" s="317"/>
    </row>
    <row r="51" ht="15.6" spans="2:14">
      <c r="B51" s="269" t="s">
        <v>796</v>
      </c>
      <c r="C51" s="64" t="s">
        <v>706</v>
      </c>
      <c r="D51" s="101" t="s">
        <v>797</v>
      </c>
      <c r="E51" s="64" t="s">
        <v>671</v>
      </c>
      <c r="F51" s="64"/>
      <c r="G51" s="221" t="s">
        <v>798</v>
      </c>
      <c r="H51" s="101"/>
      <c r="I51" s="61"/>
      <c r="J51" s="61"/>
      <c r="K51" s="64"/>
      <c r="L51" s="64"/>
      <c r="M51" s="317"/>
      <c r="N51" s="317"/>
    </row>
    <row r="52" ht="15.6" spans="2:14">
      <c r="B52" s="269" t="s">
        <v>799</v>
      </c>
      <c r="C52" s="64" t="s">
        <v>706</v>
      </c>
      <c r="D52" s="101" t="s">
        <v>800</v>
      </c>
      <c r="E52" s="64" t="s">
        <v>671</v>
      </c>
      <c r="F52" s="64"/>
      <c r="G52" s="221" t="s">
        <v>801</v>
      </c>
      <c r="H52" s="101"/>
      <c r="I52" s="61"/>
      <c r="J52" s="61"/>
      <c r="K52" s="64"/>
      <c r="L52" s="64"/>
      <c r="M52" s="317"/>
      <c r="N52" s="317"/>
    </row>
    <row r="53" ht="15.6" spans="2:14">
      <c r="B53" s="269" t="s">
        <v>802</v>
      </c>
      <c r="C53" s="64" t="s">
        <v>706</v>
      </c>
      <c r="D53" s="101" t="s">
        <v>803</v>
      </c>
      <c r="E53" s="64" t="s">
        <v>671</v>
      </c>
      <c r="F53" s="64"/>
      <c r="G53" s="221" t="s">
        <v>804</v>
      </c>
      <c r="H53" s="101"/>
      <c r="I53" s="61"/>
      <c r="J53" s="61"/>
      <c r="K53" s="64"/>
      <c r="L53" s="64"/>
      <c r="M53" s="317"/>
      <c r="N53" s="317"/>
    </row>
    <row r="54" ht="15.6" spans="2:14">
      <c r="B54" s="269" t="s">
        <v>805</v>
      </c>
      <c r="C54" s="64" t="s">
        <v>706</v>
      </c>
      <c r="D54" s="101" t="s">
        <v>806</v>
      </c>
      <c r="E54" s="64" t="s">
        <v>671</v>
      </c>
      <c r="F54" s="64"/>
      <c r="G54" s="221" t="s">
        <v>807</v>
      </c>
      <c r="H54" s="101"/>
      <c r="I54" s="61"/>
      <c r="J54" s="61"/>
      <c r="K54" s="64"/>
      <c r="L54" s="64"/>
      <c r="M54" s="317"/>
      <c r="N54" s="317"/>
    </row>
    <row r="55" ht="15.6" spans="2:14">
      <c r="B55" s="269" t="s">
        <v>808</v>
      </c>
      <c r="C55" s="64" t="s">
        <v>706</v>
      </c>
      <c r="D55" s="101" t="s">
        <v>809</v>
      </c>
      <c r="E55" s="64" t="s">
        <v>671</v>
      </c>
      <c r="F55" s="64"/>
      <c r="G55" s="221" t="s">
        <v>810</v>
      </c>
      <c r="H55" s="101"/>
      <c r="I55" s="61"/>
      <c r="J55" s="61"/>
      <c r="K55" s="64"/>
      <c r="L55" s="64"/>
      <c r="M55" s="317"/>
      <c r="N55" s="317"/>
    </row>
    <row r="56" ht="15.6" spans="2:14">
      <c r="B56" s="269" t="s">
        <v>811</v>
      </c>
      <c r="C56" s="64" t="s">
        <v>706</v>
      </c>
      <c r="D56" s="101" t="s">
        <v>812</v>
      </c>
      <c r="E56" s="64" t="s">
        <v>671</v>
      </c>
      <c r="F56" s="64"/>
      <c r="G56" s="221" t="s">
        <v>813</v>
      </c>
      <c r="H56" s="101"/>
      <c r="I56" s="61"/>
      <c r="J56" s="61"/>
      <c r="K56" s="64"/>
      <c r="L56" s="64"/>
      <c r="M56" s="317"/>
      <c r="N56" s="317"/>
    </row>
    <row r="57" ht="15.6" spans="2:14">
      <c r="B57" s="269" t="s">
        <v>814</v>
      </c>
      <c r="C57" s="64" t="s">
        <v>706</v>
      </c>
      <c r="D57" s="101" t="s">
        <v>815</v>
      </c>
      <c r="E57" s="64" t="s">
        <v>671</v>
      </c>
      <c r="F57" s="64"/>
      <c r="G57" s="221" t="s">
        <v>816</v>
      </c>
      <c r="H57" s="101"/>
      <c r="I57" s="61"/>
      <c r="J57" s="61"/>
      <c r="K57" s="64"/>
      <c r="L57" s="64"/>
      <c r="M57" s="317"/>
      <c r="N57" s="317"/>
    </row>
    <row r="58" ht="15.6" spans="2:14">
      <c r="B58" s="269" t="s">
        <v>817</v>
      </c>
      <c r="C58" s="64" t="s">
        <v>706</v>
      </c>
      <c r="D58" s="101" t="s">
        <v>818</v>
      </c>
      <c r="E58" s="64" t="s">
        <v>671</v>
      </c>
      <c r="F58" s="64"/>
      <c r="G58" s="221" t="s">
        <v>819</v>
      </c>
      <c r="H58" s="101"/>
      <c r="I58" s="61"/>
      <c r="J58" s="61"/>
      <c r="K58" s="64"/>
      <c r="L58" s="64"/>
      <c r="M58" s="317"/>
      <c r="N58" s="317"/>
    </row>
    <row r="59" ht="15.6" spans="2:14">
      <c r="B59" s="269" t="s">
        <v>820</v>
      </c>
      <c r="C59" s="64" t="s">
        <v>706</v>
      </c>
      <c r="D59" s="101" t="s">
        <v>821</v>
      </c>
      <c r="E59" s="64" t="s">
        <v>671</v>
      </c>
      <c r="F59" s="64"/>
      <c r="G59" s="221" t="s">
        <v>822</v>
      </c>
      <c r="H59" s="101"/>
      <c r="I59" s="61"/>
      <c r="J59" s="61"/>
      <c r="K59" s="64"/>
      <c r="L59" s="64"/>
      <c r="M59" s="317"/>
      <c r="N59" s="317"/>
    </row>
    <row r="60" ht="15.6" spans="2:14">
      <c r="B60" s="269" t="s">
        <v>823</v>
      </c>
      <c r="C60" s="64" t="s">
        <v>706</v>
      </c>
      <c r="D60" s="101" t="s">
        <v>824</v>
      </c>
      <c r="E60" s="64" t="s">
        <v>671</v>
      </c>
      <c r="F60" s="64"/>
      <c r="G60" s="221" t="s">
        <v>825</v>
      </c>
      <c r="H60" s="101"/>
      <c r="I60" s="61"/>
      <c r="J60" s="61"/>
      <c r="K60" s="64"/>
      <c r="L60" s="64"/>
      <c r="M60" s="317"/>
      <c r="N60" s="317"/>
    </row>
    <row r="61" ht="15.6" spans="2:14">
      <c r="B61" s="269" t="s">
        <v>826</v>
      </c>
      <c r="C61" s="64" t="s">
        <v>706</v>
      </c>
      <c r="D61" s="101" t="s">
        <v>827</v>
      </c>
      <c r="E61" s="64" t="s">
        <v>671</v>
      </c>
      <c r="F61" s="64"/>
      <c r="G61" s="221" t="s">
        <v>828</v>
      </c>
      <c r="H61" s="101"/>
      <c r="I61" s="61"/>
      <c r="J61" s="61"/>
      <c r="K61" s="64"/>
      <c r="L61" s="64"/>
      <c r="M61" s="317"/>
      <c r="N61" s="317"/>
    </row>
    <row r="62" ht="17.4" spans="2:14">
      <c r="B62" s="269" t="s">
        <v>829</v>
      </c>
      <c r="C62" s="64" t="s">
        <v>706</v>
      </c>
      <c r="D62" s="101" t="s">
        <v>830</v>
      </c>
      <c r="E62" s="64" t="s">
        <v>671</v>
      </c>
      <c r="F62" s="64"/>
      <c r="G62" s="221" t="s">
        <v>831</v>
      </c>
      <c r="H62" s="290"/>
      <c r="I62" s="61"/>
      <c r="J62" s="61"/>
      <c r="K62" s="64"/>
      <c r="L62" s="64"/>
      <c r="M62" s="317"/>
      <c r="N62" s="317"/>
    </row>
    <row r="63" ht="17.4" spans="2:14">
      <c r="B63" s="269" t="s">
        <v>832</v>
      </c>
      <c r="C63" s="64" t="s">
        <v>706</v>
      </c>
      <c r="D63" s="101" t="s">
        <v>833</v>
      </c>
      <c r="E63" s="64" t="s">
        <v>671</v>
      </c>
      <c r="F63" s="64"/>
      <c r="G63" s="221" t="s">
        <v>834</v>
      </c>
      <c r="H63" s="291"/>
      <c r="I63" s="61"/>
      <c r="J63" s="61"/>
      <c r="K63" s="64"/>
      <c r="L63" s="64"/>
      <c r="M63" s="317"/>
      <c r="N63" s="317"/>
    </row>
    <row r="64" s="192" customFormat="1" ht="15.6" spans="1:14">
      <c r="A64" s="191"/>
      <c r="B64" s="229" t="s">
        <v>835</v>
      </c>
      <c r="C64" s="229" t="s">
        <v>229</v>
      </c>
      <c r="D64" s="229" t="s">
        <v>836</v>
      </c>
      <c r="E64" s="84" t="s">
        <v>422</v>
      </c>
      <c r="F64" s="201"/>
      <c r="G64" s="200" t="s">
        <v>837</v>
      </c>
      <c r="H64" s="229"/>
      <c r="I64" s="229"/>
      <c r="J64" s="201"/>
      <c r="K64" s="229" t="s">
        <v>231</v>
      </c>
      <c r="L64" s="229" t="s">
        <v>838</v>
      </c>
      <c r="M64" s="319"/>
      <c r="N64" s="319"/>
    </row>
    <row r="65" ht="15.6" spans="2:14">
      <c r="B65" s="269" t="s">
        <v>839</v>
      </c>
      <c r="C65" s="64" t="s">
        <v>203</v>
      </c>
      <c r="D65" s="101" t="s">
        <v>840</v>
      </c>
      <c r="E65" s="64" t="s">
        <v>671</v>
      </c>
      <c r="F65" s="64"/>
      <c r="G65" s="221" t="s">
        <v>841</v>
      </c>
      <c r="H65" s="101"/>
      <c r="I65" s="61"/>
      <c r="J65" s="61"/>
      <c r="K65" s="64"/>
      <c r="L65" s="64"/>
      <c r="M65" s="317"/>
      <c r="N65" s="317"/>
    </row>
    <row r="66" ht="15.6" spans="2:14">
      <c r="B66" s="245" t="s">
        <v>842</v>
      </c>
      <c r="C66" s="248" t="s">
        <v>203</v>
      </c>
      <c r="D66" s="200" t="s">
        <v>843</v>
      </c>
      <c r="E66" s="234" t="s">
        <v>422</v>
      </c>
      <c r="F66" s="234"/>
      <c r="G66" s="200" t="s">
        <v>844</v>
      </c>
      <c r="H66" s="234"/>
      <c r="I66" s="239"/>
      <c r="J66" s="239"/>
      <c r="K66" s="248"/>
      <c r="L66" s="248"/>
      <c r="M66" s="317"/>
      <c r="N66" s="317"/>
    </row>
    <row r="67" s="192" customFormat="1" ht="15.6" spans="1:14">
      <c r="A67" s="191"/>
      <c r="B67" s="229" t="s">
        <v>845</v>
      </c>
      <c r="C67" s="229" t="s">
        <v>229</v>
      </c>
      <c r="D67" s="229" t="s">
        <v>846</v>
      </c>
      <c r="E67" s="84" t="s">
        <v>422</v>
      </c>
      <c r="F67" s="201"/>
      <c r="G67" s="200" t="s">
        <v>847</v>
      </c>
      <c r="H67" s="229"/>
      <c r="I67" s="229"/>
      <c r="J67" s="201"/>
      <c r="K67" s="229" t="s">
        <v>231</v>
      </c>
      <c r="L67" s="229" t="s">
        <v>848</v>
      </c>
      <c r="M67" s="319"/>
      <c r="N67" s="319"/>
    </row>
    <row r="68" s="192" customFormat="1" ht="15.6" spans="1:14">
      <c r="A68" s="191"/>
      <c r="B68" s="229" t="s">
        <v>849</v>
      </c>
      <c r="C68" s="229" t="s">
        <v>229</v>
      </c>
      <c r="D68" s="229" t="s">
        <v>850</v>
      </c>
      <c r="E68" s="84" t="s">
        <v>422</v>
      </c>
      <c r="F68" s="201"/>
      <c r="G68" s="200" t="s">
        <v>851</v>
      </c>
      <c r="H68" s="229"/>
      <c r="I68" s="229"/>
      <c r="J68" s="201"/>
      <c r="K68" s="229" t="s">
        <v>231</v>
      </c>
      <c r="L68" s="229" t="s">
        <v>852</v>
      </c>
      <c r="M68" s="319"/>
      <c r="N68" s="319"/>
    </row>
    <row r="69" s="192" customFormat="1" ht="15.6" spans="1:14">
      <c r="A69" s="191"/>
      <c r="B69" s="229" t="s">
        <v>853</v>
      </c>
      <c r="C69" s="229" t="s">
        <v>229</v>
      </c>
      <c r="D69" s="229" t="s">
        <v>854</v>
      </c>
      <c r="E69" s="84" t="s">
        <v>422</v>
      </c>
      <c r="F69" s="201"/>
      <c r="G69" s="200" t="s">
        <v>855</v>
      </c>
      <c r="H69" s="229"/>
      <c r="I69" s="229"/>
      <c r="J69" s="201"/>
      <c r="K69" s="229" t="s">
        <v>231</v>
      </c>
      <c r="L69" s="229" t="s">
        <v>856</v>
      </c>
      <c r="M69" s="319"/>
      <c r="N69" s="319"/>
    </row>
    <row r="70" s="192" customFormat="1" ht="15.6" spans="1:14">
      <c r="A70" s="191"/>
      <c r="B70" s="229" t="s">
        <v>857</v>
      </c>
      <c r="C70" s="229" t="s">
        <v>229</v>
      </c>
      <c r="D70" s="229" t="s">
        <v>858</v>
      </c>
      <c r="E70" s="84" t="s">
        <v>422</v>
      </c>
      <c r="F70" s="201"/>
      <c r="G70" s="200" t="s">
        <v>859</v>
      </c>
      <c r="H70" s="229"/>
      <c r="I70" s="229"/>
      <c r="J70" s="201"/>
      <c r="K70" s="229" t="s">
        <v>231</v>
      </c>
      <c r="L70" s="229" t="s">
        <v>860</v>
      </c>
      <c r="M70" s="319"/>
      <c r="N70" s="319"/>
    </row>
    <row r="71" s="192" customFormat="1" ht="15.6" spans="1:14">
      <c r="A71" s="191"/>
      <c r="B71" s="229" t="s">
        <v>861</v>
      </c>
      <c r="C71" s="229" t="s">
        <v>229</v>
      </c>
      <c r="D71" s="229" t="s">
        <v>862</v>
      </c>
      <c r="E71" s="84" t="s">
        <v>422</v>
      </c>
      <c r="F71" s="201"/>
      <c r="G71" s="200" t="s">
        <v>863</v>
      </c>
      <c r="H71" s="229"/>
      <c r="I71" s="229"/>
      <c r="J71" s="201"/>
      <c r="K71" s="229" t="s">
        <v>231</v>
      </c>
      <c r="L71" s="229" t="s">
        <v>864</v>
      </c>
      <c r="M71" s="319"/>
      <c r="N71" s="319"/>
    </row>
    <row r="72" s="192" customFormat="1" ht="15.6" spans="1:14">
      <c r="A72" s="191"/>
      <c r="B72" s="229" t="s">
        <v>865</v>
      </c>
      <c r="C72" s="229" t="s">
        <v>203</v>
      </c>
      <c r="D72" s="229" t="s">
        <v>866</v>
      </c>
      <c r="E72" s="84" t="s">
        <v>422</v>
      </c>
      <c r="F72" s="201"/>
      <c r="G72" s="200" t="s">
        <v>867</v>
      </c>
      <c r="H72" s="229"/>
      <c r="I72" s="229"/>
      <c r="J72" s="201"/>
      <c r="K72" s="229" t="s">
        <v>868</v>
      </c>
      <c r="L72" s="229" t="s">
        <v>869</v>
      </c>
      <c r="M72" s="319"/>
      <c r="N72" s="319"/>
    </row>
    <row r="73" s="192" customFormat="1" ht="15.6" spans="1:14">
      <c r="A73" s="191"/>
      <c r="B73" s="229" t="s">
        <v>870</v>
      </c>
      <c r="C73" s="229" t="s">
        <v>203</v>
      </c>
      <c r="D73" s="229" t="s">
        <v>871</v>
      </c>
      <c r="E73" s="84" t="s">
        <v>422</v>
      </c>
      <c r="F73" s="201"/>
      <c r="G73" s="200" t="s">
        <v>872</v>
      </c>
      <c r="H73" s="229"/>
      <c r="I73" s="229"/>
      <c r="J73" s="201"/>
      <c r="K73" s="229" t="s">
        <v>749</v>
      </c>
      <c r="L73" s="229" t="s">
        <v>873</v>
      </c>
      <c r="M73" s="319"/>
      <c r="N73" s="319"/>
    </row>
    <row r="74" ht="15.6" spans="2:14">
      <c r="B74" s="269" t="s">
        <v>874</v>
      </c>
      <c r="C74" s="64" t="s">
        <v>203</v>
      </c>
      <c r="D74" s="101" t="s">
        <v>875</v>
      </c>
      <c r="E74" s="64" t="s">
        <v>671</v>
      </c>
      <c r="F74" s="64"/>
      <c r="G74" s="243" t="s">
        <v>876</v>
      </c>
      <c r="H74" s="101"/>
      <c r="I74" s="61"/>
      <c r="J74" s="61"/>
      <c r="K74" s="64"/>
      <c r="L74" s="64"/>
      <c r="M74" s="317"/>
      <c r="N74" s="317"/>
    </row>
    <row r="75" ht="15.6" spans="2:14">
      <c r="B75" s="269" t="s">
        <v>877</v>
      </c>
      <c r="C75" s="64" t="s">
        <v>706</v>
      </c>
      <c r="D75" s="101" t="s">
        <v>878</v>
      </c>
      <c r="E75" s="64" t="s">
        <v>671</v>
      </c>
      <c r="F75" s="64"/>
      <c r="G75" s="221" t="s">
        <v>879</v>
      </c>
      <c r="H75" s="101"/>
      <c r="I75" s="61"/>
      <c r="J75" s="61"/>
      <c r="K75" s="64"/>
      <c r="L75" s="64"/>
      <c r="M75" s="317"/>
      <c r="N75" s="317"/>
    </row>
    <row r="76" ht="15.6" spans="2:14">
      <c r="B76" s="269" t="s">
        <v>880</v>
      </c>
      <c r="C76" s="64" t="s">
        <v>706</v>
      </c>
      <c r="D76" s="101" t="s">
        <v>881</v>
      </c>
      <c r="E76" s="64" t="s">
        <v>671</v>
      </c>
      <c r="F76" s="64"/>
      <c r="G76" s="221" t="s">
        <v>882</v>
      </c>
      <c r="H76" s="101"/>
      <c r="I76" s="61"/>
      <c r="J76" s="61"/>
      <c r="K76" s="64"/>
      <c r="L76" s="64"/>
      <c r="M76" s="317"/>
      <c r="N76" s="317"/>
    </row>
    <row r="77" ht="15.6" spans="2:14">
      <c r="B77" s="269" t="s">
        <v>883</v>
      </c>
      <c r="C77" s="64" t="s">
        <v>706</v>
      </c>
      <c r="D77" s="101" t="s">
        <v>884</v>
      </c>
      <c r="E77" s="64" t="s">
        <v>671</v>
      </c>
      <c r="F77" s="64"/>
      <c r="G77" s="221" t="s">
        <v>885</v>
      </c>
      <c r="H77" s="101"/>
      <c r="I77" s="61"/>
      <c r="J77" s="61"/>
      <c r="K77" s="64"/>
      <c r="L77" s="64"/>
      <c r="M77" s="317"/>
      <c r="N77" s="317"/>
    </row>
    <row r="78" ht="15.6" spans="2:14">
      <c r="B78" s="269" t="s">
        <v>886</v>
      </c>
      <c r="C78" s="64" t="s">
        <v>706</v>
      </c>
      <c r="D78" s="101" t="s">
        <v>887</v>
      </c>
      <c r="E78" s="64" t="s">
        <v>671</v>
      </c>
      <c r="F78" s="64"/>
      <c r="G78" s="221" t="s">
        <v>888</v>
      </c>
      <c r="H78" s="101"/>
      <c r="I78" s="61"/>
      <c r="J78" s="61"/>
      <c r="K78" s="64"/>
      <c r="L78" s="64"/>
      <c r="M78" s="317"/>
      <c r="N78" s="317"/>
    </row>
    <row r="79" ht="15.6" spans="2:14">
      <c r="B79" s="269" t="s">
        <v>889</v>
      </c>
      <c r="C79" s="64" t="s">
        <v>706</v>
      </c>
      <c r="D79" s="101" t="s">
        <v>890</v>
      </c>
      <c r="E79" s="64" t="s">
        <v>671</v>
      </c>
      <c r="F79" s="64"/>
      <c r="G79" s="221" t="s">
        <v>891</v>
      </c>
      <c r="H79" s="101"/>
      <c r="I79" s="61"/>
      <c r="J79" s="61"/>
      <c r="K79" s="64"/>
      <c r="L79" s="64"/>
      <c r="M79" s="317"/>
      <c r="N79" s="317"/>
    </row>
    <row r="80" s="192" customFormat="1" ht="15.6" spans="2:14">
      <c r="B80" s="292" t="s">
        <v>892</v>
      </c>
      <c r="C80" s="64" t="s">
        <v>706</v>
      </c>
      <c r="D80" s="101" t="s">
        <v>893</v>
      </c>
      <c r="E80" s="64" t="s">
        <v>671</v>
      </c>
      <c r="F80" s="64"/>
      <c r="G80" s="221" t="s">
        <v>894</v>
      </c>
      <c r="H80" s="101"/>
      <c r="I80" s="61"/>
      <c r="J80" s="61"/>
      <c r="K80" s="64"/>
      <c r="L80" s="64"/>
      <c r="M80" s="319"/>
      <c r="N80" s="319"/>
    </row>
    <row r="81" ht="15.6" spans="2:14">
      <c r="B81" s="269" t="s">
        <v>895</v>
      </c>
      <c r="C81" s="64" t="s">
        <v>203</v>
      </c>
      <c r="D81" s="101" t="s">
        <v>896</v>
      </c>
      <c r="E81" s="64" t="s">
        <v>671</v>
      </c>
      <c r="F81" s="64"/>
      <c r="G81" s="221" t="s">
        <v>897</v>
      </c>
      <c r="H81" s="101"/>
      <c r="I81" s="61"/>
      <c r="J81" s="61"/>
      <c r="K81" s="64"/>
      <c r="L81" s="64"/>
      <c r="M81" s="317"/>
      <c r="N81" s="317"/>
    </row>
    <row r="82" ht="15.6" spans="2:14">
      <c r="B82" s="269" t="s">
        <v>898</v>
      </c>
      <c r="C82" s="64" t="s">
        <v>706</v>
      </c>
      <c r="D82" s="101" t="s">
        <v>899</v>
      </c>
      <c r="E82" s="64" t="s">
        <v>671</v>
      </c>
      <c r="F82" s="64"/>
      <c r="G82" s="221" t="s">
        <v>900</v>
      </c>
      <c r="H82" s="101"/>
      <c r="I82" s="61"/>
      <c r="J82" s="61"/>
      <c r="K82" s="64"/>
      <c r="L82" s="64"/>
      <c r="M82" s="317"/>
      <c r="N82" s="317"/>
    </row>
    <row r="83" ht="15.6" spans="2:14">
      <c r="B83" s="269" t="s">
        <v>901</v>
      </c>
      <c r="C83" s="64" t="s">
        <v>706</v>
      </c>
      <c r="D83" s="101" t="s">
        <v>902</v>
      </c>
      <c r="E83" s="64" t="s">
        <v>671</v>
      </c>
      <c r="F83" s="64"/>
      <c r="G83" s="221" t="s">
        <v>903</v>
      </c>
      <c r="H83" s="101"/>
      <c r="I83" s="61"/>
      <c r="J83" s="61"/>
      <c r="K83" s="64"/>
      <c r="L83" s="64"/>
      <c r="M83" s="317"/>
      <c r="N83" s="317"/>
    </row>
    <row r="84" ht="15.6" spans="2:14">
      <c r="B84" s="269" t="s">
        <v>904</v>
      </c>
      <c r="C84" s="64" t="s">
        <v>706</v>
      </c>
      <c r="D84" s="101" t="s">
        <v>905</v>
      </c>
      <c r="E84" s="64" t="s">
        <v>671</v>
      </c>
      <c r="F84" s="64"/>
      <c r="G84" s="221" t="s">
        <v>906</v>
      </c>
      <c r="H84" s="101"/>
      <c r="I84" s="61"/>
      <c r="J84" s="61"/>
      <c r="K84" s="64"/>
      <c r="L84" s="64"/>
      <c r="M84" s="317"/>
      <c r="N84" s="317"/>
    </row>
    <row r="85" ht="15.6" spans="2:14">
      <c r="B85" s="269" t="s">
        <v>907</v>
      </c>
      <c r="C85" s="64" t="s">
        <v>706</v>
      </c>
      <c r="D85" s="101" t="s">
        <v>908</v>
      </c>
      <c r="E85" s="64" t="s">
        <v>671</v>
      </c>
      <c r="F85" s="64"/>
      <c r="G85" s="221" t="s">
        <v>909</v>
      </c>
      <c r="H85" s="101"/>
      <c r="I85" s="61"/>
      <c r="J85" s="61"/>
      <c r="K85" s="64"/>
      <c r="L85" s="64"/>
      <c r="M85" s="317"/>
      <c r="N85" s="317"/>
    </row>
    <row r="86" ht="15.6" spans="2:14">
      <c r="B86" s="269" t="s">
        <v>910</v>
      </c>
      <c r="C86" s="64" t="s">
        <v>706</v>
      </c>
      <c r="D86" s="101" t="s">
        <v>911</v>
      </c>
      <c r="E86" s="64" t="s">
        <v>671</v>
      </c>
      <c r="F86" s="64"/>
      <c r="G86" s="221" t="s">
        <v>912</v>
      </c>
      <c r="H86" s="101"/>
      <c r="I86" s="61"/>
      <c r="J86" s="61"/>
      <c r="K86" s="64"/>
      <c r="L86" s="64"/>
      <c r="M86" s="317"/>
      <c r="N86" s="317"/>
    </row>
    <row r="87" ht="15.6" spans="2:14">
      <c r="B87" s="292" t="s">
        <v>913</v>
      </c>
      <c r="C87" s="64" t="s">
        <v>706</v>
      </c>
      <c r="D87" s="101" t="s">
        <v>914</v>
      </c>
      <c r="E87" s="64" t="s">
        <v>671</v>
      </c>
      <c r="F87" s="64"/>
      <c r="G87" s="221" t="s">
        <v>915</v>
      </c>
      <c r="H87" s="101"/>
      <c r="I87" s="61"/>
      <c r="J87" s="61"/>
      <c r="K87" s="64"/>
      <c r="L87" s="64"/>
      <c r="M87" s="317"/>
      <c r="N87" s="317"/>
    </row>
    <row r="88" ht="15.6" spans="2:14">
      <c r="B88" s="269" t="s">
        <v>916</v>
      </c>
      <c r="C88" s="64" t="s">
        <v>203</v>
      </c>
      <c r="D88" s="101" t="s">
        <v>917</v>
      </c>
      <c r="E88" s="64" t="s">
        <v>671</v>
      </c>
      <c r="F88" s="64"/>
      <c r="G88" s="221" t="s">
        <v>918</v>
      </c>
      <c r="H88" s="101"/>
      <c r="I88" s="61"/>
      <c r="J88" s="61"/>
      <c r="K88" s="64"/>
      <c r="L88" s="64"/>
      <c r="M88" s="317"/>
      <c r="N88" s="317"/>
    </row>
    <row r="89" ht="15.6" spans="2:14">
      <c r="B89" s="269" t="s">
        <v>919</v>
      </c>
      <c r="C89" s="64" t="s">
        <v>706</v>
      </c>
      <c r="D89" s="101" t="s">
        <v>920</v>
      </c>
      <c r="E89" s="64" t="s">
        <v>671</v>
      </c>
      <c r="F89" s="64"/>
      <c r="G89" s="221" t="s">
        <v>921</v>
      </c>
      <c r="H89" s="101"/>
      <c r="I89" s="61"/>
      <c r="J89" s="61"/>
      <c r="K89" s="64"/>
      <c r="L89" s="64"/>
      <c r="M89" s="317"/>
      <c r="N89" s="317"/>
    </row>
    <row r="90" ht="15.6" spans="2:14">
      <c r="B90" s="269" t="s">
        <v>922</v>
      </c>
      <c r="C90" s="64" t="s">
        <v>706</v>
      </c>
      <c r="D90" s="101" t="s">
        <v>923</v>
      </c>
      <c r="E90" s="64" t="s">
        <v>671</v>
      </c>
      <c r="F90" s="64"/>
      <c r="G90" s="221" t="s">
        <v>924</v>
      </c>
      <c r="H90" s="101"/>
      <c r="I90" s="61"/>
      <c r="J90" s="61"/>
      <c r="K90" s="64"/>
      <c r="L90" s="64"/>
      <c r="M90" s="317"/>
      <c r="N90" s="317"/>
    </row>
    <row r="91" ht="15.6" spans="2:14">
      <c r="B91" s="269" t="s">
        <v>925</v>
      </c>
      <c r="C91" s="64" t="s">
        <v>706</v>
      </c>
      <c r="D91" s="101" t="s">
        <v>926</v>
      </c>
      <c r="E91" s="64" t="s">
        <v>671</v>
      </c>
      <c r="F91" s="64"/>
      <c r="G91" s="221" t="s">
        <v>927</v>
      </c>
      <c r="H91" s="101"/>
      <c r="I91" s="61"/>
      <c r="J91" s="61"/>
      <c r="K91" s="64"/>
      <c r="L91" s="64"/>
      <c r="M91" s="317"/>
      <c r="N91" s="317"/>
    </row>
    <row r="92" ht="15.6" spans="2:14">
      <c r="B92" s="269" t="s">
        <v>928</v>
      </c>
      <c r="C92" s="64" t="s">
        <v>706</v>
      </c>
      <c r="D92" s="101" t="s">
        <v>929</v>
      </c>
      <c r="E92" s="64" t="s">
        <v>671</v>
      </c>
      <c r="F92" s="64"/>
      <c r="G92" s="221" t="s">
        <v>930</v>
      </c>
      <c r="H92" s="101"/>
      <c r="I92" s="61"/>
      <c r="J92" s="61"/>
      <c r="K92" s="64"/>
      <c r="L92" s="64"/>
      <c r="M92" s="317"/>
      <c r="N92" s="317"/>
    </row>
    <row r="93" ht="15.6" spans="2:14">
      <c r="B93" s="269" t="s">
        <v>931</v>
      </c>
      <c r="C93" s="64" t="s">
        <v>706</v>
      </c>
      <c r="D93" s="101" t="s">
        <v>932</v>
      </c>
      <c r="E93" s="64" t="s">
        <v>671</v>
      </c>
      <c r="F93" s="64"/>
      <c r="G93" s="221" t="s">
        <v>933</v>
      </c>
      <c r="H93" s="101"/>
      <c r="I93" s="61"/>
      <c r="J93" s="61"/>
      <c r="K93" s="64"/>
      <c r="L93" s="64"/>
      <c r="M93" s="317"/>
      <c r="N93" s="317"/>
    </row>
    <row r="94" ht="15.6" spans="2:14">
      <c r="B94" s="292" t="s">
        <v>934</v>
      </c>
      <c r="C94" s="64" t="s">
        <v>706</v>
      </c>
      <c r="D94" s="101" t="s">
        <v>935</v>
      </c>
      <c r="E94" s="64" t="s">
        <v>671</v>
      </c>
      <c r="F94" s="64"/>
      <c r="G94" s="221" t="s">
        <v>936</v>
      </c>
      <c r="H94" s="101"/>
      <c r="I94" s="61"/>
      <c r="J94" s="61"/>
      <c r="K94" s="64"/>
      <c r="L94" s="64"/>
      <c r="M94" s="317"/>
      <c r="N94" s="317"/>
    </row>
    <row r="95" ht="15.6" spans="2:14">
      <c r="B95" s="269" t="s">
        <v>937</v>
      </c>
      <c r="C95" s="64" t="s">
        <v>203</v>
      </c>
      <c r="D95" s="101" t="s">
        <v>938</v>
      </c>
      <c r="E95" s="64" t="s">
        <v>671</v>
      </c>
      <c r="F95" s="64"/>
      <c r="G95" s="221" t="s">
        <v>939</v>
      </c>
      <c r="H95" s="101"/>
      <c r="I95" s="61"/>
      <c r="J95" s="61"/>
      <c r="K95" s="64"/>
      <c r="L95" s="64"/>
      <c r="M95" s="317"/>
      <c r="N95" s="317"/>
    </row>
    <row r="96" ht="15.6" spans="2:14">
      <c r="B96" s="269" t="s">
        <v>940</v>
      </c>
      <c r="C96" s="64" t="s">
        <v>706</v>
      </c>
      <c r="D96" s="101" t="s">
        <v>941</v>
      </c>
      <c r="E96" s="64" t="s">
        <v>671</v>
      </c>
      <c r="F96" s="64"/>
      <c r="G96" s="221" t="s">
        <v>942</v>
      </c>
      <c r="H96" s="101"/>
      <c r="I96" s="61"/>
      <c r="J96" s="61"/>
      <c r="K96" s="64"/>
      <c r="L96" s="64"/>
      <c r="M96" s="317"/>
      <c r="N96" s="317"/>
    </row>
    <row r="97" ht="15.6" spans="2:14">
      <c r="B97" s="269" t="s">
        <v>943</v>
      </c>
      <c r="C97" s="64" t="s">
        <v>706</v>
      </c>
      <c r="D97" s="101" t="s">
        <v>944</v>
      </c>
      <c r="E97" s="64" t="s">
        <v>671</v>
      </c>
      <c r="F97" s="64"/>
      <c r="G97" s="221" t="s">
        <v>945</v>
      </c>
      <c r="H97" s="101"/>
      <c r="I97" s="61"/>
      <c r="J97" s="61"/>
      <c r="K97" s="64"/>
      <c r="L97" s="64"/>
      <c r="M97" s="317"/>
      <c r="N97" s="317"/>
    </row>
    <row r="98" ht="15.6" spans="2:14">
      <c r="B98" s="269" t="s">
        <v>946</v>
      </c>
      <c r="C98" s="64" t="s">
        <v>706</v>
      </c>
      <c r="D98" s="101" t="s">
        <v>947</v>
      </c>
      <c r="E98" s="64" t="s">
        <v>671</v>
      </c>
      <c r="F98" s="64"/>
      <c r="G98" s="221" t="s">
        <v>948</v>
      </c>
      <c r="H98" s="101"/>
      <c r="I98" s="61"/>
      <c r="J98" s="61"/>
      <c r="K98" s="64"/>
      <c r="L98" s="64"/>
      <c r="M98" s="317"/>
      <c r="N98" s="317"/>
    </row>
    <row r="99" ht="15.6" spans="2:14">
      <c r="B99" s="269" t="s">
        <v>949</v>
      </c>
      <c r="C99" s="64" t="s">
        <v>706</v>
      </c>
      <c r="D99" s="101" t="s">
        <v>950</v>
      </c>
      <c r="E99" s="64" t="s">
        <v>671</v>
      </c>
      <c r="F99" s="64"/>
      <c r="G99" s="221" t="s">
        <v>951</v>
      </c>
      <c r="H99" s="101"/>
      <c r="I99" s="61"/>
      <c r="J99" s="61"/>
      <c r="K99" s="64"/>
      <c r="L99" s="64"/>
      <c r="M99" s="317"/>
      <c r="N99" s="317"/>
    </row>
    <row r="100" ht="15.6" spans="2:14">
      <c r="B100" s="269" t="s">
        <v>952</v>
      </c>
      <c r="C100" s="64" t="s">
        <v>706</v>
      </c>
      <c r="D100" s="101" t="s">
        <v>953</v>
      </c>
      <c r="E100" s="64" t="s">
        <v>671</v>
      </c>
      <c r="F100" s="64"/>
      <c r="G100" s="221" t="s">
        <v>954</v>
      </c>
      <c r="H100" s="101"/>
      <c r="I100" s="61"/>
      <c r="J100" s="61"/>
      <c r="K100" s="64"/>
      <c r="L100" s="64"/>
      <c r="M100" s="317"/>
      <c r="N100" s="317"/>
    </row>
    <row r="101" ht="15.6" spans="2:14">
      <c r="B101" s="269" t="s">
        <v>955</v>
      </c>
      <c r="C101" s="64" t="s">
        <v>706</v>
      </c>
      <c r="D101" s="101" t="s">
        <v>956</v>
      </c>
      <c r="E101" s="64" t="s">
        <v>671</v>
      </c>
      <c r="F101" s="64"/>
      <c r="G101" s="221" t="s">
        <v>957</v>
      </c>
      <c r="H101" s="101"/>
      <c r="I101" s="61"/>
      <c r="J101" s="61"/>
      <c r="K101" s="64"/>
      <c r="L101" s="64"/>
      <c r="M101" s="317"/>
      <c r="N101" s="317"/>
    </row>
    <row r="102" ht="15.6" spans="2:14">
      <c r="B102" s="269" t="s">
        <v>958</v>
      </c>
      <c r="C102" s="64" t="s">
        <v>706</v>
      </c>
      <c r="D102" s="101" t="s">
        <v>959</v>
      </c>
      <c r="E102" s="64" t="s">
        <v>671</v>
      </c>
      <c r="F102" s="64"/>
      <c r="G102" s="221" t="s">
        <v>960</v>
      </c>
      <c r="H102" s="101"/>
      <c r="I102" s="61"/>
      <c r="J102" s="61"/>
      <c r="K102" s="64"/>
      <c r="L102" s="64"/>
      <c r="M102" s="317"/>
      <c r="N102" s="317"/>
    </row>
    <row r="103" ht="15.6" spans="2:14">
      <c r="B103" s="269" t="s">
        <v>961</v>
      </c>
      <c r="C103" s="64" t="s">
        <v>706</v>
      </c>
      <c r="D103" s="101" t="s">
        <v>962</v>
      </c>
      <c r="E103" s="64" t="s">
        <v>671</v>
      </c>
      <c r="F103" s="64"/>
      <c r="G103" s="221" t="s">
        <v>963</v>
      </c>
      <c r="H103" s="101"/>
      <c r="I103" s="61"/>
      <c r="J103" s="61"/>
      <c r="K103" s="64"/>
      <c r="L103" s="64"/>
      <c r="M103" s="317"/>
      <c r="N103" s="317"/>
    </row>
    <row r="104" ht="15.6" spans="2:14">
      <c r="B104" s="269" t="s">
        <v>964</v>
      </c>
      <c r="C104" s="64" t="s">
        <v>706</v>
      </c>
      <c r="D104" s="101" t="s">
        <v>965</v>
      </c>
      <c r="E104" s="64" t="s">
        <v>671</v>
      </c>
      <c r="F104" s="64"/>
      <c r="G104" s="221" t="s">
        <v>966</v>
      </c>
      <c r="H104" s="101"/>
      <c r="I104" s="61"/>
      <c r="J104" s="61"/>
      <c r="K104" s="64"/>
      <c r="L104" s="64"/>
      <c r="M104" s="317"/>
      <c r="N104" s="317"/>
    </row>
    <row r="105" ht="15.6" spans="2:14">
      <c r="B105" s="269" t="s">
        <v>967</v>
      </c>
      <c r="C105" s="64" t="s">
        <v>203</v>
      </c>
      <c r="D105" s="101" t="s">
        <v>968</v>
      </c>
      <c r="E105" s="64" t="s">
        <v>671</v>
      </c>
      <c r="F105" s="64"/>
      <c r="G105" s="221" t="s">
        <v>969</v>
      </c>
      <c r="H105" s="101"/>
      <c r="I105" s="61"/>
      <c r="J105" s="61"/>
      <c r="K105" s="64"/>
      <c r="L105" s="64"/>
      <c r="M105" s="317"/>
      <c r="N105" s="317"/>
    </row>
    <row r="106" ht="15.6" spans="2:14">
      <c r="B106" s="269" t="s">
        <v>970</v>
      </c>
      <c r="C106" s="64" t="s">
        <v>706</v>
      </c>
      <c r="D106" s="101" t="s">
        <v>971</v>
      </c>
      <c r="E106" s="64" t="s">
        <v>671</v>
      </c>
      <c r="F106" s="64"/>
      <c r="G106" s="221" t="s">
        <v>972</v>
      </c>
      <c r="H106" s="101"/>
      <c r="I106" s="61"/>
      <c r="J106" s="61"/>
      <c r="K106" s="64"/>
      <c r="L106" s="64"/>
      <c r="M106" s="317"/>
      <c r="N106" s="317"/>
    </row>
    <row r="107" ht="15.6" spans="2:14">
      <c r="B107" s="269" t="s">
        <v>973</v>
      </c>
      <c r="C107" s="64" t="s">
        <v>706</v>
      </c>
      <c r="D107" s="101" t="s">
        <v>974</v>
      </c>
      <c r="E107" s="64" t="s">
        <v>671</v>
      </c>
      <c r="F107" s="64"/>
      <c r="G107" s="221" t="s">
        <v>975</v>
      </c>
      <c r="H107" s="101"/>
      <c r="I107" s="61"/>
      <c r="J107" s="61"/>
      <c r="K107" s="64"/>
      <c r="L107" s="64"/>
      <c r="M107" s="317"/>
      <c r="N107" s="317"/>
    </row>
    <row r="108" ht="15.6" spans="2:14">
      <c r="B108" s="269" t="s">
        <v>976</v>
      </c>
      <c r="C108" s="64" t="s">
        <v>706</v>
      </c>
      <c r="D108" s="101" t="s">
        <v>977</v>
      </c>
      <c r="E108" s="64" t="s">
        <v>671</v>
      </c>
      <c r="F108" s="64"/>
      <c r="G108" s="221" t="s">
        <v>978</v>
      </c>
      <c r="H108" s="101"/>
      <c r="I108" s="61"/>
      <c r="J108" s="61"/>
      <c r="K108" s="64"/>
      <c r="L108" s="64"/>
      <c r="M108" s="317"/>
      <c r="N108" s="317"/>
    </row>
    <row r="109" ht="15.6" spans="2:14">
      <c r="B109" s="269" t="s">
        <v>979</v>
      </c>
      <c r="C109" s="64" t="s">
        <v>706</v>
      </c>
      <c r="D109" s="101" t="s">
        <v>980</v>
      </c>
      <c r="E109" s="64" t="s">
        <v>671</v>
      </c>
      <c r="F109" s="64"/>
      <c r="G109" s="221" t="s">
        <v>981</v>
      </c>
      <c r="H109" s="101"/>
      <c r="I109" s="61"/>
      <c r="J109" s="61"/>
      <c r="K109" s="64"/>
      <c r="L109" s="64"/>
      <c r="M109" s="317"/>
      <c r="N109" s="317"/>
    </row>
    <row r="110" ht="15.6" spans="2:14">
      <c r="B110" s="269" t="s">
        <v>982</v>
      </c>
      <c r="C110" s="64" t="s">
        <v>706</v>
      </c>
      <c r="D110" s="101" t="s">
        <v>983</v>
      </c>
      <c r="E110" s="64" t="s">
        <v>671</v>
      </c>
      <c r="F110" s="64"/>
      <c r="G110" s="221" t="s">
        <v>984</v>
      </c>
      <c r="H110" s="101"/>
      <c r="I110" s="61"/>
      <c r="J110" s="61"/>
      <c r="K110" s="64"/>
      <c r="L110" s="64"/>
      <c r="M110" s="317"/>
      <c r="N110" s="317"/>
    </row>
    <row r="111" ht="15.6" spans="2:14">
      <c r="B111" s="269" t="s">
        <v>985</v>
      </c>
      <c r="C111" s="64" t="s">
        <v>706</v>
      </c>
      <c r="D111" s="101" t="s">
        <v>986</v>
      </c>
      <c r="E111" s="64" t="s">
        <v>671</v>
      </c>
      <c r="F111" s="64"/>
      <c r="G111" s="221" t="s">
        <v>987</v>
      </c>
      <c r="H111" s="101"/>
      <c r="I111" s="61"/>
      <c r="J111" s="61"/>
      <c r="K111" s="64"/>
      <c r="L111" s="64"/>
      <c r="M111" s="317"/>
      <c r="N111" s="317"/>
    </row>
    <row r="112" ht="15.6" spans="2:14">
      <c r="B112" s="269" t="s">
        <v>988</v>
      </c>
      <c r="C112" s="64" t="s">
        <v>706</v>
      </c>
      <c r="D112" s="101" t="s">
        <v>989</v>
      </c>
      <c r="E112" s="64" t="s">
        <v>671</v>
      </c>
      <c r="F112" s="64"/>
      <c r="G112" s="221" t="s">
        <v>990</v>
      </c>
      <c r="H112" s="101"/>
      <c r="I112" s="61"/>
      <c r="J112" s="61"/>
      <c r="K112" s="64"/>
      <c r="L112" s="64"/>
      <c r="M112" s="317"/>
      <c r="N112" s="317"/>
    </row>
    <row r="113" ht="15.6" spans="2:14">
      <c r="B113" s="269" t="s">
        <v>991</v>
      </c>
      <c r="C113" s="64" t="s">
        <v>203</v>
      </c>
      <c r="D113" s="101" t="s">
        <v>992</v>
      </c>
      <c r="E113" s="64" t="s">
        <v>671</v>
      </c>
      <c r="F113" s="64"/>
      <c r="G113" s="221" t="s">
        <v>993</v>
      </c>
      <c r="H113" s="101"/>
      <c r="I113" s="61"/>
      <c r="J113" s="61"/>
      <c r="K113" s="64"/>
      <c r="L113" s="64"/>
      <c r="M113" s="317"/>
      <c r="N113" s="317"/>
    </row>
    <row r="114" ht="15.6" spans="2:14">
      <c r="B114" s="269" t="s">
        <v>994</v>
      </c>
      <c r="C114" s="64" t="s">
        <v>706</v>
      </c>
      <c r="D114" s="101" t="s">
        <v>995</v>
      </c>
      <c r="E114" s="64" t="s">
        <v>671</v>
      </c>
      <c r="F114" s="64"/>
      <c r="G114" s="221" t="s">
        <v>996</v>
      </c>
      <c r="H114" s="101"/>
      <c r="I114" s="61"/>
      <c r="J114" s="61"/>
      <c r="K114" s="64"/>
      <c r="L114" s="64"/>
      <c r="M114" s="317"/>
      <c r="N114" s="317"/>
    </row>
    <row r="115" ht="15.6" spans="2:14">
      <c r="B115" s="269" t="s">
        <v>997</v>
      </c>
      <c r="C115" s="64" t="s">
        <v>706</v>
      </c>
      <c r="D115" s="101" t="s">
        <v>998</v>
      </c>
      <c r="E115" s="64" t="s">
        <v>671</v>
      </c>
      <c r="F115" s="64"/>
      <c r="G115" s="221" t="s">
        <v>999</v>
      </c>
      <c r="H115" s="101"/>
      <c r="I115" s="61"/>
      <c r="J115" s="61"/>
      <c r="K115" s="64"/>
      <c r="L115" s="64"/>
      <c r="M115" s="317"/>
      <c r="N115" s="317"/>
    </row>
    <row r="116" ht="15.6" spans="2:14">
      <c r="B116" s="269" t="s">
        <v>1000</v>
      </c>
      <c r="C116" s="64" t="s">
        <v>706</v>
      </c>
      <c r="D116" s="101" t="s">
        <v>1001</v>
      </c>
      <c r="E116" s="64" t="s">
        <v>671</v>
      </c>
      <c r="F116" s="64"/>
      <c r="G116" s="221" t="s">
        <v>1002</v>
      </c>
      <c r="H116" s="101"/>
      <c r="I116" s="61"/>
      <c r="J116" s="61"/>
      <c r="K116" s="64"/>
      <c r="L116" s="64"/>
      <c r="M116" s="317"/>
      <c r="N116" s="317"/>
    </row>
    <row r="117" ht="15.6" spans="2:14">
      <c r="B117" s="269" t="s">
        <v>1003</v>
      </c>
      <c r="C117" s="64" t="s">
        <v>706</v>
      </c>
      <c r="D117" s="101" t="s">
        <v>1004</v>
      </c>
      <c r="E117" s="64" t="s">
        <v>671</v>
      </c>
      <c r="F117" s="64"/>
      <c r="G117" s="221" t="s">
        <v>1005</v>
      </c>
      <c r="H117" s="101"/>
      <c r="I117" s="61"/>
      <c r="J117" s="61"/>
      <c r="K117" s="64"/>
      <c r="L117" s="64"/>
      <c r="M117" s="317"/>
      <c r="N117" s="317"/>
    </row>
    <row r="118" ht="15.6" spans="2:14">
      <c r="B118" s="269" t="s">
        <v>1006</v>
      </c>
      <c r="C118" s="64" t="s">
        <v>706</v>
      </c>
      <c r="D118" s="101" t="s">
        <v>1007</v>
      </c>
      <c r="E118" s="64" t="s">
        <v>671</v>
      </c>
      <c r="F118" s="64"/>
      <c r="G118" s="221" t="s">
        <v>1008</v>
      </c>
      <c r="H118" s="101"/>
      <c r="I118" s="61"/>
      <c r="J118" s="61"/>
      <c r="K118" s="64"/>
      <c r="L118" s="64"/>
      <c r="M118" s="317"/>
      <c r="N118" s="317"/>
    </row>
    <row r="119" ht="15.6" spans="2:14">
      <c r="B119" s="292" t="s">
        <v>1009</v>
      </c>
      <c r="C119" s="64" t="s">
        <v>706</v>
      </c>
      <c r="D119" s="101" t="s">
        <v>1010</v>
      </c>
      <c r="E119" s="64" t="s">
        <v>671</v>
      </c>
      <c r="F119" s="64"/>
      <c r="G119" s="221" t="s">
        <v>1011</v>
      </c>
      <c r="H119" s="101"/>
      <c r="I119" s="61"/>
      <c r="J119" s="61"/>
      <c r="K119" s="64"/>
      <c r="L119" s="64"/>
      <c r="M119" s="317"/>
      <c r="N119" s="317"/>
    </row>
    <row r="120" ht="15.6" spans="2:14">
      <c r="B120" s="269" t="s">
        <v>1012</v>
      </c>
      <c r="C120" s="64" t="s">
        <v>203</v>
      </c>
      <c r="D120" s="101" t="s">
        <v>1013</v>
      </c>
      <c r="E120" s="64" t="s">
        <v>671</v>
      </c>
      <c r="F120" s="64"/>
      <c r="G120" s="221" t="s">
        <v>1014</v>
      </c>
      <c r="H120" s="101"/>
      <c r="I120" s="61"/>
      <c r="J120" s="61"/>
      <c r="K120" s="64"/>
      <c r="L120" s="64"/>
      <c r="M120" s="317"/>
      <c r="N120" s="317"/>
    </row>
    <row r="121" ht="15.6" spans="2:14">
      <c r="B121" s="269" t="s">
        <v>1015</v>
      </c>
      <c r="C121" s="64" t="s">
        <v>706</v>
      </c>
      <c r="D121" s="101" t="s">
        <v>1016</v>
      </c>
      <c r="E121" s="64" t="s">
        <v>671</v>
      </c>
      <c r="F121" s="64"/>
      <c r="G121" s="221" t="s">
        <v>1017</v>
      </c>
      <c r="H121" s="101"/>
      <c r="I121" s="61"/>
      <c r="J121" s="61"/>
      <c r="K121" s="64"/>
      <c r="L121" s="64"/>
      <c r="M121" s="317"/>
      <c r="N121" s="317"/>
    </row>
    <row r="122" ht="15.6" spans="2:14">
      <c r="B122" s="269" t="s">
        <v>1018</v>
      </c>
      <c r="C122" s="64" t="s">
        <v>706</v>
      </c>
      <c r="D122" s="101" t="s">
        <v>1019</v>
      </c>
      <c r="E122" s="64" t="s">
        <v>671</v>
      </c>
      <c r="F122" s="64"/>
      <c r="G122" s="221" t="s">
        <v>1020</v>
      </c>
      <c r="H122" s="101"/>
      <c r="I122" s="61"/>
      <c r="J122" s="61"/>
      <c r="K122" s="64"/>
      <c r="L122" s="64"/>
      <c r="M122" s="317"/>
      <c r="N122" s="317"/>
    </row>
    <row r="123" ht="15.6" spans="2:14">
      <c r="B123" s="269" t="s">
        <v>1021</v>
      </c>
      <c r="C123" s="64" t="s">
        <v>706</v>
      </c>
      <c r="D123" s="101" t="s">
        <v>1022</v>
      </c>
      <c r="E123" s="64" t="s">
        <v>671</v>
      </c>
      <c r="F123" s="64"/>
      <c r="G123" s="221" t="s">
        <v>1023</v>
      </c>
      <c r="H123" s="101"/>
      <c r="I123" s="61"/>
      <c r="J123" s="61"/>
      <c r="K123" s="64"/>
      <c r="L123" s="64"/>
      <c r="M123" s="317"/>
      <c r="N123" s="317"/>
    </row>
    <row r="124" ht="15.6" spans="2:14">
      <c r="B124" s="269" t="s">
        <v>1024</v>
      </c>
      <c r="C124" s="64" t="s">
        <v>706</v>
      </c>
      <c r="D124" s="101" t="s">
        <v>1025</v>
      </c>
      <c r="E124" s="64" t="s">
        <v>671</v>
      </c>
      <c r="F124" s="64"/>
      <c r="G124" s="221" t="s">
        <v>1026</v>
      </c>
      <c r="H124" s="101"/>
      <c r="I124" s="61"/>
      <c r="J124" s="61"/>
      <c r="K124" s="64"/>
      <c r="L124" s="64"/>
      <c r="M124" s="317"/>
      <c r="N124" s="317"/>
    </row>
    <row r="125" ht="15.6" spans="2:14">
      <c r="B125" s="269" t="s">
        <v>1027</v>
      </c>
      <c r="C125" s="64" t="s">
        <v>706</v>
      </c>
      <c r="D125" s="101" t="s">
        <v>1028</v>
      </c>
      <c r="E125" s="64" t="s">
        <v>671</v>
      </c>
      <c r="F125" s="64"/>
      <c r="G125" s="221" t="s">
        <v>1029</v>
      </c>
      <c r="H125" s="101"/>
      <c r="I125" s="61"/>
      <c r="J125" s="61"/>
      <c r="K125" s="64"/>
      <c r="L125" s="64"/>
      <c r="M125" s="317"/>
      <c r="N125" s="317"/>
    </row>
    <row r="126" ht="15.6" spans="2:14">
      <c r="B126" s="269" t="s">
        <v>1030</v>
      </c>
      <c r="C126" s="64" t="s">
        <v>706</v>
      </c>
      <c r="D126" s="101" t="s">
        <v>1031</v>
      </c>
      <c r="E126" s="64" t="s">
        <v>671</v>
      </c>
      <c r="F126" s="64"/>
      <c r="G126" s="221" t="s">
        <v>1032</v>
      </c>
      <c r="H126" s="101"/>
      <c r="I126" s="61"/>
      <c r="J126" s="61"/>
      <c r="K126" s="64"/>
      <c r="L126" s="64"/>
      <c r="M126" s="317"/>
      <c r="N126" s="317"/>
    </row>
    <row r="127" ht="15.6" spans="2:14">
      <c r="B127" s="269" t="s">
        <v>1033</v>
      </c>
      <c r="C127" s="64" t="s">
        <v>706</v>
      </c>
      <c r="D127" s="101" t="s">
        <v>1034</v>
      </c>
      <c r="E127" s="64" t="s">
        <v>671</v>
      </c>
      <c r="F127" s="64"/>
      <c r="G127" s="221" t="s">
        <v>1035</v>
      </c>
      <c r="H127" s="101"/>
      <c r="I127" s="61"/>
      <c r="J127" s="61"/>
      <c r="K127" s="64"/>
      <c r="L127" s="64"/>
      <c r="M127" s="317"/>
      <c r="N127" s="317"/>
    </row>
    <row r="128" ht="15.6" spans="2:14">
      <c r="B128" s="269" t="s">
        <v>1036</v>
      </c>
      <c r="C128" s="64" t="s">
        <v>706</v>
      </c>
      <c r="D128" s="101" t="s">
        <v>1037</v>
      </c>
      <c r="E128" s="64" t="s">
        <v>671</v>
      </c>
      <c r="F128" s="64"/>
      <c r="G128" s="221" t="s">
        <v>1038</v>
      </c>
      <c r="H128" s="101"/>
      <c r="I128" s="61"/>
      <c r="J128" s="61"/>
      <c r="K128" s="64"/>
      <c r="L128" s="64"/>
      <c r="M128" s="317"/>
      <c r="N128" s="317"/>
    </row>
    <row r="129" ht="15.6" spans="2:14">
      <c r="B129" s="269" t="s">
        <v>1039</v>
      </c>
      <c r="C129" s="64" t="s">
        <v>706</v>
      </c>
      <c r="D129" s="101" t="s">
        <v>1040</v>
      </c>
      <c r="E129" s="64" t="s">
        <v>671</v>
      </c>
      <c r="F129" s="64"/>
      <c r="G129" s="221" t="s">
        <v>1041</v>
      </c>
      <c r="H129" s="101"/>
      <c r="I129" s="61"/>
      <c r="J129" s="61"/>
      <c r="K129" s="64"/>
      <c r="L129" s="64"/>
      <c r="M129" s="317"/>
      <c r="N129" s="317"/>
    </row>
    <row r="130" ht="15.6" spans="2:14">
      <c r="B130" s="269" t="s">
        <v>1042</v>
      </c>
      <c r="C130" s="64" t="s">
        <v>706</v>
      </c>
      <c r="D130" s="101" t="s">
        <v>1043</v>
      </c>
      <c r="E130" s="64" t="s">
        <v>671</v>
      </c>
      <c r="F130" s="64"/>
      <c r="G130" s="221" t="s">
        <v>1044</v>
      </c>
      <c r="H130" s="101"/>
      <c r="I130" s="61"/>
      <c r="J130" s="61"/>
      <c r="K130" s="64"/>
      <c r="L130" s="64"/>
      <c r="M130" s="317"/>
      <c r="N130" s="317"/>
    </row>
    <row r="131" ht="15.6" spans="2:14">
      <c r="B131" s="269" t="s">
        <v>1045</v>
      </c>
      <c r="C131" s="64" t="s">
        <v>706</v>
      </c>
      <c r="D131" s="101" t="s">
        <v>1046</v>
      </c>
      <c r="E131" s="64" t="s">
        <v>671</v>
      </c>
      <c r="F131" s="64"/>
      <c r="G131" s="221" t="s">
        <v>1047</v>
      </c>
      <c r="H131" s="101"/>
      <c r="I131" s="61"/>
      <c r="J131" s="61"/>
      <c r="K131" s="64"/>
      <c r="L131" s="64"/>
      <c r="M131" s="317"/>
      <c r="N131" s="317"/>
    </row>
    <row r="132" ht="15.6" spans="2:14">
      <c r="B132" s="269" t="s">
        <v>1048</v>
      </c>
      <c r="C132" s="64" t="s">
        <v>706</v>
      </c>
      <c r="D132" s="101" t="s">
        <v>1049</v>
      </c>
      <c r="E132" s="64" t="s">
        <v>671</v>
      </c>
      <c r="F132" s="64"/>
      <c r="G132" s="221" t="s">
        <v>1050</v>
      </c>
      <c r="H132" s="101"/>
      <c r="I132" s="61"/>
      <c r="J132" s="61"/>
      <c r="K132" s="64"/>
      <c r="L132" s="64"/>
      <c r="M132" s="317"/>
      <c r="N132" s="317"/>
    </row>
    <row r="133" ht="15.6" spans="2:14">
      <c r="B133" s="292" t="s">
        <v>1051</v>
      </c>
      <c r="C133" s="64" t="s">
        <v>706</v>
      </c>
      <c r="D133" s="101" t="s">
        <v>1052</v>
      </c>
      <c r="E133" s="64" t="s">
        <v>671</v>
      </c>
      <c r="F133" s="64"/>
      <c r="G133" s="221" t="s">
        <v>1053</v>
      </c>
      <c r="H133" s="101"/>
      <c r="I133" s="61"/>
      <c r="J133" s="61"/>
      <c r="K133" s="64"/>
      <c r="L133" s="64"/>
      <c r="M133" s="317"/>
      <c r="N133" s="317"/>
    </row>
    <row r="134" ht="15.6" spans="2:14">
      <c r="B134" s="269" t="s">
        <v>1054</v>
      </c>
      <c r="C134" s="64" t="s">
        <v>203</v>
      </c>
      <c r="D134" s="101" t="s">
        <v>1055</v>
      </c>
      <c r="E134" s="64" t="s">
        <v>671</v>
      </c>
      <c r="F134" s="64"/>
      <c r="G134" s="221" t="s">
        <v>1056</v>
      </c>
      <c r="H134" s="101"/>
      <c r="I134" s="61"/>
      <c r="J134" s="61"/>
      <c r="K134" s="64"/>
      <c r="L134" s="64"/>
      <c r="M134" s="317"/>
      <c r="N134" s="317"/>
    </row>
    <row r="135" ht="15.6" spans="2:14">
      <c r="B135" s="269" t="s">
        <v>1057</v>
      </c>
      <c r="C135" s="64" t="s">
        <v>706</v>
      </c>
      <c r="D135" s="101" t="s">
        <v>1058</v>
      </c>
      <c r="E135" s="64" t="s">
        <v>671</v>
      </c>
      <c r="F135" s="64"/>
      <c r="G135" s="221" t="s">
        <v>1059</v>
      </c>
      <c r="H135" s="101"/>
      <c r="I135" s="61"/>
      <c r="J135" s="61"/>
      <c r="K135" s="64"/>
      <c r="L135" s="64"/>
      <c r="M135" s="317"/>
      <c r="N135" s="317"/>
    </row>
    <row r="136" ht="15.6" spans="2:14">
      <c r="B136" s="269" t="s">
        <v>1060</v>
      </c>
      <c r="C136" s="64" t="s">
        <v>706</v>
      </c>
      <c r="D136" s="101" t="s">
        <v>1061</v>
      </c>
      <c r="E136" s="64" t="s">
        <v>671</v>
      </c>
      <c r="F136" s="64"/>
      <c r="G136" s="221" t="s">
        <v>1062</v>
      </c>
      <c r="H136" s="101"/>
      <c r="I136" s="61"/>
      <c r="J136" s="61"/>
      <c r="K136" s="64"/>
      <c r="L136" s="64"/>
      <c r="M136" s="317"/>
      <c r="N136" s="317"/>
    </row>
    <row r="137" ht="15.6" spans="2:14">
      <c r="B137" s="269" t="s">
        <v>1063</v>
      </c>
      <c r="C137" s="64" t="s">
        <v>706</v>
      </c>
      <c r="D137" s="101" t="s">
        <v>1064</v>
      </c>
      <c r="E137" s="64" t="s">
        <v>671</v>
      </c>
      <c r="F137" s="64"/>
      <c r="G137" s="221" t="s">
        <v>1065</v>
      </c>
      <c r="H137" s="101"/>
      <c r="I137" s="61"/>
      <c r="J137" s="61"/>
      <c r="K137" s="64"/>
      <c r="L137" s="64"/>
      <c r="M137" s="317"/>
      <c r="N137" s="317"/>
    </row>
    <row r="138" ht="15.6" spans="2:14">
      <c r="B138" s="269" t="s">
        <v>1066</v>
      </c>
      <c r="C138" s="64" t="s">
        <v>706</v>
      </c>
      <c r="D138" s="101" t="s">
        <v>1067</v>
      </c>
      <c r="E138" s="64" t="s">
        <v>671</v>
      </c>
      <c r="F138" s="64"/>
      <c r="G138" s="221" t="s">
        <v>1068</v>
      </c>
      <c r="H138" s="101"/>
      <c r="I138" s="61"/>
      <c r="J138" s="61"/>
      <c r="K138" s="64"/>
      <c r="L138" s="64"/>
      <c r="M138" s="317"/>
      <c r="N138" s="317"/>
    </row>
    <row r="139" ht="15.6" spans="2:14">
      <c r="B139" s="269" t="s">
        <v>1069</v>
      </c>
      <c r="C139" s="64" t="s">
        <v>706</v>
      </c>
      <c r="D139" s="101" t="s">
        <v>1070</v>
      </c>
      <c r="E139" s="64" t="s">
        <v>671</v>
      </c>
      <c r="F139" s="64"/>
      <c r="G139" s="221" t="s">
        <v>1071</v>
      </c>
      <c r="H139" s="101"/>
      <c r="I139" s="61"/>
      <c r="J139" s="61"/>
      <c r="K139" s="64"/>
      <c r="L139" s="64"/>
      <c r="M139" s="317"/>
      <c r="N139" s="317"/>
    </row>
    <row r="140" ht="15.6" spans="2:14">
      <c r="B140" s="269" t="s">
        <v>1072</v>
      </c>
      <c r="C140" s="64" t="s">
        <v>706</v>
      </c>
      <c r="D140" s="293" t="s">
        <v>1073</v>
      </c>
      <c r="E140" s="64" t="s">
        <v>671</v>
      </c>
      <c r="F140" s="64"/>
      <c r="G140" s="221" t="s">
        <v>1074</v>
      </c>
      <c r="H140" s="101"/>
      <c r="I140" s="61"/>
      <c r="J140" s="61"/>
      <c r="K140" s="64"/>
      <c r="L140" s="64"/>
      <c r="M140" s="317"/>
      <c r="N140" s="317"/>
    </row>
    <row r="141" ht="15.6" spans="2:14">
      <c r="B141" s="269" t="s">
        <v>1075</v>
      </c>
      <c r="C141" s="64" t="s">
        <v>203</v>
      </c>
      <c r="D141" s="293" t="s">
        <v>1076</v>
      </c>
      <c r="E141" s="64" t="s">
        <v>671</v>
      </c>
      <c r="F141" s="64"/>
      <c r="G141" s="221" t="s">
        <v>1077</v>
      </c>
      <c r="H141" s="101"/>
      <c r="I141" s="61"/>
      <c r="J141" s="61"/>
      <c r="K141" s="64"/>
      <c r="L141" s="64"/>
      <c r="M141" s="317"/>
      <c r="N141" s="317"/>
    </row>
    <row r="142" ht="15.6" spans="2:14">
      <c r="B142" s="269" t="s">
        <v>1078</v>
      </c>
      <c r="C142" s="64" t="s">
        <v>706</v>
      </c>
      <c r="D142" s="293" t="s">
        <v>1079</v>
      </c>
      <c r="E142" s="64" t="s">
        <v>671</v>
      </c>
      <c r="F142" s="64"/>
      <c r="G142" s="221" t="s">
        <v>1080</v>
      </c>
      <c r="H142" s="101"/>
      <c r="I142" s="61"/>
      <c r="J142" s="61"/>
      <c r="K142" s="64"/>
      <c r="L142" s="64"/>
      <c r="M142" s="317"/>
      <c r="N142" s="317"/>
    </row>
    <row r="143" ht="15.6" spans="2:14">
      <c r="B143" s="269" t="s">
        <v>1081</v>
      </c>
      <c r="C143" s="64" t="s">
        <v>706</v>
      </c>
      <c r="D143" s="293" t="s">
        <v>1082</v>
      </c>
      <c r="E143" s="64" t="s">
        <v>671</v>
      </c>
      <c r="F143" s="64"/>
      <c r="G143" s="221" t="s">
        <v>1083</v>
      </c>
      <c r="H143" s="101"/>
      <c r="I143" s="61"/>
      <c r="J143" s="61"/>
      <c r="K143" s="64"/>
      <c r="L143" s="64"/>
      <c r="M143" s="317"/>
      <c r="N143" s="317"/>
    </row>
    <row r="144" ht="15.6" spans="2:14">
      <c r="B144" s="269" t="s">
        <v>1084</v>
      </c>
      <c r="C144" s="64" t="s">
        <v>706</v>
      </c>
      <c r="D144" s="293" t="s">
        <v>1085</v>
      </c>
      <c r="E144" s="64" t="s">
        <v>671</v>
      </c>
      <c r="F144" s="64"/>
      <c r="G144" s="221" t="s">
        <v>1086</v>
      </c>
      <c r="H144" s="101"/>
      <c r="I144" s="61"/>
      <c r="J144" s="61"/>
      <c r="K144" s="64"/>
      <c r="L144" s="64"/>
      <c r="M144" s="317"/>
      <c r="N144" s="317"/>
    </row>
    <row r="145" ht="15.6" spans="2:14">
      <c r="B145" s="269" t="s">
        <v>1087</v>
      </c>
      <c r="C145" s="64" t="s">
        <v>706</v>
      </c>
      <c r="D145" s="293" t="s">
        <v>1088</v>
      </c>
      <c r="E145" s="64" t="s">
        <v>671</v>
      </c>
      <c r="F145" s="64"/>
      <c r="G145" s="221" t="s">
        <v>1089</v>
      </c>
      <c r="H145" s="101"/>
      <c r="I145" s="61"/>
      <c r="J145" s="61"/>
      <c r="K145" s="64"/>
      <c r="L145" s="64"/>
      <c r="M145" s="317"/>
      <c r="N145" s="317"/>
    </row>
    <row r="146" ht="15.6" spans="2:14">
      <c r="B146" s="269" t="s">
        <v>1090</v>
      </c>
      <c r="C146" s="64" t="s">
        <v>706</v>
      </c>
      <c r="D146" s="293" t="s">
        <v>1091</v>
      </c>
      <c r="E146" s="64" t="s">
        <v>671</v>
      </c>
      <c r="F146" s="64"/>
      <c r="G146" s="221" t="s">
        <v>1092</v>
      </c>
      <c r="H146" s="101"/>
      <c r="I146" s="61"/>
      <c r="J146" s="61"/>
      <c r="K146" s="64"/>
      <c r="L146" s="64"/>
      <c r="M146" s="317"/>
      <c r="N146" s="317"/>
    </row>
    <row r="147" ht="15.6" spans="2:14">
      <c r="B147" s="269" t="s">
        <v>1093</v>
      </c>
      <c r="C147" s="64" t="s">
        <v>706</v>
      </c>
      <c r="D147" s="293" t="s">
        <v>1094</v>
      </c>
      <c r="E147" s="64" t="s">
        <v>671</v>
      </c>
      <c r="F147" s="64"/>
      <c r="G147" s="221" t="s">
        <v>1095</v>
      </c>
      <c r="H147" s="101"/>
      <c r="I147" s="61"/>
      <c r="J147" s="61"/>
      <c r="K147" s="64"/>
      <c r="L147" s="64"/>
      <c r="M147" s="317"/>
      <c r="N147" s="317"/>
    </row>
    <row r="148" ht="15.6" spans="2:14">
      <c r="B148" s="269" t="s">
        <v>1096</v>
      </c>
      <c r="C148" s="64" t="s">
        <v>203</v>
      </c>
      <c r="D148" s="293" t="s">
        <v>1097</v>
      </c>
      <c r="E148" s="64" t="s">
        <v>671</v>
      </c>
      <c r="F148" s="64"/>
      <c r="G148" s="221" t="s">
        <v>1098</v>
      </c>
      <c r="H148" s="101"/>
      <c r="I148" s="61"/>
      <c r="J148" s="61"/>
      <c r="K148" s="64"/>
      <c r="L148" s="64"/>
      <c r="M148" s="317"/>
      <c r="N148" s="317"/>
    </row>
    <row r="149" ht="15.6" spans="2:14">
      <c r="B149" s="269" t="s">
        <v>1099</v>
      </c>
      <c r="C149" s="64" t="s">
        <v>706</v>
      </c>
      <c r="D149" s="293" t="s">
        <v>1100</v>
      </c>
      <c r="E149" s="64" t="s">
        <v>671</v>
      </c>
      <c r="F149" s="64"/>
      <c r="G149" s="221" t="s">
        <v>1101</v>
      </c>
      <c r="H149" s="101"/>
      <c r="I149" s="61"/>
      <c r="J149" s="61"/>
      <c r="K149" s="64"/>
      <c r="L149" s="64"/>
      <c r="M149" s="317"/>
      <c r="N149" s="317"/>
    </row>
    <row r="150" ht="15.6" spans="2:14">
      <c r="B150" s="269" t="s">
        <v>1102</v>
      </c>
      <c r="C150" s="64" t="s">
        <v>706</v>
      </c>
      <c r="D150" s="293" t="s">
        <v>1103</v>
      </c>
      <c r="E150" s="64" t="s">
        <v>671</v>
      </c>
      <c r="F150" s="64"/>
      <c r="G150" s="221" t="s">
        <v>1104</v>
      </c>
      <c r="H150" s="101"/>
      <c r="I150" s="61"/>
      <c r="J150" s="61"/>
      <c r="K150" s="64"/>
      <c r="L150" s="64"/>
      <c r="M150" s="317"/>
      <c r="N150" s="317"/>
    </row>
    <row r="151" ht="15.6" spans="2:14">
      <c r="B151" s="269" t="s">
        <v>1105</v>
      </c>
      <c r="C151" s="64" t="s">
        <v>706</v>
      </c>
      <c r="D151" s="293" t="s">
        <v>1106</v>
      </c>
      <c r="E151" s="64" t="s">
        <v>671</v>
      </c>
      <c r="F151" s="64"/>
      <c r="G151" s="221" t="s">
        <v>1107</v>
      </c>
      <c r="H151" s="101"/>
      <c r="I151" s="61"/>
      <c r="J151" s="61"/>
      <c r="K151" s="64"/>
      <c r="L151" s="64"/>
      <c r="M151" s="317"/>
      <c r="N151" s="317"/>
    </row>
    <row r="152" ht="15.6" spans="2:14">
      <c r="B152" s="269" t="s">
        <v>1108</v>
      </c>
      <c r="C152" s="64" t="s">
        <v>706</v>
      </c>
      <c r="D152" s="293" t="s">
        <v>1109</v>
      </c>
      <c r="E152" s="64" t="s">
        <v>671</v>
      </c>
      <c r="F152" s="64"/>
      <c r="G152" s="221" t="s">
        <v>1110</v>
      </c>
      <c r="H152" s="101"/>
      <c r="I152" s="61"/>
      <c r="J152" s="61"/>
      <c r="K152" s="64"/>
      <c r="L152" s="64"/>
      <c r="M152" s="317"/>
      <c r="N152" s="317"/>
    </row>
    <row r="153" ht="15.6" spans="2:14">
      <c r="B153" s="269" t="s">
        <v>1111</v>
      </c>
      <c r="C153" s="64" t="s">
        <v>706</v>
      </c>
      <c r="D153" s="293" t="s">
        <v>1112</v>
      </c>
      <c r="E153" s="64" t="s">
        <v>671</v>
      </c>
      <c r="F153" s="64"/>
      <c r="G153" s="221" t="s">
        <v>1113</v>
      </c>
      <c r="H153" s="101"/>
      <c r="I153" s="61"/>
      <c r="J153" s="61"/>
      <c r="K153" s="64"/>
      <c r="L153" s="64"/>
      <c r="M153" s="317"/>
      <c r="N153" s="317"/>
    </row>
    <row r="154" ht="15.6" spans="2:14">
      <c r="B154" s="269" t="s">
        <v>1114</v>
      </c>
      <c r="C154" s="64" t="s">
        <v>706</v>
      </c>
      <c r="D154" s="293" t="s">
        <v>1115</v>
      </c>
      <c r="E154" s="64" t="s">
        <v>671</v>
      </c>
      <c r="F154" s="64"/>
      <c r="G154" s="221" t="s">
        <v>1116</v>
      </c>
      <c r="H154" s="101"/>
      <c r="I154" s="61"/>
      <c r="J154" s="61"/>
      <c r="K154" s="64"/>
      <c r="L154" s="64"/>
      <c r="M154" s="317"/>
      <c r="N154" s="317"/>
    </row>
    <row r="155" ht="15.6" spans="2:14">
      <c r="B155" s="269" t="s">
        <v>1117</v>
      </c>
      <c r="C155" s="64" t="s">
        <v>706</v>
      </c>
      <c r="D155" s="293" t="s">
        <v>1118</v>
      </c>
      <c r="E155" s="64" t="s">
        <v>671</v>
      </c>
      <c r="F155" s="64"/>
      <c r="G155" s="221" t="s">
        <v>1119</v>
      </c>
      <c r="H155" s="101"/>
      <c r="I155" s="61"/>
      <c r="J155" s="61"/>
      <c r="K155" s="64"/>
      <c r="L155" s="64"/>
      <c r="M155" s="317"/>
      <c r="N155" s="317"/>
    </row>
    <row r="156" ht="15.6" spans="2:14">
      <c r="B156" s="269" t="s">
        <v>1120</v>
      </c>
      <c r="C156" s="64" t="s">
        <v>203</v>
      </c>
      <c r="D156" s="293" t="s">
        <v>1121</v>
      </c>
      <c r="E156" s="64" t="s">
        <v>671</v>
      </c>
      <c r="F156" s="64"/>
      <c r="G156" s="221" t="s">
        <v>1122</v>
      </c>
      <c r="H156" s="101"/>
      <c r="I156" s="61"/>
      <c r="J156" s="61"/>
      <c r="K156" s="64"/>
      <c r="L156" s="64"/>
      <c r="M156" s="317"/>
      <c r="N156" s="317"/>
    </row>
    <row r="157" ht="15.6" spans="2:14">
      <c r="B157" s="269" t="s">
        <v>1123</v>
      </c>
      <c r="C157" s="64" t="s">
        <v>706</v>
      </c>
      <c r="D157" s="293" t="s">
        <v>1124</v>
      </c>
      <c r="E157" s="64" t="s">
        <v>671</v>
      </c>
      <c r="F157" s="64"/>
      <c r="G157" s="221" t="s">
        <v>1125</v>
      </c>
      <c r="H157" s="101"/>
      <c r="I157" s="61"/>
      <c r="J157" s="61"/>
      <c r="K157" s="64"/>
      <c r="L157" s="64"/>
      <c r="M157" s="317"/>
      <c r="N157" s="317"/>
    </row>
    <row r="158" ht="15.6" spans="2:14">
      <c r="B158" s="269" t="s">
        <v>1126</v>
      </c>
      <c r="C158" s="64" t="s">
        <v>706</v>
      </c>
      <c r="D158" s="293" t="s">
        <v>1127</v>
      </c>
      <c r="E158" s="64" t="s">
        <v>671</v>
      </c>
      <c r="F158" s="64"/>
      <c r="G158" s="221" t="s">
        <v>1128</v>
      </c>
      <c r="H158" s="101"/>
      <c r="I158" s="61"/>
      <c r="J158" s="61"/>
      <c r="K158" s="64"/>
      <c r="L158" s="64"/>
      <c r="M158" s="317"/>
      <c r="N158" s="317"/>
    </row>
    <row r="159" ht="15.6" spans="2:14">
      <c r="B159" s="269" t="s">
        <v>1129</v>
      </c>
      <c r="C159" s="64" t="s">
        <v>706</v>
      </c>
      <c r="D159" s="293" t="s">
        <v>1130</v>
      </c>
      <c r="E159" s="64" t="s">
        <v>671</v>
      </c>
      <c r="F159" s="64"/>
      <c r="G159" s="221" t="s">
        <v>1131</v>
      </c>
      <c r="H159" s="101"/>
      <c r="I159" s="61"/>
      <c r="J159" s="61"/>
      <c r="K159" s="64"/>
      <c r="L159" s="64"/>
      <c r="M159" s="317"/>
      <c r="N159" s="317"/>
    </row>
    <row r="160" ht="15.6" spans="2:14">
      <c r="B160" s="269" t="s">
        <v>1132</v>
      </c>
      <c r="C160" s="64" t="s">
        <v>706</v>
      </c>
      <c r="D160" s="293" t="s">
        <v>1133</v>
      </c>
      <c r="E160" s="64" t="s">
        <v>671</v>
      </c>
      <c r="F160" s="64"/>
      <c r="G160" s="221" t="s">
        <v>1134</v>
      </c>
      <c r="H160" s="101"/>
      <c r="I160" s="61"/>
      <c r="J160" s="61"/>
      <c r="K160" s="64"/>
      <c r="L160" s="64"/>
      <c r="M160" s="317"/>
      <c r="N160" s="317"/>
    </row>
    <row r="161" ht="15.6" spans="2:14">
      <c r="B161" s="269" t="s">
        <v>1135</v>
      </c>
      <c r="C161" s="64" t="s">
        <v>706</v>
      </c>
      <c r="D161" s="293" t="s">
        <v>1136</v>
      </c>
      <c r="E161" s="64" t="s">
        <v>671</v>
      </c>
      <c r="F161" s="64"/>
      <c r="G161" s="221" t="s">
        <v>1137</v>
      </c>
      <c r="H161" s="101"/>
      <c r="I161" s="61"/>
      <c r="J161" s="61"/>
      <c r="K161" s="64"/>
      <c r="L161" s="64"/>
      <c r="M161" s="317"/>
      <c r="N161" s="317"/>
    </row>
    <row r="162" ht="15.6" spans="2:14">
      <c r="B162" s="269" t="s">
        <v>1138</v>
      </c>
      <c r="C162" s="64" t="s">
        <v>706</v>
      </c>
      <c r="D162" s="101" t="s">
        <v>1139</v>
      </c>
      <c r="E162" s="64" t="s">
        <v>671</v>
      </c>
      <c r="F162" s="64"/>
      <c r="G162" s="221" t="s">
        <v>1140</v>
      </c>
      <c r="H162" s="101"/>
      <c r="I162" s="61"/>
      <c r="J162" s="61"/>
      <c r="K162" s="64"/>
      <c r="L162" s="64"/>
      <c r="M162" s="317"/>
      <c r="N162" s="317"/>
    </row>
    <row r="163" ht="15.6" spans="2:14">
      <c r="B163" s="269" t="s">
        <v>1141</v>
      </c>
      <c r="C163" s="64" t="s">
        <v>203</v>
      </c>
      <c r="D163" s="101" t="s">
        <v>1142</v>
      </c>
      <c r="E163" s="64" t="s">
        <v>671</v>
      </c>
      <c r="F163" s="64"/>
      <c r="G163" s="221" t="s">
        <v>1143</v>
      </c>
      <c r="H163" s="101"/>
      <c r="I163" s="61"/>
      <c r="J163" s="61"/>
      <c r="K163" s="64"/>
      <c r="L163" s="64"/>
      <c r="M163" s="317"/>
      <c r="N163" s="317"/>
    </row>
    <row r="164" ht="15.6" spans="2:14">
      <c r="B164" s="269" t="s">
        <v>1144</v>
      </c>
      <c r="C164" s="64" t="s">
        <v>706</v>
      </c>
      <c r="D164" s="101" t="s">
        <v>1145</v>
      </c>
      <c r="E164" s="64" t="s">
        <v>671</v>
      </c>
      <c r="F164" s="64"/>
      <c r="G164" s="221" t="s">
        <v>1146</v>
      </c>
      <c r="H164" s="101"/>
      <c r="I164" s="61"/>
      <c r="J164" s="61"/>
      <c r="K164" s="64"/>
      <c r="L164" s="64"/>
      <c r="M164" s="317"/>
      <c r="N164" s="317"/>
    </row>
    <row r="165" ht="15.6" spans="2:14">
      <c r="B165" s="269" t="s">
        <v>1147</v>
      </c>
      <c r="C165" s="64" t="s">
        <v>706</v>
      </c>
      <c r="D165" s="101" t="s">
        <v>1148</v>
      </c>
      <c r="E165" s="64" t="s">
        <v>671</v>
      </c>
      <c r="F165" s="64"/>
      <c r="G165" s="221" t="s">
        <v>1149</v>
      </c>
      <c r="H165" s="101"/>
      <c r="I165" s="61"/>
      <c r="J165" s="61"/>
      <c r="K165" s="64"/>
      <c r="L165" s="64"/>
      <c r="M165" s="317"/>
      <c r="N165" s="317"/>
    </row>
    <row r="166" ht="15.6" spans="2:14">
      <c r="B166" s="269" t="s">
        <v>1150</v>
      </c>
      <c r="C166" s="64" t="s">
        <v>706</v>
      </c>
      <c r="D166" s="101" t="s">
        <v>1151</v>
      </c>
      <c r="E166" s="64" t="s">
        <v>671</v>
      </c>
      <c r="F166" s="64"/>
      <c r="G166" s="221" t="s">
        <v>1152</v>
      </c>
      <c r="H166" s="101"/>
      <c r="I166" s="61"/>
      <c r="J166" s="61"/>
      <c r="K166" s="64"/>
      <c r="L166" s="64"/>
      <c r="M166" s="317"/>
      <c r="N166" s="317"/>
    </row>
    <row r="167" ht="15.6" spans="2:14">
      <c r="B167" s="269" t="s">
        <v>1153</v>
      </c>
      <c r="C167" s="64" t="s">
        <v>706</v>
      </c>
      <c r="D167" s="101" t="s">
        <v>1154</v>
      </c>
      <c r="E167" s="64" t="s">
        <v>671</v>
      </c>
      <c r="F167" s="64"/>
      <c r="G167" s="221" t="s">
        <v>1155</v>
      </c>
      <c r="H167" s="101"/>
      <c r="I167" s="61"/>
      <c r="J167" s="61"/>
      <c r="K167" s="64"/>
      <c r="L167" s="64"/>
      <c r="M167" s="317"/>
      <c r="N167" s="317"/>
    </row>
    <row r="168" ht="15.6" spans="2:14">
      <c r="B168" s="269" t="s">
        <v>1156</v>
      </c>
      <c r="C168" s="64" t="s">
        <v>706</v>
      </c>
      <c r="D168" s="101" t="s">
        <v>1157</v>
      </c>
      <c r="E168" s="64" t="s">
        <v>671</v>
      </c>
      <c r="F168" s="64"/>
      <c r="G168" s="221" t="s">
        <v>1158</v>
      </c>
      <c r="H168" s="101"/>
      <c r="I168" s="61"/>
      <c r="J168" s="61"/>
      <c r="K168" s="64"/>
      <c r="L168" s="64"/>
      <c r="M168" s="317"/>
      <c r="N168" s="317"/>
    </row>
    <row r="169" ht="15.6" spans="2:14">
      <c r="B169" s="269" t="s">
        <v>1159</v>
      </c>
      <c r="C169" s="64" t="s">
        <v>706</v>
      </c>
      <c r="D169" s="101" t="s">
        <v>1160</v>
      </c>
      <c r="E169" s="64" t="s">
        <v>671</v>
      </c>
      <c r="F169" s="64"/>
      <c r="G169" s="221" t="s">
        <v>1161</v>
      </c>
      <c r="H169" s="101"/>
      <c r="I169" s="61"/>
      <c r="J169" s="61"/>
      <c r="K169" s="64"/>
      <c r="L169" s="64"/>
      <c r="M169" s="317"/>
      <c r="N169" s="317"/>
    </row>
    <row r="170" ht="15.6" spans="2:14">
      <c r="B170" s="269" t="s">
        <v>1162</v>
      </c>
      <c r="C170" s="64" t="s">
        <v>203</v>
      </c>
      <c r="D170" s="101" t="s">
        <v>1163</v>
      </c>
      <c r="E170" s="64" t="s">
        <v>671</v>
      </c>
      <c r="F170" s="64"/>
      <c r="G170" s="221" t="s">
        <v>1164</v>
      </c>
      <c r="H170" s="101"/>
      <c r="I170" s="61"/>
      <c r="J170" s="61"/>
      <c r="K170" s="64"/>
      <c r="L170" s="64"/>
      <c r="M170" s="317"/>
      <c r="N170" s="317"/>
    </row>
    <row r="171" ht="15.6" spans="2:14">
      <c r="B171" s="269" t="s">
        <v>1165</v>
      </c>
      <c r="C171" s="64" t="s">
        <v>706</v>
      </c>
      <c r="D171" s="101" t="s">
        <v>1166</v>
      </c>
      <c r="E171" s="64" t="s">
        <v>671</v>
      </c>
      <c r="F171" s="64"/>
      <c r="G171" s="221" t="s">
        <v>1167</v>
      </c>
      <c r="H171" s="101"/>
      <c r="I171" s="61"/>
      <c r="J171" s="61"/>
      <c r="K171" s="64"/>
      <c r="L171" s="64"/>
      <c r="M171" s="317"/>
      <c r="N171" s="317"/>
    </row>
    <row r="172" ht="15.6" spans="2:14">
      <c r="B172" s="269" t="s">
        <v>1168</v>
      </c>
      <c r="C172" s="64" t="s">
        <v>706</v>
      </c>
      <c r="D172" s="101" t="s">
        <v>1169</v>
      </c>
      <c r="E172" s="64" t="s">
        <v>671</v>
      </c>
      <c r="F172" s="64"/>
      <c r="G172" s="221" t="s">
        <v>1170</v>
      </c>
      <c r="H172" s="101"/>
      <c r="I172" s="61"/>
      <c r="J172" s="61"/>
      <c r="K172" s="64"/>
      <c r="L172" s="64"/>
      <c r="M172" s="317"/>
      <c r="N172" s="317"/>
    </row>
    <row r="173" ht="15.6" spans="2:14">
      <c r="B173" s="269" t="s">
        <v>1171</v>
      </c>
      <c r="C173" s="64" t="s">
        <v>706</v>
      </c>
      <c r="D173" s="101" t="s">
        <v>1172</v>
      </c>
      <c r="E173" s="64" t="s">
        <v>671</v>
      </c>
      <c r="F173" s="64"/>
      <c r="G173" s="221" t="s">
        <v>1173</v>
      </c>
      <c r="H173" s="101"/>
      <c r="I173" s="61"/>
      <c r="J173" s="61"/>
      <c r="K173" s="64"/>
      <c r="L173" s="64"/>
      <c r="M173" s="317"/>
      <c r="N173" s="317"/>
    </row>
    <row r="174" ht="15.6" spans="2:14">
      <c r="B174" s="269" t="s">
        <v>1174</v>
      </c>
      <c r="C174" s="64" t="s">
        <v>706</v>
      </c>
      <c r="D174" s="101" t="s">
        <v>1175</v>
      </c>
      <c r="E174" s="64" t="s">
        <v>671</v>
      </c>
      <c r="F174" s="64"/>
      <c r="G174" s="221" t="s">
        <v>1176</v>
      </c>
      <c r="H174" s="101"/>
      <c r="I174" s="61"/>
      <c r="J174" s="61"/>
      <c r="K174" s="64"/>
      <c r="L174" s="64"/>
      <c r="M174" s="317"/>
      <c r="N174" s="317"/>
    </row>
    <row r="175" ht="15.6" spans="2:14">
      <c r="B175" s="269" t="s">
        <v>1177</v>
      </c>
      <c r="C175" s="64" t="s">
        <v>706</v>
      </c>
      <c r="D175" s="101" t="s">
        <v>1178</v>
      </c>
      <c r="E175" s="64" t="s">
        <v>671</v>
      </c>
      <c r="F175" s="64"/>
      <c r="G175" s="221" t="s">
        <v>1179</v>
      </c>
      <c r="H175" s="101"/>
      <c r="I175" s="61"/>
      <c r="J175" s="61"/>
      <c r="K175" s="64"/>
      <c r="L175" s="64"/>
      <c r="M175" s="317"/>
      <c r="N175" s="317"/>
    </row>
    <row r="176" ht="15.6" spans="2:14">
      <c r="B176" s="269" t="s">
        <v>1180</v>
      </c>
      <c r="C176" s="64" t="s">
        <v>706</v>
      </c>
      <c r="D176" s="101" t="s">
        <v>1181</v>
      </c>
      <c r="E176" s="64" t="s">
        <v>671</v>
      </c>
      <c r="F176" s="64"/>
      <c r="G176" s="221" t="s">
        <v>1182</v>
      </c>
      <c r="H176" s="101"/>
      <c r="I176" s="61"/>
      <c r="J176" s="61"/>
      <c r="K176" s="64"/>
      <c r="L176" s="64"/>
      <c r="M176" s="317"/>
      <c r="N176" s="317"/>
    </row>
    <row r="177" ht="15.6" spans="2:14">
      <c r="B177" s="269" t="s">
        <v>1183</v>
      </c>
      <c r="C177" s="64" t="s">
        <v>203</v>
      </c>
      <c r="D177" s="101" t="s">
        <v>1184</v>
      </c>
      <c r="E177" s="64" t="s">
        <v>671</v>
      </c>
      <c r="F177" s="64"/>
      <c r="G177" s="221" t="s">
        <v>1185</v>
      </c>
      <c r="H177" s="101"/>
      <c r="I177" s="61"/>
      <c r="J177" s="61"/>
      <c r="K177" s="64"/>
      <c r="L177" s="64"/>
      <c r="M177" s="317"/>
      <c r="N177" s="317"/>
    </row>
    <row r="178" ht="15.6" spans="2:14">
      <c r="B178" s="269" t="s">
        <v>1186</v>
      </c>
      <c r="C178" s="64" t="s">
        <v>706</v>
      </c>
      <c r="D178" s="101" t="s">
        <v>1187</v>
      </c>
      <c r="E178" s="64" t="s">
        <v>671</v>
      </c>
      <c r="F178" s="64"/>
      <c r="G178" s="221" t="s">
        <v>1188</v>
      </c>
      <c r="H178" s="101"/>
      <c r="I178" s="61"/>
      <c r="J178" s="61"/>
      <c r="K178" s="64"/>
      <c r="L178" s="64"/>
      <c r="M178" s="317"/>
      <c r="N178" s="317"/>
    </row>
    <row r="179" ht="15.6" spans="2:14">
      <c r="B179" s="269" t="s">
        <v>1189</v>
      </c>
      <c r="C179" s="64" t="s">
        <v>706</v>
      </c>
      <c r="D179" s="101" t="s">
        <v>1190</v>
      </c>
      <c r="E179" s="64" t="s">
        <v>671</v>
      </c>
      <c r="F179" s="64"/>
      <c r="G179" s="221" t="s">
        <v>1191</v>
      </c>
      <c r="H179" s="101"/>
      <c r="I179" s="61"/>
      <c r="J179" s="61"/>
      <c r="K179" s="64"/>
      <c r="L179" s="64"/>
      <c r="M179" s="317"/>
      <c r="N179" s="317"/>
    </row>
    <row r="180" ht="15.6" spans="2:14">
      <c r="B180" s="269" t="s">
        <v>1192</v>
      </c>
      <c r="C180" s="64" t="s">
        <v>706</v>
      </c>
      <c r="D180" s="101" t="s">
        <v>1193</v>
      </c>
      <c r="E180" s="64" t="s">
        <v>671</v>
      </c>
      <c r="F180" s="64"/>
      <c r="G180" s="221" t="s">
        <v>1194</v>
      </c>
      <c r="H180" s="101"/>
      <c r="I180" s="61"/>
      <c r="J180" s="61"/>
      <c r="K180" s="64"/>
      <c r="L180" s="64"/>
      <c r="M180" s="317"/>
      <c r="N180" s="317"/>
    </row>
    <row r="181" ht="15.6" spans="2:14">
      <c r="B181" s="269" t="s">
        <v>1195</v>
      </c>
      <c r="C181" s="64" t="s">
        <v>706</v>
      </c>
      <c r="D181" s="101" t="s">
        <v>1196</v>
      </c>
      <c r="E181" s="64" t="s">
        <v>671</v>
      </c>
      <c r="F181" s="64"/>
      <c r="G181" s="221" t="s">
        <v>1197</v>
      </c>
      <c r="H181" s="101"/>
      <c r="I181" s="61"/>
      <c r="J181" s="61"/>
      <c r="K181" s="64"/>
      <c r="L181" s="64"/>
      <c r="M181" s="317"/>
      <c r="N181" s="317"/>
    </row>
    <row r="182" ht="15.6" spans="2:14">
      <c r="B182" s="269" t="s">
        <v>1198</v>
      </c>
      <c r="C182" s="64" t="s">
        <v>706</v>
      </c>
      <c r="D182" s="101" t="s">
        <v>1199</v>
      </c>
      <c r="E182" s="64" t="s">
        <v>671</v>
      </c>
      <c r="F182" s="64"/>
      <c r="G182" s="221" t="s">
        <v>1200</v>
      </c>
      <c r="H182" s="101"/>
      <c r="I182" s="61"/>
      <c r="J182" s="61"/>
      <c r="K182" s="64"/>
      <c r="L182" s="64"/>
      <c r="M182" s="317"/>
      <c r="N182" s="317"/>
    </row>
    <row r="183" ht="15.6" spans="2:14">
      <c r="B183" s="269" t="s">
        <v>1201</v>
      </c>
      <c r="C183" s="64" t="s">
        <v>706</v>
      </c>
      <c r="D183" s="101" t="s">
        <v>1202</v>
      </c>
      <c r="E183" s="64" t="s">
        <v>671</v>
      </c>
      <c r="F183" s="64"/>
      <c r="G183" s="221" t="s">
        <v>1203</v>
      </c>
      <c r="H183" s="101"/>
      <c r="I183" s="61"/>
      <c r="J183" s="61"/>
      <c r="K183" s="64"/>
      <c r="L183" s="64"/>
      <c r="M183" s="317"/>
      <c r="N183" s="317"/>
    </row>
    <row r="184" ht="15.6" spans="2:14">
      <c r="B184" s="269" t="s">
        <v>1204</v>
      </c>
      <c r="C184" s="64" t="s">
        <v>203</v>
      </c>
      <c r="D184" s="101" t="s">
        <v>1205</v>
      </c>
      <c r="E184" s="64" t="s">
        <v>671</v>
      </c>
      <c r="F184" s="64"/>
      <c r="G184" s="221" t="s">
        <v>1206</v>
      </c>
      <c r="H184" s="101"/>
      <c r="I184" s="61"/>
      <c r="J184" s="61"/>
      <c r="K184" s="64"/>
      <c r="L184" s="64"/>
      <c r="M184" s="317"/>
      <c r="N184" s="317"/>
    </row>
    <row r="185" ht="15.6" spans="2:14">
      <c r="B185" s="269" t="s">
        <v>1207</v>
      </c>
      <c r="C185" s="64" t="s">
        <v>706</v>
      </c>
      <c r="D185" s="101" t="s">
        <v>1208</v>
      </c>
      <c r="E185" s="64" t="s">
        <v>671</v>
      </c>
      <c r="F185" s="64"/>
      <c r="G185" s="221" t="s">
        <v>1209</v>
      </c>
      <c r="H185" s="101"/>
      <c r="I185" s="61"/>
      <c r="J185" s="61"/>
      <c r="K185" s="64"/>
      <c r="L185" s="64"/>
      <c r="M185" s="317"/>
      <c r="N185" s="317"/>
    </row>
    <row r="186" ht="15.6" spans="2:14">
      <c r="B186" s="269" t="s">
        <v>1210</v>
      </c>
      <c r="C186" s="64" t="s">
        <v>706</v>
      </c>
      <c r="D186" s="101" t="s">
        <v>1211</v>
      </c>
      <c r="E186" s="64" t="s">
        <v>671</v>
      </c>
      <c r="F186" s="64"/>
      <c r="G186" s="221" t="s">
        <v>1212</v>
      </c>
      <c r="H186" s="101"/>
      <c r="I186" s="61"/>
      <c r="J186" s="61"/>
      <c r="K186" s="64"/>
      <c r="L186" s="64"/>
      <c r="M186" s="317"/>
      <c r="N186" s="317"/>
    </row>
    <row r="187" ht="15.6" spans="2:14">
      <c r="B187" s="269" t="s">
        <v>1213</v>
      </c>
      <c r="C187" s="64" t="s">
        <v>706</v>
      </c>
      <c r="D187" s="101" t="s">
        <v>1214</v>
      </c>
      <c r="E187" s="64" t="s">
        <v>671</v>
      </c>
      <c r="F187" s="64"/>
      <c r="G187" s="221" t="s">
        <v>1215</v>
      </c>
      <c r="H187" s="101"/>
      <c r="I187" s="61"/>
      <c r="J187" s="61"/>
      <c r="K187" s="64"/>
      <c r="L187" s="64"/>
      <c r="M187" s="317"/>
      <c r="N187" s="317"/>
    </row>
    <row r="188" ht="15.6" spans="2:14">
      <c r="B188" s="269" t="s">
        <v>1216</v>
      </c>
      <c r="C188" s="64" t="s">
        <v>706</v>
      </c>
      <c r="D188" s="101" t="s">
        <v>1217</v>
      </c>
      <c r="E188" s="64" t="s">
        <v>671</v>
      </c>
      <c r="F188" s="64"/>
      <c r="G188" s="221" t="s">
        <v>1218</v>
      </c>
      <c r="H188" s="101"/>
      <c r="I188" s="61"/>
      <c r="J188" s="61"/>
      <c r="K188" s="64"/>
      <c r="L188" s="64"/>
      <c r="M188" s="317"/>
      <c r="N188" s="317"/>
    </row>
    <row r="189" ht="15.6" spans="2:14">
      <c r="B189" s="269" t="s">
        <v>1219</v>
      </c>
      <c r="C189" s="64" t="s">
        <v>706</v>
      </c>
      <c r="D189" s="101" t="s">
        <v>1220</v>
      </c>
      <c r="E189" s="64" t="s">
        <v>671</v>
      </c>
      <c r="F189" s="64"/>
      <c r="G189" s="221" t="s">
        <v>1221</v>
      </c>
      <c r="H189" s="101"/>
      <c r="I189" s="61"/>
      <c r="J189" s="61"/>
      <c r="K189" s="64"/>
      <c r="L189" s="64"/>
      <c r="M189" s="317"/>
      <c r="N189" s="317"/>
    </row>
    <row r="190" ht="15.6" spans="2:14">
      <c r="B190" s="269" t="s">
        <v>1222</v>
      </c>
      <c r="C190" s="64" t="s">
        <v>706</v>
      </c>
      <c r="D190" s="101" t="s">
        <v>1223</v>
      </c>
      <c r="E190" s="64" t="s">
        <v>671</v>
      </c>
      <c r="F190" s="64"/>
      <c r="G190" s="221" t="s">
        <v>1224</v>
      </c>
      <c r="H190" s="101"/>
      <c r="I190" s="61"/>
      <c r="J190" s="61"/>
      <c r="K190" s="64"/>
      <c r="L190" s="64"/>
      <c r="M190" s="317"/>
      <c r="N190" s="317"/>
    </row>
    <row r="191" ht="15.6" spans="2:14">
      <c r="B191" s="269" t="s">
        <v>1225</v>
      </c>
      <c r="C191" s="64" t="s">
        <v>203</v>
      </c>
      <c r="D191" s="101" t="s">
        <v>1226</v>
      </c>
      <c r="E191" s="64" t="s">
        <v>671</v>
      </c>
      <c r="F191" s="64"/>
      <c r="G191" s="221" t="s">
        <v>1227</v>
      </c>
      <c r="H191" s="101"/>
      <c r="I191" s="61"/>
      <c r="J191" s="61"/>
      <c r="K191" s="64"/>
      <c r="L191" s="64"/>
      <c r="M191" s="317"/>
      <c r="N191" s="317"/>
    </row>
    <row r="192" ht="15.6" spans="2:14">
      <c r="B192" s="269" t="s">
        <v>1228</v>
      </c>
      <c r="C192" s="64" t="s">
        <v>706</v>
      </c>
      <c r="D192" s="101" t="s">
        <v>1229</v>
      </c>
      <c r="E192" s="64" t="s">
        <v>671</v>
      </c>
      <c r="F192" s="64"/>
      <c r="G192" s="221" t="s">
        <v>1230</v>
      </c>
      <c r="H192" s="101"/>
      <c r="I192" s="61"/>
      <c r="J192" s="61"/>
      <c r="K192" s="64"/>
      <c r="L192" s="64"/>
      <c r="M192" s="317"/>
      <c r="N192" s="317"/>
    </row>
    <row r="193" ht="15.6" spans="2:14">
      <c r="B193" s="269" t="s">
        <v>1231</v>
      </c>
      <c r="C193" s="64" t="s">
        <v>706</v>
      </c>
      <c r="D193" s="101" t="s">
        <v>1232</v>
      </c>
      <c r="E193" s="64" t="s">
        <v>671</v>
      </c>
      <c r="F193" s="64"/>
      <c r="G193" s="221" t="s">
        <v>1233</v>
      </c>
      <c r="H193" s="101"/>
      <c r="I193" s="61"/>
      <c r="J193" s="61"/>
      <c r="K193" s="64"/>
      <c r="L193" s="64"/>
      <c r="M193" s="317"/>
      <c r="N193" s="317"/>
    </row>
    <row r="194" ht="15.6" spans="2:14">
      <c r="B194" s="269" t="s">
        <v>1234</v>
      </c>
      <c r="C194" s="64" t="s">
        <v>706</v>
      </c>
      <c r="D194" s="101" t="s">
        <v>1235</v>
      </c>
      <c r="E194" s="64" t="s">
        <v>671</v>
      </c>
      <c r="F194" s="64"/>
      <c r="G194" s="221" t="s">
        <v>1236</v>
      </c>
      <c r="H194" s="101"/>
      <c r="I194" s="61"/>
      <c r="J194" s="61"/>
      <c r="K194" s="64"/>
      <c r="L194" s="64"/>
      <c r="M194" s="317"/>
      <c r="N194" s="317"/>
    </row>
    <row r="195" ht="15.6" spans="2:14">
      <c r="B195" s="269" t="s">
        <v>1237</v>
      </c>
      <c r="C195" s="64" t="s">
        <v>706</v>
      </c>
      <c r="D195" s="101" t="s">
        <v>1238</v>
      </c>
      <c r="E195" s="64" t="s">
        <v>671</v>
      </c>
      <c r="F195" s="64"/>
      <c r="G195" s="221" t="s">
        <v>1239</v>
      </c>
      <c r="H195" s="101"/>
      <c r="I195" s="61"/>
      <c r="J195" s="61"/>
      <c r="K195" s="64"/>
      <c r="L195" s="64"/>
      <c r="M195" s="317"/>
      <c r="N195" s="317"/>
    </row>
    <row r="196" ht="15.6" spans="2:14">
      <c r="B196" s="269" t="s">
        <v>1240</v>
      </c>
      <c r="C196" s="64" t="s">
        <v>706</v>
      </c>
      <c r="D196" s="101" t="s">
        <v>1241</v>
      </c>
      <c r="E196" s="64" t="s">
        <v>671</v>
      </c>
      <c r="F196" s="64"/>
      <c r="G196" s="221" t="s">
        <v>1242</v>
      </c>
      <c r="H196" s="101"/>
      <c r="I196" s="61"/>
      <c r="J196" s="61"/>
      <c r="K196" s="64"/>
      <c r="L196" s="64"/>
      <c r="M196" s="317"/>
      <c r="N196" s="317"/>
    </row>
    <row r="197" ht="15.6" spans="2:14">
      <c r="B197" s="269" t="s">
        <v>1243</v>
      </c>
      <c r="C197" s="64" t="s">
        <v>706</v>
      </c>
      <c r="D197" s="101" t="s">
        <v>1244</v>
      </c>
      <c r="E197" s="64" t="s">
        <v>671</v>
      </c>
      <c r="F197" s="64"/>
      <c r="G197" s="221" t="s">
        <v>1245</v>
      </c>
      <c r="H197" s="101"/>
      <c r="I197" s="61"/>
      <c r="J197" s="61"/>
      <c r="K197" s="64"/>
      <c r="L197" s="64"/>
      <c r="M197" s="317"/>
      <c r="N197" s="317"/>
    </row>
    <row r="198" ht="15.6" spans="2:14">
      <c r="B198" s="269" t="s">
        <v>1246</v>
      </c>
      <c r="C198" s="64" t="s">
        <v>203</v>
      </c>
      <c r="D198" s="101" t="s">
        <v>1247</v>
      </c>
      <c r="E198" s="64" t="s">
        <v>671</v>
      </c>
      <c r="F198" s="64"/>
      <c r="G198" s="221" t="s">
        <v>1248</v>
      </c>
      <c r="H198" s="101"/>
      <c r="I198" s="61"/>
      <c r="J198" s="61"/>
      <c r="K198" s="64"/>
      <c r="L198" s="64"/>
      <c r="M198" s="317"/>
      <c r="N198" s="317"/>
    </row>
    <row r="199" ht="15.6" spans="2:14">
      <c r="B199" s="269" t="s">
        <v>1249</v>
      </c>
      <c r="C199" s="64" t="s">
        <v>706</v>
      </c>
      <c r="D199" s="101" t="s">
        <v>1250</v>
      </c>
      <c r="E199" s="64" t="s">
        <v>671</v>
      </c>
      <c r="F199" s="64"/>
      <c r="G199" s="221" t="s">
        <v>1251</v>
      </c>
      <c r="H199" s="101"/>
      <c r="I199" s="61"/>
      <c r="J199" s="61"/>
      <c r="K199" s="64"/>
      <c r="L199" s="64"/>
      <c r="M199" s="317"/>
      <c r="N199" s="317"/>
    </row>
    <row r="200" ht="15.6" spans="2:14">
      <c r="B200" s="269" t="s">
        <v>1252</v>
      </c>
      <c r="C200" s="64" t="s">
        <v>706</v>
      </c>
      <c r="D200" s="101" t="s">
        <v>1253</v>
      </c>
      <c r="E200" s="64" t="s">
        <v>671</v>
      </c>
      <c r="F200" s="64"/>
      <c r="G200" s="221" t="s">
        <v>1254</v>
      </c>
      <c r="H200" s="101"/>
      <c r="I200" s="61"/>
      <c r="J200" s="61"/>
      <c r="K200" s="64"/>
      <c r="L200" s="64"/>
      <c r="M200" s="317"/>
      <c r="N200" s="317"/>
    </row>
    <row r="201" ht="15.6" spans="2:14">
      <c r="B201" s="269" t="s">
        <v>1255</v>
      </c>
      <c r="C201" s="64" t="s">
        <v>706</v>
      </c>
      <c r="D201" s="101" t="s">
        <v>1256</v>
      </c>
      <c r="E201" s="64" t="s">
        <v>671</v>
      </c>
      <c r="F201" s="64"/>
      <c r="G201" s="221" t="s">
        <v>1257</v>
      </c>
      <c r="H201" s="101"/>
      <c r="I201" s="61"/>
      <c r="J201" s="61"/>
      <c r="K201" s="64"/>
      <c r="L201" s="64"/>
      <c r="M201" s="317"/>
      <c r="N201" s="317"/>
    </row>
    <row r="202" ht="15.6" spans="2:14">
      <c r="B202" s="269" t="s">
        <v>1258</v>
      </c>
      <c r="C202" s="64" t="s">
        <v>706</v>
      </c>
      <c r="D202" s="101" t="s">
        <v>1259</v>
      </c>
      <c r="E202" s="64" t="s">
        <v>671</v>
      </c>
      <c r="F202" s="64"/>
      <c r="G202" s="221" t="s">
        <v>1260</v>
      </c>
      <c r="H202" s="101"/>
      <c r="I202" s="61"/>
      <c r="J202" s="61"/>
      <c r="K202" s="64"/>
      <c r="L202" s="64"/>
      <c r="M202" s="317"/>
      <c r="N202" s="317"/>
    </row>
    <row r="203" ht="15.6" spans="2:14">
      <c r="B203" s="269" t="s">
        <v>1261</v>
      </c>
      <c r="C203" s="64" t="s">
        <v>706</v>
      </c>
      <c r="D203" s="101" t="s">
        <v>1262</v>
      </c>
      <c r="E203" s="64" t="s">
        <v>671</v>
      </c>
      <c r="F203" s="64"/>
      <c r="G203" s="221" t="s">
        <v>1263</v>
      </c>
      <c r="H203" s="101"/>
      <c r="I203" s="61"/>
      <c r="J203" s="61"/>
      <c r="K203" s="64"/>
      <c r="L203" s="64"/>
      <c r="M203" s="317"/>
      <c r="N203" s="317"/>
    </row>
    <row r="204" ht="15.6" spans="2:14">
      <c r="B204" s="269" t="s">
        <v>1264</v>
      </c>
      <c r="C204" s="64" t="s">
        <v>706</v>
      </c>
      <c r="D204" s="101" t="s">
        <v>1265</v>
      </c>
      <c r="E204" s="64" t="s">
        <v>671</v>
      </c>
      <c r="F204" s="64"/>
      <c r="G204" s="221" t="s">
        <v>1266</v>
      </c>
      <c r="H204" s="101"/>
      <c r="I204" s="61"/>
      <c r="J204" s="61"/>
      <c r="K204" s="64"/>
      <c r="L204" s="64"/>
      <c r="M204" s="317"/>
      <c r="N204" s="317"/>
    </row>
    <row r="205" ht="15.6" spans="2:14">
      <c r="B205" s="269" t="s">
        <v>1267</v>
      </c>
      <c r="C205" s="64" t="s">
        <v>203</v>
      </c>
      <c r="D205" s="101" t="s">
        <v>1268</v>
      </c>
      <c r="E205" s="64" t="s">
        <v>671</v>
      </c>
      <c r="F205" s="64"/>
      <c r="G205" s="221" t="s">
        <v>1269</v>
      </c>
      <c r="H205" s="101"/>
      <c r="I205" s="61"/>
      <c r="J205" s="61"/>
      <c r="K205" s="64"/>
      <c r="L205" s="64"/>
      <c r="M205" s="317"/>
      <c r="N205" s="317"/>
    </row>
    <row r="206" ht="15.6" spans="2:14">
      <c r="B206" s="269" t="s">
        <v>1270</v>
      </c>
      <c r="C206" s="64" t="s">
        <v>706</v>
      </c>
      <c r="D206" s="101" t="s">
        <v>1271</v>
      </c>
      <c r="E206" s="64" t="s">
        <v>671</v>
      </c>
      <c r="F206" s="64"/>
      <c r="G206" s="221" t="s">
        <v>1272</v>
      </c>
      <c r="H206" s="101"/>
      <c r="I206" s="61"/>
      <c r="J206" s="61"/>
      <c r="K206" s="64"/>
      <c r="L206" s="64"/>
      <c r="M206" s="317"/>
      <c r="N206" s="317"/>
    </row>
    <row r="207" ht="15.6" spans="2:14">
      <c r="B207" s="269" t="s">
        <v>1273</v>
      </c>
      <c r="C207" s="64" t="s">
        <v>706</v>
      </c>
      <c r="D207" s="101" t="s">
        <v>1274</v>
      </c>
      <c r="E207" s="64" t="s">
        <v>671</v>
      </c>
      <c r="F207" s="64"/>
      <c r="G207" s="221" t="s">
        <v>1275</v>
      </c>
      <c r="H207" s="101"/>
      <c r="I207" s="61"/>
      <c r="J207" s="61"/>
      <c r="K207" s="64"/>
      <c r="L207" s="64"/>
      <c r="M207" s="317"/>
      <c r="N207" s="317"/>
    </row>
    <row r="208" ht="15.6" spans="2:14">
      <c r="B208" s="269" t="s">
        <v>1276</v>
      </c>
      <c r="C208" s="64" t="s">
        <v>706</v>
      </c>
      <c r="D208" s="101" t="s">
        <v>1277</v>
      </c>
      <c r="E208" s="64" t="s">
        <v>671</v>
      </c>
      <c r="F208" s="64"/>
      <c r="G208" s="221" t="s">
        <v>1278</v>
      </c>
      <c r="H208" s="101"/>
      <c r="I208" s="61"/>
      <c r="J208" s="61"/>
      <c r="K208" s="64"/>
      <c r="L208" s="64"/>
      <c r="M208" s="317"/>
      <c r="N208" s="317"/>
    </row>
    <row r="209" ht="15.6" spans="2:14">
      <c r="B209" s="269" t="s">
        <v>1279</v>
      </c>
      <c r="C209" s="64" t="s">
        <v>706</v>
      </c>
      <c r="D209" s="101" t="s">
        <v>1280</v>
      </c>
      <c r="E209" s="64" t="s">
        <v>671</v>
      </c>
      <c r="F209" s="64"/>
      <c r="G209" s="221" t="s">
        <v>1281</v>
      </c>
      <c r="H209" s="101"/>
      <c r="I209" s="61"/>
      <c r="J209" s="61"/>
      <c r="K209" s="64"/>
      <c r="L209" s="64"/>
      <c r="M209" s="317"/>
      <c r="N209" s="317"/>
    </row>
    <row r="210" ht="15.6" spans="2:14">
      <c r="B210" s="269" t="s">
        <v>1282</v>
      </c>
      <c r="C210" s="64" t="s">
        <v>706</v>
      </c>
      <c r="D210" s="101" t="s">
        <v>1283</v>
      </c>
      <c r="E210" s="64" t="s">
        <v>671</v>
      </c>
      <c r="F210" s="64"/>
      <c r="G210" s="221" t="s">
        <v>1284</v>
      </c>
      <c r="H210" s="101"/>
      <c r="I210" s="61"/>
      <c r="J210" s="61"/>
      <c r="K210" s="64"/>
      <c r="L210" s="64"/>
      <c r="M210" s="317"/>
      <c r="N210" s="317"/>
    </row>
    <row r="211" ht="15.6" spans="2:14">
      <c r="B211" s="269" t="s">
        <v>1285</v>
      </c>
      <c r="C211" s="64" t="s">
        <v>706</v>
      </c>
      <c r="D211" s="101" t="s">
        <v>1286</v>
      </c>
      <c r="E211" s="64" t="s">
        <v>671</v>
      </c>
      <c r="F211" s="64"/>
      <c r="G211" s="221" t="s">
        <v>1287</v>
      </c>
      <c r="H211" s="101"/>
      <c r="I211" s="61"/>
      <c r="J211" s="61"/>
      <c r="K211" s="64"/>
      <c r="L211" s="64"/>
      <c r="M211" s="317"/>
      <c r="N211" s="317"/>
    </row>
    <row r="212" ht="15.6" spans="2:14">
      <c r="B212" s="269" t="s">
        <v>1288</v>
      </c>
      <c r="C212" s="64" t="s">
        <v>203</v>
      </c>
      <c r="D212" s="101" t="s">
        <v>1289</v>
      </c>
      <c r="E212" s="64" t="s">
        <v>671</v>
      </c>
      <c r="F212" s="64"/>
      <c r="G212" s="221" t="s">
        <v>1290</v>
      </c>
      <c r="H212" s="101"/>
      <c r="I212" s="61"/>
      <c r="J212" s="61"/>
      <c r="K212" s="64"/>
      <c r="L212" s="64"/>
      <c r="M212" s="317"/>
      <c r="N212" s="317"/>
    </row>
    <row r="213" ht="15.6" spans="2:14">
      <c r="B213" s="269" t="s">
        <v>1291</v>
      </c>
      <c r="C213" s="64" t="s">
        <v>706</v>
      </c>
      <c r="D213" s="101" t="s">
        <v>1292</v>
      </c>
      <c r="E213" s="64" t="s">
        <v>671</v>
      </c>
      <c r="F213" s="64"/>
      <c r="G213" s="221" t="s">
        <v>1293</v>
      </c>
      <c r="H213" s="101"/>
      <c r="I213" s="61"/>
      <c r="J213" s="61"/>
      <c r="K213" s="64"/>
      <c r="L213" s="64"/>
      <c r="M213" s="317"/>
      <c r="N213" s="317"/>
    </row>
    <row r="214" ht="15.6" spans="2:14">
      <c r="B214" s="269" t="s">
        <v>1294</v>
      </c>
      <c r="C214" s="64" t="s">
        <v>706</v>
      </c>
      <c r="D214" s="101" t="s">
        <v>1295</v>
      </c>
      <c r="E214" s="64" t="s">
        <v>671</v>
      </c>
      <c r="F214" s="64"/>
      <c r="G214" s="221" t="s">
        <v>1296</v>
      </c>
      <c r="H214" s="101"/>
      <c r="I214" s="61"/>
      <c r="J214" s="61"/>
      <c r="K214" s="64"/>
      <c r="L214" s="64"/>
      <c r="M214" s="317"/>
      <c r="N214" s="317"/>
    </row>
    <row r="215" ht="15.6" spans="2:14">
      <c r="B215" s="269" t="s">
        <v>1297</v>
      </c>
      <c r="C215" s="64" t="s">
        <v>706</v>
      </c>
      <c r="D215" s="101" t="s">
        <v>1298</v>
      </c>
      <c r="E215" s="64" t="s">
        <v>671</v>
      </c>
      <c r="F215" s="64"/>
      <c r="G215" s="221" t="s">
        <v>1299</v>
      </c>
      <c r="H215" s="101"/>
      <c r="I215" s="61"/>
      <c r="J215" s="61"/>
      <c r="K215" s="64"/>
      <c r="L215" s="64"/>
      <c r="M215" s="317"/>
      <c r="N215" s="317"/>
    </row>
    <row r="216" ht="15.6" spans="2:14">
      <c r="B216" s="269" t="s">
        <v>1300</v>
      </c>
      <c r="C216" s="64" t="s">
        <v>706</v>
      </c>
      <c r="D216" s="101" t="s">
        <v>1301</v>
      </c>
      <c r="E216" s="64" t="s">
        <v>671</v>
      </c>
      <c r="F216" s="64"/>
      <c r="G216" s="221" t="s">
        <v>1302</v>
      </c>
      <c r="H216" s="101"/>
      <c r="I216" s="61"/>
      <c r="J216" s="61"/>
      <c r="K216" s="64"/>
      <c r="L216" s="64"/>
      <c r="M216" s="317"/>
      <c r="N216" s="317"/>
    </row>
    <row r="217" ht="15.6" spans="2:14">
      <c r="B217" s="269" t="s">
        <v>1303</v>
      </c>
      <c r="C217" s="64" t="s">
        <v>706</v>
      </c>
      <c r="D217" s="101" t="s">
        <v>1304</v>
      </c>
      <c r="E217" s="64" t="s">
        <v>671</v>
      </c>
      <c r="F217" s="64"/>
      <c r="G217" s="221" t="s">
        <v>1305</v>
      </c>
      <c r="H217" s="101"/>
      <c r="I217" s="61"/>
      <c r="J217" s="61"/>
      <c r="K217" s="64"/>
      <c r="L217" s="64"/>
      <c r="M217" s="317"/>
      <c r="N217" s="317"/>
    </row>
    <row r="218" ht="15.6" spans="2:14">
      <c r="B218" s="269" t="s">
        <v>1306</v>
      </c>
      <c r="C218" s="64" t="s">
        <v>706</v>
      </c>
      <c r="D218" s="101" t="s">
        <v>1307</v>
      </c>
      <c r="E218" s="64" t="s">
        <v>671</v>
      </c>
      <c r="F218" s="64"/>
      <c r="G218" s="221" t="s">
        <v>1308</v>
      </c>
      <c r="H218" s="101"/>
      <c r="I218" s="61"/>
      <c r="J218" s="61"/>
      <c r="K218" s="64"/>
      <c r="L218" s="64"/>
      <c r="M218" s="317"/>
      <c r="N218" s="317"/>
    </row>
    <row r="219" ht="15.6" spans="2:14">
      <c r="B219" s="269" t="s">
        <v>1309</v>
      </c>
      <c r="C219" s="64" t="s">
        <v>203</v>
      </c>
      <c r="D219" s="101" t="s">
        <v>1310</v>
      </c>
      <c r="E219" s="64" t="s">
        <v>671</v>
      </c>
      <c r="F219" s="64"/>
      <c r="G219" s="221" t="s">
        <v>1311</v>
      </c>
      <c r="H219" s="101"/>
      <c r="I219" s="61"/>
      <c r="J219" s="61"/>
      <c r="K219" s="64"/>
      <c r="L219" s="64"/>
      <c r="M219" s="317"/>
      <c r="N219" s="317"/>
    </row>
    <row r="220" ht="15.6" spans="2:14">
      <c r="B220" s="269" t="s">
        <v>1312</v>
      </c>
      <c r="C220" s="64" t="s">
        <v>706</v>
      </c>
      <c r="D220" s="101" t="s">
        <v>1313</v>
      </c>
      <c r="E220" s="64" t="s">
        <v>671</v>
      </c>
      <c r="F220" s="64"/>
      <c r="G220" s="221" t="s">
        <v>1314</v>
      </c>
      <c r="H220" s="101"/>
      <c r="I220" s="61"/>
      <c r="J220" s="61"/>
      <c r="K220" s="64"/>
      <c r="L220" s="64"/>
      <c r="M220" s="317"/>
      <c r="N220" s="317"/>
    </row>
    <row r="221" ht="15.6" spans="2:14">
      <c r="B221" s="269" t="s">
        <v>1315</v>
      </c>
      <c r="C221" s="64" t="s">
        <v>706</v>
      </c>
      <c r="D221" s="101" t="s">
        <v>1316</v>
      </c>
      <c r="E221" s="64" t="s">
        <v>671</v>
      </c>
      <c r="F221" s="64"/>
      <c r="G221" s="221" t="s">
        <v>1317</v>
      </c>
      <c r="H221" s="101"/>
      <c r="I221" s="61"/>
      <c r="J221" s="61"/>
      <c r="K221" s="64"/>
      <c r="L221" s="64"/>
      <c r="M221" s="317"/>
      <c r="N221" s="317"/>
    </row>
    <row r="222" ht="15.6" spans="2:14">
      <c r="B222" s="269" t="s">
        <v>1318</v>
      </c>
      <c r="C222" s="64" t="s">
        <v>706</v>
      </c>
      <c r="D222" s="101" t="s">
        <v>1319</v>
      </c>
      <c r="E222" s="64" t="s">
        <v>671</v>
      </c>
      <c r="F222" s="64"/>
      <c r="G222" s="221" t="s">
        <v>1320</v>
      </c>
      <c r="H222" s="101"/>
      <c r="I222" s="61"/>
      <c r="J222" s="61"/>
      <c r="K222" s="64"/>
      <c r="L222" s="64"/>
      <c r="M222" s="317"/>
      <c r="N222" s="317"/>
    </row>
    <row r="223" ht="15.6" spans="2:14">
      <c r="B223" s="269" t="s">
        <v>1321</v>
      </c>
      <c r="C223" s="64" t="s">
        <v>706</v>
      </c>
      <c r="D223" s="101" t="s">
        <v>1322</v>
      </c>
      <c r="E223" s="64" t="s">
        <v>671</v>
      </c>
      <c r="F223" s="64"/>
      <c r="G223" s="221" t="s">
        <v>1323</v>
      </c>
      <c r="H223" s="101"/>
      <c r="I223" s="61"/>
      <c r="J223" s="61"/>
      <c r="K223" s="64"/>
      <c r="L223" s="64"/>
      <c r="M223" s="317"/>
      <c r="N223" s="317"/>
    </row>
    <row r="224" ht="15.6" spans="2:14">
      <c r="B224" s="269" t="s">
        <v>1324</v>
      </c>
      <c r="C224" s="64" t="s">
        <v>706</v>
      </c>
      <c r="D224" s="101" t="s">
        <v>1325</v>
      </c>
      <c r="E224" s="64" t="s">
        <v>671</v>
      </c>
      <c r="F224" s="64"/>
      <c r="G224" s="221" t="s">
        <v>1326</v>
      </c>
      <c r="H224" s="101"/>
      <c r="I224" s="61"/>
      <c r="J224" s="61"/>
      <c r="K224" s="64"/>
      <c r="L224" s="64"/>
      <c r="M224" s="317"/>
      <c r="N224" s="317"/>
    </row>
    <row r="225" ht="15.6" spans="2:14">
      <c r="B225" s="269" t="s">
        <v>1327</v>
      </c>
      <c r="C225" s="64" t="s">
        <v>706</v>
      </c>
      <c r="D225" s="101" t="s">
        <v>1328</v>
      </c>
      <c r="E225" s="64" t="s">
        <v>671</v>
      </c>
      <c r="F225" s="64"/>
      <c r="G225" s="221" t="s">
        <v>1329</v>
      </c>
      <c r="H225" s="101"/>
      <c r="I225" s="61"/>
      <c r="J225" s="61"/>
      <c r="K225" s="64"/>
      <c r="L225" s="64"/>
      <c r="M225" s="317"/>
      <c r="N225" s="317"/>
    </row>
    <row r="226" ht="15.6" spans="2:14">
      <c r="B226" s="269" t="s">
        <v>1330</v>
      </c>
      <c r="C226" s="64" t="s">
        <v>203</v>
      </c>
      <c r="D226" s="101" t="s">
        <v>1331</v>
      </c>
      <c r="E226" s="64" t="s">
        <v>671</v>
      </c>
      <c r="F226" s="64"/>
      <c r="G226" s="221" t="s">
        <v>1332</v>
      </c>
      <c r="H226" s="101"/>
      <c r="I226" s="61"/>
      <c r="J226" s="61"/>
      <c r="K226" s="64"/>
      <c r="L226" s="64"/>
      <c r="M226" s="317"/>
      <c r="N226" s="317"/>
    </row>
    <row r="227" ht="15.6" spans="2:14">
      <c r="B227" s="269" t="s">
        <v>1333</v>
      </c>
      <c r="C227" s="64" t="s">
        <v>706</v>
      </c>
      <c r="D227" s="101" t="s">
        <v>1334</v>
      </c>
      <c r="E227" s="64" t="s">
        <v>671</v>
      </c>
      <c r="F227" s="64"/>
      <c r="G227" s="221" t="s">
        <v>1335</v>
      </c>
      <c r="H227" s="101"/>
      <c r="I227" s="61"/>
      <c r="J227" s="61"/>
      <c r="K227" s="64"/>
      <c r="L227" s="64"/>
      <c r="M227" s="317"/>
      <c r="N227" s="317"/>
    </row>
    <row r="228" ht="15.6" spans="2:14">
      <c r="B228" s="269" t="s">
        <v>1336</v>
      </c>
      <c r="C228" s="64" t="s">
        <v>706</v>
      </c>
      <c r="D228" s="101" t="s">
        <v>1337</v>
      </c>
      <c r="E228" s="64" t="s">
        <v>671</v>
      </c>
      <c r="F228" s="64"/>
      <c r="G228" s="221" t="s">
        <v>1338</v>
      </c>
      <c r="H228" s="101"/>
      <c r="I228" s="61"/>
      <c r="J228" s="61"/>
      <c r="K228" s="64"/>
      <c r="L228" s="64"/>
      <c r="M228" s="317"/>
      <c r="N228" s="317"/>
    </row>
    <row r="229" ht="15.6" spans="2:14">
      <c r="B229" s="269" t="s">
        <v>1339</v>
      </c>
      <c r="C229" s="64" t="s">
        <v>706</v>
      </c>
      <c r="D229" s="101" t="s">
        <v>1340</v>
      </c>
      <c r="E229" s="64" t="s">
        <v>671</v>
      </c>
      <c r="F229" s="64"/>
      <c r="G229" s="221" t="s">
        <v>1341</v>
      </c>
      <c r="H229" s="101"/>
      <c r="I229" s="61"/>
      <c r="J229" s="61"/>
      <c r="K229" s="64"/>
      <c r="L229" s="64"/>
      <c r="M229" s="317"/>
      <c r="N229" s="317"/>
    </row>
    <row r="230" ht="15.6" spans="2:14">
      <c r="B230" s="269" t="s">
        <v>1342</v>
      </c>
      <c r="C230" s="64" t="s">
        <v>706</v>
      </c>
      <c r="D230" s="101" t="s">
        <v>1343</v>
      </c>
      <c r="E230" s="64" t="s">
        <v>671</v>
      </c>
      <c r="F230" s="64"/>
      <c r="G230" s="221" t="s">
        <v>1344</v>
      </c>
      <c r="H230" s="101"/>
      <c r="I230" s="61"/>
      <c r="J230" s="61"/>
      <c r="K230" s="64"/>
      <c r="L230" s="64"/>
      <c r="M230" s="317"/>
      <c r="N230" s="317"/>
    </row>
    <row r="231" ht="15.6" spans="2:14">
      <c r="B231" s="269" t="s">
        <v>1345</v>
      </c>
      <c r="C231" s="64" t="s">
        <v>706</v>
      </c>
      <c r="D231" s="101" t="s">
        <v>1346</v>
      </c>
      <c r="E231" s="64" t="s">
        <v>671</v>
      </c>
      <c r="F231" s="64"/>
      <c r="G231" s="221" t="s">
        <v>1347</v>
      </c>
      <c r="H231" s="101"/>
      <c r="I231" s="61"/>
      <c r="J231" s="61"/>
      <c r="K231" s="64"/>
      <c r="L231" s="64"/>
      <c r="M231" s="317"/>
      <c r="N231" s="317"/>
    </row>
    <row r="232" ht="15.6" spans="2:14">
      <c r="B232" s="269" t="s">
        <v>1348</v>
      </c>
      <c r="C232" s="64" t="s">
        <v>1349</v>
      </c>
      <c r="D232" s="101" t="s">
        <v>1350</v>
      </c>
      <c r="E232" s="64" t="s">
        <v>671</v>
      </c>
      <c r="F232" s="64"/>
      <c r="G232" s="221" t="s">
        <v>1351</v>
      </c>
      <c r="H232" s="101"/>
      <c r="I232" s="61"/>
      <c r="J232" s="61"/>
      <c r="K232" s="64"/>
      <c r="L232" s="64"/>
      <c r="M232" s="317"/>
      <c r="N232" s="317"/>
    </row>
    <row r="233" ht="15.6" spans="2:14">
      <c r="B233" s="269" t="s">
        <v>1352</v>
      </c>
      <c r="C233" s="64" t="s">
        <v>706</v>
      </c>
      <c r="D233" s="101" t="s">
        <v>1353</v>
      </c>
      <c r="E233" s="64" t="s">
        <v>671</v>
      </c>
      <c r="F233" s="64"/>
      <c r="G233" s="221" t="s">
        <v>1354</v>
      </c>
      <c r="H233" s="101"/>
      <c r="I233" s="61"/>
      <c r="J233" s="61"/>
      <c r="K233" s="64"/>
      <c r="L233" s="64"/>
      <c r="M233" s="317"/>
      <c r="N233" s="317"/>
    </row>
    <row r="234" ht="15.6" spans="2:14">
      <c r="B234" s="269" t="s">
        <v>1355</v>
      </c>
      <c r="C234" s="64" t="s">
        <v>706</v>
      </c>
      <c r="D234" s="101" t="s">
        <v>1356</v>
      </c>
      <c r="E234" s="64" t="s">
        <v>671</v>
      </c>
      <c r="F234" s="64"/>
      <c r="G234" s="221" t="s">
        <v>1357</v>
      </c>
      <c r="H234" s="101"/>
      <c r="I234" s="61"/>
      <c r="J234" s="61"/>
      <c r="K234" s="64"/>
      <c r="L234" s="64"/>
      <c r="M234" s="317"/>
      <c r="N234" s="317"/>
    </row>
    <row r="235" ht="15.6" spans="2:14">
      <c r="B235" s="269" t="s">
        <v>1358</v>
      </c>
      <c r="C235" s="64" t="s">
        <v>706</v>
      </c>
      <c r="D235" s="101" t="s">
        <v>1359</v>
      </c>
      <c r="E235" s="64" t="s">
        <v>671</v>
      </c>
      <c r="F235" s="64"/>
      <c r="G235" s="221" t="s">
        <v>1360</v>
      </c>
      <c r="H235" s="101"/>
      <c r="I235" s="61"/>
      <c r="J235" s="61"/>
      <c r="K235" s="64"/>
      <c r="L235" s="64"/>
      <c r="M235" s="317"/>
      <c r="N235" s="317"/>
    </row>
    <row r="236" ht="15.6" spans="2:14">
      <c r="B236" s="269" t="s">
        <v>1361</v>
      </c>
      <c r="C236" s="64" t="s">
        <v>706</v>
      </c>
      <c r="D236" s="101" t="s">
        <v>1362</v>
      </c>
      <c r="E236" s="64" t="s">
        <v>671</v>
      </c>
      <c r="F236" s="64"/>
      <c r="G236" s="221" t="s">
        <v>1363</v>
      </c>
      <c r="H236" s="101"/>
      <c r="I236" s="61"/>
      <c r="J236" s="61"/>
      <c r="K236" s="64"/>
      <c r="L236" s="64"/>
      <c r="M236" s="317"/>
      <c r="N236" s="317"/>
    </row>
    <row r="237" ht="15.6" spans="2:14">
      <c r="B237" s="269" t="s">
        <v>1364</v>
      </c>
      <c r="C237" s="64" t="s">
        <v>706</v>
      </c>
      <c r="D237" s="101" t="s">
        <v>1365</v>
      </c>
      <c r="E237" s="64" t="s">
        <v>671</v>
      </c>
      <c r="F237" s="64"/>
      <c r="G237" s="221" t="s">
        <v>1366</v>
      </c>
      <c r="H237" s="101"/>
      <c r="I237" s="61"/>
      <c r="J237" s="61"/>
      <c r="K237" s="64"/>
      <c r="L237" s="64"/>
      <c r="M237" s="317"/>
      <c r="N237" s="317"/>
    </row>
    <row r="238" ht="15.6" spans="2:14">
      <c r="B238" s="269" t="s">
        <v>1367</v>
      </c>
      <c r="C238" s="64" t="s">
        <v>1349</v>
      </c>
      <c r="D238" s="101" t="s">
        <v>1368</v>
      </c>
      <c r="E238" s="64" t="s">
        <v>671</v>
      </c>
      <c r="F238" s="64"/>
      <c r="G238" s="221" t="s">
        <v>1369</v>
      </c>
      <c r="H238" s="101"/>
      <c r="I238" s="61"/>
      <c r="J238" s="61"/>
      <c r="K238" s="64"/>
      <c r="L238" s="64"/>
      <c r="M238" s="317"/>
      <c r="N238" s="317"/>
    </row>
    <row r="239" ht="15.6" spans="2:14">
      <c r="B239" s="269" t="s">
        <v>1370</v>
      </c>
      <c r="C239" s="64" t="s">
        <v>706</v>
      </c>
      <c r="D239" s="101" t="s">
        <v>1371</v>
      </c>
      <c r="E239" s="64" t="s">
        <v>671</v>
      </c>
      <c r="F239" s="64"/>
      <c r="G239" s="221" t="s">
        <v>1372</v>
      </c>
      <c r="H239" s="101"/>
      <c r="I239" s="61"/>
      <c r="J239" s="61"/>
      <c r="K239" s="64"/>
      <c r="L239" s="64"/>
      <c r="M239" s="317"/>
      <c r="N239" s="317"/>
    </row>
    <row r="240" ht="15.6" spans="2:14">
      <c r="B240" s="269" t="s">
        <v>1373</v>
      </c>
      <c r="C240" s="64" t="s">
        <v>706</v>
      </c>
      <c r="D240" s="101" t="s">
        <v>1374</v>
      </c>
      <c r="E240" s="64" t="s">
        <v>671</v>
      </c>
      <c r="F240" s="64"/>
      <c r="G240" s="221" t="s">
        <v>1375</v>
      </c>
      <c r="H240" s="101"/>
      <c r="I240" s="61"/>
      <c r="J240" s="61"/>
      <c r="K240" s="64"/>
      <c r="L240" s="64"/>
      <c r="M240" s="317"/>
      <c r="N240" s="317"/>
    </row>
    <row r="241" ht="15.6" spans="2:14">
      <c r="B241" s="269" t="s">
        <v>1376</v>
      </c>
      <c r="C241" s="64" t="s">
        <v>706</v>
      </c>
      <c r="D241" s="101" t="s">
        <v>1377</v>
      </c>
      <c r="E241" s="64" t="s">
        <v>671</v>
      </c>
      <c r="F241" s="64"/>
      <c r="G241" s="221" t="s">
        <v>1378</v>
      </c>
      <c r="H241" s="101"/>
      <c r="I241" s="61"/>
      <c r="J241" s="61"/>
      <c r="K241" s="64"/>
      <c r="L241" s="64"/>
      <c r="M241" s="317"/>
      <c r="N241" s="317"/>
    </row>
    <row r="242" ht="15.6" spans="2:14">
      <c r="B242" s="269" t="s">
        <v>1379</v>
      </c>
      <c r="C242" s="64" t="s">
        <v>706</v>
      </c>
      <c r="D242" s="101" t="s">
        <v>1380</v>
      </c>
      <c r="E242" s="64" t="s">
        <v>671</v>
      </c>
      <c r="F242" s="64"/>
      <c r="G242" s="221" t="s">
        <v>1381</v>
      </c>
      <c r="H242" s="101"/>
      <c r="I242" s="61"/>
      <c r="J242" s="61"/>
      <c r="K242" s="64"/>
      <c r="L242" s="64"/>
      <c r="M242" s="317"/>
      <c r="N242" s="317"/>
    </row>
    <row r="243" ht="15.6" spans="2:14">
      <c r="B243" s="269" t="s">
        <v>1382</v>
      </c>
      <c r="C243" s="64" t="s">
        <v>706</v>
      </c>
      <c r="D243" s="101" t="s">
        <v>1383</v>
      </c>
      <c r="E243" s="64" t="s">
        <v>671</v>
      </c>
      <c r="F243" s="64"/>
      <c r="G243" s="221" t="s">
        <v>1384</v>
      </c>
      <c r="H243" s="101"/>
      <c r="I243" s="61"/>
      <c r="J243" s="61"/>
      <c r="K243" s="64"/>
      <c r="L243" s="64"/>
      <c r="M243" s="317"/>
      <c r="N243" s="317"/>
    </row>
    <row r="244" ht="15.6" spans="2:14">
      <c r="B244" s="269" t="s">
        <v>1385</v>
      </c>
      <c r="C244" s="64" t="s">
        <v>1349</v>
      </c>
      <c r="D244" s="101" t="s">
        <v>1386</v>
      </c>
      <c r="E244" s="64" t="s">
        <v>671</v>
      </c>
      <c r="F244" s="64"/>
      <c r="G244" s="221" t="s">
        <v>1387</v>
      </c>
      <c r="H244" s="101"/>
      <c r="I244" s="61"/>
      <c r="J244" s="61"/>
      <c r="K244" s="64"/>
      <c r="L244" s="64"/>
      <c r="M244" s="317"/>
      <c r="N244" s="317"/>
    </row>
    <row r="245" ht="15.6" spans="2:14">
      <c r="B245" s="269" t="s">
        <v>1388</v>
      </c>
      <c r="C245" s="64" t="s">
        <v>706</v>
      </c>
      <c r="D245" s="101" t="s">
        <v>1389</v>
      </c>
      <c r="E245" s="64" t="s">
        <v>671</v>
      </c>
      <c r="F245" s="64"/>
      <c r="G245" s="221" t="s">
        <v>1390</v>
      </c>
      <c r="H245" s="101"/>
      <c r="I245" s="61"/>
      <c r="J245" s="61"/>
      <c r="K245" s="64"/>
      <c r="L245" s="64"/>
      <c r="M245" s="317"/>
      <c r="N245" s="317"/>
    </row>
    <row r="246" ht="15.6" spans="2:14">
      <c r="B246" s="269" t="s">
        <v>1391</v>
      </c>
      <c r="C246" s="64" t="s">
        <v>706</v>
      </c>
      <c r="D246" s="101" t="s">
        <v>1392</v>
      </c>
      <c r="E246" s="64" t="s">
        <v>671</v>
      </c>
      <c r="F246" s="64"/>
      <c r="G246" s="221" t="s">
        <v>1393</v>
      </c>
      <c r="H246" s="101"/>
      <c r="I246" s="61"/>
      <c r="J246" s="61"/>
      <c r="K246" s="64"/>
      <c r="L246" s="64"/>
      <c r="M246" s="317"/>
      <c r="N246" s="317"/>
    </row>
    <row r="247" ht="15.6" spans="2:14">
      <c r="B247" s="269" t="s">
        <v>1394</v>
      </c>
      <c r="C247" s="64" t="s">
        <v>706</v>
      </c>
      <c r="D247" s="101" t="s">
        <v>1395</v>
      </c>
      <c r="E247" s="64" t="s">
        <v>671</v>
      </c>
      <c r="F247" s="64"/>
      <c r="G247" s="221" t="s">
        <v>1396</v>
      </c>
      <c r="H247" s="101"/>
      <c r="I247" s="61"/>
      <c r="J247" s="61"/>
      <c r="K247" s="64"/>
      <c r="L247" s="64"/>
      <c r="M247" s="317"/>
      <c r="N247" s="317"/>
    </row>
    <row r="248" ht="15.6" spans="2:14">
      <c r="B248" s="269" t="s">
        <v>1397</v>
      </c>
      <c r="C248" s="64" t="s">
        <v>706</v>
      </c>
      <c r="D248" s="101" t="s">
        <v>1398</v>
      </c>
      <c r="E248" s="64" t="s">
        <v>671</v>
      </c>
      <c r="F248" s="64"/>
      <c r="G248" s="221" t="s">
        <v>1399</v>
      </c>
      <c r="H248" s="101"/>
      <c r="I248" s="61"/>
      <c r="J248" s="61"/>
      <c r="K248" s="64"/>
      <c r="L248" s="64"/>
      <c r="M248" s="317"/>
      <c r="N248" s="317"/>
    </row>
    <row r="249" ht="15.6" spans="2:14">
      <c r="B249" s="269" t="s">
        <v>1400</v>
      </c>
      <c r="C249" s="64" t="s">
        <v>706</v>
      </c>
      <c r="D249" s="101" t="s">
        <v>1401</v>
      </c>
      <c r="E249" s="64" t="s">
        <v>671</v>
      </c>
      <c r="F249" s="64"/>
      <c r="G249" s="221" t="s">
        <v>1402</v>
      </c>
      <c r="H249" s="101"/>
      <c r="I249" s="61"/>
      <c r="J249" s="61"/>
      <c r="K249" s="64"/>
      <c r="L249" s="64"/>
      <c r="M249" s="317"/>
      <c r="N249" s="317"/>
    </row>
    <row r="250" ht="15.6" spans="2:14">
      <c r="B250" s="269" t="s">
        <v>1403</v>
      </c>
      <c r="C250" s="64" t="s">
        <v>1349</v>
      </c>
      <c r="D250" s="101" t="s">
        <v>1404</v>
      </c>
      <c r="E250" s="64" t="s">
        <v>671</v>
      </c>
      <c r="F250" s="64"/>
      <c r="G250" s="221" t="s">
        <v>1405</v>
      </c>
      <c r="H250" s="101"/>
      <c r="I250" s="61"/>
      <c r="J250" s="61"/>
      <c r="K250" s="64"/>
      <c r="L250" s="64"/>
      <c r="M250" s="317"/>
      <c r="N250" s="317"/>
    </row>
    <row r="251" ht="15.6" spans="2:14">
      <c r="B251" s="269" t="s">
        <v>1406</v>
      </c>
      <c r="C251" s="64" t="s">
        <v>706</v>
      </c>
      <c r="D251" s="101" t="s">
        <v>1407</v>
      </c>
      <c r="E251" s="64" t="s">
        <v>671</v>
      </c>
      <c r="F251" s="64"/>
      <c r="G251" s="221" t="s">
        <v>1408</v>
      </c>
      <c r="H251" s="101"/>
      <c r="I251" s="61"/>
      <c r="J251" s="61"/>
      <c r="K251" s="64"/>
      <c r="L251" s="64"/>
      <c r="M251" s="317"/>
      <c r="N251" s="317"/>
    </row>
    <row r="252" ht="15.6" spans="2:14">
      <c r="B252" s="269" t="s">
        <v>1409</v>
      </c>
      <c r="C252" s="64" t="s">
        <v>706</v>
      </c>
      <c r="D252" s="101" t="s">
        <v>1410</v>
      </c>
      <c r="E252" s="64" t="s">
        <v>671</v>
      </c>
      <c r="F252" s="64"/>
      <c r="G252" s="221" t="s">
        <v>1411</v>
      </c>
      <c r="H252" s="101"/>
      <c r="I252" s="61"/>
      <c r="J252" s="61"/>
      <c r="K252" s="64"/>
      <c r="L252" s="64"/>
      <c r="M252" s="317"/>
      <c r="N252" s="317"/>
    </row>
    <row r="253" ht="15.6" spans="2:14">
      <c r="B253" s="269" t="s">
        <v>1412</v>
      </c>
      <c r="C253" s="64" t="s">
        <v>706</v>
      </c>
      <c r="D253" s="101" t="s">
        <v>1413</v>
      </c>
      <c r="E253" s="64" t="s">
        <v>671</v>
      </c>
      <c r="F253" s="64"/>
      <c r="G253" s="221" t="s">
        <v>1414</v>
      </c>
      <c r="H253" s="101"/>
      <c r="I253" s="61"/>
      <c r="J253" s="61"/>
      <c r="K253" s="64"/>
      <c r="L253" s="64"/>
      <c r="M253" s="317"/>
      <c r="N253" s="317"/>
    </row>
    <row r="254" ht="15.6" spans="2:14">
      <c r="B254" s="269" t="s">
        <v>1415</v>
      </c>
      <c r="C254" s="64" t="s">
        <v>706</v>
      </c>
      <c r="D254" s="101" t="s">
        <v>1416</v>
      </c>
      <c r="E254" s="64" t="s">
        <v>671</v>
      </c>
      <c r="F254" s="64"/>
      <c r="G254" s="221" t="s">
        <v>1417</v>
      </c>
      <c r="H254" s="101"/>
      <c r="I254" s="61"/>
      <c r="J254" s="61"/>
      <c r="K254" s="64"/>
      <c r="L254" s="64"/>
      <c r="M254" s="317"/>
      <c r="N254" s="317"/>
    </row>
    <row r="255" ht="15.6" spans="2:14">
      <c r="B255" s="269" t="s">
        <v>1418</v>
      </c>
      <c r="C255" s="64" t="s">
        <v>706</v>
      </c>
      <c r="D255" s="101" t="s">
        <v>1419</v>
      </c>
      <c r="E255" s="64" t="s">
        <v>671</v>
      </c>
      <c r="F255" s="64"/>
      <c r="G255" s="221" t="s">
        <v>1420</v>
      </c>
      <c r="H255" s="101"/>
      <c r="I255" s="61"/>
      <c r="J255" s="61"/>
      <c r="K255" s="64"/>
      <c r="L255" s="64"/>
      <c r="M255" s="317"/>
      <c r="N255" s="317"/>
    </row>
    <row r="256" ht="15.6" spans="2:14">
      <c r="B256" s="269" t="s">
        <v>1421</v>
      </c>
      <c r="C256" s="64" t="s">
        <v>1349</v>
      </c>
      <c r="D256" s="101" t="s">
        <v>1422</v>
      </c>
      <c r="E256" s="64" t="s">
        <v>671</v>
      </c>
      <c r="F256" s="64"/>
      <c r="G256" s="221" t="s">
        <v>1423</v>
      </c>
      <c r="H256" s="101"/>
      <c r="I256" s="61"/>
      <c r="J256" s="61"/>
      <c r="K256" s="64"/>
      <c r="L256" s="64"/>
      <c r="M256" s="317"/>
      <c r="N256" s="317"/>
    </row>
    <row r="257" ht="15.6" spans="2:14">
      <c r="B257" s="269" t="s">
        <v>1424</v>
      </c>
      <c r="C257" s="64" t="s">
        <v>706</v>
      </c>
      <c r="D257" s="101" t="s">
        <v>1425</v>
      </c>
      <c r="E257" s="64" t="s">
        <v>671</v>
      </c>
      <c r="F257" s="64"/>
      <c r="G257" s="221" t="s">
        <v>1426</v>
      </c>
      <c r="H257" s="101"/>
      <c r="I257" s="61"/>
      <c r="J257" s="61"/>
      <c r="K257" s="64"/>
      <c r="L257" s="64"/>
      <c r="M257" s="317"/>
      <c r="N257" s="317"/>
    </row>
    <row r="258" ht="15.6" spans="2:14">
      <c r="B258" s="269" t="s">
        <v>1427</v>
      </c>
      <c r="C258" s="64" t="s">
        <v>706</v>
      </c>
      <c r="D258" s="101" t="s">
        <v>1428</v>
      </c>
      <c r="E258" s="64" t="s">
        <v>671</v>
      </c>
      <c r="F258" s="64"/>
      <c r="G258" s="221" t="s">
        <v>1429</v>
      </c>
      <c r="H258" s="101"/>
      <c r="I258" s="61"/>
      <c r="J258" s="61"/>
      <c r="K258" s="64"/>
      <c r="L258" s="64"/>
      <c r="M258" s="317"/>
      <c r="N258" s="317"/>
    </row>
    <row r="259" ht="15.6" spans="2:14">
      <c r="B259" s="269" t="s">
        <v>1430</v>
      </c>
      <c r="C259" s="64" t="s">
        <v>706</v>
      </c>
      <c r="D259" s="101" t="s">
        <v>1431</v>
      </c>
      <c r="E259" s="64" t="s">
        <v>671</v>
      </c>
      <c r="F259" s="64"/>
      <c r="G259" s="221" t="s">
        <v>1432</v>
      </c>
      <c r="H259" s="101"/>
      <c r="I259" s="61"/>
      <c r="J259" s="61"/>
      <c r="K259" s="64"/>
      <c r="L259" s="64"/>
      <c r="M259" s="317"/>
      <c r="N259" s="317"/>
    </row>
    <row r="260" ht="15.6" spans="2:14">
      <c r="B260" s="269" t="s">
        <v>1433</v>
      </c>
      <c r="C260" s="64" t="s">
        <v>706</v>
      </c>
      <c r="D260" s="101" t="s">
        <v>1434</v>
      </c>
      <c r="E260" s="64" t="s">
        <v>671</v>
      </c>
      <c r="F260" s="64"/>
      <c r="G260" s="221" t="s">
        <v>1435</v>
      </c>
      <c r="H260" s="101"/>
      <c r="I260" s="61"/>
      <c r="J260" s="61"/>
      <c r="K260" s="64"/>
      <c r="L260" s="64"/>
      <c r="M260" s="317"/>
      <c r="N260" s="317"/>
    </row>
    <row r="261" ht="15.6" spans="2:14">
      <c r="B261" s="269" t="s">
        <v>1436</v>
      </c>
      <c r="C261" s="64" t="s">
        <v>706</v>
      </c>
      <c r="D261" s="101" t="s">
        <v>1437</v>
      </c>
      <c r="E261" s="64" t="s">
        <v>671</v>
      </c>
      <c r="F261" s="64"/>
      <c r="G261" s="221" t="s">
        <v>1438</v>
      </c>
      <c r="H261" s="101"/>
      <c r="I261" s="61"/>
      <c r="J261" s="61"/>
      <c r="K261" s="64"/>
      <c r="L261" s="64"/>
      <c r="M261" s="317"/>
      <c r="N261" s="317"/>
    </row>
    <row r="262" ht="15.6" spans="2:14">
      <c r="B262" s="269" t="s">
        <v>1439</v>
      </c>
      <c r="C262" s="64" t="s">
        <v>1349</v>
      </c>
      <c r="D262" s="101" t="s">
        <v>1440</v>
      </c>
      <c r="E262" s="64" t="s">
        <v>671</v>
      </c>
      <c r="F262" s="64"/>
      <c r="G262" s="221" t="s">
        <v>1441</v>
      </c>
      <c r="H262" s="101"/>
      <c r="I262" s="61"/>
      <c r="J262" s="61"/>
      <c r="K262" s="64"/>
      <c r="L262" s="64"/>
      <c r="M262" s="317"/>
      <c r="N262" s="317"/>
    </row>
    <row r="263" ht="15.6" spans="2:14">
      <c r="B263" s="269" t="s">
        <v>1442</v>
      </c>
      <c r="C263" s="64" t="s">
        <v>706</v>
      </c>
      <c r="D263" s="101" t="s">
        <v>1443</v>
      </c>
      <c r="E263" s="64" t="s">
        <v>671</v>
      </c>
      <c r="F263" s="64"/>
      <c r="G263" s="221" t="s">
        <v>1444</v>
      </c>
      <c r="H263" s="101"/>
      <c r="I263" s="61"/>
      <c r="J263" s="61"/>
      <c r="K263" s="64"/>
      <c r="L263" s="64"/>
      <c r="M263" s="317"/>
      <c r="N263" s="317"/>
    </row>
    <row r="264" ht="15.6" spans="2:14">
      <c r="B264" s="269" t="s">
        <v>1445</v>
      </c>
      <c r="C264" s="64" t="s">
        <v>706</v>
      </c>
      <c r="D264" s="101" t="s">
        <v>1446</v>
      </c>
      <c r="E264" s="64" t="s">
        <v>671</v>
      </c>
      <c r="F264" s="64"/>
      <c r="G264" s="221" t="s">
        <v>1447</v>
      </c>
      <c r="H264" s="101"/>
      <c r="I264" s="61"/>
      <c r="J264" s="61"/>
      <c r="K264" s="64"/>
      <c r="L264" s="64"/>
      <c r="M264" s="317"/>
      <c r="N264" s="317"/>
    </row>
    <row r="265" ht="15.6" spans="2:14">
      <c r="B265" s="269" t="s">
        <v>1448</v>
      </c>
      <c r="C265" s="64" t="s">
        <v>706</v>
      </c>
      <c r="D265" s="101" t="s">
        <v>1449</v>
      </c>
      <c r="E265" s="64" t="s">
        <v>671</v>
      </c>
      <c r="F265" s="64"/>
      <c r="G265" s="221" t="s">
        <v>1450</v>
      </c>
      <c r="H265" s="101"/>
      <c r="I265" s="61"/>
      <c r="J265" s="61"/>
      <c r="K265" s="64"/>
      <c r="L265" s="64"/>
      <c r="M265" s="317"/>
      <c r="N265" s="317"/>
    </row>
    <row r="266" ht="15.6" spans="2:14">
      <c r="B266" s="269" t="s">
        <v>1451</v>
      </c>
      <c r="C266" s="64" t="s">
        <v>706</v>
      </c>
      <c r="D266" s="101" t="s">
        <v>1452</v>
      </c>
      <c r="E266" s="64" t="s">
        <v>671</v>
      </c>
      <c r="F266" s="64"/>
      <c r="G266" s="221" t="s">
        <v>1453</v>
      </c>
      <c r="H266" s="101"/>
      <c r="I266" s="61"/>
      <c r="J266" s="61"/>
      <c r="K266" s="64"/>
      <c r="L266" s="64"/>
      <c r="M266" s="317"/>
      <c r="N266" s="317"/>
    </row>
    <row r="267" ht="15.6" spans="2:14">
      <c r="B267" s="269" t="s">
        <v>1454</v>
      </c>
      <c r="C267" s="64" t="s">
        <v>706</v>
      </c>
      <c r="D267" s="101" t="s">
        <v>1455</v>
      </c>
      <c r="E267" s="64" t="s">
        <v>671</v>
      </c>
      <c r="F267" s="64"/>
      <c r="G267" s="221" t="s">
        <v>1456</v>
      </c>
      <c r="H267" s="101"/>
      <c r="I267" s="61"/>
      <c r="J267" s="61"/>
      <c r="K267" s="64"/>
      <c r="L267" s="64"/>
      <c r="M267" s="317"/>
      <c r="N267" s="317"/>
    </row>
    <row r="268" ht="15.6" spans="2:14">
      <c r="B268" s="269" t="s">
        <v>1457</v>
      </c>
      <c r="C268" s="64" t="s">
        <v>1349</v>
      </c>
      <c r="D268" s="101" t="s">
        <v>1458</v>
      </c>
      <c r="E268" s="64" t="s">
        <v>671</v>
      </c>
      <c r="F268" s="64"/>
      <c r="G268" s="221" t="s">
        <v>1459</v>
      </c>
      <c r="H268" s="101"/>
      <c r="I268" s="61"/>
      <c r="J268" s="61"/>
      <c r="K268" s="64"/>
      <c r="L268" s="64"/>
      <c r="M268" s="317"/>
      <c r="N268" s="317"/>
    </row>
    <row r="269" ht="15.6" spans="2:14">
      <c r="B269" s="269" t="s">
        <v>1460</v>
      </c>
      <c r="C269" s="64" t="s">
        <v>1349</v>
      </c>
      <c r="D269" s="101" t="s">
        <v>1461</v>
      </c>
      <c r="E269" s="64" t="s">
        <v>671</v>
      </c>
      <c r="F269" s="64"/>
      <c r="G269" s="221" t="s">
        <v>1462</v>
      </c>
      <c r="H269" s="101"/>
      <c r="I269" s="61"/>
      <c r="J269" s="61"/>
      <c r="K269" s="64"/>
      <c r="L269" s="64"/>
      <c r="M269" s="317"/>
      <c r="N269" s="317"/>
    </row>
    <row r="270" ht="15.6" spans="2:14">
      <c r="B270" s="269" t="s">
        <v>1463</v>
      </c>
      <c r="C270" s="64" t="s">
        <v>1349</v>
      </c>
      <c r="D270" s="101" t="s">
        <v>1464</v>
      </c>
      <c r="E270" s="64" t="s">
        <v>671</v>
      </c>
      <c r="F270" s="64"/>
      <c r="G270" s="221" t="s">
        <v>1465</v>
      </c>
      <c r="H270" s="101"/>
      <c r="I270" s="61"/>
      <c r="J270" s="61"/>
      <c r="K270" s="64"/>
      <c r="L270" s="64"/>
      <c r="M270" s="317"/>
      <c r="N270" s="317"/>
    </row>
    <row r="271" ht="15.6" spans="2:14">
      <c r="B271" s="269" t="s">
        <v>1466</v>
      </c>
      <c r="C271" s="64" t="s">
        <v>706</v>
      </c>
      <c r="D271" s="101" t="s">
        <v>1467</v>
      </c>
      <c r="E271" s="64" t="s">
        <v>671</v>
      </c>
      <c r="F271" s="64"/>
      <c r="G271" s="221" t="s">
        <v>1468</v>
      </c>
      <c r="H271" s="101"/>
      <c r="I271" s="61"/>
      <c r="J271" s="61"/>
      <c r="K271" s="64"/>
      <c r="L271" s="64"/>
      <c r="M271" s="317"/>
      <c r="N271" s="317"/>
    </row>
    <row r="272" ht="15.6" spans="2:14">
      <c r="B272" s="269" t="s">
        <v>1469</v>
      </c>
      <c r="C272" s="64" t="s">
        <v>706</v>
      </c>
      <c r="D272" s="101" t="s">
        <v>1470</v>
      </c>
      <c r="E272" s="64" t="s">
        <v>671</v>
      </c>
      <c r="F272" s="64"/>
      <c r="G272" s="221" t="s">
        <v>1471</v>
      </c>
      <c r="H272" s="101"/>
      <c r="I272" s="61"/>
      <c r="J272" s="61"/>
      <c r="K272" s="64"/>
      <c r="L272" s="64"/>
      <c r="M272" s="317"/>
      <c r="N272" s="317"/>
    </row>
    <row r="273" ht="15.6" spans="2:14">
      <c r="B273" s="269" t="s">
        <v>1472</v>
      </c>
      <c r="C273" s="64" t="s">
        <v>706</v>
      </c>
      <c r="D273" s="101" t="s">
        <v>1473</v>
      </c>
      <c r="E273" s="64" t="s">
        <v>671</v>
      </c>
      <c r="F273" s="64"/>
      <c r="G273" s="221" t="s">
        <v>1474</v>
      </c>
      <c r="H273" s="101"/>
      <c r="I273" s="61"/>
      <c r="J273" s="61"/>
      <c r="K273" s="64"/>
      <c r="L273" s="64"/>
      <c r="M273" s="317"/>
      <c r="N273" s="317"/>
    </row>
    <row r="274" ht="15.6" spans="2:14">
      <c r="B274" s="269" t="s">
        <v>1475</v>
      </c>
      <c r="C274" s="64" t="s">
        <v>706</v>
      </c>
      <c r="D274" s="101" t="s">
        <v>1476</v>
      </c>
      <c r="E274" s="64" t="s">
        <v>671</v>
      </c>
      <c r="F274" s="64"/>
      <c r="G274" s="221" t="s">
        <v>1477</v>
      </c>
      <c r="H274" s="101"/>
      <c r="I274" s="61"/>
      <c r="J274" s="61"/>
      <c r="K274" s="64"/>
      <c r="L274" s="64"/>
      <c r="M274" s="317"/>
      <c r="N274" s="317"/>
    </row>
    <row r="275" ht="15.6" spans="2:14">
      <c r="B275" s="269" t="s">
        <v>1478</v>
      </c>
      <c r="C275" s="64" t="s">
        <v>706</v>
      </c>
      <c r="D275" s="101" t="s">
        <v>1479</v>
      </c>
      <c r="E275" s="64" t="s">
        <v>671</v>
      </c>
      <c r="F275" s="64"/>
      <c r="G275" s="221" t="s">
        <v>1480</v>
      </c>
      <c r="H275" s="101"/>
      <c r="I275" s="61"/>
      <c r="J275" s="61"/>
      <c r="K275" s="64"/>
      <c r="L275" s="64"/>
      <c r="M275" s="317"/>
      <c r="N275" s="317"/>
    </row>
    <row r="276" ht="15.6" spans="2:14">
      <c r="B276" s="269" t="s">
        <v>1481</v>
      </c>
      <c r="C276" s="64" t="s">
        <v>706</v>
      </c>
      <c r="D276" s="101" t="s">
        <v>1482</v>
      </c>
      <c r="E276" s="64" t="s">
        <v>671</v>
      </c>
      <c r="F276" s="64"/>
      <c r="G276" s="221" t="s">
        <v>1483</v>
      </c>
      <c r="H276" s="101"/>
      <c r="I276" s="61"/>
      <c r="J276" s="61"/>
      <c r="K276" s="64"/>
      <c r="L276" s="64"/>
      <c r="M276" s="317"/>
      <c r="N276" s="317"/>
    </row>
    <row r="277" ht="15.6" spans="2:14">
      <c r="B277" s="269" t="s">
        <v>1484</v>
      </c>
      <c r="C277" s="64" t="s">
        <v>706</v>
      </c>
      <c r="D277" s="101" t="s">
        <v>1485</v>
      </c>
      <c r="E277" s="64" t="s">
        <v>671</v>
      </c>
      <c r="F277" s="64"/>
      <c r="G277" s="221" t="s">
        <v>834</v>
      </c>
      <c r="H277" s="101"/>
      <c r="I277" s="61"/>
      <c r="J277" s="61"/>
      <c r="K277" s="64"/>
      <c r="L277" s="64"/>
      <c r="M277" s="317"/>
      <c r="N277" s="317"/>
    </row>
    <row r="278" ht="15.6" spans="2:14">
      <c r="B278" s="269" t="s">
        <v>1486</v>
      </c>
      <c r="C278" s="64" t="s">
        <v>706</v>
      </c>
      <c r="D278" s="101" t="s">
        <v>1487</v>
      </c>
      <c r="E278" s="64" t="s">
        <v>671</v>
      </c>
      <c r="F278" s="64"/>
      <c r="G278" s="221" t="s">
        <v>1488</v>
      </c>
      <c r="H278" s="101"/>
      <c r="I278" s="61"/>
      <c r="J278" s="61"/>
      <c r="K278" s="64"/>
      <c r="L278" s="64"/>
      <c r="M278" s="317"/>
      <c r="N278" s="317"/>
    </row>
    <row r="279" ht="15.6" spans="2:14">
      <c r="B279" s="269" t="s">
        <v>1489</v>
      </c>
      <c r="C279" s="64" t="s">
        <v>706</v>
      </c>
      <c r="D279" s="101" t="s">
        <v>1490</v>
      </c>
      <c r="E279" s="64" t="s">
        <v>671</v>
      </c>
      <c r="F279" s="64"/>
      <c r="G279" s="221" t="s">
        <v>1491</v>
      </c>
      <c r="H279" s="101"/>
      <c r="I279" s="61"/>
      <c r="J279" s="61"/>
      <c r="K279" s="64"/>
      <c r="L279" s="64"/>
      <c r="M279" s="317"/>
      <c r="N279" s="317"/>
    </row>
    <row r="280" ht="15.6" spans="2:14">
      <c r="B280" s="269" t="s">
        <v>1492</v>
      </c>
      <c r="C280" s="64" t="s">
        <v>706</v>
      </c>
      <c r="D280" s="101" t="s">
        <v>1493</v>
      </c>
      <c r="E280" s="64" t="s">
        <v>671</v>
      </c>
      <c r="F280" s="64"/>
      <c r="G280" s="221" t="s">
        <v>1494</v>
      </c>
      <c r="H280" s="101"/>
      <c r="I280" s="61"/>
      <c r="J280" s="61"/>
      <c r="K280" s="64"/>
      <c r="L280" s="64"/>
      <c r="M280" s="317"/>
      <c r="N280" s="317"/>
    </row>
    <row r="281" ht="15.6" spans="2:14">
      <c r="B281" s="269" t="s">
        <v>1495</v>
      </c>
      <c r="C281" s="64" t="s">
        <v>706</v>
      </c>
      <c r="D281" s="101" t="s">
        <v>1496</v>
      </c>
      <c r="E281" s="64" t="s">
        <v>671</v>
      </c>
      <c r="F281" s="64"/>
      <c r="G281" s="221" t="s">
        <v>1497</v>
      </c>
      <c r="H281" s="101"/>
      <c r="I281" s="61"/>
      <c r="J281" s="61"/>
      <c r="K281" s="64"/>
      <c r="L281" s="64"/>
      <c r="M281" s="317"/>
      <c r="N281" s="317"/>
    </row>
    <row r="282" ht="15.6" spans="2:14">
      <c r="B282" s="269" t="s">
        <v>1498</v>
      </c>
      <c r="C282" s="64" t="s">
        <v>706</v>
      </c>
      <c r="D282" s="101" t="s">
        <v>1499</v>
      </c>
      <c r="E282" s="64" t="s">
        <v>671</v>
      </c>
      <c r="F282" s="64"/>
      <c r="G282" s="221" t="s">
        <v>1500</v>
      </c>
      <c r="H282" s="101"/>
      <c r="I282" s="61"/>
      <c r="J282" s="61"/>
      <c r="K282" s="64"/>
      <c r="L282" s="64"/>
      <c r="M282" s="317"/>
      <c r="N282" s="317"/>
    </row>
    <row r="283" ht="15.6" spans="2:14">
      <c r="B283" s="269" t="s">
        <v>1501</v>
      </c>
      <c r="C283" s="64" t="s">
        <v>706</v>
      </c>
      <c r="D283" s="101" t="s">
        <v>1502</v>
      </c>
      <c r="E283" s="64" t="s">
        <v>671</v>
      </c>
      <c r="F283" s="64"/>
      <c r="G283" s="221" t="s">
        <v>1503</v>
      </c>
      <c r="H283" s="101"/>
      <c r="I283" s="61"/>
      <c r="J283" s="61"/>
      <c r="K283" s="64"/>
      <c r="L283" s="64"/>
      <c r="M283" s="317"/>
      <c r="N283" s="317"/>
    </row>
    <row r="284" ht="15.6" spans="2:14">
      <c r="B284" s="258" t="s">
        <v>1504</v>
      </c>
      <c r="C284" s="267" t="s">
        <v>706</v>
      </c>
      <c r="D284" s="294" t="s">
        <v>1505</v>
      </c>
      <c r="E284" s="267" t="s">
        <v>671</v>
      </c>
      <c r="F284" s="267"/>
      <c r="G284" s="243" t="s">
        <v>1506</v>
      </c>
      <c r="H284" s="258"/>
      <c r="I284" s="267"/>
      <c r="J284" s="267"/>
      <c r="K284" s="267" t="s">
        <v>1507</v>
      </c>
      <c r="L284" s="162"/>
      <c r="M284" s="317"/>
      <c r="N284" s="317"/>
    </row>
    <row r="285" ht="15.6" spans="2:14">
      <c r="B285" s="258" t="s">
        <v>1508</v>
      </c>
      <c r="C285" s="267" t="s">
        <v>706</v>
      </c>
      <c r="D285" s="294" t="s">
        <v>1509</v>
      </c>
      <c r="E285" s="267" t="s">
        <v>671</v>
      </c>
      <c r="F285" s="267"/>
      <c r="G285" s="244" t="s">
        <v>1510</v>
      </c>
      <c r="H285" s="258"/>
      <c r="I285" s="267"/>
      <c r="J285" s="267"/>
      <c r="K285" s="267" t="s">
        <v>1507</v>
      </c>
      <c r="L285" s="162"/>
      <c r="M285" s="317"/>
      <c r="N285" s="317"/>
    </row>
    <row r="286" ht="15.6" spans="2:14">
      <c r="B286" s="258" t="s">
        <v>1511</v>
      </c>
      <c r="C286" s="267" t="s">
        <v>706</v>
      </c>
      <c r="D286" s="294" t="s">
        <v>1512</v>
      </c>
      <c r="E286" s="267" t="s">
        <v>671</v>
      </c>
      <c r="F286" s="267"/>
      <c r="G286" s="244" t="s">
        <v>1513</v>
      </c>
      <c r="H286" s="258"/>
      <c r="I286" s="267"/>
      <c r="J286" s="267"/>
      <c r="K286" s="267" t="s">
        <v>1507</v>
      </c>
      <c r="L286" s="162"/>
      <c r="M286" s="317"/>
      <c r="N286" s="317"/>
    </row>
    <row r="287" ht="15.6" spans="2:14">
      <c r="B287" s="258" t="s">
        <v>1514</v>
      </c>
      <c r="C287" s="267" t="s">
        <v>706</v>
      </c>
      <c r="D287" s="294" t="s">
        <v>1515</v>
      </c>
      <c r="E287" s="267" t="s">
        <v>671</v>
      </c>
      <c r="F287" s="267"/>
      <c r="G287" s="244" t="s">
        <v>1516</v>
      </c>
      <c r="H287" s="258"/>
      <c r="I287" s="267"/>
      <c r="J287" s="267"/>
      <c r="K287" s="267" t="s">
        <v>1507</v>
      </c>
      <c r="L287" s="162"/>
      <c r="M287" s="317"/>
      <c r="N287" s="317"/>
    </row>
    <row r="288" ht="15.6" spans="2:14">
      <c r="B288" s="258" t="s">
        <v>1517</v>
      </c>
      <c r="C288" s="267" t="s">
        <v>706</v>
      </c>
      <c r="D288" s="294" t="s">
        <v>1518</v>
      </c>
      <c r="E288" s="267" t="s">
        <v>671</v>
      </c>
      <c r="F288" s="267"/>
      <c r="G288" s="258" t="s">
        <v>1519</v>
      </c>
      <c r="H288" s="258"/>
      <c r="I288" s="267"/>
      <c r="J288" s="267"/>
      <c r="K288" s="267" t="s">
        <v>1507</v>
      </c>
      <c r="L288" s="162"/>
      <c r="M288" s="317"/>
      <c r="N288" s="317"/>
    </row>
    <row r="289" ht="15.6" spans="2:14">
      <c r="B289" s="258" t="s">
        <v>1520</v>
      </c>
      <c r="C289" s="267" t="s">
        <v>706</v>
      </c>
      <c r="D289" s="294" t="s">
        <v>1521</v>
      </c>
      <c r="E289" s="267" t="s">
        <v>671</v>
      </c>
      <c r="F289" s="267"/>
      <c r="G289" s="258" t="s">
        <v>1522</v>
      </c>
      <c r="H289" s="258"/>
      <c r="I289" s="267"/>
      <c r="J289" s="267"/>
      <c r="K289" s="267" t="s">
        <v>1507</v>
      </c>
      <c r="L289" s="162"/>
      <c r="M289" s="317"/>
      <c r="N289" s="317"/>
    </row>
    <row r="290" s="192" customFormat="1" ht="15.6" spans="1:14">
      <c r="A290" s="191"/>
      <c r="B290" s="200" t="s">
        <v>1523</v>
      </c>
      <c r="C290" s="200" t="s">
        <v>229</v>
      </c>
      <c r="D290" s="200" t="s">
        <v>1524</v>
      </c>
      <c r="E290" s="234" t="s">
        <v>422</v>
      </c>
      <c r="F290" s="241"/>
      <c r="G290" s="200" t="s">
        <v>1525</v>
      </c>
      <c r="H290" s="241"/>
      <c r="I290" s="241"/>
      <c r="J290" s="241"/>
      <c r="K290" s="241"/>
      <c r="L290" s="241"/>
      <c r="M290" s="319"/>
      <c r="N290" s="319"/>
    </row>
    <row r="291" ht="15.6" spans="2:14">
      <c r="B291" s="295" t="s">
        <v>1526</v>
      </c>
      <c r="C291" s="296" t="s">
        <v>706</v>
      </c>
      <c r="D291" s="295" t="s">
        <v>1527</v>
      </c>
      <c r="E291" s="296" t="s">
        <v>671</v>
      </c>
      <c r="F291" s="296"/>
      <c r="G291" s="295" t="s">
        <v>831</v>
      </c>
      <c r="H291" s="295"/>
      <c r="I291" s="296"/>
      <c r="J291" s="296"/>
      <c r="K291" s="296" t="s">
        <v>1507</v>
      </c>
      <c r="L291" s="298"/>
      <c r="M291" s="317"/>
      <c r="N291" s="317"/>
    </row>
    <row r="292" ht="15.6" spans="2:14">
      <c r="B292" s="269" t="s">
        <v>1528</v>
      </c>
      <c r="C292" s="64" t="s">
        <v>691</v>
      </c>
      <c r="D292" s="101" t="s">
        <v>1529</v>
      </c>
      <c r="E292" s="64"/>
      <c r="F292" s="64"/>
      <c r="G292" s="101"/>
      <c r="H292" s="101"/>
      <c r="I292" s="61"/>
      <c r="J292" s="61"/>
      <c r="K292" s="64"/>
      <c r="L292" s="64"/>
      <c r="M292" s="317"/>
      <c r="N292" s="317"/>
    </row>
    <row r="293" ht="15.6" spans="2:14">
      <c r="B293" s="269" t="s">
        <v>1530</v>
      </c>
      <c r="C293" s="64" t="s">
        <v>687</v>
      </c>
      <c r="D293" s="101" t="s">
        <v>1531</v>
      </c>
      <c r="E293" s="64"/>
      <c r="F293" s="64"/>
      <c r="G293" s="101"/>
      <c r="H293" s="101"/>
      <c r="I293" s="61"/>
      <c r="J293" s="61"/>
      <c r="K293" s="64"/>
      <c r="L293" s="64"/>
      <c r="M293" s="317"/>
      <c r="N293" s="317"/>
    </row>
    <row r="294" ht="15.6" spans="2:14">
      <c r="B294" s="269" t="s">
        <v>1532</v>
      </c>
      <c r="C294" s="64" t="s">
        <v>691</v>
      </c>
      <c r="D294" s="101" t="s">
        <v>1533</v>
      </c>
      <c r="E294" s="64"/>
      <c r="F294" s="64"/>
      <c r="G294" s="101"/>
      <c r="H294" s="101"/>
      <c r="I294" s="61"/>
      <c r="J294" s="61"/>
      <c r="K294" s="64"/>
      <c r="L294" s="64"/>
      <c r="M294" s="317"/>
      <c r="N294" s="317"/>
    </row>
    <row r="295" s="209" customFormat="1" ht="15.6" spans="2:14">
      <c r="B295" s="229" t="s">
        <v>696</v>
      </c>
      <c r="C295" s="229" t="s">
        <v>170</v>
      </c>
      <c r="D295" s="229" t="s">
        <v>1534</v>
      </c>
      <c r="E295" s="84"/>
      <c r="F295" s="201"/>
      <c r="G295" s="201"/>
      <c r="H295" s="201"/>
      <c r="I295" s="201"/>
      <c r="J295" s="201"/>
      <c r="K295" s="229"/>
      <c r="L295" s="229"/>
      <c r="M295" s="191"/>
      <c r="N295" s="191"/>
    </row>
    <row r="296" ht="15.6" spans="13:14">
      <c r="M296" s="317"/>
      <c r="N296" s="317"/>
    </row>
    <row r="297" ht="15.6" spans="13:14">
      <c r="M297" s="317"/>
      <c r="N297" s="317"/>
    </row>
    <row r="298" ht="15.6" spans="13:14">
      <c r="M298" s="317"/>
      <c r="N298" s="317"/>
    </row>
    <row r="299" ht="15.6" spans="13:14">
      <c r="M299" s="317"/>
      <c r="N299" s="317"/>
    </row>
    <row r="300" ht="15.6" spans="13:14">
      <c r="M300" s="317"/>
      <c r="N300" s="317"/>
    </row>
    <row r="301" ht="15.6" spans="13:14">
      <c r="M301" s="317"/>
      <c r="N301" s="317"/>
    </row>
    <row r="302" ht="15.6" spans="13:14">
      <c r="M302" s="317"/>
      <c r="N302" s="317"/>
    </row>
  </sheetData>
  <autoFilter xmlns:etc="http://www.wps.cn/officeDocument/2017/etCustomData" ref="B11:N295" etc:filterBottomFollowUsedRange="0">
    <extLst/>
  </autoFilter>
  <mergeCells count="3">
    <mergeCell ref="B2:H2"/>
    <mergeCell ref="B6:H6"/>
    <mergeCell ref="B10:L10"/>
  </mergeCells>
  <hyperlinks>
    <hyperlink ref="B1" location="导航!B1" display="=HYPERLINK(&quot;#&quot;&amp;&quot;导航应用&quot;&amp;&quot;!B1&quot;,&quot;返回&quot;)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247"/>
  <sheetViews>
    <sheetView workbookViewId="0">
      <selection activeCell="J27" sqref="J27"/>
    </sheetView>
  </sheetViews>
  <sheetFormatPr defaultColWidth="9" defaultRowHeight="15.6"/>
  <cols>
    <col min="1" max="1" width="8.37962962962963" style="191" customWidth="1"/>
    <col min="2" max="2" width="26.3796296296296" style="191" customWidth="1"/>
    <col min="3" max="3" width="20.3796296296296" style="191" customWidth="1"/>
    <col min="4" max="4" width="40.8796296296296" style="191" customWidth="1"/>
    <col min="5" max="5" width="16.25" style="191" customWidth="1"/>
    <col min="6" max="6" width="21.1296296296296" style="209" customWidth="1"/>
    <col min="7" max="7" width="33.1296296296296" style="209" customWidth="1"/>
    <col min="8" max="8" width="12" style="191" customWidth="1"/>
    <col min="9" max="9" width="10.8796296296296" style="191" customWidth="1"/>
    <col min="10" max="10" width="12.5" style="191" customWidth="1"/>
    <col min="11" max="11" width="14.1296296296296" style="191" customWidth="1"/>
    <col min="12" max="12" width="12.3796296296296" style="192" customWidth="1"/>
    <col min="13" max="16384" width="9" style="192"/>
  </cols>
  <sheetData>
    <row r="1" spans="2:8">
      <c r="B1" s="193" t="str">
        <f>HYPERLINK("#"&amp;"导航应用"&amp;"!B1","返回")</f>
        <v>返回</v>
      </c>
      <c r="C1" s="194"/>
      <c r="D1" s="194"/>
      <c r="E1" s="194"/>
      <c r="F1" s="271"/>
      <c r="G1" s="271"/>
      <c r="H1" s="194"/>
    </row>
    <row r="2" ht="17.4" spans="2:8">
      <c r="B2" s="195" t="s">
        <v>132</v>
      </c>
      <c r="C2" s="195"/>
      <c r="D2" s="195"/>
      <c r="E2" s="195"/>
      <c r="F2" s="195"/>
      <c r="G2" s="195"/>
      <c r="H2" s="195"/>
    </row>
    <row r="3" spans="2:8">
      <c r="B3" s="196" t="s">
        <v>133</v>
      </c>
      <c r="C3" s="196" t="s">
        <v>134</v>
      </c>
      <c r="D3" s="196" t="s">
        <v>135</v>
      </c>
      <c r="E3" s="196" t="s">
        <v>136</v>
      </c>
      <c r="F3" s="273" t="s">
        <v>137</v>
      </c>
      <c r="G3" s="273" t="s">
        <v>138</v>
      </c>
      <c r="H3" s="196" t="s">
        <v>139</v>
      </c>
    </row>
    <row r="4" spans="2:14">
      <c r="B4" s="84"/>
      <c r="C4" s="246" t="s">
        <v>63</v>
      </c>
      <c r="D4" s="228" t="s">
        <v>1535</v>
      </c>
      <c r="E4" s="84" t="s">
        <v>661</v>
      </c>
      <c r="F4" s="283" t="s">
        <v>141</v>
      </c>
      <c r="G4" s="247"/>
      <c r="H4" s="231"/>
      <c r="N4" s="191"/>
    </row>
    <row r="5" spans="2:8">
      <c r="B5" s="198"/>
      <c r="C5" s="198"/>
      <c r="D5" s="198"/>
      <c r="E5" s="198"/>
      <c r="F5" s="271"/>
      <c r="G5" s="271"/>
      <c r="H5" s="198"/>
    </row>
    <row r="6" ht="17.4" spans="2:8">
      <c r="B6" s="195" t="s">
        <v>142</v>
      </c>
      <c r="C6" s="195"/>
      <c r="D6" s="195"/>
      <c r="E6" s="195"/>
      <c r="F6" s="195"/>
      <c r="G6" s="195"/>
      <c r="H6" s="195"/>
    </row>
    <row r="7" spans="2:8">
      <c r="B7" s="199" t="s">
        <v>143</v>
      </c>
      <c r="C7" s="199" t="s">
        <v>144</v>
      </c>
      <c r="D7" s="199" t="s">
        <v>145</v>
      </c>
      <c r="E7" s="199" t="s">
        <v>146</v>
      </c>
      <c r="F7" s="275" t="s">
        <v>147</v>
      </c>
      <c r="G7" s="275" t="s">
        <v>13</v>
      </c>
      <c r="H7" s="199" t="s">
        <v>148</v>
      </c>
    </row>
    <row r="8" spans="2:8">
      <c r="B8" s="84"/>
      <c r="C8" s="200" t="s">
        <v>670</v>
      </c>
      <c r="D8" s="206"/>
      <c r="E8" s="84" t="s">
        <v>422</v>
      </c>
      <c r="F8" s="201"/>
      <c r="G8" s="276"/>
      <c r="H8" s="16" t="s">
        <v>21</v>
      </c>
    </row>
    <row r="9" spans="2:8">
      <c r="B9" s="84"/>
      <c r="C9" s="206"/>
      <c r="D9" s="206"/>
      <c r="E9" s="84" t="s">
        <v>1536</v>
      </c>
      <c r="F9" s="201"/>
      <c r="G9" s="276"/>
      <c r="H9" s="16"/>
    </row>
    <row r="11" spans="2:12">
      <c r="B11" s="284" t="s">
        <v>158</v>
      </c>
      <c r="C11" s="284"/>
      <c r="D11" s="284"/>
      <c r="E11" s="284"/>
      <c r="F11" s="284"/>
      <c r="G11" s="284"/>
      <c r="H11" s="284"/>
      <c r="I11" s="284"/>
      <c r="J11" s="284"/>
      <c r="K11" s="284"/>
      <c r="L11" s="284"/>
    </row>
    <row r="12" ht="24" spans="2:12">
      <c r="B12" s="204" t="s">
        <v>159</v>
      </c>
      <c r="C12" s="204" t="s">
        <v>160</v>
      </c>
      <c r="D12" s="204" t="s">
        <v>161</v>
      </c>
      <c r="E12" s="204" t="s">
        <v>162</v>
      </c>
      <c r="F12" s="278" t="s">
        <v>163</v>
      </c>
      <c r="G12" s="278" t="s">
        <v>164</v>
      </c>
      <c r="H12" s="204" t="s">
        <v>165</v>
      </c>
      <c r="I12" s="204" t="s">
        <v>13</v>
      </c>
      <c r="J12" s="204" t="s">
        <v>166</v>
      </c>
      <c r="K12" s="204" t="s">
        <v>167</v>
      </c>
      <c r="L12" s="204" t="s">
        <v>168</v>
      </c>
    </row>
    <row r="13" spans="1:12">
      <c r="A13" s="285"/>
      <c r="B13" s="228" t="s">
        <v>174</v>
      </c>
      <c r="C13" s="228" t="s">
        <v>1537</v>
      </c>
      <c r="D13" s="228" t="s">
        <v>1538</v>
      </c>
      <c r="E13" s="84" t="s">
        <v>422</v>
      </c>
      <c r="F13" s="201"/>
      <c r="G13" s="200" t="s">
        <v>177</v>
      </c>
      <c r="H13" s="84"/>
      <c r="I13" s="84"/>
      <c r="J13" s="228" t="s">
        <v>173</v>
      </c>
      <c r="K13" s="228" t="s">
        <v>749</v>
      </c>
      <c r="L13" s="228" t="s">
        <v>749</v>
      </c>
    </row>
    <row r="14" spans="1:12">
      <c r="A14" s="285"/>
      <c r="B14" s="228" t="s">
        <v>1539</v>
      </c>
      <c r="C14" s="228" t="s">
        <v>170</v>
      </c>
      <c r="D14" s="228" t="s">
        <v>1540</v>
      </c>
      <c r="E14" s="84" t="s">
        <v>422</v>
      </c>
      <c r="F14" s="201"/>
      <c r="G14" s="200" t="s">
        <v>693</v>
      </c>
      <c r="H14" s="84"/>
      <c r="I14" s="84"/>
      <c r="J14" s="228" t="s">
        <v>173</v>
      </c>
      <c r="K14" s="228" t="s">
        <v>749</v>
      </c>
      <c r="L14" s="228" t="s">
        <v>1541</v>
      </c>
    </row>
    <row r="15" spans="1:12">
      <c r="A15" s="285"/>
      <c r="B15" s="228" t="s">
        <v>661</v>
      </c>
      <c r="C15" s="228" t="s">
        <v>170</v>
      </c>
      <c r="D15" s="228" t="s">
        <v>1542</v>
      </c>
      <c r="E15" s="84" t="s">
        <v>422</v>
      </c>
      <c r="F15" s="201"/>
      <c r="G15" s="200" t="s">
        <v>696</v>
      </c>
      <c r="H15" s="84"/>
      <c r="I15" s="84"/>
      <c r="J15" s="228" t="s">
        <v>173</v>
      </c>
      <c r="K15" s="228" t="s">
        <v>749</v>
      </c>
      <c r="L15" s="228" t="s">
        <v>1543</v>
      </c>
    </row>
    <row r="16" spans="1:12">
      <c r="A16" s="285"/>
      <c r="B16" s="228" t="s">
        <v>169</v>
      </c>
      <c r="C16" s="228" t="s">
        <v>170</v>
      </c>
      <c r="D16" s="228" t="s">
        <v>525</v>
      </c>
      <c r="E16" s="84" t="s">
        <v>422</v>
      </c>
      <c r="F16" s="201"/>
      <c r="G16" s="200" t="s">
        <v>169</v>
      </c>
      <c r="H16" s="84"/>
      <c r="I16" s="84"/>
      <c r="J16" s="228" t="s">
        <v>173</v>
      </c>
      <c r="K16" s="228" t="s">
        <v>749</v>
      </c>
      <c r="L16" s="228" t="s">
        <v>1544</v>
      </c>
    </row>
    <row r="17" spans="1:12">
      <c r="A17" s="285"/>
      <c r="B17" s="228" t="s">
        <v>178</v>
      </c>
      <c r="C17" s="228" t="s">
        <v>170</v>
      </c>
      <c r="D17" s="228" t="s">
        <v>1545</v>
      </c>
      <c r="E17" s="84" t="s">
        <v>422</v>
      </c>
      <c r="F17" s="201"/>
      <c r="G17" s="200"/>
      <c r="H17" s="84"/>
      <c r="I17" s="84"/>
      <c r="J17" s="228" t="s">
        <v>173</v>
      </c>
      <c r="K17" s="228" t="s">
        <v>749</v>
      </c>
      <c r="L17" s="228" t="s">
        <v>1546</v>
      </c>
    </row>
    <row r="18" spans="1:12">
      <c r="A18" s="285"/>
      <c r="B18" s="228" t="s">
        <v>180</v>
      </c>
      <c r="C18" s="228" t="s">
        <v>170</v>
      </c>
      <c r="D18" s="228" t="s">
        <v>1547</v>
      </c>
      <c r="E18" s="84" t="s">
        <v>422</v>
      </c>
      <c r="F18" s="201"/>
      <c r="G18" s="200"/>
      <c r="H18" s="84"/>
      <c r="I18" s="84"/>
      <c r="J18" s="228" t="s">
        <v>173</v>
      </c>
      <c r="K18" s="228" t="s">
        <v>749</v>
      </c>
      <c r="L18" s="228" t="s">
        <v>1548</v>
      </c>
    </row>
    <row r="19" spans="1:12">
      <c r="A19" s="285"/>
      <c r="B19" s="228" t="s">
        <v>725</v>
      </c>
      <c r="C19" s="228" t="s">
        <v>175</v>
      </c>
      <c r="D19" s="228" t="s">
        <v>725</v>
      </c>
      <c r="E19" s="84" t="s">
        <v>422</v>
      </c>
      <c r="F19" s="201"/>
      <c r="G19" s="200" t="s">
        <v>725</v>
      </c>
      <c r="H19" s="84"/>
      <c r="I19" s="84"/>
      <c r="J19" s="228" t="s">
        <v>173</v>
      </c>
      <c r="K19" s="228" t="s">
        <v>749</v>
      </c>
      <c r="L19" s="228" t="s">
        <v>749</v>
      </c>
    </row>
    <row r="20" spans="1:12">
      <c r="A20" s="285"/>
      <c r="B20" s="228" t="s">
        <v>728</v>
      </c>
      <c r="C20" s="228" t="s">
        <v>175</v>
      </c>
      <c r="D20" s="228" t="s">
        <v>728</v>
      </c>
      <c r="E20" s="84" t="s">
        <v>422</v>
      </c>
      <c r="F20" s="201"/>
      <c r="G20" s="200" t="s">
        <v>728</v>
      </c>
      <c r="H20" s="84"/>
      <c r="I20" s="84"/>
      <c r="J20" s="228" t="s">
        <v>173</v>
      </c>
      <c r="K20" s="228" t="s">
        <v>749</v>
      </c>
      <c r="L20" s="228" t="s">
        <v>749</v>
      </c>
    </row>
    <row r="21" spans="1:12">
      <c r="A21" s="285"/>
      <c r="B21" s="228" t="s">
        <v>735</v>
      </c>
      <c r="C21" s="228" t="s">
        <v>175</v>
      </c>
      <c r="D21" s="228" t="s">
        <v>1549</v>
      </c>
      <c r="E21" s="84" t="s">
        <v>422</v>
      </c>
      <c r="F21" s="201"/>
      <c r="G21" s="200" t="s">
        <v>735</v>
      </c>
      <c r="H21" s="84"/>
      <c r="I21" s="84"/>
      <c r="J21" s="228" t="s">
        <v>173</v>
      </c>
      <c r="K21" s="228" t="s">
        <v>749</v>
      </c>
      <c r="L21" s="228" t="s">
        <v>749</v>
      </c>
    </row>
    <row r="22" spans="1:12">
      <c r="A22" s="285"/>
      <c r="B22" s="228" t="s">
        <v>1550</v>
      </c>
      <c r="C22" s="228" t="s">
        <v>175</v>
      </c>
      <c r="D22" s="228" t="s">
        <v>1551</v>
      </c>
      <c r="E22" s="84" t="s">
        <v>422</v>
      </c>
      <c r="F22" s="201"/>
      <c r="G22" s="200" t="s">
        <v>1550</v>
      </c>
      <c r="H22" s="84"/>
      <c r="I22" s="84"/>
      <c r="J22" s="228" t="s">
        <v>173</v>
      </c>
      <c r="K22" s="228" t="s">
        <v>749</v>
      </c>
      <c r="L22" s="228" t="s">
        <v>1552</v>
      </c>
    </row>
    <row r="23" spans="1:12">
      <c r="A23" s="285"/>
      <c r="B23" s="228" t="s">
        <v>207</v>
      </c>
      <c r="C23" s="228" t="s">
        <v>170</v>
      </c>
      <c r="D23" s="228" t="s">
        <v>1553</v>
      </c>
      <c r="E23" s="84" t="s">
        <v>422</v>
      </c>
      <c r="F23" s="201"/>
      <c r="G23" s="200" t="s">
        <v>207</v>
      </c>
      <c r="H23" s="84"/>
      <c r="I23" s="84"/>
      <c r="J23" s="228" t="s">
        <v>173</v>
      </c>
      <c r="K23" s="228" t="s">
        <v>749</v>
      </c>
      <c r="L23" s="228" t="s">
        <v>1554</v>
      </c>
    </row>
    <row r="24" spans="1:12">
      <c r="A24" s="285"/>
      <c r="B24" s="228" t="s">
        <v>1555</v>
      </c>
      <c r="C24" s="228" t="s">
        <v>229</v>
      </c>
      <c r="D24" s="228" t="s">
        <v>1556</v>
      </c>
      <c r="E24" s="84" t="s">
        <v>422</v>
      </c>
      <c r="F24" s="201" t="s">
        <v>708</v>
      </c>
      <c r="G24" s="221" t="s">
        <v>709</v>
      </c>
      <c r="H24" s="84"/>
      <c r="I24" s="84"/>
      <c r="J24" s="228" t="s">
        <v>173</v>
      </c>
      <c r="K24" s="228" t="s">
        <v>749</v>
      </c>
      <c r="L24" s="228" t="s">
        <v>1557</v>
      </c>
    </row>
    <row r="25" spans="1:12">
      <c r="A25" s="285"/>
      <c r="B25" s="228" t="s">
        <v>1558</v>
      </c>
      <c r="C25" s="228" t="s">
        <v>229</v>
      </c>
      <c r="D25" s="228" t="s">
        <v>1559</v>
      </c>
      <c r="E25" s="84" t="s">
        <v>422</v>
      </c>
      <c r="F25" s="201" t="s">
        <v>708</v>
      </c>
      <c r="G25" s="221" t="s">
        <v>712</v>
      </c>
      <c r="H25" s="84"/>
      <c r="I25" s="84"/>
      <c r="J25" s="228" t="s">
        <v>173</v>
      </c>
      <c r="K25" s="228" t="s">
        <v>749</v>
      </c>
      <c r="L25" s="228" t="s">
        <v>1560</v>
      </c>
    </row>
    <row r="26" spans="1:12">
      <c r="A26" s="285"/>
      <c r="B26" s="228" t="s">
        <v>211</v>
      </c>
      <c r="C26" s="228" t="s">
        <v>175</v>
      </c>
      <c r="D26" s="228" t="s">
        <v>211</v>
      </c>
      <c r="E26" s="84" t="s">
        <v>422</v>
      </c>
      <c r="F26" s="201" t="s">
        <v>708</v>
      </c>
      <c r="G26" s="221" t="s">
        <v>714</v>
      </c>
      <c r="H26" s="84"/>
      <c r="I26" s="84"/>
      <c r="J26" s="228" t="s">
        <v>173</v>
      </c>
      <c r="K26" s="228" t="s">
        <v>749</v>
      </c>
      <c r="L26" s="228" t="s">
        <v>749</v>
      </c>
    </row>
    <row r="27" spans="1:12">
      <c r="A27" s="285"/>
      <c r="B27" s="228" t="s">
        <v>191</v>
      </c>
      <c r="C27" s="228" t="s">
        <v>175</v>
      </c>
      <c r="D27" s="228" t="s">
        <v>1561</v>
      </c>
      <c r="E27" s="84" t="s">
        <v>422</v>
      </c>
      <c r="F27" s="201"/>
      <c r="G27" s="241" t="s">
        <v>191</v>
      </c>
      <c r="H27" s="84"/>
      <c r="I27" s="84"/>
      <c r="J27" s="228" t="s">
        <v>173</v>
      </c>
      <c r="K27" s="228" t="s">
        <v>749</v>
      </c>
      <c r="L27" s="228" t="s">
        <v>749</v>
      </c>
    </row>
    <row r="28" spans="1:12">
      <c r="A28" s="285"/>
      <c r="B28" s="228" t="s">
        <v>188</v>
      </c>
      <c r="C28" s="228" t="s">
        <v>175</v>
      </c>
      <c r="D28" s="228" t="s">
        <v>1562</v>
      </c>
      <c r="E28" s="84" t="s">
        <v>422</v>
      </c>
      <c r="F28" s="201"/>
      <c r="G28" s="241" t="s">
        <v>188</v>
      </c>
      <c r="H28" s="84"/>
      <c r="I28" s="84"/>
      <c r="J28" s="228" t="s">
        <v>173</v>
      </c>
      <c r="K28" s="228" t="s">
        <v>749</v>
      </c>
      <c r="L28" s="228" t="s">
        <v>1563</v>
      </c>
    </row>
    <row r="29" spans="1:12">
      <c r="A29" s="285"/>
      <c r="B29" s="228" t="s">
        <v>244</v>
      </c>
      <c r="C29" s="228" t="s">
        <v>175</v>
      </c>
      <c r="D29" s="228" t="s">
        <v>244</v>
      </c>
      <c r="E29" s="84" t="s">
        <v>422</v>
      </c>
      <c r="F29" s="201"/>
      <c r="G29" s="241" t="s">
        <v>244</v>
      </c>
      <c r="H29" s="84"/>
      <c r="I29" s="84"/>
      <c r="J29" s="228" t="s">
        <v>173</v>
      </c>
      <c r="K29" s="228" t="s">
        <v>749</v>
      </c>
      <c r="L29" s="228" t="s">
        <v>749</v>
      </c>
    </row>
    <row r="30" spans="1:12">
      <c r="A30" s="285"/>
      <c r="B30" s="228" t="s">
        <v>1564</v>
      </c>
      <c r="C30" s="228" t="s">
        <v>170</v>
      </c>
      <c r="D30" s="228" t="s">
        <v>1565</v>
      </c>
      <c r="E30" s="84" t="s">
        <v>422</v>
      </c>
      <c r="F30" s="201"/>
      <c r="G30" s="200" t="s">
        <v>723</v>
      </c>
      <c r="H30" s="84"/>
      <c r="I30" s="84"/>
      <c r="J30" s="228" t="s">
        <v>173</v>
      </c>
      <c r="K30" s="228" t="s">
        <v>749</v>
      </c>
      <c r="L30" s="228" t="s">
        <v>1566</v>
      </c>
    </row>
    <row r="31" spans="1:12">
      <c r="A31" s="285"/>
      <c r="B31" s="228" t="s">
        <v>1567</v>
      </c>
      <c r="C31" s="228" t="s">
        <v>175</v>
      </c>
      <c r="D31" s="228" t="s">
        <v>1568</v>
      </c>
      <c r="E31" s="84" t="s">
        <v>422</v>
      </c>
      <c r="F31" s="201"/>
      <c r="G31" s="200" t="s">
        <v>1567</v>
      </c>
      <c r="H31" s="84"/>
      <c r="I31" s="84"/>
      <c r="J31" s="228" t="s">
        <v>173</v>
      </c>
      <c r="K31" s="228" t="s">
        <v>749</v>
      </c>
      <c r="L31" s="228" t="s">
        <v>1569</v>
      </c>
    </row>
    <row r="32" spans="1:12">
      <c r="A32" s="285"/>
      <c r="B32" s="228" t="s">
        <v>246</v>
      </c>
      <c r="C32" s="228" t="s">
        <v>175</v>
      </c>
      <c r="D32" s="228" t="s">
        <v>1570</v>
      </c>
      <c r="E32" s="84" t="s">
        <v>422</v>
      </c>
      <c r="F32" s="201"/>
      <c r="G32" s="200" t="s">
        <v>246</v>
      </c>
      <c r="H32" s="84"/>
      <c r="I32" s="84"/>
      <c r="J32" s="228" t="s">
        <v>173</v>
      </c>
      <c r="K32" s="228" t="s">
        <v>749</v>
      </c>
      <c r="L32" s="228" t="s">
        <v>1571</v>
      </c>
    </row>
    <row r="33" spans="2:12">
      <c r="B33" s="229" t="s">
        <v>746</v>
      </c>
      <c r="C33" s="229" t="s">
        <v>175</v>
      </c>
      <c r="D33" s="229" t="s">
        <v>747</v>
      </c>
      <c r="E33" s="201" t="s">
        <v>422</v>
      </c>
      <c r="F33" s="201"/>
      <c r="G33" s="200" t="s">
        <v>748</v>
      </c>
      <c r="H33" s="229"/>
      <c r="I33" s="229"/>
      <c r="J33" s="228" t="s">
        <v>173</v>
      </c>
      <c r="K33" s="229" t="s">
        <v>749</v>
      </c>
      <c r="L33" s="229" t="s">
        <v>750</v>
      </c>
    </row>
    <row r="34" s="75" customFormat="1" spans="2:14">
      <c r="B34" s="269" t="s">
        <v>751</v>
      </c>
      <c r="C34" s="64" t="s">
        <v>687</v>
      </c>
      <c r="D34" s="101" t="s">
        <v>752</v>
      </c>
      <c r="E34" s="64" t="s">
        <v>671</v>
      </c>
      <c r="F34" s="64"/>
      <c r="G34" s="221" t="s">
        <v>753</v>
      </c>
      <c r="H34" s="101"/>
      <c r="I34" s="61"/>
      <c r="J34" s="61" t="s">
        <v>173</v>
      </c>
      <c r="K34" s="64"/>
      <c r="L34" s="64"/>
      <c r="M34" s="100"/>
      <c r="N34" s="100"/>
    </row>
    <row r="35" spans="1:12">
      <c r="A35" s="285"/>
      <c r="B35" s="228" t="s">
        <v>1572</v>
      </c>
      <c r="C35" s="228" t="s">
        <v>229</v>
      </c>
      <c r="D35" s="228" t="s">
        <v>1573</v>
      </c>
      <c r="E35" s="84" t="s">
        <v>422</v>
      </c>
      <c r="F35" s="201"/>
      <c r="G35" s="200" t="s">
        <v>1574</v>
      </c>
      <c r="H35" s="84"/>
      <c r="I35" s="84"/>
      <c r="J35" s="228" t="s">
        <v>222</v>
      </c>
      <c r="K35" s="228" t="s">
        <v>1575</v>
      </c>
      <c r="L35" s="228" t="s">
        <v>1576</v>
      </c>
    </row>
    <row r="36" spans="1:12">
      <c r="A36" s="285"/>
      <c r="B36" s="228" t="s">
        <v>1577</v>
      </c>
      <c r="C36" s="228" t="s">
        <v>229</v>
      </c>
      <c r="D36" s="228" t="s">
        <v>1578</v>
      </c>
      <c r="E36" s="84" t="s">
        <v>422</v>
      </c>
      <c r="F36" s="201"/>
      <c r="G36" s="200" t="s">
        <v>1579</v>
      </c>
      <c r="H36" s="84"/>
      <c r="I36" s="229"/>
      <c r="J36" s="228" t="s">
        <v>222</v>
      </c>
      <c r="K36" s="228" t="s">
        <v>615</v>
      </c>
      <c r="L36" s="228" t="s">
        <v>1580</v>
      </c>
    </row>
    <row r="37" spans="1:12">
      <c r="A37" s="285"/>
      <c r="B37" s="228" t="s">
        <v>1581</v>
      </c>
      <c r="C37" s="228" t="s">
        <v>229</v>
      </c>
      <c r="D37" s="228" t="s">
        <v>1582</v>
      </c>
      <c r="E37" s="84" t="s">
        <v>422</v>
      </c>
      <c r="F37" s="201"/>
      <c r="G37" s="200" t="s">
        <v>1583</v>
      </c>
      <c r="H37" s="84"/>
      <c r="I37" s="229"/>
      <c r="J37" s="228" t="s">
        <v>222</v>
      </c>
      <c r="K37" s="228" t="s">
        <v>615</v>
      </c>
      <c r="L37" s="228" t="s">
        <v>1584</v>
      </c>
    </row>
    <row r="38" spans="1:12">
      <c r="A38" s="285"/>
      <c r="B38" s="228" t="s">
        <v>1585</v>
      </c>
      <c r="C38" s="228" t="s">
        <v>229</v>
      </c>
      <c r="D38" s="228" t="s">
        <v>1586</v>
      </c>
      <c r="E38" s="84" t="s">
        <v>422</v>
      </c>
      <c r="F38" s="201"/>
      <c r="G38" s="200" t="s">
        <v>1587</v>
      </c>
      <c r="H38" s="84"/>
      <c r="I38" s="229"/>
      <c r="J38" s="228" t="s">
        <v>222</v>
      </c>
      <c r="K38" s="228" t="s">
        <v>1588</v>
      </c>
      <c r="L38" s="228" t="s">
        <v>1589</v>
      </c>
    </row>
    <row r="39" spans="1:12">
      <c r="A39" s="285"/>
      <c r="B39" s="228" t="s">
        <v>1590</v>
      </c>
      <c r="C39" s="228" t="s">
        <v>229</v>
      </c>
      <c r="D39" s="228" t="s">
        <v>1591</v>
      </c>
      <c r="E39" s="84" t="s">
        <v>422</v>
      </c>
      <c r="F39" s="201"/>
      <c r="G39" s="200" t="s">
        <v>1592</v>
      </c>
      <c r="H39" s="84"/>
      <c r="I39" s="229"/>
      <c r="J39" s="228" t="s">
        <v>222</v>
      </c>
      <c r="K39" s="228" t="s">
        <v>1588</v>
      </c>
      <c r="L39" s="228" t="s">
        <v>1593</v>
      </c>
    </row>
    <row r="40" spans="1:12">
      <c r="A40" s="285"/>
      <c r="B40" s="228" t="s">
        <v>1594</v>
      </c>
      <c r="C40" s="228" t="s">
        <v>229</v>
      </c>
      <c r="D40" s="228" t="s">
        <v>1595</v>
      </c>
      <c r="E40" s="84" t="s">
        <v>422</v>
      </c>
      <c r="F40" s="201"/>
      <c r="G40" s="200" t="s">
        <v>1596</v>
      </c>
      <c r="H40" s="84"/>
      <c r="I40" s="229"/>
      <c r="J40" s="228" t="s">
        <v>222</v>
      </c>
      <c r="K40" s="228" t="s">
        <v>231</v>
      </c>
      <c r="L40" s="228" t="s">
        <v>1597</v>
      </c>
    </row>
    <row r="41" spans="1:12">
      <c r="A41" s="285"/>
      <c r="B41" s="228" t="s">
        <v>1598</v>
      </c>
      <c r="C41" s="228" t="s">
        <v>229</v>
      </c>
      <c r="D41" s="228" t="s">
        <v>1599</v>
      </c>
      <c r="E41" s="84" t="s">
        <v>422</v>
      </c>
      <c r="F41" s="201"/>
      <c r="G41" s="200" t="s">
        <v>1600</v>
      </c>
      <c r="H41" s="84"/>
      <c r="I41" s="229"/>
      <c r="J41" s="228" t="s">
        <v>222</v>
      </c>
      <c r="K41" s="228" t="s">
        <v>231</v>
      </c>
      <c r="L41" s="228" t="s">
        <v>1601</v>
      </c>
    </row>
    <row r="42" spans="1:12">
      <c r="A42" s="285"/>
      <c r="B42" s="228" t="s">
        <v>1602</v>
      </c>
      <c r="C42" s="228" t="s">
        <v>229</v>
      </c>
      <c r="D42" s="228" t="s">
        <v>1603</v>
      </c>
      <c r="E42" s="84" t="s">
        <v>422</v>
      </c>
      <c r="F42" s="201"/>
      <c r="G42" s="200" t="s">
        <v>1604</v>
      </c>
      <c r="H42" s="84"/>
      <c r="I42" s="229"/>
      <c r="J42" s="228" t="s">
        <v>222</v>
      </c>
      <c r="K42" s="228" t="s">
        <v>1575</v>
      </c>
      <c r="L42" s="228" t="s">
        <v>1605</v>
      </c>
    </row>
    <row r="43" spans="1:12">
      <c r="A43" s="285"/>
      <c r="B43" s="228" t="s">
        <v>1606</v>
      </c>
      <c r="C43" s="228" t="s">
        <v>229</v>
      </c>
      <c r="D43" s="228" t="s">
        <v>1607</v>
      </c>
      <c r="E43" s="84" t="s">
        <v>422</v>
      </c>
      <c r="F43" s="201"/>
      <c r="G43" s="200" t="s">
        <v>1608</v>
      </c>
      <c r="H43" s="84"/>
      <c r="I43" s="229"/>
      <c r="J43" s="228" t="s">
        <v>222</v>
      </c>
      <c r="K43" s="228" t="s">
        <v>231</v>
      </c>
      <c r="L43" s="228" t="s">
        <v>1609</v>
      </c>
    </row>
    <row r="44" spans="1:12">
      <c r="A44" s="285"/>
      <c r="B44" s="228" t="s">
        <v>1610</v>
      </c>
      <c r="C44" s="228" t="s">
        <v>229</v>
      </c>
      <c r="D44" s="228" t="s">
        <v>1611</v>
      </c>
      <c r="E44" s="84" t="s">
        <v>422</v>
      </c>
      <c r="F44" s="201"/>
      <c r="G44" s="200" t="s">
        <v>1612</v>
      </c>
      <c r="H44" s="84"/>
      <c r="I44" s="229"/>
      <c r="J44" s="228" t="s">
        <v>222</v>
      </c>
      <c r="K44" s="228" t="s">
        <v>231</v>
      </c>
      <c r="L44" s="228" t="s">
        <v>1613</v>
      </c>
    </row>
    <row r="45" spans="1:12">
      <c r="A45" s="285"/>
      <c r="B45" s="228" t="s">
        <v>1614</v>
      </c>
      <c r="C45" s="228" t="s">
        <v>229</v>
      </c>
      <c r="D45" s="228" t="s">
        <v>1615</v>
      </c>
      <c r="E45" s="84" t="s">
        <v>422</v>
      </c>
      <c r="F45" s="201"/>
      <c r="G45" s="200" t="s">
        <v>1616</v>
      </c>
      <c r="H45" s="84"/>
      <c r="I45" s="229"/>
      <c r="J45" s="228" t="s">
        <v>222</v>
      </c>
      <c r="K45" s="228" t="s">
        <v>231</v>
      </c>
      <c r="L45" s="228" t="s">
        <v>1617</v>
      </c>
    </row>
    <row r="46" spans="1:12">
      <c r="A46" s="285"/>
      <c r="B46" s="228" t="s">
        <v>1618</v>
      </c>
      <c r="C46" s="228" t="s">
        <v>229</v>
      </c>
      <c r="D46" s="228" t="s">
        <v>1619</v>
      </c>
      <c r="E46" s="84" t="s">
        <v>422</v>
      </c>
      <c r="F46" s="201"/>
      <c r="G46" s="200" t="s">
        <v>1620</v>
      </c>
      <c r="H46" s="84"/>
      <c r="I46" s="229"/>
      <c r="J46" s="228" t="s">
        <v>222</v>
      </c>
      <c r="K46" s="228" t="s">
        <v>231</v>
      </c>
      <c r="L46" s="228" t="s">
        <v>1621</v>
      </c>
    </row>
    <row r="47" spans="1:12">
      <c r="A47" s="285"/>
      <c r="B47" s="228" t="s">
        <v>1622</v>
      </c>
      <c r="C47" s="228" t="s">
        <v>229</v>
      </c>
      <c r="D47" s="228" t="s">
        <v>1623</v>
      </c>
      <c r="E47" s="84" t="s">
        <v>422</v>
      </c>
      <c r="F47" s="201"/>
      <c r="G47" s="200" t="s">
        <v>1624</v>
      </c>
      <c r="H47" s="84"/>
      <c r="I47" s="229"/>
      <c r="J47" s="228" t="s">
        <v>222</v>
      </c>
      <c r="K47" s="228" t="s">
        <v>1625</v>
      </c>
      <c r="L47" s="228" t="s">
        <v>1626</v>
      </c>
    </row>
    <row r="48" spans="1:12">
      <c r="A48" s="285"/>
      <c r="B48" s="228" t="s">
        <v>1627</v>
      </c>
      <c r="C48" s="228" t="s">
        <v>229</v>
      </c>
      <c r="D48" s="228" t="s">
        <v>1628</v>
      </c>
      <c r="E48" s="84" t="s">
        <v>422</v>
      </c>
      <c r="F48" s="201"/>
      <c r="G48" s="200" t="s">
        <v>1629</v>
      </c>
      <c r="H48" s="84"/>
      <c r="I48" s="229"/>
      <c r="J48" s="228" t="s">
        <v>222</v>
      </c>
      <c r="K48" s="228" t="s">
        <v>1625</v>
      </c>
      <c r="L48" s="228" t="s">
        <v>1630</v>
      </c>
    </row>
    <row r="49" spans="1:12">
      <c r="A49" s="285"/>
      <c r="B49" s="228" t="s">
        <v>1631</v>
      </c>
      <c r="C49" s="228" t="s">
        <v>229</v>
      </c>
      <c r="D49" s="228" t="s">
        <v>1632</v>
      </c>
      <c r="E49" s="84" t="s">
        <v>422</v>
      </c>
      <c r="F49" s="201"/>
      <c r="G49" s="200" t="s">
        <v>1633</v>
      </c>
      <c r="H49" s="84"/>
      <c r="I49" s="229"/>
      <c r="J49" s="228" t="s">
        <v>222</v>
      </c>
      <c r="K49" s="228" t="s">
        <v>231</v>
      </c>
      <c r="L49" s="228" t="s">
        <v>1634</v>
      </c>
    </row>
    <row r="50" spans="1:12">
      <c r="A50" s="285"/>
      <c r="B50" s="228" t="s">
        <v>1635</v>
      </c>
      <c r="C50" s="228" t="s">
        <v>229</v>
      </c>
      <c r="D50" s="228" t="s">
        <v>1636</v>
      </c>
      <c r="E50" s="84" t="s">
        <v>422</v>
      </c>
      <c r="F50" s="201"/>
      <c r="G50" s="200" t="s">
        <v>1637</v>
      </c>
      <c r="H50" s="84"/>
      <c r="I50" s="229"/>
      <c r="J50" s="228" t="s">
        <v>222</v>
      </c>
      <c r="K50" s="228" t="s">
        <v>231</v>
      </c>
      <c r="L50" s="228" t="s">
        <v>1638</v>
      </c>
    </row>
    <row r="51" spans="1:12">
      <c r="A51" s="285"/>
      <c r="B51" s="228" t="s">
        <v>1639</v>
      </c>
      <c r="C51" s="228" t="s">
        <v>229</v>
      </c>
      <c r="D51" s="228" t="s">
        <v>1640</v>
      </c>
      <c r="E51" s="84" t="s">
        <v>422</v>
      </c>
      <c r="F51" s="201"/>
      <c r="G51" s="200" t="s">
        <v>1641</v>
      </c>
      <c r="H51" s="84"/>
      <c r="I51" s="229"/>
      <c r="J51" s="228" t="s">
        <v>222</v>
      </c>
      <c r="K51" s="228" t="s">
        <v>1625</v>
      </c>
      <c r="L51" s="228" t="s">
        <v>1642</v>
      </c>
    </row>
    <row r="52" spans="1:12">
      <c r="A52" s="285"/>
      <c r="B52" s="228" t="s">
        <v>1643</v>
      </c>
      <c r="C52" s="228" t="s">
        <v>229</v>
      </c>
      <c r="D52" s="228" t="s">
        <v>1644</v>
      </c>
      <c r="E52" s="84" t="s">
        <v>422</v>
      </c>
      <c r="F52" s="201"/>
      <c r="G52" s="200" t="s">
        <v>1645</v>
      </c>
      <c r="H52" s="84"/>
      <c r="I52" s="229"/>
      <c r="J52" s="228" t="s">
        <v>222</v>
      </c>
      <c r="K52" s="228" t="s">
        <v>1625</v>
      </c>
      <c r="L52" s="228" t="s">
        <v>1646</v>
      </c>
    </row>
    <row r="53" spans="1:12">
      <c r="A53" s="285"/>
      <c r="B53" s="228" t="s">
        <v>1647</v>
      </c>
      <c r="C53" s="228" t="s">
        <v>229</v>
      </c>
      <c r="D53" s="228" t="s">
        <v>1648</v>
      </c>
      <c r="E53" s="84" t="s">
        <v>422</v>
      </c>
      <c r="F53" s="201"/>
      <c r="G53" s="200" t="s">
        <v>1649</v>
      </c>
      <c r="H53" s="84"/>
      <c r="I53" s="229"/>
      <c r="J53" s="228" t="s">
        <v>222</v>
      </c>
      <c r="K53" s="228" t="s">
        <v>1575</v>
      </c>
      <c r="L53" s="228" t="s">
        <v>1650</v>
      </c>
    </row>
    <row r="54" spans="1:12">
      <c r="A54" s="285"/>
      <c r="B54" s="228" t="s">
        <v>1651</v>
      </c>
      <c r="C54" s="228" t="s">
        <v>229</v>
      </c>
      <c r="D54" s="228" t="s">
        <v>1652</v>
      </c>
      <c r="E54" s="84" t="s">
        <v>422</v>
      </c>
      <c r="F54" s="201"/>
      <c r="G54" s="200" t="s">
        <v>1653</v>
      </c>
      <c r="H54" s="84"/>
      <c r="I54" s="229"/>
      <c r="J54" s="228" t="s">
        <v>222</v>
      </c>
      <c r="K54" s="228" t="s">
        <v>1575</v>
      </c>
      <c r="L54" s="228" t="s">
        <v>1654</v>
      </c>
    </row>
    <row r="55" spans="1:12">
      <c r="A55" s="285"/>
      <c r="B55" s="228" t="s">
        <v>1655</v>
      </c>
      <c r="C55" s="228" t="s">
        <v>229</v>
      </c>
      <c r="D55" s="228" t="s">
        <v>1656</v>
      </c>
      <c r="E55" s="84" t="s">
        <v>422</v>
      </c>
      <c r="F55" s="201"/>
      <c r="G55" s="200" t="s">
        <v>1657</v>
      </c>
      <c r="H55" s="84"/>
      <c r="I55" s="229"/>
      <c r="J55" s="228" t="s">
        <v>222</v>
      </c>
      <c r="K55" s="228" t="s">
        <v>1575</v>
      </c>
      <c r="L55" s="228" t="s">
        <v>1658</v>
      </c>
    </row>
    <row r="56" spans="1:12">
      <c r="A56" s="285"/>
      <c r="B56" s="228" t="s">
        <v>1659</v>
      </c>
      <c r="C56" s="228" t="s">
        <v>229</v>
      </c>
      <c r="D56" s="228" t="s">
        <v>1660</v>
      </c>
      <c r="E56" s="84" t="s">
        <v>422</v>
      </c>
      <c r="F56" s="201"/>
      <c r="G56" s="200" t="s">
        <v>1661</v>
      </c>
      <c r="H56" s="84"/>
      <c r="I56" s="229"/>
      <c r="J56" s="228" t="s">
        <v>222</v>
      </c>
      <c r="K56" s="228" t="s">
        <v>1575</v>
      </c>
      <c r="L56" s="228" t="s">
        <v>1662</v>
      </c>
    </row>
    <row r="57" spans="1:12">
      <c r="A57" s="285"/>
      <c r="B57" s="228" t="s">
        <v>1663</v>
      </c>
      <c r="C57" s="228" t="s">
        <v>229</v>
      </c>
      <c r="D57" s="228" t="s">
        <v>1664</v>
      </c>
      <c r="E57" s="84" t="s">
        <v>422</v>
      </c>
      <c r="F57" s="201"/>
      <c r="G57" s="200" t="s">
        <v>1665</v>
      </c>
      <c r="H57" s="84"/>
      <c r="I57" s="229"/>
      <c r="J57" s="228" t="s">
        <v>222</v>
      </c>
      <c r="K57" s="228" t="s">
        <v>1575</v>
      </c>
      <c r="L57" s="228" t="s">
        <v>1666</v>
      </c>
    </row>
    <row r="58" spans="1:12">
      <c r="A58" s="285"/>
      <c r="B58" s="228" t="s">
        <v>1667</v>
      </c>
      <c r="C58" s="228" t="s">
        <v>229</v>
      </c>
      <c r="D58" s="228" t="s">
        <v>1668</v>
      </c>
      <c r="E58" s="84" t="s">
        <v>422</v>
      </c>
      <c r="F58" s="201"/>
      <c r="G58" s="200" t="s">
        <v>1669</v>
      </c>
      <c r="H58" s="84"/>
      <c r="I58" s="229"/>
      <c r="J58" s="228" t="s">
        <v>222</v>
      </c>
      <c r="K58" s="228" t="s">
        <v>1625</v>
      </c>
      <c r="L58" s="228" t="s">
        <v>1670</v>
      </c>
    </row>
    <row r="59" spans="1:12">
      <c r="A59" s="285"/>
      <c r="B59" s="228" t="s">
        <v>1671</v>
      </c>
      <c r="C59" s="228" t="s">
        <v>229</v>
      </c>
      <c r="D59" s="228" t="s">
        <v>1672</v>
      </c>
      <c r="E59" s="84" t="s">
        <v>422</v>
      </c>
      <c r="F59" s="201"/>
      <c r="G59" s="200" t="s">
        <v>1673</v>
      </c>
      <c r="H59" s="84"/>
      <c r="I59" s="229"/>
      <c r="J59" s="228" t="s">
        <v>222</v>
      </c>
      <c r="K59" s="228" t="s">
        <v>1575</v>
      </c>
      <c r="L59" s="228" t="s">
        <v>1674</v>
      </c>
    </row>
    <row r="60" spans="1:12">
      <c r="A60" s="285"/>
      <c r="B60" s="228" t="s">
        <v>1675</v>
      </c>
      <c r="C60" s="228" t="s">
        <v>229</v>
      </c>
      <c r="D60" s="228" t="s">
        <v>1676</v>
      </c>
      <c r="E60" s="84" t="s">
        <v>422</v>
      </c>
      <c r="F60" s="201"/>
      <c r="G60" s="200" t="s">
        <v>1677</v>
      </c>
      <c r="H60" s="84"/>
      <c r="I60" s="229"/>
      <c r="J60" s="228" t="s">
        <v>222</v>
      </c>
      <c r="K60" s="228" t="s">
        <v>1575</v>
      </c>
      <c r="L60" s="228" t="s">
        <v>1678</v>
      </c>
    </row>
    <row r="61" spans="1:12">
      <c r="A61" s="285"/>
      <c r="B61" s="228" t="s">
        <v>1679</v>
      </c>
      <c r="C61" s="228" t="s">
        <v>229</v>
      </c>
      <c r="D61" s="228" t="s">
        <v>1680</v>
      </c>
      <c r="E61" s="84" t="s">
        <v>422</v>
      </c>
      <c r="F61" s="201"/>
      <c r="G61" s="200" t="s">
        <v>1681</v>
      </c>
      <c r="H61" s="84"/>
      <c r="I61" s="229"/>
      <c r="J61" s="228" t="s">
        <v>222</v>
      </c>
      <c r="K61" s="228" t="s">
        <v>1575</v>
      </c>
      <c r="L61" s="228" t="s">
        <v>1682</v>
      </c>
    </row>
    <row r="62" spans="1:12">
      <c r="A62" s="285"/>
      <c r="B62" s="228" t="s">
        <v>1683</v>
      </c>
      <c r="C62" s="228" t="s">
        <v>229</v>
      </c>
      <c r="D62" s="228" t="s">
        <v>1684</v>
      </c>
      <c r="E62" s="84" t="s">
        <v>422</v>
      </c>
      <c r="F62" s="201"/>
      <c r="G62" s="200" t="s">
        <v>1685</v>
      </c>
      <c r="H62" s="84"/>
      <c r="I62" s="229"/>
      <c r="J62" s="228" t="s">
        <v>222</v>
      </c>
      <c r="K62" s="228" t="s">
        <v>1575</v>
      </c>
      <c r="L62" s="228" t="s">
        <v>1686</v>
      </c>
    </row>
    <row r="63" spans="1:12">
      <c r="A63" s="285"/>
      <c r="B63" s="228" t="s">
        <v>1687</v>
      </c>
      <c r="C63" s="228" t="s">
        <v>229</v>
      </c>
      <c r="D63" s="228" t="s">
        <v>1688</v>
      </c>
      <c r="E63" s="84" t="s">
        <v>422</v>
      </c>
      <c r="F63" s="201"/>
      <c r="G63" s="200" t="s">
        <v>1689</v>
      </c>
      <c r="H63" s="84"/>
      <c r="I63" s="229"/>
      <c r="J63" s="228" t="s">
        <v>222</v>
      </c>
      <c r="K63" s="228" t="s">
        <v>1575</v>
      </c>
      <c r="L63" s="228" t="s">
        <v>1690</v>
      </c>
    </row>
    <row r="64" spans="1:12">
      <c r="A64" s="285"/>
      <c r="B64" s="228" t="s">
        <v>1691</v>
      </c>
      <c r="C64" s="228" t="s">
        <v>229</v>
      </c>
      <c r="D64" s="228" t="s">
        <v>1692</v>
      </c>
      <c r="E64" s="84" t="s">
        <v>422</v>
      </c>
      <c r="F64" s="201"/>
      <c r="G64" s="200" t="s">
        <v>1693</v>
      </c>
      <c r="H64" s="84"/>
      <c r="I64" s="229"/>
      <c r="J64" s="228" t="s">
        <v>222</v>
      </c>
      <c r="K64" s="228" t="s">
        <v>1575</v>
      </c>
      <c r="L64" s="228" t="s">
        <v>1694</v>
      </c>
    </row>
    <row r="65" spans="1:12">
      <c r="A65" s="285"/>
      <c r="B65" s="228" t="s">
        <v>1695</v>
      </c>
      <c r="C65" s="228" t="s">
        <v>229</v>
      </c>
      <c r="D65" s="228" t="s">
        <v>1696</v>
      </c>
      <c r="E65" s="84" t="s">
        <v>422</v>
      </c>
      <c r="F65" s="201"/>
      <c r="G65" s="200" t="s">
        <v>1693</v>
      </c>
      <c r="H65" s="84"/>
      <c r="I65" s="229"/>
      <c r="J65" s="228" t="s">
        <v>222</v>
      </c>
      <c r="K65" s="228" t="s">
        <v>1575</v>
      </c>
      <c r="L65" s="228" t="s">
        <v>1697</v>
      </c>
    </row>
    <row r="66" spans="1:12">
      <c r="A66" s="285"/>
      <c r="B66" s="228" t="s">
        <v>1698</v>
      </c>
      <c r="C66" s="228" t="s">
        <v>229</v>
      </c>
      <c r="D66" s="228" t="s">
        <v>1699</v>
      </c>
      <c r="E66" s="84" t="s">
        <v>422</v>
      </c>
      <c r="F66" s="201"/>
      <c r="G66" s="200" t="s">
        <v>1693</v>
      </c>
      <c r="H66" s="84"/>
      <c r="I66" s="229"/>
      <c r="J66" s="228" t="s">
        <v>222</v>
      </c>
      <c r="K66" s="228" t="s">
        <v>1575</v>
      </c>
      <c r="L66" s="228" t="s">
        <v>1700</v>
      </c>
    </row>
    <row r="67" spans="1:12">
      <c r="A67" s="285"/>
      <c r="B67" s="228" t="s">
        <v>1701</v>
      </c>
      <c r="C67" s="228" t="s">
        <v>229</v>
      </c>
      <c r="D67" s="228" t="s">
        <v>1702</v>
      </c>
      <c r="E67" s="84" t="s">
        <v>422</v>
      </c>
      <c r="F67" s="201"/>
      <c r="G67" s="200" t="s">
        <v>1693</v>
      </c>
      <c r="H67" s="84"/>
      <c r="I67" s="229"/>
      <c r="J67" s="228" t="s">
        <v>222</v>
      </c>
      <c r="K67" s="228" t="s">
        <v>1575</v>
      </c>
      <c r="L67" s="228" t="s">
        <v>1703</v>
      </c>
    </row>
    <row r="68" spans="1:12">
      <c r="A68" s="285"/>
      <c r="B68" s="228" t="s">
        <v>1704</v>
      </c>
      <c r="C68" s="228" t="s">
        <v>229</v>
      </c>
      <c r="D68" s="228" t="s">
        <v>1705</v>
      </c>
      <c r="E68" s="84" t="s">
        <v>422</v>
      </c>
      <c r="F68" s="201"/>
      <c r="G68" s="200" t="s">
        <v>1693</v>
      </c>
      <c r="H68" s="84"/>
      <c r="I68" s="229"/>
      <c r="J68" s="228" t="s">
        <v>222</v>
      </c>
      <c r="K68" s="228" t="s">
        <v>1575</v>
      </c>
      <c r="L68" s="228" t="s">
        <v>1706</v>
      </c>
    </row>
    <row r="69" spans="1:12">
      <c r="A69" s="285"/>
      <c r="B69" s="228" t="s">
        <v>1707</v>
      </c>
      <c r="C69" s="228" t="s">
        <v>229</v>
      </c>
      <c r="D69" s="228" t="s">
        <v>1708</v>
      </c>
      <c r="E69" s="84" t="s">
        <v>422</v>
      </c>
      <c r="F69" s="201"/>
      <c r="G69" s="200" t="s">
        <v>1693</v>
      </c>
      <c r="H69" s="84"/>
      <c r="I69" s="229"/>
      <c r="J69" s="228" t="s">
        <v>222</v>
      </c>
      <c r="K69" s="228" t="s">
        <v>1575</v>
      </c>
      <c r="L69" s="228" t="s">
        <v>1706</v>
      </c>
    </row>
    <row r="70" spans="1:12">
      <c r="A70" s="285"/>
      <c r="B70" s="228" t="s">
        <v>1709</v>
      </c>
      <c r="C70" s="228" t="s">
        <v>229</v>
      </c>
      <c r="D70" s="228" t="s">
        <v>1710</v>
      </c>
      <c r="E70" s="84" t="s">
        <v>422</v>
      </c>
      <c r="F70" s="201"/>
      <c r="G70" s="200" t="s">
        <v>1693</v>
      </c>
      <c r="H70" s="84"/>
      <c r="I70" s="229"/>
      <c r="J70" s="228" t="s">
        <v>222</v>
      </c>
      <c r="K70" s="228" t="s">
        <v>1575</v>
      </c>
      <c r="L70" s="228" t="s">
        <v>1711</v>
      </c>
    </row>
    <row r="71" spans="1:12">
      <c r="A71" s="285"/>
      <c r="B71" s="228" t="s">
        <v>1712</v>
      </c>
      <c r="C71" s="228" t="s">
        <v>229</v>
      </c>
      <c r="D71" s="228" t="s">
        <v>1713</v>
      </c>
      <c r="E71" s="84" t="s">
        <v>422</v>
      </c>
      <c r="F71" s="201"/>
      <c r="G71" s="200" t="s">
        <v>1693</v>
      </c>
      <c r="H71" s="84"/>
      <c r="I71" s="229"/>
      <c r="J71" s="228" t="s">
        <v>222</v>
      </c>
      <c r="K71" s="228" t="s">
        <v>1575</v>
      </c>
      <c r="L71" s="228" t="s">
        <v>1714</v>
      </c>
    </row>
    <row r="72" spans="1:12">
      <c r="A72" s="285"/>
      <c r="B72" s="228" t="s">
        <v>1715</v>
      </c>
      <c r="C72" s="228" t="s">
        <v>229</v>
      </c>
      <c r="D72" s="228" t="s">
        <v>1716</v>
      </c>
      <c r="E72" s="84" t="s">
        <v>422</v>
      </c>
      <c r="F72" s="201"/>
      <c r="G72" s="200" t="s">
        <v>1717</v>
      </c>
      <c r="H72" s="84"/>
      <c r="I72" s="229"/>
      <c r="J72" s="228" t="s">
        <v>222</v>
      </c>
      <c r="K72" s="228" t="s">
        <v>1718</v>
      </c>
      <c r="L72" s="228" t="s">
        <v>1719</v>
      </c>
    </row>
    <row r="73" spans="1:12">
      <c r="A73" s="285"/>
      <c r="B73" s="228" t="s">
        <v>1720</v>
      </c>
      <c r="C73" s="228" t="s">
        <v>229</v>
      </c>
      <c r="D73" s="228" t="s">
        <v>1721</v>
      </c>
      <c r="E73" s="84" t="s">
        <v>422</v>
      </c>
      <c r="F73" s="201"/>
      <c r="G73" s="200" t="s">
        <v>1722</v>
      </c>
      <c r="H73" s="84"/>
      <c r="I73" s="229"/>
      <c r="J73" s="228" t="s">
        <v>222</v>
      </c>
      <c r="K73" s="228" t="s">
        <v>1718</v>
      </c>
      <c r="L73" s="228" t="s">
        <v>1554</v>
      </c>
    </row>
    <row r="74" spans="1:12">
      <c r="A74" s="285"/>
      <c r="B74" s="228" t="s">
        <v>1723</v>
      </c>
      <c r="C74" s="228" t="s">
        <v>229</v>
      </c>
      <c r="D74" s="228" t="s">
        <v>1724</v>
      </c>
      <c r="E74" s="84" t="s">
        <v>422</v>
      </c>
      <c r="F74" s="201"/>
      <c r="G74" s="200" t="s">
        <v>1725</v>
      </c>
      <c r="H74" s="84"/>
      <c r="I74" s="229"/>
      <c r="J74" s="228" t="s">
        <v>222</v>
      </c>
      <c r="K74" s="228" t="s">
        <v>1718</v>
      </c>
      <c r="L74" s="228" t="s">
        <v>1719</v>
      </c>
    </row>
    <row r="75" spans="1:12">
      <c r="A75" s="285"/>
      <c r="B75" s="228" t="s">
        <v>1726</v>
      </c>
      <c r="C75" s="228" t="s">
        <v>229</v>
      </c>
      <c r="D75" s="228" t="s">
        <v>1727</v>
      </c>
      <c r="E75" s="84" t="s">
        <v>422</v>
      </c>
      <c r="F75" s="201"/>
      <c r="G75" s="200" t="s">
        <v>1728</v>
      </c>
      <c r="H75" s="84"/>
      <c r="I75" s="229"/>
      <c r="J75" s="228" t="s">
        <v>222</v>
      </c>
      <c r="K75" s="228" t="s">
        <v>1718</v>
      </c>
      <c r="L75" s="228" t="s">
        <v>1729</v>
      </c>
    </row>
    <row r="76" spans="1:12">
      <c r="A76" s="285"/>
      <c r="B76" s="228" t="s">
        <v>1730</v>
      </c>
      <c r="C76" s="228" t="s">
        <v>229</v>
      </c>
      <c r="D76" s="228" t="s">
        <v>1731</v>
      </c>
      <c r="E76" s="84" t="s">
        <v>422</v>
      </c>
      <c r="F76" s="201"/>
      <c r="G76" s="200" t="s">
        <v>1732</v>
      </c>
      <c r="H76" s="84"/>
      <c r="I76" s="229"/>
      <c r="J76" s="228" t="s">
        <v>222</v>
      </c>
      <c r="K76" s="228" t="s">
        <v>1718</v>
      </c>
      <c r="L76" s="228" t="s">
        <v>1733</v>
      </c>
    </row>
    <row r="77" spans="1:12">
      <c r="A77" s="285"/>
      <c r="B77" s="228" t="s">
        <v>1734</v>
      </c>
      <c r="C77" s="228" t="s">
        <v>229</v>
      </c>
      <c r="D77" s="228" t="s">
        <v>1735</v>
      </c>
      <c r="E77" s="84" t="s">
        <v>422</v>
      </c>
      <c r="F77" s="201"/>
      <c r="G77" s="200" t="s">
        <v>1736</v>
      </c>
      <c r="H77" s="84"/>
      <c r="I77" s="229"/>
      <c r="J77" s="228" t="s">
        <v>222</v>
      </c>
      <c r="K77" s="228" t="s">
        <v>1718</v>
      </c>
      <c r="L77" s="228" t="s">
        <v>1737</v>
      </c>
    </row>
    <row r="78" spans="1:12">
      <c r="A78" s="285"/>
      <c r="B78" s="228" t="s">
        <v>1738</v>
      </c>
      <c r="C78" s="228" t="s">
        <v>229</v>
      </c>
      <c r="D78" s="228" t="s">
        <v>1739</v>
      </c>
      <c r="E78" s="84" t="s">
        <v>422</v>
      </c>
      <c r="F78" s="201"/>
      <c r="G78" s="200" t="s">
        <v>807</v>
      </c>
      <c r="H78" s="84"/>
      <c r="I78" s="229"/>
      <c r="J78" s="228" t="s">
        <v>222</v>
      </c>
      <c r="K78" s="228" t="s">
        <v>231</v>
      </c>
      <c r="L78" s="228" t="s">
        <v>1740</v>
      </c>
    </row>
    <row r="79" spans="1:12">
      <c r="A79" s="285"/>
      <c r="B79" s="228" t="s">
        <v>1741</v>
      </c>
      <c r="C79" s="228" t="s">
        <v>229</v>
      </c>
      <c r="D79" s="228" t="s">
        <v>1742</v>
      </c>
      <c r="E79" s="84" t="s">
        <v>422</v>
      </c>
      <c r="F79" s="201"/>
      <c r="G79" s="200" t="s">
        <v>810</v>
      </c>
      <c r="H79" s="84"/>
      <c r="I79" s="229"/>
      <c r="J79" s="228" t="s">
        <v>222</v>
      </c>
      <c r="K79" s="228" t="s">
        <v>231</v>
      </c>
      <c r="L79" s="228" t="s">
        <v>1743</v>
      </c>
    </row>
    <row r="80" spans="1:12">
      <c r="A80" s="285"/>
      <c r="B80" s="228" t="s">
        <v>1744</v>
      </c>
      <c r="C80" s="228" t="s">
        <v>229</v>
      </c>
      <c r="D80" s="228" t="s">
        <v>1745</v>
      </c>
      <c r="E80" s="84" t="s">
        <v>422</v>
      </c>
      <c r="F80" s="201"/>
      <c r="G80" s="200" t="s">
        <v>813</v>
      </c>
      <c r="H80" s="84"/>
      <c r="I80" s="229"/>
      <c r="J80" s="228" t="s">
        <v>222</v>
      </c>
      <c r="K80" s="228" t="s">
        <v>231</v>
      </c>
      <c r="L80" s="228" t="s">
        <v>1746</v>
      </c>
    </row>
    <row r="81" spans="1:12">
      <c r="A81" s="285"/>
      <c r="B81" s="228" t="s">
        <v>1747</v>
      </c>
      <c r="C81" s="228" t="s">
        <v>229</v>
      </c>
      <c r="D81" s="228" t="s">
        <v>1748</v>
      </c>
      <c r="E81" s="84" t="s">
        <v>422</v>
      </c>
      <c r="F81" s="201"/>
      <c r="G81" s="200" t="s">
        <v>1749</v>
      </c>
      <c r="H81" s="84"/>
      <c r="I81" s="229"/>
      <c r="J81" s="228" t="s">
        <v>222</v>
      </c>
      <c r="K81" s="228" t="s">
        <v>231</v>
      </c>
      <c r="L81" s="228" t="s">
        <v>1750</v>
      </c>
    </row>
    <row r="82" spans="1:12">
      <c r="A82" s="285"/>
      <c r="B82" s="228" t="s">
        <v>1751</v>
      </c>
      <c r="C82" s="228" t="s">
        <v>229</v>
      </c>
      <c r="D82" s="228" t="s">
        <v>1752</v>
      </c>
      <c r="E82" s="84" t="s">
        <v>422</v>
      </c>
      <c r="F82" s="201"/>
      <c r="G82" s="200" t="s">
        <v>1753</v>
      </c>
      <c r="H82" s="84"/>
      <c r="I82" s="229"/>
      <c r="J82" s="228" t="s">
        <v>222</v>
      </c>
      <c r="K82" s="228" t="s">
        <v>1754</v>
      </c>
      <c r="L82" s="228" t="s">
        <v>1755</v>
      </c>
    </row>
    <row r="83" spans="1:12">
      <c r="A83" s="285"/>
      <c r="B83" s="228" t="s">
        <v>1756</v>
      </c>
      <c r="C83" s="228" t="s">
        <v>229</v>
      </c>
      <c r="D83" s="228" t="s">
        <v>1757</v>
      </c>
      <c r="E83" s="84" t="s">
        <v>422</v>
      </c>
      <c r="F83" s="201"/>
      <c r="G83" s="200" t="s">
        <v>1758</v>
      </c>
      <c r="H83" s="84"/>
      <c r="I83" s="229"/>
      <c r="J83" s="228" t="s">
        <v>222</v>
      </c>
      <c r="K83" s="228" t="s">
        <v>231</v>
      </c>
      <c r="L83" s="228" t="s">
        <v>1759</v>
      </c>
    </row>
    <row r="84" spans="1:12">
      <c r="A84" s="285"/>
      <c r="B84" s="228" t="s">
        <v>1760</v>
      </c>
      <c r="C84" s="228" t="s">
        <v>229</v>
      </c>
      <c r="D84" s="228" t="s">
        <v>1761</v>
      </c>
      <c r="E84" s="84" t="s">
        <v>422</v>
      </c>
      <c r="F84" s="201"/>
      <c r="G84" s="200" t="s">
        <v>1762</v>
      </c>
      <c r="H84" s="84"/>
      <c r="I84" s="229"/>
      <c r="J84" s="228" t="s">
        <v>222</v>
      </c>
      <c r="K84" s="228" t="s">
        <v>231</v>
      </c>
      <c r="L84" s="228" t="s">
        <v>1763</v>
      </c>
    </row>
    <row r="85" spans="1:12">
      <c r="A85" s="285"/>
      <c r="B85" s="228" t="s">
        <v>1764</v>
      </c>
      <c r="C85" s="228" t="s">
        <v>229</v>
      </c>
      <c r="D85" s="228" t="s">
        <v>1765</v>
      </c>
      <c r="E85" s="84" t="s">
        <v>422</v>
      </c>
      <c r="F85" s="201"/>
      <c r="G85" s="200" t="s">
        <v>1766</v>
      </c>
      <c r="H85" s="84"/>
      <c r="I85" s="229"/>
      <c r="J85" s="228" t="s">
        <v>222</v>
      </c>
      <c r="K85" s="228" t="s">
        <v>231</v>
      </c>
      <c r="L85" s="228" t="s">
        <v>1767</v>
      </c>
    </row>
    <row r="86" spans="1:12">
      <c r="A86" s="285"/>
      <c r="B86" s="228" t="s">
        <v>1768</v>
      </c>
      <c r="C86" s="228" t="s">
        <v>229</v>
      </c>
      <c r="D86" s="228" t="s">
        <v>1769</v>
      </c>
      <c r="E86" s="84" t="s">
        <v>422</v>
      </c>
      <c r="F86" s="201"/>
      <c r="G86" s="200" t="s">
        <v>1770</v>
      </c>
      <c r="H86" s="84"/>
      <c r="I86" s="229"/>
      <c r="J86" s="228" t="s">
        <v>222</v>
      </c>
      <c r="K86" s="228" t="s">
        <v>231</v>
      </c>
      <c r="L86" s="228" t="s">
        <v>1771</v>
      </c>
    </row>
    <row r="87" spans="1:12">
      <c r="A87" s="285"/>
      <c r="B87" s="228" t="s">
        <v>1772</v>
      </c>
      <c r="C87" s="228" t="s">
        <v>229</v>
      </c>
      <c r="D87" s="228" t="s">
        <v>1773</v>
      </c>
      <c r="E87" s="84" t="s">
        <v>422</v>
      </c>
      <c r="F87" s="201"/>
      <c r="G87" s="200" t="s">
        <v>1774</v>
      </c>
      <c r="H87" s="84"/>
      <c r="I87" s="229"/>
      <c r="J87" s="228" t="s">
        <v>222</v>
      </c>
      <c r="K87" s="228" t="s">
        <v>231</v>
      </c>
      <c r="L87" s="228" t="s">
        <v>1775</v>
      </c>
    </row>
    <row r="88" spans="1:12">
      <c r="A88" s="285"/>
      <c r="B88" s="228" t="s">
        <v>1776</v>
      </c>
      <c r="C88" s="228" t="s">
        <v>229</v>
      </c>
      <c r="D88" s="228" t="s">
        <v>1777</v>
      </c>
      <c r="E88" s="84" t="s">
        <v>422</v>
      </c>
      <c r="F88" s="201"/>
      <c r="G88" s="200" t="s">
        <v>1778</v>
      </c>
      <c r="H88" s="84"/>
      <c r="I88" s="229"/>
      <c r="J88" s="228" t="s">
        <v>222</v>
      </c>
      <c r="K88" s="228" t="s">
        <v>231</v>
      </c>
      <c r="L88" s="228" t="s">
        <v>1779</v>
      </c>
    </row>
    <row r="89" spans="1:12">
      <c r="A89" s="285"/>
      <c r="B89" s="228" t="s">
        <v>1780</v>
      </c>
      <c r="C89" s="228" t="s">
        <v>229</v>
      </c>
      <c r="D89" s="228" t="s">
        <v>1781</v>
      </c>
      <c r="E89" s="84" t="s">
        <v>422</v>
      </c>
      <c r="F89" s="201"/>
      <c r="G89" s="200" t="s">
        <v>1782</v>
      </c>
      <c r="H89" s="84"/>
      <c r="I89" s="229"/>
      <c r="J89" s="228" t="s">
        <v>222</v>
      </c>
      <c r="K89" s="228" t="s">
        <v>231</v>
      </c>
      <c r="L89" s="228" t="s">
        <v>1783</v>
      </c>
    </row>
    <row r="90" spans="1:12">
      <c r="A90" s="285"/>
      <c r="B90" s="228" t="s">
        <v>1784</v>
      </c>
      <c r="C90" s="228" t="s">
        <v>229</v>
      </c>
      <c r="D90" s="228" t="s">
        <v>1785</v>
      </c>
      <c r="E90" s="84" t="s">
        <v>422</v>
      </c>
      <c r="F90" s="201"/>
      <c r="G90" s="200" t="s">
        <v>1786</v>
      </c>
      <c r="H90" s="84"/>
      <c r="I90" s="229"/>
      <c r="J90" s="228" t="s">
        <v>222</v>
      </c>
      <c r="K90" s="228" t="s">
        <v>231</v>
      </c>
      <c r="L90" s="228" t="s">
        <v>1787</v>
      </c>
    </row>
    <row r="91" spans="1:12">
      <c r="A91" s="285"/>
      <c r="B91" s="228" t="s">
        <v>1788</v>
      </c>
      <c r="C91" s="228" t="s">
        <v>229</v>
      </c>
      <c r="D91" s="228" t="s">
        <v>1789</v>
      </c>
      <c r="E91" s="84" t="s">
        <v>422</v>
      </c>
      <c r="F91" s="201"/>
      <c r="G91" s="200" t="s">
        <v>1790</v>
      </c>
      <c r="H91" s="84"/>
      <c r="I91" s="229"/>
      <c r="J91" s="228" t="s">
        <v>222</v>
      </c>
      <c r="K91" s="228" t="s">
        <v>231</v>
      </c>
      <c r="L91" s="228" t="s">
        <v>1791</v>
      </c>
    </row>
    <row r="92" spans="1:12">
      <c r="A92" s="285"/>
      <c r="B92" s="228" t="s">
        <v>1792</v>
      </c>
      <c r="C92" s="228" t="s">
        <v>229</v>
      </c>
      <c r="D92" s="228" t="s">
        <v>1793</v>
      </c>
      <c r="E92" s="84" t="s">
        <v>422</v>
      </c>
      <c r="F92" s="201"/>
      <c r="G92" s="200" t="s">
        <v>1794</v>
      </c>
      <c r="H92" s="84"/>
      <c r="I92" s="229"/>
      <c r="J92" s="228" t="s">
        <v>222</v>
      </c>
      <c r="K92" s="228" t="s">
        <v>231</v>
      </c>
      <c r="L92" s="228" t="s">
        <v>1795</v>
      </c>
    </row>
    <row r="93" spans="1:12">
      <c r="A93" s="285"/>
      <c r="B93" s="228" t="s">
        <v>1796</v>
      </c>
      <c r="C93" s="228" t="s">
        <v>229</v>
      </c>
      <c r="D93" s="228" t="s">
        <v>1797</v>
      </c>
      <c r="E93" s="84" t="s">
        <v>422</v>
      </c>
      <c r="F93" s="201"/>
      <c r="G93" s="200" t="s">
        <v>957</v>
      </c>
      <c r="H93" s="84"/>
      <c r="I93" s="229"/>
      <c r="J93" s="228" t="s">
        <v>222</v>
      </c>
      <c r="K93" s="228" t="s">
        <v>231</v>
      </c>
      <c r="L93" s="228" t="s">
        <v>1746</v>
      </c>
    </row>
    <row r="94" spans="1:12">
      <c r="A94" s="285"/>
      <c r="B94" s="228" t="s">
        <v>1798</v>
      </c>
      <c r="C94" s="228" t="s">
        <v>229</v>
      </c>
      <c r="D94" s="228" t="s">
        <v>1799</v>
      </c>
      <c r="E94" s="84" t="s">
        <v>422</v>
      </c>
      <c r="F94" s="201"/>
      <c r="G94" s="200" t="s">
        <v>1800</v>
      </c>
      <c r="H94" s="84"/>
      <c r="I94" s="229"/>
      <c r="J94" s="228" t="s">
        <v>222</v>
      </c>
      <c r="K94" s="228" t="s">
        <v>231</v>
      </c>
      <c r="L94" s="228" t="s">
        <v>1801</v>
      </c>
    </row>
    <row r="95" spans="1:12">
      <c r="A95" s="285"/>
      <c r="B95" s="228" t="s">
        <v>1802</v>
      </c>
      <c r="C95" s="228" t="s">
        <v>229</v>
      </c>
      <c r="D95" s="228" t="s">
        <v>1803</v>
      </c>
      <c r="E95" s="84" t="s">
        <v>422</v>
      </c>
      <c r="F95" s="201"/>
      <c r="G95" s="200" t="s">
        <v>963</v>
      </c>
      <c r="H95" s="84"/>
      <c r="I95" s="229"/>
      <c r="J95" s="228" t="s">
        <v>222</v>
      </c>
      <c r="K95" s="228" t="s">
        <v>1754</v>
      </c>
      <c r="L95" s="228" t="s">
        <v>1804</v>
      </c>
    </row>
    <row r="96" spans="1:12">
      <c r="A96" s="285"/>
      <c r="B96" s="228" t="s">
        <v>1805</v>
      </c>
      <c r="C96" s="228" t="s">
        <v>229</v>
      </c>
      <c r="D96" s="228" t="s">
        <v>1806</v>
      </c>
      <c r="E96" s="84" t="s">
        <v>422</v>
      </c>
      <c r="F96" s="201"/>
      <c r="G96" s="200" t="s">
        <v>1807</v>
      </c>
      <c r="H96" s="84"/>
      <c r="I96" s="229"/>
      <c r="J96" s="228" t="s">
        <v>222</v>
      </c>
      <c r="K96" s="228" t="s">
        <v>231</v>
      </c>
      <c r="L96" s="228" t="s">
        <v>1808</v>
      </c>
    </row>
    <row r="97" spans="1:12">
      <c r="A97" s="285"/>
      <c r="B97" s="228" t="s">
        <v>1809</v>
      </c>
      <c r="C97" s="228" t="s">
        <v>229</v>
      </c>
      <c r="D97" s="228" t="s">
        <v>1810</v>
      </c>
      <c r="E97" s="84" t="s">
        <v>422</v>
      </c>
      <c r="F97" s="201"/>
      <c r="G97" s="200" t="s">
        <v>987</v>
      </c>
      <c r="H97" s="84"/>
      <c r="I97" s="229"/>
      <c r="J97" s="228" t="s">
        <v>222</v>
      </c>
      <c r="K97" s="228" t="s">
        <v>1754</v>
      </c>
      <c r="L97" s="228" t="s">
        <v>1811</v>
      </c>
    </row>
    <row r="98" spans="1:12">
      <c r="A98" s="285"/>
      <c r="B98" s="228" t="s">
        <v>1812</v>
      </c>
      <c r="C98" s="228" t="s">
        <v>229</v>
      </c>
      <c r="D98" s="228" t="s">
        <v>1813</v>
      </c>
      <c r="E98" s="84" t="s">
        <v>422</v>
      </c>
      <c r="F98" s="201"/>
      <c r="G98" s="200" t="s">
        <v>1814</v>
      </c>
      <c r="H98" s="84"/>
      <c r="I98" s="229"/>
      <c r="J98" s="228" t="s">
        <v>222</v>
      </c>
      <c r="K98" s="228" t="s">
        <v>231</v>
      </c>
      <c r="L98" s="228" t="s">
        <v>1815</v>
      </c>
    </row>
    <row r="99" spans="1:12">
      <c r="A99" s="285"/>
      <c r="B99" s="228" t="s">
        <v>1816</v>
      </c>
      <c r="C99" s="228" t="s">
        <v>229</v>
      </c>
      <c r="D99" s="228" t="s">
        <v>1817</v>
      </c>
      <c r="E99" s="84" t="s">
        <v>422</v>
      </c>
      <c r="F99" s="201"/>
      <c r="G99" s="200" t="s">
        <v>1818</v>
      </c>
      <c r="H99" s="84"/>
      <c r="I99" s="229"/>
      <c r="J99" s="228" t="s">
        <v>222</v>
      </c>
      <c r="K99" s="228" t="s">
        <v>868</v>
      </c>
      <c r="L99" s="228" t="s">
        <v>1819</v>
      </c>
    </row>
    <row r="100" spans="1:12">
      <c r="A100" s="285"/>
      <c r="B100" s="228" t="s">
        <v>1820</v>
      </c>
      <c r="C100" s="228" t="s">
        <v>229</v>
      </c>
      <c r="D100" s="228" t="s">
        <v>1821</v>
      </c>
      <c r="E100" s="84" t="s">
        <v>422</v>
      </c>
      <c r="F100" s="201"/>
      <c r="G100" s="200" t="s">
        <v>1822</v>
      </c>
      <c r="H100" s="84"/>
      <c r="I100" s="229"/>
      <c r="J100" s="228" t="s">
        <v>222</v>
      </c>
      <c r="K100" s="228" t="s">
        <v>231</v>
      </c>
      <c r="L100" s="228" t="s">
        <v>1823</v>
      </c>
    </row>
    <row r="101" spans="1:12">
      <c r="A101" s="285"/>
      <c r="B101" s="228" t="s">
        <v>1824</v>
      </c>
      <c r="C101" s="228" t="s">
        <v>229</v>
      </c>
      <c r="D101" s="228" t="s">
        <v>1825</v>
      </c>
      <c r="E101" s="84" t="s">
        <v>422</v>
      </c>
      <c r="F101" s="201"/>
      <c r="G101" s="200" t="s">
        <v>771</v>
      </c>
      <c r="H101" s="84"/>
      <c r="I101" s="229"/>
      <c r="J101" s="228" t="s">
        <v>222</v>
      </c>
      <c r="K101" s="228" t="s">
        <v>231</v>
      </c>
      <c r="L101" s="228" t="s">
        <v>1826</v>
      </c>
    </row>
    <row r="102" spans="1:12">
      <c r="A102" s="285"/>
      <c r="B102" s="228" t="s">
        <v>1827</v>
      </c>
      <c r="C102" s="228" t="s">
        <v>229</v>
      </c>
      <c r="D102" s="228" t="s">
        <v>1828</v>
      </c>
      <c r="E102" s="84" t="s">
        <v>422</v>
      </c>
      <c r="F102" s="201"/>
      <c r="G102" s="200" t="s">
        <v>1829</v>
      </c>
      <c r="H102" s="84"/>
      <c r="I102" s="229"/>
      <c r="J102" s="228" t="s">
        <v>222</v>
      </c>
      <c r="K102" s="228" t="s">
        <v>868</v>
      </c>
      <c r="L102" s="228" t="s">
        <v>1830</v>
      </c>
    </row>
    <row r="103" spans="1:12">
      <c r="A103" s="285"/>
      <c r="B103" s="228" t="s">
        <v>1831</v>
      </c>
      <c r="C103" s="228" t="s">
        <v>229</v>
      </c>
      <c r="D103" s="228" t="s">
        <v>1832</v>
      </c>
      <c r="E103" s="84" t="s">
        <v>422</v>
      </c>
      <c r="F103" s="201"/>
      <c r="G103" s="200" t="s">
        <v>1833</v>
      </c>
      <c r="H103" s="84"/>
      <c r="I103" s="229"/>
      <c r="J103" s="228" t="s">
        <v>222</v>
      </c>
      <c r="K103" s="228" t="s">
        <v>231</v>
      </c>
      <c r="L103" s="228" t="s">
        <v>1834</v>
      </c>
    </row>
    <row r="104" spans="1:12">
      <c r="A104" s="285"/>
      <c r="B104" s="228" t="s">
        <v>1835</v>
      </c>
      <c r="C104" s="228" t="s">
        <v>229</v>
      </c>
      <c r="D104" s="228" t="s">
        <v>1836</v>
      </c>
      <c r="E104" s="84" t="s">
        <v>422</v>
      </c>
      <c r="F104" s="201"/>
      <c r="G104" s="200" t="s">
        <v>780</v>
      </c>
      <c r="H104" s="84"/>
      <c r="I104" s="229"/>
      <c r="J104" s="228" t="s">
        <v>222</v>
      </c>
      <c r="K104" s="228" t="s">
        <v>231</v>
      </c>
      <c r="L104" s="228" t="s">
        <v>1837</v>
      </c>
    </row>
    <row r="105" spans="1:12">
      <c r="A105" s="285"/>
      <c r="B105" s="228" t="s">
        <v>1838</v>
      </c>
      <c r="C105" s="228" t="s">
        <v>229</v>
      </c>
      <c r="D105" s="228" t="s">
        <v>1839</v>
      </c>
      <c r="E105" s="84" t="s">
        <v>422</v>
      </c>
      <c r="F105" s="201"/>
      <c r="G105" s="200" t="s">
        <v>1840</v>
      </c>
      <c r="H105" s="84"/>
      <c r="I105" s="229"/>
      <c r="J105" s="228" t="s">
        <v>222</v>
      </c>
      <c r="K105" s="228" t="s">
        <v>231</v>
      </c>
      <c r="L105" s="228" t="s">
        <v>1552</v>
      </c>
    </row>
    <row r="106" spans="1:12">
      <c r="A106" s="285"/>
      <c r="B106" s="228" t="s">
        <v>1841</v>
      </c>
      <c r="C106" s="228" t="s">
        <v>229</v>
      </c>
      <c r="D106" s="228" t="s">
        <v>1842</v>
      </c>
      <c r="E106" s="84" t="s">
        <v>422</v>
      </c>
      <c r="F106" s="201"/>
      <c r="G106" s="200" t="s">
        <v>1843</v>
      </c>
      <c r="H106" s="84"/>
      <c r="I106" s="229"/>
      <c r="J106" s="228" t="s">
        <v>222</v>
      </c>
      <c r="K106" s="228" t="s">
        <v>1754</v>
      </c>
      <c r="L106" s="228" t="s">
        <v>1844</v>
      </c>
    </row>
    <row r="107" spans="1:12">
      <c r="A107" s="285"/>
      <c r="B107" s="228" t="s">
        <v>1845</v>
      </c>
      <c r="C107" s="228" t="s">
        <v>229</v>
      </c>
      <c r="D107" s="228" t="s">
        <v>1846</v>
      </c>
      <c r="E107" s="84" t="s">
        <v>422</v>
      </c>
      <c r="F107" s="201"/>
      <c r="G107" s="200" t="s">
        <v>1500</v>
      </c>
      <c r="H107" s="84"/>
      <c r="I107" s="229"/>
      <c r="J107" s="228" t="s">
        <v>222</v>
      </c>
      <c r="K107" s="228" t="s">
        <v>231</v>
      </c>
      <c r="L107" s="228" t="s">
        <v>1646</v>
      </c>
    </row>
    <row r="108" spans="1:12">
      <c r="A108" s="285"/>
      <c r="B108" s="241" t="s">
        <v>1504</v>
      </c>
      <c r="C108" s="248" t="s">
        <v>229</v>
      </c>
      <c r="D108" s="243" t="s">
        <v>1847</v>
      </c>
      <c r="E108" s="234" t="s">
        <v>422</v>
      </c>
      <c r="F108" s="241"/>
      <c r="G108" s="243" t="s">
        <v>1506</v>
      </c>
      <c r="H108" s="234"/>
      <c r="I108" s="234"/>
      <c r="J108" s="234"/>
      <c r="K108" s="248" t="s">
        <v>231</v>
      </c>
      <c r="L108" s="239"/>
    </row>
    <row r="109" spans="1:12">
      <c r="A109" s="285"/>
      <c r="B109" s="241" t="s">
        <v>1848</v>
      </c>
      <c r="C109" s="248" t="s">
        <v>229</v>
      </c>
      <c r="D109" s="243" t="s">
        <v>1849</v>
      </c>
      <c r="E109" s="234" t="s">
        <v>422</v>
      </c>
      <c r="F109" s="241"/>
      <c r="G109" s="244" t="s">
        <v>1510</v>
      </c>
      <c r="H109" s="234"/>
      <c r="I109" s="234"/>
      <c r="J109" s="234"/>
      <c r="K109" s="248" t="s">
        <v>231</v>
      </c>
      <c r="L109" s="239"/>
    </row>
    <row r="110" spans="1:12">
      <c r="A110" s="285"/>
      <c r="B110" s="241" t="s">
        <v>1850</v>
      </c>
      <c r="C110" s="248" t="s">
        <v>229</v>
      </c>
      <c r="D110" s="243" t="s">
        <v>1851</v>
      </c>
      <c r="E110" s="234" t="s">
        <v>422</v>
      </c>
      <c r="F110" s="241"/>
      <c r="G110" s="244" t="s">
        <v>1513</v>
      </c>
      <c r="H110" s="234"/>
      <c r="I110" s="234"/>
      <c r="J110" s="234"/>
      <c r="K110" s="248" t="s">
        <v>231</v>
      </c>
      <c r="L110" s="239"/>
    </row>
    <row r="111" spans="1:12">
      <c r="A111" s="285"/>
      <c r="B111" s="241" t="s">
        <v>1852</v>
      </c>
      <c r="C111" s="248" t="s">
        <v>229</v>
      </c>
      <c r="D111" s="243" t="s">
        <v>1853</v>
      </c>
      <c r="E111" s="234" t="s">
        <v>422</v>
      </c>
      <c r="F111" s="241"/>
      <c r="G111" s="244" t="s">
        <v>1516</v>
      </c>
      <c r="H111" s="234"/>
      <c r="I111" s="234"/>
      <c r="J111" s="234"/>
      <c r="K111" s="248" t="s">
        <v>231</v>
      </c>
      <c r="L111" s="239"/>
    </row>
    <row r="112" spans="1:12">
      <c r="A112" s="285"/>
      <c r="B112" s="241" t="s">
        <v>1854</v>
      </c>
      <c r="C112" s="248" t="s">
        <v>229</v>
      </c>
      <c r="D112" s="243" t="s">
        <v>1855</v>
      </c>
      <c r="E112" s="234" t="s">
        <v>422</v>
      </c>
      <c r="F112" s="241"/>
      <c r="G112" s="258" t="s">
        <v>1519</v>
      </c>
      <c r="H112" s="234"/>
      <c r="I112" s="234"/>
      <c r="J112" s="234"/>
      <c r="K112" s="248" t="s">
        <v>231</v>
      </c>
      <c r="L112" s="239"/>
    </row>
    <row r="113" spans="1:12">
      <c r="A113" s="285"/>
      <c r="B113" s="241" t="s">
        <v>1856</v>
      </c>
      <c r="C113" s="248" t="s">
        <v>229</v>
      </c>
      <c r="D113" s="243" t="s">
        <v>1857</v>
      </c>
      <c r="E113" s="234" t="s">
        <v>422</v>
      </c>
      <c r="F113" s="241"/>
      <c r="G113" s="258" t="s">
        <v>1522</v>
      </c>
      <c r="H113" s="234"/>
      <c r="I113" s="234"/>
      <c r="J113" s="234"/>
      <c r="K113" s="248" t="s">
        <v>231</v>
      </c>
      <c r="L113" s="239"/>
    </row>
    <row r="114" spans="1:12">
      <c r="A114" s="285"/>
      <c r="B114" s="200" t="s">
        <v>1523</v>
      </c>
      <c r="C114" s="200" t="s">
        <v>229</v>
      </c>
      <c r="D114" s="200" t="s">
        <v>1524</v>
      </c>
      <c r="E114" s="241" t="s">
        <v>422</v>
      </c>
      <c r="F114" s="241"/>
      <c r="G114" s="200" t="s">
        <v>1525</v>
      </c>
      <c r="H114" s="241"/>
      <c r="I114" s="241"/>
      <c r="J114" s="241"/>
      <c r="K114" s="241"/>
      <c r="L114" s="241"/>
    </row>
    <row r="115" spans="1:12">
      <c r="A115" s="285"/>
      <c r="B115" s="234" t="s">
        <v>1858</v>
      </c>
      <c r="C115" s="248" t="s">
        <v>229</v>
      </c>
      <c r="D115" s="234" t="s">
        <v>618</v>
      </c>
      <c r="E115" s="234" t="s">
        <v>422</v>
      </c>
      <c r="F115" s="241"/>
      <c r="G115" s="200" t="s">
        <v>831</v>
      </c>
      <c r="H115" s="234"/>
      <c r="I115" s="234"/>
      <c r="J115" s="234"/>
      <c r="K115" s="248" t="s">
        <v>231</v>
      </c>
      <c r="L115" s="239"/>
    </row>
    <row r="116" spans="1:12">
      <c r="A116" s="285"/>
      <c r="B116" s="228" t="s">
        <v>239</v>
      </c>
      <c r="C116" s="228" t="s">
        <v>170</v>
      </c>
      <c r="D116" s="228" t="s">
        <v>240</v>
      </c>
      <c r="E116" s="84"/>
      <c r="F116" s="201"/>
      <c r="G116" s="201"/>
      <c r="H116" s="84"/>
      <c r="I116" s="84"/>
      <c r="J116" s="84"/>
      <c r="K116" s="228" t="s">
        <v>749</v>
      </c>
      <c r="L116" s="228" t="s">
        <v>1544</v>
      </c>
    </row>
    <row r="117" spans="1:12">
      <c r="A117" s="285"/>
      <c r="B117" s="228" t="s">
        <v>177</v>
      </c>
      <c r="C117" s="228" t="s">
        <v>175</v>
      </c>
      <c r="D117" s="228" t="s">
        <v>599</v>
      </c>
      <c r="E117" s="84"/>
      <c r="F117" s="201"/>
      <c r="G117" s="201"/>
      <c r="H117" s="84"/>
      <c r="I117" s="84"/>
      <c r="J117" s="84"/>
      <c r="K117" s="228" t="s">
        <v>749</v>
      </c>
      <c r="L117" s="228" t="s">
        <v>749</v>
      </c>
    </row>
    <row r="118" spans="1:12">
      <c r="A118" s="285"/>
      <c r="B118" s="228" t="s">
        <v>693</v>
      </c>
      <c r="C118" s="228" t="s">
        <v>170</v>
      </c>
      <c r="D118" s="228" t="s">
        <v>1859</v>
      </c>
      <c r="E118" s="84"/>
      <c r="F118" s="201"/>
      <c r="G118" s="201"/>
      <c r="H118" s="84"/>
      <c r="I118" s="84"/>
      <c r="J118" s="84"/>
      <c r="K118" s="228" t="s">
        <v>749</v>
      </c>
      <c r="L118" s="228" t="s">
        <v>1860</v>
      </c>
    </row>
    <row r="119" s="209" customFormat="1" spans="2:12">
      <c r="B119" s="229" t="s">
        <v>696</v>
      </c>
      <c r="C119" s="229" t="s">
        <v>170</v>
      </c>
      <c r="D119" s="229" t="s">
        <v>1534</v>
      </c>
      <c r="E119" s="201"/>
      <c r="F119" s="201"/>
      <c r="G119" s="201"/>
      <c r="H119" s="201"/>
      <c r="I119" s="201"/>
      <c r="J119" s="201"/>
      <c r="K119" s="229"/>
      <c r="L119" s="229"/>
    </row>
    <row r="120" spans="1:1">
      <c r="A120" s="285"/>
    </row>
    <row r="121" spans="1:1">
      <c r="A121" s="285"/>
    </row>
    <row r="122" spans="1:1">
      <c r="A122" s="285"/>
    </row>
    <row r="123" spans="1:1">
      <c r="A123" s="285"/>
    </row>
    <row r="124" spans="1:1">
      <c r="A124" s="285"/>
    </row>
    <row r="125" spans="1:1">
      <c r="A125" s="285"/>
    </row>
    <row r="126" spans="1:1">
      <c r="A126" s="285"/>
    </row>
    <row r="127" spans="1:1">
      <c r="A127" s="285"/>
    </row>
    <row r="128" spans="1:1">
      <c r="A128" s="285"/>
    </row>
    <row r="129" spans="1:1">
      <c r="A129" s="285"/>
    </row>
    <row r="130" spans="1:1">
      <c r="A130" s="285"/>
    </row>
    <row r="131" spans="1:1">
      <c r="A131" s="285"/>
    </row>
    <row r="132" spans="1:1">
      <c r="A132" s="285"/>
    </row>
    <row r="133" spans="1:1">
      <c r="A133" s="285"/>
    </row>
    <row r="134" spans="1:1">
      <c r="A134" s="285"/>
    </row>
    <row r="135" spans="1:1">
      <c r="A135" s="285"/>
    </row>
    <row r="136" spans="1:1">
      <c r="A136" s="285"/>
    </row>
    <row r="137" spans="1:1">
      <c r="A137" s="285"/>
    </row>
    <row r="138" spans="1:1">
      <c r="A138" s="285"/>
    </row>
    <row r="139" spans="1:1">
      <c r="A139" s="285"/>
    </row>
    <row r="140" spans="1:1">
      <c r="A140" s="285"/>
    </row>
    <row r="141" spans="1:1">
      <c r="A141" s="285"/>
    </row>
    <row r="142" spans="1:1">
      <c r="A142" s="285"/>
    </row>
    <row r="143" spans="1:1">
      <c r="A143" s="285"/>
    </row>
    <row r="144" spans="1:1">
      <c r="A144" s="285"/>
    </row>
    <row r="145" spans="1:1">
      <c r="A145" s="285"/>
    </row>
    <row r="146" spans="1:1">
      <c r="A146" s="285"/>
    </row>
    <row r="147" spans="1:1">
      <c r="A147" s="285"/>
    </row>
    <row r="148" spans="1:1">
      <c r="A148" s="285"/>
    </row>
    <row r="149" spans="1:1">
      <c r="A149" s="285"/>
    </row>
    <row r="150" spans="1:1">
      <c r="A150" s="285"/>
    </row>
    <row r="151" spans="1:1">
      <c r="A151" s="285"/>
    </row>
    <row r="152" spans="1:1">
      <c r="A152" s="285"/>
    </row>
    <row r="153" spans="1:1">
      <c r="A153" s="285"/>
    </row>
    <row r="154" spans="1:1">
      <c r="A154" s="285"/>
    </row>
    <row r="155" spans="1:1">
      <c r="A155" s="285"/>
    </row>
    <row r="156" spans="1:1">
      <c r="A156" s="285"/>
    </row>
    <row r="157" spans="1:1">
      <c r="A157" s="285"/>
    </row>
    <row r="158" spans="1:1">
      <c r="A158" s="285"/>
    </row>
    <row r="159" spans="1:1">
      <c r="A159" s="285"/>
    </row>
    <row r="160" spans="1:1">
      <c r="A160" s="285"/>
    </row>
    <row r="161" spans="1:1">
      <c r="A161" s="285"/>
    </row>
    <row r="162" spans="1:1">
      <c r="A162" s="285"/>
    </row>
    <row r="163" spans="1:1">
      <c r="A163" s="285"/>
    </row>
    <row r="164" spans="1:1">
      <c r="A164" s="285"/>
    </row>
    <row r="165" spans="1:1">
      <c r="A165" s="285"/>
    </row>
    <row r="166" spans="1:1">
      <c r="A166" s="285"/>
    </row>
    <row r="167" spans="1:1">
      <c r="A167" s="285"/>
    </row>
    <row r="168" spans="1:1">
      <c r="A168" s="285"/>
    </row>
    <row r="169" spans="1:1">
      <c r="A169" s="285"/>
    </row>
    <row r="170" spans="1:1">
      <c r="A170" s="285"/>
    </row>
    <row r="171" spans="1:1">
      <c r="A171" s="285"/>
    </row>
    <row r="172" spans="1:1">
      <c r="A172" s="285"/>
    </row>
    <row r="173" spans="1:1">
      <c r="A173" s="285"/>
    </row>
    <row r="174" spans="1:1">
      <c r="A174" s="285"/>
    </row>
    <row r="175" spans="1:1">
      <c r="A175" s="285"/>
    </row>
    <row r="176" spans="1:1">
      <c r="A176" s="285"/>
    </row>
    <row r="177" spans="1:1">
      <c r="A177" s="285"/>
    </row>
    <row r="178" spans="1:1">
      <c r="A178" s="285"/>
    </row>
    <row r="179" spans="1:1">
      <c r="A179" s="285"/>
    </row>
    <row r="180" spans="1:1">
      <c r="A180" s="285"/>
    </row>
    <row r="181" spans="1:1">
      <c r="A181" s="285"/>
    </row>
    <row r="182" spans="1:1">
      <c r="A182" s="285"/>
    </row>
    <row r="183" spans="1:1">
      <c r="A183" s="285"/>
    </row>
    <row r="184" spans="1:1">
      <c r="A184" s="285"/>
    </row>
    <row r="185" spans="1:1">
      <c r="A185" s="285"/>
    </row>
    <row r="186" spans="1:1">
      <c r="A186" s="285"/>
    </row>
    <row r="187" spans="1:1">
      <c r="A187" s="285"/>
    </row>
    <row r="188" spans="1:1">
      <c r="A188" s="285"/>
    </row>
    <row r="189" spans="1:1">
      <c r="A189" s="285"/>
    </row>
    <row r="190" spans="1:1">
      <c r="A190" s="285"/>
    </row>
    <row r="191" spans="1:1">
      <c r="A191" s="285"/>
    </row>
    <row r="192" spans="1:1">
      <c r="A192" s="285"/>
    </row>
    <row r="193" spans="1:1">
      <c r="A193" s="285"/>
    </row>
    <row r="194" spans="1:1">
      <c r="A194" s="285"/>
    </row>
    <row r="195" spans="1:1">
      <c r="A195" s="285"/>
    </row>
    <row r="196" spans="1:1">
      <c r="A196" s="285"/>
    </row>
    <row r="197" spans="1:1">
      <c r="A197" s="285"/>
    </row>
    <row r="198" spans="1:1">
      <c r="A198" s="285"/>
    </row>
    <row r="199" spans="1:1">
      <c r="A199" s="285"/>
    </row>
    <row r="200" spans="1:1">
      <c r="A200" s="285"/>
    </row>
    <row r="201" spans="1:1">
      <c r="A201" s="285"/>
    </row>
    <row r="202" spans="1:1">
      <c r="A202" s="285"/>
    </row>
    <row r="203" spans="1:1">
      <c r="A203" s="285"/>
    </row>
    <row r="204" spans="1:1">
      <c r="A204" s="285"/>
    </row>
    <row r="205" spans="1:1">
      <c r="A205" s="285"/>
    </row>
    <row r="206" spans="1:1">
      <c r="A206" s="285"/>
    </row>
    <row r="207" spans="1:1">
      <c r="A207" s="285"/>
    </row>
    <row r="208" spans="1:1">
      <c r="A208" s="285"/>
    </row>
    <row r="209" spans="1:1">
      <c r="A209" s="285"/>
    </row>
    <row r="210" spans="1:1">
      <c r="A210" s="285"/>
    </row>
    <row r="211" spans="1:1">
      <c r="A211" s="285"/>
    </row>
    <row r="212" spans="1:1">
      <c r="A212" s="285"/>
    </row>
    <row r="213" spans="1:1">
      <c r="A213" s="285"/>
    </row>
    <row r="214" spans="1:1">
      <c r="A214" s="285"/>
    </row>
    <row r="215" spans="1:1">
      <c r="A215" s="285"/>
    </row>
    <row r="216" spans="1:1">
      <c r="A216" s="285"/>
    </row>
    <row r="217" spans="1:1">
      <c r="A217" s="285"/>
    </row>
    <row r="218" spans="1:1">
      <c r="A218" s="285"/>
    </row>
    <row r="219" spans="1:1">
      <c r="A219" s="285"/>
    </row>
    <row r="220" spans="1:1">
      <c r="A220" s="285"/>
    </row>
    <row r="221" spans="1:1">
      <c r="A221" s="285"/>
    </row>
    <row r="222" spans="1:1">
      <c r="A222" s="285"/>
    </row>
    <row r="223" spans="1:1">
      <c r="A223" s="285"/>
    </row>
    <row r="224" spans="1:1">
      <c r="A224" s="285"/>
    </row>
    <row r="225" spans="1:1">
      <c r="A225" s="285"/>
    </row>
    <row r="226" spans="1:1">
      <c r="A226" s="285"/>
    </row>
    <row r="227" spans="1:1">
      <c r="A227" s="285"/>
    </row>
    <row r="228" spans="1:1">
      <c r="A228" s="285"/>
    </row>
    <row r="229" spans="1:1">
      <c r="A229" s="285"/>
    </row>
    <row r="230" spans="1:1">
      <c r="A230" s="285"/>
    </row>
    <row r="231" spans="1:1">
      <c r="A231" s="285"/>
    </row>
    <row r="232" spans="1:1">
      <c r="A232" s="285"/>
    </row>
    <row r="233" spans="1:1">
      <c r="A233" s="285"/>
    </row>
    <row r="234" spans="1:1">
      <c r="A234" s="285"/>
    </row>
    <row r="235" spans="1:1">
      <c r="A235" s="285"/>
    </row>
    <row r="236" spans="1:1">
      <c r="A236" s="285"/>
    </row>
    <row r="237" spans="1:1">
      <c r="A237" s="285"/>
    </row>
    <row r="238" spans="1:1">
      <c r="A238" s="285"/>
    </row>
    <row r="239" spans="1:1">
      <c r="A239" s="285"/>
    </row>
    <row r="240" spans="1:1">
      <c r="A240" s="285"/>
    </row>
    <row r="241" spans="1:1">
      <c r="A241" s="285"/>
    </row>
    <row r="242" spans="1:1">
      <c r="A242" s="285"/>
    </row>
    <row r="243" spans="1:1">
      <c r="A243" s="285"/>
    </row>
    <row r="244" spans="1:1">
      <c r="A244" s="285"/>
    </row>
    <row r="245" spans="1:1">
      <c r="A245" s="285"/>
    </row>
    <row r="246" spans="1:1">
      <c r="A246" s="285"/>
    </row>
    <row r="247" spans="1:1">
      <c r="A247" s="285"/>
    </row>
  </sheetData>
  <autoFilter xmlns:etc="http://www.wps.cn/officeDocument/2017/etCustomData" ref="A12:N119" etc:filterBottomFollowUsedRange="0">
    <extLst/>
  </autoFilter>
  <mergeCells count="3">
    <mergeCell ref="B2:H2"/>
    <mergeCell ref="B6:H6"/>
    <mergeCell ref="B11:L11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295"/>
  <sheetViews>
    <sheetView workbookViewId="0">
      <selection activeCell="J27" sqref="J27"/>
    </sheetView>
  </sheetViews>
  <sheetFormatPr defaultColWidth="9" defaultRowHeight="15.6"/>
  <cols>
    <col min="1" max="1" width="3.5" style="191" customWidth="1"/>
    <col min="2" max="2" width="15.25" style="191" customWidth="1"/>
    <col min="3" max="3" width="17.1296296296296" style="191" customWidth="1"/>
    <col min="4" max="4" width="35.25" style="191" customWidth="1"/>
    <col min="5" max="5" width="12.3796296296296" style="191" customWidth="1"/>
    <col min="6" max="6" width="11.1296296296296" style="191" customWidth="1"/>
    <col min="7" max="7" width="34.75" style="191" customWidth="1"/>
    <col min="8" max="8" width="12" style="191" customWidth="1"/>
    <col min="9" max="9" width="10.8796296296296" style="191" customWidth="1"/>
    <col min="10" max="10" width="12.5" style="191" customWidth="1"/>
    <col min="11" max="11" width="14.1296296296296" style="191" customWidth="1"/>
    <col min="12" max="12" width="12.3796296296296" style="192" customWidth="1"/>
    <col min="13" max="16384" width="9" style="192"/>
  </cols>
  <sheetData>
    <row r="1" spans="2:8">
      <c r="B1" s="193" t="str">
        <f>HYPERLINK("#"&amp;"导航应用"&amp;"!B1","返回")</f>
        <v>返回</v>
      </c>
      <c r="C1" s="194"/>
      <c r="D1" s="194"/>
      <c r="E1" s="194"/>
      <c r="F1" s="194"/>
      <c r="G1" s="194"/>
      <c r="H1" s="194"/>
    </row>
    <row r="2" ht="17.4" spans="2:8">
      <c r="B2" s="195" t="s">
        <v>132</v>
      </c>
      <c r="C2" s="195"/>
      <c r="D2" s="195"/>
      <c r="E2" s="195"/>
      <c r="F2" s="195"/>
      <c r="G2" s="195"/>
      <c r="H2" s="195"/>
    </row>
    <row r="3" spans="2:8">
      <c r="B3" s="196" t="s">
        <v>133</v>
      </c>
      <c r="C3" s="196" t="s">
        <v>134</v>
      </c>
      <c r="D3" s="196" t="s">
        <v>135</v>
      </c>
      <c r="E3" s="196" t="s">
        <v>136</v>
      </c>
      <c r="F3" s="196" t="s">
        <v>137</v>
      </c>
      <c r="G3" s="196" t="s">
        <v>138</v>
      </c>
      <c r="H3" s="196" t="s">
        <v>139</v>
      </c>
    </row>
    <row r="4" ht="26.4" spans="2:14">
      <c r="B4" s="84"/>
      <c r="C4" s="288" t="s">
        <v>66</v>
      </c>
      <c r="D4" s="250" t="s">
        <v>1861</v>
      </c>
      <c r="E4" s="84" t="s">
        <v>661</v>
      </c>
      <c r="F4" s="197" t="s">
        <v>141</v>
      </c>
      <c r="G4" s="84"/>
      <c r="H4" s="84"/>
      <c r="N4" s="191"/>
    </row>
    <row r="5" spans="2:8">
      <c r="B5" s="198"/>
      <c r="C5" s="198"/>
      <c r="D5" s="198"/>
      <c r="E5" s="198"/>
      <c r="F5" s="198"/>
      <c r="G5" s="198"/>
      <c r="H5" s="198"/>
    </row>
    <row r="6" ht="17.4" spans="2:8">
      <c r="B6" s="195" t="s">
        <v>142</v>
      </c>
      <c r="C6" s="195"/>
      <c r="D6" s="195"/>
      <c r="E6" s="195"/>
      <c r="F6" s="195"/>
      <c r="G6" s="195"/>
      <c r="H6" s="195"/>
    </row>
    <row r="7" spans="2:8">
      <c r="B7" s="199" t="s">
        <v>143</v>
      </c>
      <c r="C7" s="199" t="s">
        <v>144</v>
      </c>
      <c r="D7" s="199" t="s">
        <v>145</v>
      </c>
      <c r="E7" s="199" t="s">
        <v>146</v>
      </c>
      <c r="F7" s="199" t="s">
        <v>147</v>
      </c>
      <c r="G7" s="199" t="s">
        <v>13</v>
      </c>
      <c r="H7" s="199" t="s">
        <v>148</v>
      </c>
    </row>
    <row r="8" spans="2:8">
      <c r="B8" s="84"/>
      <c r="C8" s="200" t="s">
        <v>670</v>
      </c>
      <c r="D8" s="206"/>
      <c r="E8" s="84" t="s">
        <v>422</v>
      </c>
      <c r="F8" s="201" t="s">
        <v>1862</v>
      </c>
      <c r="G8" s="54"/>
      <c r="H8" s="16" t="s">
        <v>21</v>
      </c>
    </row>
    <row r="10" spans="2:12">
      <c r="B10" s="202" t="s">
        <v>158</v>
      </c>
      <c r="C10" s="203"/>
      <c r="D10" s="203"/>
      <c r="E10" s="203"/>
      <c r="F10" s="203"/>
      <c r="G10" s="203"/>
      <c r="H10" s="203"/>
      <c r="I10" s="203"/>
      <c r="J10" s="203"/>
      <c r="K10" s="203"/>
      <c r="L10" s="207"/>
    </row>
    <row r="11" ht="24" spans="2:12">
      <c r="B11" s="204" t="s">
        <v>159</v>
      </c>
      <c r="C11" s="204" t="s">
        <v>160</v>
      </c>
      <c r="D11" s="204" t="s">
        <v>161</v>
      </c>
      <c r="E11" s="204" t="s">
        <v>162</v>
      </c>
      <c r="F11" s="204" t="s">
        <v>163</v>
      </c>
      <c r="G11" s="204" t="s">
        <v>164</v>
      </c>
      <c r="H11" s="204" t="s">
        <v>165</v>
      </c>
      <c r="I11" s="204" t="s">
        <v>13</v>
      </c>
      <c r="J11" s="204" t="s">
        <v>166</v>
      </c>
      <c r="K11" s="204" t="s">
        <v>167</v>
      </c>
      <c r="L11" s="204" t="s">
        <v>168</v>
      </c>
    </row>
    <row r="12" s="75" customFormat="1" spans="2:14">
      <c r="B12" s="269" t="s">
        <v>174</v>
      </c>
      <c r="C12" s="64" t="s">
        <v>687</v>
      </c>
      <c r="D12" s="101" t="s">
        <v>688</v>
      </c>
      <c r="E12" s="64" t="s">
        <v>671</v>
      </c>
      <c r="F12" s="101" t="s">
        <v>177</v>
      </c>
      <c r="G12" s="221" t="s">
        <v>689</v>
      </c>
      <c r="H12" s="64"/>
      <c r="I12" s="64"/>
      <c r="J12" s="61" t="s">
        <v>173</v>
      </c>
      <c r="K12" s="64"/>
      <c r="L12" s="64"/>
      <c r="M12" s="100"/>
      <c r="N12" s="100"/>
    </row>
    <row r="13" s="75" customFormat="1" spans="2:14">
      <c r="B13" s="269" t="s">
        <v>690</v>
      </c>
      <c r="C13" s="64" t="s">
        <v>691</v>
      </c>
      <c r="D13" s="101" t="s">
        <v>692</v>
      </c>
      <c r="E13" s="64" t="s">
        <v>671</v>
      </c>
      <c r="F13" s="101" t="s">
        <v>693</v>
      </c>
      <c r="G13" s="221" t="s">
        <v>689</v>
      </c>
      <c r="H13" s="64"/>
      <c r="I13" s="61"/>
      <c r="J13" s="61" t="s">
        <v>173</v>
      </c>
      <c r="K13" s="64"/>
      <c r="L13" s="64"/>
      <c r="M13" s="100"/>
      <c r="N13" s="100"/>
    </row>
    <row r="14" s="75" customFormat="1" spans="2:14">
      <c r="B14" s="269" t="s">
        <v>694</v>
      </c>
      <c r="C14" s="64" t="s">
        <v>691</v>
      </c>
      <c r="D14" s="101" t="s">
        <v>695</v>
      </c>
      <c r="E14" s="64" t="s">
        <v>671</v>
      </c>
      <c r="F14" s="101" t="s">
        <v>696</v>
      </c>
      <c r="G14" s="221" t="s">
        <v>689</v>
      </c>
      <c r="H14" s="64"/>
      <c r="I14" s="61"/>
      <c r="J14" s="61" t="s">
        <v>173</v>
      </c>
      <c r="K14" s="64"/>
      <c r="L14" s="64"/>
      <c r="M14" s="100"/>
      <c r="N14" s="100"/>
    </row>
    <row r="15" s="75" customFormat="1" spans="2:14">
      <c r="B15" s="270" t="s">
        <v>697</v>
      </c>
      <c r="C15" s="64" t="s">
        <v>691</v>
      </c>
      <c r="D15" s="101" t="s">
        <v>698</v>
      </c>
      <c r="E15" s="64" t="s">
        <v>671</v>
      </c>
      <c r="F15" s="289" t="s">
        <v>169</v>
      </c>
      <c r="G15" s="221" t="s">
        <v>689</v>
      </c>
      <c r="H15" s="64"/>
      <c r="I15" s="61"/>
      <c r="J15" s="61" t="s">
        <v>173</v>
      </c>
      <c r="K15" s="64"/>
      <c r="L15" s="64"/>
      <c r="M15" s="100"/>
      <c r="N15" s="100"/>
    </row>
    <row r="16" s="75" customFormat="1" spans="2:14">
      <c r="B16" s="270" t="s">
        <v>699</v>
      </c>
      <c r="C16" s="64" t="s">
        <v>691</v>
      </c>
      <c r="D16" s="101" t="s">
        <v>700</v>
      </c>
      <c r="E16" s="64" t="s">
        <v>671</v>
      </c>
      <c r="F16" s="289" t="s">
        <v>178</v>
      </c>
      <c r="G16" s="221" t="s">
        <v>689</v>
      </c>
      <c r="H16" s="64"/>
      <c r="I16" s="61"/>
      <c r="J16" s="61" t="s">
        <v>173</v>
      </c>
      <c r="K16" s="64"/>
      <c r="L16" s="64"/>
      <c r="M16" s="100"/>
      <c r="N16" s="100"/>
    </row>
    <row r="17" s="75" customFormat="1" spans="2:14">
      <c r="B17" s="270" t="s">
        <v>701</v>
      </c>
      <c r="C17" s="64" t="s">
        <v>691</v>
      </c>
      <c r="D17" s="101" t="s">
        <v>702</v>
      </c>
      <c r="E17" s="64" t="s">
        <v>671</v>
      </c>
      <c r="F17" s="289" t="s">
        <v>180</v>
      </c>
      <c r="G17" s="221" t="s">
        <v>689</v>
      </c>
      <c r="H17" s="64"/>
      <c r="I17" s="61"/>
      <c r="J17" s="61" t="s">
        <v>173</v>
      </c>
      <c r="K17" s="64"/>
      <c r="L17" s="64"/>
      <c r="M17" s="100"/>
      <c r="N17" s="100"/>
    </row>
    <row r="18" s="75" customFormat="1" spans="2:14">
      <c r="B18" s="270" t="s">
        <v>703</v>
      </c>
      <c r="C18" s="64" t="s">
        <v>691</v>
      </c>
      <c r="D18" s="101" t="s">
        <v>704</v>
      </c>
      <c r="E18" s="64" t="s">
        <v>671</v>
      </c>
      <c r="F18" s="101" t="s">
        <v>207</v>
      </c>
      <c r="G18" s="221" t="s">
        <v>689</v>
      </c>
      <c r="H18" s="64"/>
      <c r="I18" s="61"/>
      <c r="J18" s="61" t="s">
        <v>173</v>
      </c>
      <c r="K18" s="64"/>
      <c r="L18" s="64"/>
      <c r="M18" s="100"/>
      <c r="N18" s="100"/>
    </row>
    <row r="19" s="75" customFormat="1" spans="2:14">
      <c r="B19" s="270" t="s">
        <v>705</v>
      </c>
      <c r="C19" s="64" t="s">
        <v>706</v>
      </c>
      <c r="D19" s="101" t="s">
        <v>707</v>
      </c>
      <c r="E19" s="64" t="s">
        <v>671</v>
      </c>
      <c r="F19" s="286" t="s">
        <v>1863</v>
      </c>
      <c r="G19" s="221" t="s">
        <v>709</v>
      </c>
      <c r="H19" s="64"/>
      <c r="I19" s="61"/>
      <c r="J19" s="61" t="s">
        <v>173</v>
      </c>
      <c r="K19" s="64"/>
      <c r="L19" s="64"/>
      <c r="M19" s="100"/>
      <c r="N19" s="100"/>
    </row>
    <row r="20" s="75" customFormat="1" spans="2:14">
      <c r="B20" s="270" t="s">
        <v>710</v>
      </c>
      <c r="C20" s="64" t="s">
        <v>706</v>
      </c>
      <c r="D20" s="101" t="s">
        <v>711</v>
      </c>
      <c r="E20" s="64" t="s">
        <v>671</v>
      </c>
      <c r="F20" s="286" t="s">
        <v>1863</v>
      </c>
      <c r="G20" s="221" t="s">
        <v>712</v>
      </c>
      <c r="H20" s="64"/>
      <c r="I20" s="61"/>
      <c r="J20" s="61" t="s">
        <v>173</v>
      </c>
      <c r="K20" s="64"/>
      <c r="L20" s="64"/>
      <c r="M20" s="100"/>
      <c r="N20" s="100"/>
    </row>
    <row r="21" s="75" customFormat="1" spans="2:14">
      <c r="B21" s="270" t="s">
        <v>211</v>
      </c>
      <c r="C21" s="64" t="s">
        <v>175</v>
      </c>
      <c r="D21" s="101" t="s">
        <v>713</v>
      </c>
      <c r="E21" s="64" t="s">
        <v>671</v>
      </c>
      <c r="F21" s="286" t="s">
        <v>1863</v>
      </c>
      <c r="G21" s="221" t="s">
        <v>714</v>
      </c>
      <c r="H21" s="64"/>
      <c r="I21" s="61"/>
      <c r="J21" s="61" t="s">
        <v>173</v>
      </c>
      <c r="K21" s="64"/>
      <c r="L21" s="64"/>
      <c r="M21" s="100"/>
      <c r="N21" s="100"/>
    </row>
    <row r="22" s="75" customFormat="1" spans="2:14">
      <c r="B22" s="270" t="s">
        <v>715</v>
      </c>
      <c r="C22" s="64" t="s">
        <v>687</v>
      </c>
      <c r="D22" s="101" t="s">
        <v>716</v>
      </c>
      <c r="E22" s="64" t="s">
        <v>671</v>
      </c>
      <c r="F22" s="286" t="s">
        <v>1864</v>
      </c>
      <c r="G22" s="221" t="s">
        <v>689</v>
      </c>
      <c r="H22" s="64"/>
      <c r="I22" s="61"/>
      <c r="J22" s="61" t="s">
        <v>173</v>
      </c>
      <c r="K22" s="64"/>
      <c r="L22" s="64"/>
      <c r="M22" s="100"/>
      <c r="N22" s="100"/>
    </row>
    <row r="23" s="75" customFormat="1" spans="2:14">
      <c r="B23" s="270" t="s">
        <v>717</v>
      </c>
      <c r="C23" s="64" t="s">
        <v>687</v>
      </c>
      <c r="D23" s="101" t="s">
        <v>718</v>
      </c>
      <c r="E23" s="64" t="s">
        <v>671</v>
      </c>
      <c r="F23" s="101" t="s">
        <v>188</v>
      </c>
      <c r="G23" s="221" t="s">
        <v>689</v>
      </c>
      <c r="H23" s="64"/>
      <c r="I23" s="61"/>
      <c r="J23" s="61" t="s">
        <v>173</v>
      </c>
      <c r="K23" s="64"/>
      <c r="L23" s="64"/>
      <c r="M23" s="100"/>
      <c r="N23" s="100"/>
    </row>
    <row r="24" s="75" customFormat="1" spans="2:14">
      <c r="B24" s="270" t="s">
        <v>719</v>
      </c>
      <c r="C24" s="64" t="s">
        <v>687</v>
      </c>
      <c r="D24" s="101" t="s">
        <v>720</v>
      </c>
      <c r="E24" s="64" t="s">
        <v>671</v>
      </c>
      <c r="F24" s="101" t="s">
        <v>1865</v>
      </c>
      <c r="G24" s="221" t="s">
        <v>689</v>
      </c>
      <c r="H24" s="64"/>
      <c r="I24" s="61"/>
      <c r="J24" s="61" t="s">
        <v>173</v>
      </c>
      <c r="K24" s="64"/>
      <c r="L24" s="64"/>
      <c r="M24" s="100"/>
      <c r="N24" s="100"/>
    </row>
    <row r="25" s="75" customFormat="1" spans="2:14">
      <c r="B25" s="270" t="s">
        <v>721</v>
      </c>
      <c r="C25" s="64" t="s">
        <v>691</v>
      </c>
      <c r="D25" s="101" t="s">
        <v>722</v>
      </c>
      <c r="E25" s="64" t="s">
        <v>671</v>
      </c>
      <c r="F25" s="101" t="s">
        <v>1865</v>
      </c>
      <c r="G25" s="221" t="s">
        <v>1866</v>
      </c>
      <c r="H25" s="64"/>
      <c r="I25" s="61"/>
      <c r="J25" s="61" t="s">
        <v>173</v>
      </c>
      <c r="K25" s="64"/>
      <c r="L25" s="64"/>
      <c r="M25" s="100"/>
      <c r="N25" s="100"/>
    </row>
    <row r="26" s="75" customFormat="1" spans="2:14">
      <c r="B26" s="270" t="s">
        <v>724</v>
      </c>
      <c r="C26" s="64" t="s">
        <v>687</v>
      </c>
      <c r="D26" s="101" t="s">
        <v>724</v>
      </c>
      <c r="E26" s="64" t="s">
        <v>671</v>
      </c>
      <c r="F26" s="286" t="s">
        <v>1867</v>
      </c>
      <c r="G26" s="221" t="s">
        <v>689</v>
      </c>
      <c r="H26" s="64"/>
      <c r="I26" s="61"/>
      <c r="J26" s="61" t="s">
        <v>173</v>
      </c>
      <c r="K26" s="64"/>
      <c r="L26" s="64"/>
      <c r="M26" s="100"/>
      <c r="N26" s="100"/>
    </row>
    <row r="27" s="75" customFormat="1" spans="2:14">
      <c r="B27" s="270" t="s">
        <v>726</v>
      </c>
      <c r="C27" s="64" t="s">
        <v>687</v>
      </c>
      <c r="D27" s="101" t="s">
        <v>727</v>
      </c>
      <c r="E27" s="64" t="s">
        <v>671</v>
      </c>
      <c r="F27" s="286" t="s">
        <v>1868</v>
      </c>
      <c r="G27" s="221" t="s">
        <v>689</v>
      </c>
      <c r="H27" s="64"/>
      <c r="I27" s="61"/>
      <c r="J27" s="61" t="s">
        <v>173</v>
      </c>
      <c r="K27" s="64"/>
      <c r="L27" s="64"/>
      <c r="M27" s="100"/>
      <c r="N27" s="100"/>
    </row>
    <row r="28" s="75" customFormat="1" spans="2:14">
      <c r="B28" s="270" t="s">
        <v>729</v>
      </c>
      <c r="C28" s="64" t="s">
        <v>687</v>
      </c>
      <c r="D28" s="101" t="s">
        <v>729</v>
      </c>
      <c r="E28" s="64" t="s">
        <v>671</v>
      </c>
      <c r="F28" s="101"/>
      <c r="G28" s="221" t="s">
        <v>1693</v>
      </c>
      <c r="H28" s="64"/>
      <c r="I28" s="61"/>
      <c r="J28" s="61" t="s">
        <v>173</v>
      </c>
      <c r="K28" s="64"/>
      <c r="L28" s="64"/>
      <c r="M28" s="100"/>
      <c r="N28" s="100"/>
    </row>
    <row r="29" s="75" customFormat="1" spans="2:14">
      <c r="B29" s="270" t="s">
        <v>731</v>
      </c>
      <c r="C29" s="64" t="s">
        <v>687</v>
      </c>
      <c r="D29" s="101" t="s">
        <v>731</v>
      </c>
      <c r="E29" s="64" t="s">
        <v>671</v>
      </c>
      <c r="F29" s="101"/>
      <c r="G29" s="221" t="s">
        <v>1693</v>
      </c>
      <c r="H29" s="64"/>
      <c r="I29" s="61"/>
      <c r="J29" s="61" t="s">
        <v>173</v>
      </c>
      <c r="K29" s="64"/>
      <c r="L29" s="64"/>
      <c r="M29" s="100"/>
      <c r="N29" s="100"/>
    </row>
    <row r="30" s="75" customFormat="1" spans="2:14">
      <c r="B30" s="270" t="s">
        <v>733</v>
      </c>
      <c r="C30" s="64" t="s">
        <v>687</v>
      </c>
      <c r="D30" s="101" t="s">
        <v>734</v>
      </c>
      <c r="E30" s="64" t="s">
        <v>671</v>
      </c>
      <c r="F30" s="286" t="s">
        <v>1869</v>
      </c>
      <c r="G30" s="221" t="s">
        <v>689</v>
      </c>
      <c r="H30" s="64"/>
      <c r="I30" s="61"/>
      <c r="J30" s="61" t="s">
        <v>173</v>
      </c>
      <c r="K30" s="64"/>
      <c r="L30" s="64"/>
      <c r="M30" s="100"/>
      <c r="N30" s="100"/>
    </row>
    <row r="31" s="75" customFormat="1" spans="2:14">
      <c r="B31" s="270" t="s">
        <v>736</v>
      </c>
      <c r="C31" s="64" t="s">
        <v>691</v>
      </c>
      <c r="D31" s="101" t="s">
        <v>737</v>
      </c>
      <c r="E31" s="64" t="s">
        <v>671</v>
      </c>
      <c r="F31" s="101" t="s">
        <v>738</v>
      </c>
      <c r="G31" s="221" t="s">
        <v>689</v>
      </c>
      <c r="H31" s="64"/>
      <c r="I31" s="61"/>
      <c r="J31" s="61" t="s">
        <v>173</v>
      </c>
      <c r="K31" s="64"/>
      <c r="L31" s="64"/>
      <c r="M31" s="100"/>
      <c r="N31" s="100"/>
    </row>
    <row r="32" s="75" customFormat="1" spans="2:14">
      <c r="B32" s="270" t="s">
        <v>739</v>
      </c>
      <c r="C32" s="64" t="s">
        <v>691</v>
      </c>
      <c r="D32" s="101" t="s">
        <v>739</v>
      </c>
      <c r="E32" s="64" t="s">
        <v>671</v>
      </c>
      <c r="F32" s="101" t="s">
        <v>246</v>
      </c>
      <c r="G32" s="221" t="s">
        <v>740</v>
      </c>
      <c r="H32" s="64"/>
      <c r="I32" s="61"/>
      <c r="J32" s="61" t="s">
        <v>173</v>
      </c>
      <c r="K32" s="64"/>
      <c r="L32" s="64"/>
      <c r="M32" s="100"/>
      <c r="N32" s="100"/>
    </row>
    <row r="33" s="75" customFormat="1" spans="2:14">
      <c r="B33" s="270" t="s">
        <v>741</v>
      </c>
      <c r="C33" s="64" t="s">
        <v>691</v>
      </c>
      <c r="D33" s="101" t="s">
        <v>742</v>
      </c>
      <c r="E33" s="64" t="s">
        <v>671</v>
      </c>
      <c r="F33" s="101" t="s">
        <v>246</v>
      </c>
      <c r="G33" s="221" t="s">
        <v>689</v>
      </c>
      <c r="H33" s="64"/>
      <c r="I33" s="61"/>
      <c r="J33" s="61" t="s">
        <v>173</v>
      </c>
      <c r="K33" s="64"/>
      <c r="L33" s="64"/>
      <c r="M33" s="100"/>
      <c r="N33" s="100"/>
    </row>
    <row r="34" s="75" customFormat="1" spans="2:14">
      <c r="B34" s="270" t="s">
        <v>743</v>
      </c>
      <c r="C34" s="64" t="s">
        <v>691</v>
      </c>
      <c r="D34" s="101" t="s">
        <v>744</v>
      </c>
      <c r="E34" s="64" t="s">
        <v>671</v>
      </c>
      <c r="F34" s="101"/>
      <c r="G34" s="221" t="s">
        <v>1693</v>
      </c>
      <c r="H34" s="64"/>
      <c r="I34" s="61"/>
      <c r="J34" s="61" t="s">
        <v>173</v>
      </c>
      <c r="K34" s="64"/>
      <c r="L34" s="64"/>
      <c r="M34" s="100"/>
      <c r="N34" s="100"/>
    </row>
    <row r="35" spans="2:12">
      <c r="B35" s="287" t="s">
        <v>746</v>
      </c>
      <c r="C35" s="229" t="s">
        <v>175</v>
      </c>
      <c r="D35" s="229" t="s">
        <v>747</v>
      </c>
      <c r="E35" s="201" t="s">
        <v>422</v>
      </c>
      <c r="F35" s="229" t="s">
        <v>746</v>
      </c>
      <c r="G35" s="200" t="s">
        <v>748</v>
      </c>
      <c r="H35" s="229"/>
      <c r="I35" s="229"/>
      <c r="J35" s="61" t="s">
        <v>173</v>
      </c>
      <c r="K35" s="229" t="s">
        <v>749</v>
      </c>
      <c r="L35" s="229" t="s">
        <v>750</v>
      </c>
    </row>
    <row r="36" s="75" customFormat="1" spans="2:14">
      <c r="B36" s="270" t="s">
        <v>751</v>
      </c>
      <c r="C36" s="64" t="s">
        <v>687</v>
      </c>
      <c r="D36" s="101" t="s">
        <v>752</v>
      </c>
      <c r="E36" s="64" t="s">
        <v>671</v>
      </c>
      <c r="F36" s="101"/>
      <c r="G36" s="221" t="s">
        <v>753</v>
      </c>
      <c r="H36" s="101"/>
      <c r="I36" s="61"/>
      <c r="J36" s="61" t="s">
        <v>173</v>
      </c>
      <c r="K36" s="64"/>
      <c r="L36" s="64"/>
      <c r="M36" s="100"/>
      <c r="N36" s="100"/>
    </row>
    <row r="37" s="75" customFormat="1" spans="2:14">
      <c r="B37" s="269" t="s">
        <v>754</v>
      </c>
      <c r="C37" s="64" t="s">
        <v>706</v>
      </c>
      <c r="D37" s="101" t="s">
        <v>755</v>
      </c>
      <c r="E37" s="64" t="s">
        <v>671</v>
      </c>
      <c r="F37" s="101"/>
      <c r="G37" s="221" t="s">
        <v>756</v>
      </c>
      <c r="H37" s="101"/>
      <c r="I37" s="61"/>
      <c r="J37" s="61"/>
      <c r="K37" s="64"/>
      <c r="L37" s="64"/>
      <c r="M37" s="100"/>
      <c r="N37" s="100"/>
    </row>
    <row r="38" s="75" customFormat="1" spans="2:14">
      <c r="B38" s="269" t="s">
        <v>757</v>
      </c>
      <c r="C38" s="64" t="s">
        <v>706</v>
      </c>
      <c r="D38" s="101" t="s">
        <v>758</v>
      </c>
      <c r="E38" s="64" t="s">
        <v>671</v>
      </c>
      <c r="F38" s="101"/>
      <c r="G38" s="221" t="s">
        <v>759</v>
      </c>
      <c r="H38" s="101"/>
      <c r="I38" s="61"/>
      <c r="J38" s="61"/>
      <c r="K38" s="64"/>
      <c r="L38" s="64"/>
      <c r="M38" s="100"/>
      <c r="N38" s="100"/>
    </row>
    <row r="39" s="75" customFormat="1" spans="2:14">
      <c r="B39" s="269" t="s">
        <v>760</v>
      </c>
      <c r="C39" s="64" t="s">
        <v>706</v>
      </c>
      <c r="D39" s="101" t="s">
        <v>761</v>
      </c>
      <c r="E39" s="64" t="s">
        <v>671</v>
      </c>
      <c r="F39" s="101"/>
      <c r="G39" s="221" t="s">
        <v>762</v>
      </c>
      <c r="H39" s="101"/>
      <c r="I39" s="61"/>
      <c r="J39" s="61"/>
      <c r="K39" s="64"/>
      <c r="L39" s="64"/>
      <c r="M39" s="100"/>
      <c r="N39" s="100"/>
    </row>
    <row r="40" s="75" customFormat="1" spans="2:14">
      <c r="B40" s="269" t="s">
        <v>763</v>
      </c>
      <c r="C40" s="64" t="s">
        <v>706</v>
      </c>
      <c r="D40" s="101" t="s">
        <v>764</v>
      </c>
      <c r="E40" s="64" t="s">
        <v>671</v>
      </c>
      <c r="F40" s="101"/>
      <c r="G40" s="221" t="s">
        <v>765</v>
      </c>
      <c r="H40" s="101"/>
      <c r="I40" s="61"/>
      <c r="J40" s="61"/>
      <c r="K40" s="64"/>
      <c r="L40" s="64"/>
      <c r="M40" s="100"/>
      <c r="N40" s="100"/>
    </row>
    <row r="41" s="75" customFormat="1" spans="2:14">
      <c r="B41" s="269" t="s">
        <v>766</v>
      </c>
      <c r="C41" s="64" t="s">
        <v>706</v>
      </c>
      <c r="D41" s="101" t="s">
        <v>767</v>
      </c>
      <c r="E41" s="64" t="s">
        <v>671</v>
      </c>
      <c r="F41" s="101"/>
      <c r="G41" s="221" t="s">
        <v>768</v>
      </c>
      <c r="H41" s="101"/>
      <c r="I41" s="61"/>
      <c r="J41" s="61"/>
      <c r="K41" s="64"/>
      <c r="L41" s="64"/>
      <c r="M41" s="100"/>
      <c r="N41" s="100"/>
    </row>
    <row r="42" s="75" customFormat="1" spans="2:14">
      <c r="B42" s="269" t="s">
        <v>769</v>
      </c>
      <c r="C42" s="64" t="s">
        <v>706</v>
      </c>
      <c r="D42" s="101" t="s">
        <v>770</v>
      </c>
      <c r="E42" s="64" t="s">
        <v>671</v>
      </c>
      <c r="F42" s="101"/>
      <c r="G42" s="221" t="s">
        <v>771</v>
      </c>
      <c r="H42" s="101"/>
      <c r="I42" s="61"/>
      <c r="J42" s="61"/>
      <c r="K42" s="64"/>
      <c r="L42" s="64"/>
      <c r="M42" s="100"/>
      <c r="N42" s="100"/>
    </row>
    <row r="43" s="75" customFormat="1" spans="2:14">
      <c r="B43" s="269" t="s">
        <v>772</v>
      </c>
      <c r="C43" s="64" t="s">
        <v>706</v>
      </c>
      <c r="D43" s="101" t="s">
        <v>773</v>
      </c>
      <c r="E43" s="64" t="s">
        <v>671</v>
      </c>
      <c r="F43" s="101"/>
      <c r="G43" s="221" t="s">
        <v>774</v>
      </c>
      <c r="H43" s="101"/>
      <c r="I43" s="61"/>
      <c r="J43" s="61"/>
      <c r="K43" s="64"/>
      <c r="L43" s="64"/>
      <c r="M43" s="100"/>
      <c r="N43" s="100"/>
    </row>
    <row r="44" s="75" customFormat="1" spans="2:14">
      <c r="B44" s="269" t="s">
        <v>775</v>
      </c>
      <c r="C44" s="64" t="s">
        <v>706</v>
      </c>
      <c r="D44" s="101" t="s">
        <v>776</v>
      </c>
      <c r="E44" s="64" t="s">
        <v>671</v>
      </c>
      <c r="F44" s="101"/>
      <c r="G44" s="221" t="s">
        <v>777</v>
      </c>
      <c r="H44" s="101"/>
      <c r="I44" s="61"/>
      <c r="J44" s="61"/>
      <c r="K44" s="64"/>
      <c r="L44" s="64"/>
      <c r="M44" s="100"/>
      <c r="N44" s="100"/>
    </row>
    <row r="45" s="75" customFormat="1" spans="2:14">
      <c r="B45" s="269" t="s">
        <v>778</v>
      </c>
      <c r="C45" s="64" t="s">
        <v>706</v>
      </c>
      <c r="D45" s="101" t="s">
        <v>779</v>
      </c>
      <c r="E45" s="64" t="s">
        <v>671</v>
      </c>
      <c r="F45" s="101"/>
      <c r="G45" s="221" t="s">
        <v>780</v>
      </c>
      <c r="H45" s="101"/>
      <c r="I45" s="61"/>
      <c r="J45" s="61"/>
      <c r="K45" s="64"/>
      <c r="L45" s="64"/>
      <c r="M45" s="100"/>
      <c r="N45" s="100"/>
    </row>
    <row r="46" s="75" customFormat="1" spans="2:14">
      <c r="B46" s="269" t="s">
        <v>781</v>
      </c>
      <c r="C46" s="64" t="s">
        <v>706</v>
      </c>
      <c r="D46" s="101" t="s">
        <v>782</v>
      </c>
      <c r="E46" s="64" t="s">
        <v>671</v>
      </c>
      <c r="F46" s="101"/>
      <c r="G46" s="221" t="s">
        <v>783</v>
      </c>
      <c r="H46" s="101"/>
      <c r="I46" s="61"/>
      <c r="J46" s="61"/>
      <c r="K46" s="64"/>
      <c r="L46" s="64"/>
      <c r="M46" s="100"/>
      <c r="N46" s="100"/>
    </row>
    <row r="47" s="75" customFormat="1" spans="2:14">
      <c r="B47" s="269" t="s">
        <v>784</v>
      </c>
      <c r="C47" s="64" t="s">
        <v>706</v>
      </c>
      <c r="D47" s="101" t="s">
        <v>785</v>
      </c>
      <c r="E47" s="64" t="s">
        <v>671</v>
      </c>
      <c r="F47" s="101"/>
      <c r="G47" s="221" t="s">
        <v>786</v>
      </c>
      <c r="H47" s="101"/>
      <c r="I47" s="61"/>
      <c r="J47" s="61"/>
      <c r="K47" s="64"/>
      <c r="L47" s="64"/>
      <c r="M47" s="100"/>
      <c r="N47" s="100"/>
    </row>
    <row r="48" s="75" customFormat="1" spans="2:14">
      <c r="B48" s="269" t="s">
        <v>787</v>
      </c>
      <c r="C48" s="64" t="s">
        <v>706</v>
      </c>
      <c r="D48" s="101" t="s">
        <v>788</v>
      </c>
      <c r="E48" s="64" t="s">
        <v>671</v>
      </c>
      <c r="F48" s="101"/>
      <c r="G48" s="221" t="s">
        <v>789</v>
      </c>
      <c r="H48" s="101"/>
      <c r="I48" s="61"/>
      <c r="J48" s="61"/>
      <c r="K48" s="64"/>
      <c r="L48" s="64"/>
      <c r="M48" s="100"/>
      <c r="N48" s="100"/>
    </row>
    <row r="49" s="75" customFormat="1" spans="2:14">
      <c r="B49" s="269" t="s">
        <v>790</v>
      </c>
      <c r="C49" s="64" t="s">
        <v>706</v>
      </c>
      <c r="D49" s="101" t="s">
        <v>791</v>
      </c>
      <c r="E49" s="64" t="s">
        <v>671</v>
      </c>
      <c r="F49" s="101"/>
      <c r="G49" s="221" t="s">
        <v>792</v>
      </c>
      <c r="H49" s="101"/>
      <c r="I49" s="61"/>
      <c r="J49" s="61"/>
      <c r="K49" s="64"/>
      <c r="L49" s="64"/>
      <c r="M49" s="100"/>
      <c r="N49" s="100"/>
    </row>
    <row r="50" s="75" customFormat="1" spans="2:14">
      <c r="B50" s="269" t="s">
        <v>793</v>
      </c>
      <c r="C50" s="64" t="s">
        <v>706</v>
      </c>
      <c r="D50" s="101" t="s">
        <v>794</v>
      </c>
      <c r="E50" s="64" t="s">
        <v>671</v>
      </c>
      <c r="F50" s="101"/>
      <c r="G50" s="221" t="s">
        <v>795</v>
      </c>
      <c r="H50" s="101"/>
      <c r="I50" s="61"/>
      <c r="J50" s="61"/>
      <c r="K50" s="64"/>
      <c r="L50" s="64"/>
      <c r="M50" s="100"/>
      <c r="N50" s="100"/>
    </row>
    <row r="51" s="75" customFormat="1" spans="2:14">
      <c r="B51" s="269" t="s">
        <v>796</v>
      </c>
      <c r="C51" s="64" t="s">
        <v>706</v>
      </c>
      <c r="D51" s="101" t="s">
        <v>797</v>
      </c>
      <c r="E51" s="64" t="s">
        <v>671</v>
      </c>
      <c r="F51" s="101"/>
      <c r="G51" s="221" t="s">
        <v>798</v>
      </c>
      <c r="H51" s="101"/>
      <c r="I51" s="61"/>
      <c r="J51" s="61"/>
      <c r="K51" s="64"/>
      <c r="L51" s="64"/>
      <c r="M51" s="100"/>
      <c r="N51" s="100"/>
    </row>
    <row r="52" s="75" customFormat="1" spans="2:14">
      <c r="B52" s="269" t="s">
        <v>799</v>
      </c>
      <c r="C52" s="64" t="s">
        <v>706</v>
      </c>
      <c r="D52" s="101" t="s">
        <v>800</v>
      </c>
      <c r="E52" s="64" t="s">
        <v>671</v>
      </c>
      <c r="F52" s="101"/>
      <c r="G52" s="221" t="s">
        <v>801</v>
      </c>
      <c r="H52" s="101"/>
      <c r="I52" s="61"/>
      <c r="J52" s="61"/>
      <c r="K52" s="64"/>
      <c r="L52" s="64"/>
      <c r="M52" s="100"/>
      <c r="N52" s="100"/>
    </row>
    <row r="53" s="75" customFormat="1" spans="2:14">
      <c r="B53" s="269" t="s">
        <v>802</v>
      </c>
      <c r="C53" s="64" t="s">
        <v>706</v>
      </c>
      <c r="D53" s="101" t="s">
        <v>803</v>
      </c>
      <c r="E53" s="64" t="s">
        <v>671</v>
      </c>
      <c r="F53" s="101"/>
      <c r="G53" s="221" t="s">
        <v>804</v>
      </c>
      <c r="H53" s="101"/>
      <c r="I53" s="61"/>
      <c r="J53" s="61"/>
      <c r="K53" s="64"/>
      <c r="L53" s="64"/>
      <c r="M53" s="100"/>
      <c r="N53" s="100"/>
    </row>
    <row r="54" s="75" customFormat="1" spans="2:14">
      <c r="B54" s="269" t="s">
        <v>805</v>
      </c>
      <c r="C54" s="64" t="s">
        <v>706</v>
      </c>
      <c r="D54" s="101" t="s">
        <v>806</v>
      </c>
      <c r="E54" s="64" t="s">
        <v>671</v>
      </c>
      <c r="F54" s="101"/>
      <c r="G54" s="221" t="s">
        <v>807</v>
      </c>
      <c r="H54" s="101"/>
      <c r="I54" s="61"/>
      <c r="J54" s="61"/>
      <c r="K54" s="64"/>
      <c r="L54" s="64"/>
      <c r="M54" s="100"/>
      <c r="N54" s="100"/>
    </row>
    <row r="55" s="75" customFormat="1" spans="2:14">
      <c r="B55" s="269" t="s">
        <v>808</v>
      </c>
      <c r="C55" s="64" t="s">
        <v>706</v>
      </c>
      <c r="D55" s="101" t="s">
        <v>809</v>
      </c>
      <c r="E55" s="64" t="s">
        <v>671</v>
      </c>
      <c r="F55" s="101"/>
      <c r="G55" s="221" t="s">
        <v>810</v>
      </c>
      <c r="H55" s="101"/>
      <c r="I55" s="61"/>
      <c r="J55" s="61"/>
      <c r="K55" s="64"/>
      <c r="L55" s="64"/>
      <c r="M55" s="100"/>
      <c r="N55" s="100"/>
    </row>
    <row r="56" s="75" customFormat="1" spans="2:14">
      <c r="B56" s="269" t="s">
        <v>811</v>
      </c>
      <c r="C56" s="64" t="s">
        <v>706</v>
      </c>
      <c r="D56" s="101" t="s">
        <v>812</v>
      </c>
      <c r="E56" s="64" t="s">
        <v>671</v>
      </c>
      <c r="F56" s="101"/>
      <c r="G56" s="221" t="s">
        <v>813</v>
      </c>
      <c r="H56" s="101"/>
      <c r="I56" s="61"/>
      <c r="J56" s="61"/>
      <c r="K56" s="64"/>
      <c r="L56" s="64"/>
      <c r="M56" s="100"/>
      <c r="N56" s="100"/>
    </row>
    <row r="57" s="75" customFormat="1" spans="2:14">
      <c r="B57" s="269" t="s">
        <v>814</v>
      </c>
      <c r="C57" s="64" t="s">
        <v>706</v>
      </c>
      <c r="D57" s="101" t="s">
        <v>815</v>
      </c>
      <c r="E57" s="64" t="s">
        <v>671</v>
      </c>
      <c r="F57" s="101"/>
      <c r="G57" s="221" t="s">
        <v>1749</v>
      </c>
      <c r="H57" s="101"/>
      <c r="I57" s="61"/>
      <c r="J57" s="61"/>
      <c r="K57" s="64"/>
      <c r="L57" s="64"/>
      <c r="M57" s="100"/>
      <c r="N57" s="100"/>
    </row>
    <row r="58" s="75" customFormat="1" spans="2:14">
      <c r="B58" s="269" t="s">
        <v>817</v>
      </c>
      <c r="C58" s="64" t="s">
        <v>706</v>
      </c>
      <c r="D58" s="101" t="s">
        <v>818</v>
      </c>
      <c r="E58" s="64" t="s">
        <v>671</v>
      </c>
      <c r="F58" s="101"/>
      <c r="G58" s="221" t="s">
        <v>819</v>
      </c>
      <c r="H58" s="101"/>
      <c r="I58" s="61"/>
      <c r="J58" s="61"/>
      <c r="K58" s="64"/>
      <c r="L58" s="64"/>
      <c r="M58" s="100"/>
      <c r="N58" s="100"/>
    </row>
    <row r="59" s="75" customFormat="1" spans="2:14">
      <c r="B59" s="269" t="s">
        <v>820</v>
      </c>
      <c r="C59" s="64" t="s">
        <v>706</v>
      </c>
      <c r="D59" s="101" t="s">
        <v>821</v>
      </c>
      <c r="E59" s="64" t="s">
        <v>671</v>
      </c>
      <c r="F59" s="101"/>
      <c r="G59" s="221" t="s">
        <v>822</v>
      </c>
      <c r="H59" s="101"/>
      <c r="I59" s="61"/>
      <c r="J59" s="61"/>
      <c r="K59" s="64"/>
      <c r="L59" s="64"/>
      <c r="M59" s="100"/>
      <c r="N59" s="100"/>
    </row>
    <row r="60" s="75" customFormat="1" spans="2:14">
      <c r="B60" s="269" t="s">
        <v>823</v>
      </c>
      <c r="C60" s="64" t="s">
        <v>706</v>
      </c>
      <c r="D60" s="101" t="s">
        <v>824</v>
      </c>
      <c r="E60" s="64" t="s">
        <v>671</v>
      </c>
      <c r="F60" s="101"/>
      <c r="G60" s="221" t="s">
        <v>1870</v>
      </c>
      <c r="H60" s="101"/>
      <c r="I60" s="61"/>
      <c r="J60" s="61"/>
      <c r="K60" s="64"/>
      <c r="L60" s="64"/>
      <c r="M60" s="100"/>
      <c r="N60" s="100"/>
    </row>
    <row r="61" s="75" customFormat="1" spans="2:14">
      <c r="B61" s="269" t="s">
        <v>826</v>
      </c>
      <c r="C61" s="64" t="s">
        <v>706</v>
      </c>
      <c r="D61" s="101" t="s">
        <v>827</v>
      </c>
      <c r="E61" s="64" t="s">
        <v>671</v>
      </c>
      <c r="F61" s="101"/>
      <c r="G61" s="221" t="s">
        <v>1871</v>
      </c>
      <c r="H61" s="101"/>
      <c r="I61" s="61"/>
      <c r="J61" s="61"/>
      <c r="K61" s="64"/>
      <c r="L61" s="64"/>
      <c r="M61" s="100"/>
      <c r="N61" s="100"/>
    </row>
    <row r="62" s="75" customFormat="1" ht="17.4" spans="2:14">
      <c r="B62" s="269" t="s">
        <v>829</v>
      </c>
      <c r="C62" s="64" t="s">
        <v>706</v>
      </c>
      <c r="D62" s="101" t="s">
        <v>830</v>
      </c>
      <c r="E62" s="64" t="s">
        <v>671</v>
      </c>
      <c r="F62" s="101"/>
      <c r="G62" s="221" t="s">
        <v>831</v>
      </c>
      <c r="H62" s="290"/>
      <c r="I62" s="61"/>
      <c r="J62" s="61"/>
      <c r="K62" s="64"/>
      <c r="L62" s="64"/>
      <c r="M62" s="100"/>
      <c r="N62" s="100"/>
    </row>
    <row r="63" s="75" customFormat="1" ht="17.4" spans="2:14">
      <c r="B63" s="269" t="s">
        <v>832</v>
      </c>
      <c r="C63" s="64" t="s">
        <v>706</v>
      </c>
      <c r="D63" s="101" t="s">
        <v>833</v>
      </c>
      <c r="E63" s="64" t="s">
        <v>671</v>
      </c>
      <c r="F63" s="101"/>
      <c r="G63" s="221" t="s">
        <v>834</v>
      </c>
      <c r="H63" s="291"/>
      <c r="I63" s="61"/>
      <c r="J63" s="61"/>
      <c r="K63" s="64"/>
      <c r="L63" s="64"/>
      <c r="M63" s="100"/>
      <c r="N63" s="100"/>
    </row>
    <row r="64" spans="2:12">
      <c r="B64" s="229" t="s">
        <v>835</v>
      </c>
      <c r="C64" s="229" t="s">
        <v>229</v>
      </c>
      <c r="D64" s="229" t="s">
        <v>836</v>
      </c>
      <c r="E64" s="201" t="s">
        <v>422</v>
      </c>
      <c r="F64" s="229"/>
      <c r="G64" s="200" t="s">
        <v>837</v>
      </c>
      <c r="H64" s="229"/>
      <c r="I64" s="229"/>
      <c r="J64" s="201"/>
      <c r="K64" s="229" t="s">
        <v>231</v>
      </c>
      <c r="L64" s="229" t="s">
        <v>838</v>
      </c>
    </row>
    <row r="65" s="75" customFormat="1" spans="2:14">
      <c r="B65" s="269" t="s">
        <v>839</v>
      </c>
      <c r="C65" s="64" t="s">
        <v>203</v>
      </c>
      <c r="D65" s="101" t="s">
        <v>840</v>
      </c>
      <c r="E65" s="64" t="s">
        <v>671</v>
      </c>
      <c r="F65" s="101"/>
      <c r="G65" s="221" t="s">
        <v>841</v>
      </c>
      <c r="H65" s="101"/>
      <c r="I65" s="61"/>
      <c r="J65" s="61"/>
      <c r="K65" s="64"/>
      <c r="L65" s="64"/>
      <c r="M65" s="100"/>
      <c r="N65" s="100"/>
    </row>
    <row r="66" s="75" customFormat="1" spans="2:14">
      <c r="B66" s="245" t="s">
        <v>842</v>
      </c>
      <c r="C66" s="248" t="s">
        <v>203</v>
      </c>
      <c r="D66" s="200" t="s">
        <v>843</v>
      </c>
      <c r="E66" s="234" t="s">
        <v>422</v>
      </c>
      <c r="F66" s="229"/>
      <c r="G66" s="200" t="s">
        <v>1872</v>
      </c>
      <c r="H66" s="234"/>
      <c r="I66" s="239"/>
      <c r="J66" s="239"/>
      <c r="K66" s="248"/>
      <c r="L66" s="248"/>
      <c r="M66" s="100"/>
      <c r="N66" s="100"/>
    </row>
    <row r="67" spans="2:12">
      <c r="B67" s="229" t="s">
        <v>845</v>
      </c>
      <c r="C67" s="229" t="s">
        <v>229</v>
      </c>
      <c r="D67" s="229" t="s">
        <v>846</v>
      </c>
      <c r="E67" s="201" t="s">
        <v>422</v>
      </c>
      <c r="F67" s="229"/>
      <c r="G67" s="200" t="s">
        <v>847</v>
      </c>
      <c r="H67" s="229"/>
      <c r="I67" s="229"/>
      <c r="J67" s="201"/>
      <c r="K67" s="229" t="s">
        <v>231</v>
      </c>
      <c r="L67" s="229" t="s">
        <v>848</v>
      </c>
    </row>
    <row r="68" spans="2:12">
      <c r="B68" s="229" t="s">
        <v>849</v>
      </c>
      <c r="C68" s="229" t="s">
        <v>229</v>
      </c>
      <c r="D68" s="229" t="s">
        <v>850</v>
      </c>
      <c r="E68" s="201" t="s">
        <v>422</v>
      </c>
      <c r="F68" s="229"/>
      <c r="G68" s="200" t="s">
        <v>851</v>
      </c>
      <c r="H68" s="229"/>
      <c r="I68" s="229"/>
      <c r="J68" s="201"/>
      <c r="K68" s="229" t="s">
        <v>231</v>
      </c>
      <c r="L68" s="229" t="s">
        <v>852</v>
      </c>
    </row>
    <row r="69" spans="2:12">
      <c r="B69" s="229" t="s">
        <v>853</v>
      </c>
      <c r="C69" s="229" t="s">
        <v>229</v>
      </c>
      <c r="D69" s="229" t="s">
        <v>854</v>
      </c>
      <c r="E69" s="201" t="s">
        <v>422</v>
      </c>
      <c r="F69" s="229"/>
      <c r="G69" s="200" t="s">
        <v>855</v>
      </c>
      <c r="H69" s="229"/>
      <c r="I69" s="229"/>
      <c r="J69" s="201"/>
      <c r="K69" s="229" t="s">
        <v>231</v>
      </c>
      <c r="L69" s="229" t="s">
        <v>856</v>
      </c>
    </row>
    <row r="70" spans="2:12">
      <c r="B70" s="229" t="s">
        <v>857</v>
      </c>
      <c r="C70" s="229" t="s">
        <v>229</v>
      </c>
      <c r="D70" s="229" t="s">
        <v>858</v>
      </c>
      <c r="E70" s="201" t="s">
        <v>422</v>
      </c>
      <c r="F70" s="229"/>
      <c r="G70" s="200" t="s">
        <v>859</v>
      </c>
      <c r="H70" s="229"/>
      <c r="I70" s="229"/>
      <c r="J70" s="201"/>
      <c r="K70" s="229" t="s">
        <v>231</v>
      </c>
      <c r="L70" s="229" t="s">
        <v>860</v>
      </c>
    </row>
    <row r="71" spans="2:12">
      <c r="B71" s="229" t="s">
        <v>861</v>
      </c>
      <c r="C71" s="229" t="s">
        <v>229</v>
      </c>
      <c r="D71" s="229" t="s">
        <v>862</v>
      </c>
      <c r="E71" s="201" t="s">
        <v>422</v>
      </c>
      <c r="F71" s="229"/>
      <c r="G71" s="200" t="s">
        <v>863</v>
      </c>
      <c r="H71" s="229"/>
      <c r="I71" s="229"/>
      <c r="J71" s="201"/>
      <c r="K71" s="229" t="s">
        <v>231</v>
      </c>
      <c r="L71" s="229" t="s">
        <v>864</v>
      </c>
    </row>
    <row r="72" spans="2:12">
      <c r="B72" s="229" t="s">
        <v>865</v>
      </c>
      <c r="C72" s="229" t="s">
        <v>203</v>
      </c>
      <c r="D72" s="229" t="s">
        <v>866</v>
      </c>
      <c r="E72" s="201" t="s">
        <v>422</v>
      </c>
      <c r="F72" s="229"/>
      <c r="G72" s="200" t="s">
        <v>867</v>
      </c>
      <c r="H72" s="229"/>
      <c r="I72" s="229"/>
      <c r="J72" s="201"/>
      <c r="K72" s="229" t="s">
        <v>868</v>
      </c>
      <c r="L72" s="229" t="s">
        <v>869</v>
      </c>
    </row>
    <row r="73" spans="2:12">
      <c r="B73" s="229" t="s">
        <v>870</v>
      </c>
      <c r="C73" s="229" t="s">
        <v>203</v>
      </c>
      <c r="D73" s="229" t="s">
        <v>871</v>
      </c>
      <c r="E73" s="201" t="s">
        <v>422</v>
      </c>
      <c r="F73" s="229"/>
      <c r="G73" s="200" t="s">
        <v>872</v>
      </c>
      <c r="H73" s="229"/>
      <c r="I73" s="229"/>
      <c r="J73" s="201"/>
      <c r="K73" s="229" t="s">
        <v>749</v>
      </c>
      <c r="L73" s="229" t="s">
        <v>873</v>
      </c>
    </row>
    <row r="74" s="75" customFormat="1" spans="2:14">
      <c r="B74" s="269" t="s">
        <v>874</v>
      </c>
      <c r="C74" s="64" t="s">
        <v>203</v>
      </c>
      <c r="D74" s="101" t="s">
        <v>875</v>
      </c>
      <c r="E74" s="64" t="s">
        <v>671</v>
      </c>
      <c r="F74" s="246"/>
      <c r="G74" s="243" t="s">
        <v>876</v>
      </c>
      <c r="H74" s="101"/>
      <c r="I74" s="61"/>
      <c r="J74" s="61"/>
      <c r="K74" s="64"/>
      <c r="L74" s="64"/>
      <c r="M74" s="100"/>
      <c r="N74" s="100"/>
    </row>
    <row r="75" s="75" customFormat="1" spans="2:14">
      <c r="B75" s="269" t="s">
        <v>877</v>
      </c>
      <c r="C75" s="64" t="s">
        <v>706</v>
      </c>
      <c r="D75" s="101" t="s">
        <v>878</v>
      </c>
      <c r="E75" s="64" t="s">
        <v>671</v>
      </c>
      <c r="F75" s="101"/>
      <c r="G75" s="221" t="s">
        <v>879</v>
      </c>
      <c r="H75" s="101"/>
      <c r="I75" s="61"/>
      <c r="J75" s="61"/>
      <c r="K75" s="64"/>
      <c r="L75" s="64"/>
      <c r="M75" s="100"/>
      <c r="N75" s="100"/>
    </row>
    <row r="76" s="75" customFormat="1" spans="2:14">
      <c r="B76" s="269" t="s">
        <v>880</v>
      </c>
      <c r="C76" s="64" t="s">
        <v>706</v>
      </c>
      <c r="D76" s="101" t="s">
        <v>881</v>
      </c>
      <c r="E76" s="64" t="s">
        <v>671</v>
      </c>
      <c r="F76" s="101"/>
      <c r="G76" s="221" t="s">
        <v>882</v>
      </c>
      <c r="H76" s="101"/>
      <c r="I76" s="61"/>
      <c r="J76" s="61"/>
      <c r="K76" s="64"/>
      <c r="L76" s="64"/>
      <c r="M76" s="100"/>
      <c r="N76" s="100"/>
    </row>
    <row r="77" s="75" customFormat="1" spans="2:14">
      <c r="B77" s="269" t="s">
        <v>883</v>
      </c>
      <c r="C77" s="64" t="s">
        <v>706</v>
      </c>
      <c r="D77" s="101" t="s">
        <v>884</v>
      </c>
      <c r="E77" s="64" t="s">
        <v>671</v>
      </c>
      <c r="F77" s="101"/>
      <c r="G77" s="221" t="s">
        <v>885</v>
      </c>
      <c r="H77" s="101"/>
      <c r="I77" s="61"/>
      <c r="J77" s="61"/>
      <c r="K77" s="64"/>
      <c r="L77" s="64"/>
      <c r="M77" s="100"/>
      <c r="N77" s="100"/>
    </row>
    <row r="78" s="75" customFormat="1" spans="2:14">
      <c r="B78" s="269" t="s">
        <v>886</v>
      </c>
      <c r="C78" s="64" t="s">
        <v>706</v>
      </c>
      <c r="D78" s="101" t="s">
        <v>887</v>
      </c>
      <c r="E78" s="64" t="s">
        <v>671</v>
      </c>
      <c r="F78" s="101"/>
      <c r="G78" s="221" t="s">
        <v>888</v>
      </c>
      <c r="H78" s="101"/>
      <c r="I78" s="61"/>
      <c r="J78" s="61"/>
      <c r="K78" s="64"/>
      <c r="L78" s="64"/>
      <c r="M78" s="100"/>
      <c r="N78" s="100"/>
    </row>
    <row r="79" s="75" customFormat="1" spans="2:14">
      <c r="B79" s="269" t="s">
        <v>889</v>
      </c>
      <c r="C79" s="64" t="s">
        <v>706</v>
      </c>
      <c r="D79" s="101" t="s">
        <v>890</v>
      </c>
      <c r="E79" s="64" t="s">
        <v>671</v>
      </c>
      <c r="F79" s="101"/>
      <c r="G79" s="221" t="s">
        <v>891</v>
      </c>
      <c r="H79" s="101"/>
      <c r="I79" s="61"/>
      <c r="J79" s="61"/>
      <c r="K79" s="64"/>
      <c r="L79" s="64"/>
      <c r="M79" s="100"/>
      <c r="N79" s="100"/>
    </row>
    <row r="80" spans="1:12">
      <c r="A80" s="192"/>
      <c r="B80" s="292" t="s">
        <v>892</v>
      </c>
      <c r="C80" s="64" t="s">
        <v>706</v>
      </c>
      <c r="D80" s="101" t="s">
        <v>893</v>
      </c>
      <c r="E80" s="64" t="s">
        <v>671</v>
      </c>
      <c r="F80" s="101"/>
      <c r="G80" s="221" t="s">
        <v>894</v>
      </c>
      <c r="H80" s="101"/>
      <c r="I80" s="61"/>
      <c r="J80" s="61"/>
      <c r="K80" s="64"/>
      <c r="L80" s="64"/>
    </row>
    <row r="81" s="75" customFormat="1" spans="2:14">
      <c r="B81" s="269" t="s">
        <v>895</v>
      </c>
      <c r="C81" s="64" t="s">
        <v>203</v>
      </c>
      <c r="D81" s="101" t="s">
        <v>896</v>
      </c>
      <c r="E81" s="64" t="s">
        <v>671</v>
      </c>
      <c r="F81" s="101"/>
      <c r="G81" s="221" t="s">
        <v>897</v>
      </c>
      <c r="H81" s="101"/>
      <c r="I81" s="61"/>
      <c r="J81" s="61"/>
      <c r="K81" s="64"/>
      <c r="L81" s="64"/>
      <c r="M81" s="100"/>
      <c r="N81" s="100"/>
    </row>
    <row r="82" s="75" customFormat="1" spans="2:14">
      <c r="B82" s="269" t="s">
        <v>898</v>
      </c>
      <c r="C82" s="64" t="s">
        <v>706</v>
      </c>
      <c r="D82" s="101" t="s">
        <v>899</v>
      </c>
      <c r="E82" s="64" t="s">
        <v>671</v>
      </c>
      <c r="F82" s="101"/>
      <c r="G82" s="221" t="s">
        <v>900</v>
      </c>
      <c r="H82" s="101"/>
      <c r="I82" s="61"/>
      <c r="J82" s="61"/>
      <c r="K82" s="64"/>
      <c r="L82" s="64"/>
      <c r="M82" s="100"/>
      <c r="N82" s="100"/>
    </row>
    <row r="83" s="75" customFormat="1" spans="2:14">
      <c r="B83" s="269" t="s">
        <v>901</v>
      </c>
      <c r="C83" s="64" t="s">
        <v>706</v>
      </c>
      <c r="D83" s="101" t="s">
        <v>902</v>
      </c>
      <c r="E83" s="64" t="s">
        <v>671</v>
      </c>
      <c r="F83" s="101"/>
      <c r="G83" s="221" t="s">
        <v>903</v>
      </c>
      <c r="H83" s="101"/>
      <c r="I83" s="61"/>
      <c r="J83" s="61"/>
      <c r="K83" s="64"/>
      <c r="L83" s="64"/>
      <c r="M83" s="100"/>
      <c r="N83" s="100"/>
    </row>
    <row r="84" s="75" customFormat="1" spans="2:14">
      <c r="B84" s="269" t="s">
        <v>904</v>
      </c>
      <c r="C84" s="64" t="s">
        <v>706</v>
      </c>
      <c r="D84" s="101" t="s">
        <v>905</v>
      </c>
      <c r="E84" s="64" t="s">
        <v>671</v>
      </c>
      <c r="F84" s="101"/>
      <c r="G84" s="221" t="s">
        <v>906</v>
      </c>
      <c r="H84" s="101"/>
      <c r="I84" s="61"/>
      <c r="J84" s="61"/>
      <c r="K84" s="64"/>
      <c r="L84" s="64"/>
      <c r="M84" s="100"/>
      <c r="N84" s="100"/>
    </row>
    <row r="85" s="75" customFormat="1" spans="2:14">
      <c r="B85" s="269" t="s">
        <v>907</v>
      </c>
      <c r="C85" s="64" t="s">
        <v>706</v>
      </c>
      <c r="D85" s="101" t="s">
        <v>908</v>
      </c>
      <c r="E85" s="64" t="s">
        <v>671</v>
      </c>
      <c r="F85" s="101"/>
      <c r="G85" s="221" t="s">
        <v>909</v>
      </c>
      <c r="H85" s="101"/>
      <c r="I85" s="61"/>
      <c r="J85" s="61"/>
      <c r="K85" s="64"/>
      <c r="L85" s="64"/>
      <c r="M85" s="100"/>
      <c r="N85" s="100"/>
    </row>
    <row r="86" s="75" customFormat="1" spans="2:14">
      <c r="B86" s="269" t="s">
        <v>910</v>
      </c>
      <c r="C86" s="64" t="s">
        <v>706</v>
      </c>
      <c r="D86" s="101" t="s">
        <v>911</v>
      </c>
      <c r="E86" s="64" t="s">
        <v>671</v>
      </c>
      <c r="F86" s="101"/>
      <c r="G86" s="221" t="s">
        <v>912</v>
      </c>
      <c r="H86" s="101"/>
      <c r="I86" s="61"/>
      <c r="J86" s="61"/>
      <c r="K86" s="64"/>
      <c r="L86" s="64"/>
      <c r="M86" s="100"/>
      <c r="N86" s="100"/>
    </row>
    <row r="87" s="75" customFormat="1" spans="2:14">
      <c r="B87" s="292" t="s">
        <v>913</v>
      </c>
      <c r="C87" s="64" t="s">
        <v>706</v>
      </c>
      <c r="D87" s="101" t="s">
        <v>914</v>
      </c>
      <c r="E87" s="64" t="s">
        <v>671</v>
      </c>
      <c r="F87" s="101"/>
      <c r="G87" s="221" t="s">
        <v>1583</v>
      </c>
      <c r="H87" s="101"/>
      <c r="I87" s="61"/>
      <c r="J87" s="61"/>
      <c r="K87" s="64"/>
      <c r="L87" s="64"/>
      <c r="M87" s="100"/>
      <c r="N87" s="100"/>
    </row>
    <row r="88" s="75" customFormat="1" spans="2:14">
      <c r="B88" s="269" t="s">
        <v>916</v>
      </c>
      <c r="C88" s="64" t="s">
        <v>203</v>
      </c>
      <c r="D88" s="101" t="s">
        <v>917</v>
      </c>
      <c r="E88" s="64" t="s">
        <v>671</v>
      </c>
      <c r="F88" s="101"/>
      <c r="G88" s="221" t="s">
        <v>918</v>
      </c>
      <c r="H88" s="101"/>
      <c r="I88" s="61"/>
      <c r="J88" s="61"/>
      <c r="K88" s="64"/>
      <c r="L88" s="64"/>
      <c r="M88" s="100"/>
      <c r="N88" s="100"/>
    </row>
    <row r="89" s="75" customFormat="1" spans="2:14">
      <c r="B89" s="269" t="s">
        <v>919</v>
      </c>
      <c r="C89" s="64" t="s">
        <v>706</v>
      </c>
      <c r="D89" s="101" t="s">
        <v>920</v>
      </c>
      <c r="E89" s="64" t="s">
        <v>671</v>
      </c>
      <c r="F89" s="101"/>
      <c r="G89" s="221" t="s">
        <v>921</v>
      </c>
      <c r="H89" s="101"/>
      <c r="I89" s="61"/>
      <c r="J89" s="61"/>
      <c r="K89" s="64"/>
      <c r="L89" s="64"/>
      <c r="M89" s="100"/>
      <c r="N89" s="100"/>
    </row>
    <row r="90" s="75" customFormat="1" spans="2:14">
      <c r="B90" s="269" t="s">
        <v>922</v>
      </c>
      <c r="C90" s="64" t="s">
        <v>706</v>
      </c>
      <c r="D90" s="101" t="s">
        <v>923</v>
      </c>
      <c r="E90" s="64" t="s">
        <v>671</v>
      </c>
      <c r="F90" s="101"/>
      <c r="G90" s="221" t="s">
        <v>924</v>
      </c>
      <c r="H90" s="101"/>
      <c r="I90" s="61"/>
      <c r="J90" s="61"/>
      <c r="K90" s="64"/>
      <c r="L90" s="64"/>
      <c r="M90" s="100"/>
      <c r="N90" s="100"/>
    </row>
    <row r="91" s="75" customFormat="1" spans="2:14">
      <c r="B91" s="269" t="s">
        <v>925</v>
      </c>
      <c r="C91" s="64" t="s">
        <v>706</v>
      </c>
      <c r="D91" s="101" t="s">
        <v>926</v>
      </c>
      <c r="E91" s="64" t="s">
        <v>671</v>
      </c>
      <c r="F91" s="101"/>
      <c r="G91" s="221" t="s">
        <v>927</v>
      </c>
      <c r="H91" s="101"/>
      <c r="I91" s="61"/>
      <c r="J91" s="61"/>
      <c r="K91" s="64"/>
      <c r="L91" s="64"/>
      <c r="M91" s="100"/>
      <c r="N91" s="100"/>
    </row>
    <row r="92" s="75" customFormat="1" spans="2:14">
      <c r="B92" s="269" t="s">
        <v>928</v>
      </c>
      <c r="C92" s="64" t="s">
        <v>706</v>
      </c>
      <c r="D92" s="101" t="s">
        <v>929</v>
      </c>
      <c r="E92" s="64" t="s">
        <v>671</v>
      </c>
      <c r="F92" s="101"/>
      <c r="G92" s="221" t="s">
        <v>930</v>
      </c>
      <c r="H92" s="101"/>
      <c r="I92" s="61"/>
      <c r="J92" s="61"/>
      <c r="K92" s="64"/>
      <c r="L92" s="64"/>
      <c r="M92" s="100"/>
      <c r="N92" s="100"/>
    </row>
    <row r="93" s="75" customFormat="1" spans="2:14">
      <c r="B93" s="269" t="s">
        <v>931</v>
      </c>
      <c r="C93" s="64" t="s">
        <v>706</v>
      </c>
      <c r="D93" s="101" t="s">
        <v>932</v>
      </c>
      <c r="E93" s="64" t="s">
        <v>671</v>
      </c>
      <c r="F93" s="101"/>
      <c r="G93" s="221" t="s">
        <v>933</v>
      </c>
      <c r="H93" s="101"/>
      <c r="I93" s="61"/>
      <c r="J93" s="61"/>
      <c r="K93" s="64"/>
      <c r="L93" s="64"/>
      <c r="M93" s="100"/>
      <c r="N93" s="100"/>
    </row>
    <row r="94" s="75" customFormat="1" spans="2:14">
      <c r="B94" s="292" t="s">
        <v>934</v>
      </c>
      <c r="C94" s="64" t="s">
        <v>706</v>
      </c>
      <c r="D94" s="101" t="s">
        <v>935</v>
      </c>
      <c r="E94" s="64" t="s">
        <v>671</v>
      </c>
      <c r="F94" s="101"/>
      <c r="G94" s="221" t="s">
        <v>1873</v>
      </c>
      <c r="H94" s="101"/>
      <c r="I94" s="61"/>
      <c r="J94" s="61"/>
      <c r="K94" s="64"/>
      <c r="L94" s="64"/>
      <c r="M94" s="100"/>
      <c r="N94" s="100"/>
    </row>
    <row r="95" s="75" customFormat="1" spans="2:14">
      <c r="B95" s="269" t="s">
        <v>937</v>
      </c>
      <c r="C95" s="64" t="s">
        <v>203</v>
      </c>
      <c r="D95" s="101" t="s">
        <v>938</v>
      </c>
      <c r="E95" s="64" t="s">
        <v>671</v>
      </c>
      <c r="F95" s="101"/>
      <c r="G95" s="221" t="s">
        <v>939</v>
      </c>
      <c r="H95" s="101"/>
      <c r="I95" s="61"/>
      <c r="J95" s="61"/>
      <c r="K95" s="64"/>
      <c r="L95" s="64"/>
      <c r="M95" s="100"/>
      <c r="N95" s="100"/>
    </row>
    <row r="96" s="75" customFormat="1" spans="2:14">
      <c r="B96" s="269" t="s">
        <v>940</v>
      </c>
      <c r="C96" s="64" t="s">
        <v>706</v>
      </c>
      <c r="D96" s="101" t="s">
        <v>941</v>
      </c>
      <c r="E96" s="64" t="s">
        <v>671</v>
      </c>
      <c r="F96" s="101"/>
      <c r="G96" s="221" t="s">
        <v>942</v>
      </c>
      <c r="H96" s="101"/>
      <c r="I96" s="61"/>
      <c r="J96" s="61"/>
      <c r="K96" s="64"/>
      <c r="L96" s="64"/>
      <c r="M96" s="100"/>
      <c r="N96" s="100"/>
    </row>
    <row r="97" s="75" customFormat="1" spans="2:14">
      <c r="B97" s="269" t="s">
        <v>943</v>
      </c>
      <c r="C97" s="64" t="s">
        <v>706</v>
      </c>
      <c r="D97" s="101" t="s">
        <v>944</v>
      </c>
      <c r="E97" s="64" t="s">
        <v>671</v>
      </c>
      <c r="F97" s="101"/>
      <c r="G97" s="221" t="s">
        <v>945</v>
      </c>
      <c r="H97" s="101"/>
      <c r="I97" s="61"/>
      <c r="J97" s="61"/>
      <c r="K97" s="64"/>
      <c r="L97" s="64"/>
      <c r="M97" s="100"/>
      <c r="N97" s="100"/>
    </row>
    <row r="98" s="75" customFormat="1" spans="2:14">
      <c r="B98" s="269" t="s">
        <v>946</v>
      </c>
      <c r="C98" s="64" t="s">
        <v>706</v>
      </c>
      <c r="D98" s="101" t="s">
        <v>947</v>
      </c>
      <c r="E98" s="64" t="s">
        <v>671</v>
      </c>
      <c r="F98" s="101"/>
      <c r="G98" s="221" t="s">
        <v>948</v>
      </c>
      <c r="H98" s="101"/>
      <c r="I98" s="61"/>
      <c r="J98" s="61"/>
      <c r="K98" s="64"/>
      <c r="L98" s="64"/>
      <c r="M98" s="100"/>
      <c r="N98" s="100"/>
    </row>
    <row r="99" s="75" customFormat="1" spans="2:14">
      <c r="B99" s="269" t="s">
        <v>949</v>
      </c>
      <c r="C99" s="64" t="s">
        <v>706</v>
      </c>
      <c r="D99" s="101" t="s">
        <v>950</v>
      </c>
      <c r="E99" s="64" t="s">
        <v>671</v>
      </c>
      <c r="F99" s="101"/>
      <c r="G99" s="221" t="s">
        <v>951</v>
      </c>
      <c r="H99" s="101"/>
      <c r="I99" s="61"/>
      <c r="J99" s="61"/>
      <c r="K99" s="64"/>
      <c r="L99" s="64"/>
      <c r="M99" s="100"/>
      <c r="N99" s="100"/>
    </row>
    <row r="100" s="75" customFormat="1" spans="2:14">
      <c r="B100" s="269" t="s">
        <v>952</v>
      </c>
      <c r="C100" s="64" t="s">
        <v>706</v>
      </c>
      <c r="D100" s="101" t="s">
        <v>953</v>
      </c>
      <c r="E100" s="64" t="s">
        <v>671</v>
      </c>
      <c r="F100" s="101"/>
      <c r="G100" s="221" t="s">
        <v>954</v>
      </c>
      <c r="H100" s="101"/>
      <c r="I100" s="61"/>
      <c r="J100" s="61"/>
      <c r="K100" s="64"/>
      <c r="L100" s="64"/>
      <c r="M100" s="100"/>
      <c r="N100" s="100"/>
    </row>
    <row r="101" s="75" customFormat="1" spans="2:14">
      <c r="B101" s="269" t="s">
        <v>955</v>
      </c>
      <c r="C101" s="64" t="s">
        <v>706</v>
      </c>
      <c r="D101" s="101" t="s">
        <v>956</v>
      </c>
      <c r="E101" s="64" t="s">
        <v>671</v>
      </c>
      <c r="F101" s="101"/>
      <c r="G101" s="221" t="s">
        <v>957</v>
      </c>
      <c r="H101" s="101"/>
      <c r="I101" s="61"/>
      <c r="J101" s="61"/>
      <c r="K101" s="64"/>
      <c r="L101" s="64"/>
      <c r="M101" s="100"/>
      <c r="N101" s="100"/>
    </row>
    <row r="102" s="75" customFormat="1" spans="2:14">
      <c r="B102" s="269" t="s">
        <v>958</v>
      </c>
      <c r="C102" s="64" t="s">
        <v>706</v>
      </c>
      <c r="D102" s="101" t="s">
        <v>959</v>
      </c>
      <c r="E102" s="64" t="s">
        <v>671</v>
      </c>
      <c r="F102" s="101"/>
      <c r="G102" s="221" t="s">
        <v>960</v>
      </c>
      <c r="H102" s="101"/>
      <c r="I102" s="61"/>
      <c r="J102" s="61"/>
      <c r="K102" s="64"/>
      <c r="L102" s="64"/>
      <c r="M102" s="100"/>
      <c r="N102" s="100"/>
    </row>
    <row r="103" s="75" customFormat="1" spans="2:14">
      <c r="B103" s="269" t="s">
        <v>961</v>
      </c>
      <c r="C103" s="64" t="s">
        <v>706</v>
      </c>
      <c r="D103" s="101" t="s">
        <v>962</v>
      </c>
      <c r="E103" s="64" t="s">
        <v>671</v>
      </c>
      <c r="F103" s="101"/>
      <c r="G103" s="221" t="s">
        <v>963</v>
      </c>
      <c r="H103" s="101"/>
      <c r="I103" s="61"/>
      <c r="J103" s="61"/>
      <c r="K103" s="64"/>
      <c r="L103" s="64"/>
      <c r="M103" s="100"/>
      <c r="N103" s="100"/>
    </row>
    <row r="104" s="75" customFormat="1" spans="2:14">
      <c r="B104" s="269" t="s">
        <v>964</v>
      </c>
      <c r="C104" s="64" t="s">
        <v>706</v>
      </c>
      <c r="D104" s="101" t="s">
        <v>965</v>
      </c>
      <c r="E104" s="64" t="s">
        <v>671</v>
      </c>
      <c r="F104" s="101"/>
      <c r="G104" s="221" t="s">
        <v>1807</v>
      </c>
      <c r="H104" s="101"/>
      <c r="I104" s="61"/>
      <c r="J104" s="61"/>
      <c r="K104" s="64"/>
      <c r="L104" s="64"/>
      <c r="M104" s="100"/>
      <c r="N104" s="100"/>
    </row>
    <row r="105" s="75" customFormat="1" spans="2:14">
      <c r="B105" s="269" t="s">
        <v>967</v>
      </c>
      <c r="C105" s="64" t="s">
        <v>203</v>
      </c>
      <c r="D105" s="101" t="s">
        <v>968</v>
      </c>
      <c r="E105" s="64" t="s">
        <v>671</v>
      </c>
      <c r="F105" s="101"/>
      <c r="G105" s="221" t="s">
        <v>969</v>
      </c>
      <c r="H105" s="101"/>
      <c r="I105" s="61"/>
      <c r="J105" s="61"/>
      <c r="K105" s="64"/>
      <c r="L105" s="64"/>
      <c r="M105" s="100"/>
      <c r="N105" s="100"/>
    </row>
    <row r="106" s="75" customFormat="1" spans="2:14">
      <c r="B106" s="269" t="s">
        <v>970</v>
      </c>
      <c r="C106" s="64" t="s">
        <v>706</v>
      </c>
      <c r="D106" s="101" t="s">
        <v>971</v>
      </c>
      <c r="E106" s="64" t="s">
        <v>671</v>
      </c>
      <c r="F106" s="101"/>
      <c r="G106" s="221" t="s">
        <v>972</v>
      </c>
      <c r="H106" s="101"/>
      <c r="I106" s="61"/>
      <c r="J106" s="61"/>
      <c r="K106" s="64"/>
      <c r="L106" s="64"/>
      <c r="M106" s="100"/>
      <c r="N106" s="100"/>
    </row>
    <row r="107" s="75" customFormat="1" spans="2:14">
      <c r="B107" s="269" t="s">
        <v>973</v>
      </c>
      <c r="C107" s="64" t="s">
        <v>706</v>
      </c>
      <c r="D107" s="101" t="s">
        <v>974</v>
      </c>
      <c r="E107" s="64" t="s">
        <v>671</v>
      </c>
      <c r="F107" s="101"/>
      <c r="G107" s="221" t="s">
        <v>975</v>
      </c>
      <c r="H107" s="101"/>
      <c r="I107" s="61"/>
      <c r="J107" s="61"/>
      <c r="K107" s="64"/>
      <c r="L107" s="64"/>
      <c r="M107" s="100"/>
      <c r="N107" s="100"/>
    </row>
    <row r="108" s="75" customFormat="1" spans="2:14">
      <c r="B108" s="269" t="s">
        <v>976</v>
      </c>
      <c r="C108" s="64" t="s">
        <v>706</v>
      </c>
      <c r="D108" s="101" t="s">
        <v>977</v>
      </c>
      <c r="E108" s="64" t="s">
        <v>671</v>
      </c>
      <c r="F108" s="101"/>
      <c r="G108" s="221" t="s">
        <v>978</v>
      </c>
      <c r="H108" s="101"/>
      <c r="I108" s="61"/>
      <c r="J108" s="61"/>
      <c r="K108" s="64"/>
      <c r="L108" s="64"/>
      <c r="M108" s="100"/>
      <c r="N108" s="100"/>
    </row>
    <row r="109" s="75" customFormat="1" spans="2:14">
      <c r="B109" s="269" t="s">
        <v>979</v>
      </c>
      <c r="C109" s="64" t="s">
        <v>706</v>
      </c>
      <c r="D109" s="101" t="s">
        <v>980</v>
      </c>
      <c r="E109" s="64" t="s">
        <v>671</v>
      </c>
      <c r="F109" s="101"/>
      <c r="G109" s="221" t="s">
        <v>981</v>
      </c>
      <c r="H109" s="101"/>
      <c r="I109" s="61"/>
      <c r="J109" s="61"/>
      <c r="K109" s="64"/>
      <c r="L109" s="64"/>
      <c r="M109" s="100"/>
      <c r="N109" s="100"/>
    </row>
    <row r="110" s="75" customFormat="1" spans="2:14">
      <c r="B110" s="269" t="s">
        <v>982</v>
      </c>
      <c r="C110" s="64" t="s">
        <v>706</v>
      </c>
      <c r="D110" s="101" t="s">
        <v>983</v>
      </c>
      <c r="E110" s="64" t="s">
        <v>671</v>
      </c>
      <c r="F110" s="101"/>
      <c r="G110" s="221" t="s">
        <v>984</v>
      </c>
      <c r="H110" s="101"/>
      <c r="I110" s="61"/>
      <c r="J110" s="61"/>
      <c r="K110" s="64"/>
      <c r="L110" s="64"/>
      <c r="M110" s="100"/>
      <c r="N110" s="100"/>
    </row>
    <row r="111" s="75" customFormat="1" spans="2:14">
      <c r="B111" s="269" t="s">
        <v>985</v>
      </c>
      <c r="C111" s="64" t="s">
        <v>706</v>
      </c>
      <c r="D111" s="101" t="s">
        <v>986</v>
      </c>
      <c r="E111" s="64" t="s">
        <v>671</v>
      </c>
      <c r="F111" s="101"/>
      <c r="G111" s="221" t="s">
        <v>987</v>
      </c>
      <c r="H111" s="101"/>
      <c r="I111" s="61"/>
      <c r="J111" s="61"/>
      <c r="K111" s="64"/>
      <c r="L111" s="64"/>
      <c r="M111" s="100"/>
      <c r="N111" s="100"/>
    </row>
    <row r="112" s="75" customFormat="1" spans="2:14">
      <c r="B112" s="269" t="s">
        <v>988</v>
      </c>
      <c r="C112" s="64" t="s">
        <v>706</v>
      </c>
      <c r="D112" s="101" t="s">
        <v>989</v>
      </c>
      <c r="E112" s="64" t="s">
        <v>671</v>
      </c>
      <c r="F112" s="101"/>
      <c r="G112" s="221" t="s">
        <v>990</v>
      </c>
      <c r="H112" s="101"/>
      <c r="I112" s="61"/>
      <c r="J112" s="61"/>
      <c r="K112" s="64"/>
      <c r="L112" s="64"/>
      <c r="M112" s="100"/>
      <c r="N112" s="100"/>
    </row>
    <row r="113" s="75" customFormat="1" spans="2:14">
      <c r="B113" s="269" t="s">
        <v>991</v>
      </c>
      <c r="C113" s="64" t="s">
        <v>203</v>
      </c>
      <c r="D113" s="101" t="s">
        <v>992</v>
      </c>
      <c r="E113" s="64" t="s">
        <v>671</v>
      </c>
      <c r="F113" s="101"/>
      <c r="G113" s="221" t="s">
        <v>993</v>
      </c>
      <c r="H113" s="101"/>
      <c r="I113" s="61"/>
      <c r="J113" s="61"/>
      <c r="K113" s="64"/>
      <c r="L113" s="64"/>
      <c r="M113" s="100"/>
      <c r="N113" s="100"/>
    </row>
    <row r="114" s="75" customFormat="1" spans="2:14">
      <c r="B114" s="269" t="s">
        <v>994</v>
      </c>
      <c r="C114" s="64" t="s">
        <v>706</v>
      </c>
      <c r="D114" s="101" t="s">
        <v>995</v>
      </c>
      <c r="E114" s="64" t="s">
        <v>671</v>
      </c>
      <c r="F114" s="101"/>
      <c r="G114" s="221" t="s">
        <v>996</v>
      </c>
      <c r="H114" s="101"/>
      <c r="I114" s="61"/>
      <c r="J114" s="61"/>
      <c r="K114" s="64"/>
      <c r="L114" s="64"/>
      <c r="M114" s="100"/>
      <c r="N114" s="100"/>
    </row>
    <row r="115" s="75" customFormat="1" spans="2:14">
      <c r="B115" s="269" t="s">
        <v>997</v>
      </c>
      <c r="C115" s="64" t="s">
        <v>706</v>
      </c>
      <c r="D115" s="101" t="s">
        <v>998</v>
      </c>
      <c r="E115" s="64" t="s">
        <v>671</v>
      </c>
      <c r="F115" s="101"/>
      <c r="G115" s="221" t="s">
        <v>999</v>
      </c>
      <c r="H115" s="101"/>
      <c r="I115" s="61"/>
      <c r="J115" s="61"/>
      <c r="K115" s="64"/>
      <c r="L115" s="64"/>
      <c r="M115" s="100"/>
      <c r="N115" s="100"/>
    </row>
    <row r="116" s="75" customFormat="1" spans="2:14">
      <c r="B116" s="269" t="s">
        <v>1000</v>
      </c>
      <c r="C116" s="64" t="s">
        <v>706</v>
      </c>
      <c r="D116" s="101" t="s">
        <v>1001</v>
      </c>
      <c r="E116" s="64" t="s">
        <v>671</v>
      </c>
      <c r="F116" s="101"/>
      <c r="G116" s="221" t="s">
        <v>1002</v>
      </c>
      <c r="H116" s="101"/>
      <c r="I116" s="61"/>
      <c r="J116" s="61"/>
      <c r="K116" s="64"/>
      <c r="L116" s="64"/>
      <c r="M116" s="100"/>
      <c r="N116" s="100"/>
    </row>
    <row r="117" s="75" customFormat="1" spans="2:14">
      <c r="B117" s="269" t="s">
        <v>1003</v>
      </c>
      <c r="C117" s="64" t="s">
        <v>706</v>
      </c>
      <c r="D117" s="101" t="s">
        <v>1004</v>
      </c>
      <c r="E117" s="64" t="s">
        <v>671</v>
      </c>
      <c r="F117" s="101"/>
      <c r="G117" s="221" t="s">
        <v>1005</v>
      </c>
      <c r="H117" s="101"/>
      <c r="I117" s="61"/>
      <c r="J117" s="61"/>
      <c r="K117" s="64"/>
      <c r="L117" s="64"/>
      <c r="M117" s="100"/>
      <c r="N117" s="100"/>
    </row>
    <row r="118" s="75" customFormat="1" spans="2:14">
      <c r="B118" s="269" t="s">
        <v>1006</v>
      </c>
      <c r="C118" s="64" t="s">
        <v>706</v>
      </c>
      <c r="D118" s="101" t="s">
        <v>1007</v>
      </c>
      <c r="E118" s="64" t="s">
        <v>671</v>
      </c>
      <c r="F118" s="101"/>
      <c r="G118" s="221" t="s">
        <v>1008</v>
      </c>
      <c r="H118" s="101"/>
      <c r="I118" s="61"/>
      <c r="J118" s="61"/>
      <c r="K118" s="64"/>
      <c r="L118" s="64"/>
      <c r="M118" s="100"/>
      <c r="N118" s="100"/>
    </row>
    <row r="119" s="75" customFormat="1" spans="2:14">
      <c r="B119" s="292" t="s">
        <v>1009</v>
      </c>
      <c r="C119" s="64" t="s">
        <v>706</v>
      </c>
      <c r="D119" s="101" t="s">
        <v>1010</v>
      </c>
      <c r="E119" s="64" t="s">
        <v>671</v>
      </c>
      <c r="F119" s="101"/>
      <c r="G119" s="221" t="s">
        <v>1874</v>
      </c>
      <c r="H119" s="101"/>
      <c r="I119" s="61"/>
      <c r="J119" s="61"/>
      <c r="K119" s="64"/>
      <c r="L119" s="64"/>
      <c r="M119" s="100"/>
      <c r="N119" s="100"/>
    </row>
    <row r="120" s="75" customFormat="1" spans="2:14">
      <c r="B120" s="269" t="s">
        <v>1012</v>
      </c>
      <c r="C120" s="64" t="s">
        <v>203</v>
      </c>
      <c r="D120" s="101" t="s">
        <v>1013</v>
      </c>
      <c r="E120" s="64" t="s">
        <v>671</v>
      </c>
      <c r="F120" s="101"/>
      <c r="G120" s="221" t="s">
        <v>1875</v>
      </c>
      <c r="H120" s="101"/>
      <c r="I120" s="61"/>
      <c r="J120" s="61"/>
      <c r="K120" s="64"/>
      <c r="L120" s="64"/>
      <c r="M120" s="100"/>
      <c r="N120" s="100"/>
    </row>
    <row r="121" s="75" customFormat="1" spans="2:14">
      <c r="B121" s="269" t="s">
        <v>1015</v>
      </c>
      <c r="C121" s="64" t="s">
        <v>706</v>
      </c>
      <c r="D121" s="101" t="s">
        <v>1016</v>
      </c>
      <c r="E121" s="64" t="s">
        <v>671</v>
      </c>
      <c r="F121" s="101"/>
      <c r="G121" s="221" t="s">
        <v>1876</v>
      </c>
      <c r="H121" s="101"/>
      <c r="I121" s="61"/>
      <c r="J121" s="61"/>
      <c r="K121" s="64"/>
      <c r="L121" s="64"/>
      <c r="M121" s="100"/>
      <c r="N121" s="100"/>
    </row>
    <row r="122" s="75" customFormat="1" spans="2:14">
      <c r="B122" s="269" t="s">
        <v>1018</v>
      </c>
      <c r="C122" s="64" t="s">
        <v>706</v>
      </c>
      <c r="D122" s="101" t="s">
        <v>1019</v>
      </c>
      <c r="E122" s="64" t="s">
        <v>671</v>
      </c>
      <c r="F122" s="101"/>
      <c r="G122" s="221" t="s">
        <v>1877</v>
      </c>
      <c r="H122" s="101"/>
      <c r="I122" s="61"/>
      <c r="J122" s="61"/>
      <c r="K122" s="64"/>
      <c r="L122" s="64"/>
      <c r="M122" s="100"/>
      <c r="N122" s="100"/>
    </row>
    <row r="123" s="75" customFormat="1" spans="2:14">
      <c r="B123" s="269" t="s">
        <v>1021</v>
      </c>
      <c r="C123" s="64" t="s">
        <v>706</v>
      </c>
      <c r="D123" s="101" t="s">
        <v>1022</v>
      </c>
      <c r="E123" s="64" t="s">
        <v>671</v>
      </c>
      <c r="F123" s="101"/>
      <c r="G123" s="221" t="s">
        <v>1878</v>
      </c>
      <c r="H123" s="101"/>
      <c r="I123" s="61"/>
      <c r="J123" s="61"/>
      <c r="K123" s="64"/>
      <c r="L123" s="64"/>
      <c r="M123" s="100"/>
      <c r="N123" s="100"/>
    </row>
    <row r="124" s="75" customFormat="1" spans="2:14">
      <c r="B124" s="269" t="s">
        <v>1024</v>
      </c>
      <c r="C124" s="64" t="s">
        <v>706</v>
      </c>
      <c r="D124" s="101" t="s">
        <v>1025</v>
      </c>
      <c r="E124" s="64" t="s">
        <v>671</v>
      </c>
      <c r="F124" s="101"/>
      <c r="G124" s="221" t="s">
        <v>1879</v>
      </c>
      <c r="H124" s="101"/>
      <c r="I124" s="61"/>
      <c r="J124" s="61"/>
      <c r="K124" s="64"/>
      <c r="L124" s="64"/>
      <c r="M124" s="100"/>
      <c r="N124" s="100"/>
    </row>
    <row r="125" s="75" customFormat="1" spans="2:14">
      <c r="B125" s="269" t="s">
        <v>1027</v>
      </c>
      <c r="C125" s="64" t="s">
        <v>706</v>
      </c>
      <c r="D125" s="101" t="s">
        <v>1028</v>
      </c>
      <c r="E125" s="64" t="s">
        <v>671</v>
      </c>
      <c r="F125" s="101"/>
      <c r="G125" s="221" t="s">
        <v>1880</v>
      </c>
      <c r="H125" s="101"/>
      <c r="I125" s="61"/>
      <c r="J125" s="61"/>
      <c r="K125" s="64"/>
      <c r="L125" s="64"/>
      <c r="M125" s="100"/>
      <c r="N125" s="100"/>
    </row>
    <row r="126" s="75" customFormat="1" spans="2:14">
      <c r="B126" s="269" t="s">
        <v>1030</v>
      </c>
      <c r="C126" s="64" t="s">
        <v>706</v>
      </c>
      <c r="D126" s="101" t="s">
        <v>1031</v>
      </c>
      <c r="E126" s="64" t="s">
        <v>671</v>
      </c>
      <c r="F126" s="101"/>
      <c r="G126" s="221" t="s">
        <v>1881</v>
      </c>
      <c r="H126" s="101"/>
      <c r="I126" s="61"/>
      <c r="J126" s="61"/>
      <c r="K126" s="64"/>
      <c r="L126" s="64"/>
      <c r="M126" s="100"/>
      <c r="N126" s="100"/>
    </row>
    <row r="127" s="75" customFormat="1" spans="2:14">
      <c r="B127" s="269" t="s">
        <v>1033</v>
      </c>
      <c r="C127" s="64" t="s">
        <v>706</v>
      </c>
      <c r="D127" s="101" t="s">
        <v>1034</v>
      </c>
      <c r="E127" s="64" t="s">
        <v>671</v>
      </c>
      <c r="F127" s="101"/>
      <c r="G127" s="221" t="s">
        <v>1882</v>
      </c>
      <c r="H127" s="101"/>
      <c r="I127" s="61"/>
      <c r="J127" s="61"/>
      <c r="K127" s="64"/>
      <c r="L127" s="64"/>
      <c r="M127" s="100"/>
      <c r="N127" s="100"/>
    </row>
    <row r="128" s="75" customFormat="1" spans="2:14">
      <c r="B128" s="269" t="s">
        <v>1036</v>
      </c>
      <c r="C128" s="64" t="s">
        <v>706</v>
      </c>
      <c r="D128" s="101" t="s">
        <v>1037</v>
      </c>
      <c r="E128" s="64" t="s">
        <v>671</v>
      </c>
      <c r="F128" s="101"/>
      <c r="G128" s="221" t="s">
        <v>1883</v>
      </c>
      <c r="H128" s="101"/>
      <c r="I128" s="61"/>
      <c r="J128" s="61"/>
      <c r="K128" s="64"/>
      <c r="L128" s="64"/>
      <c r="M128" s="100"/>
      <c r="N128" s="100"/>
    </row>
    <row r="129" s="75" customFormat="1" spans="2:14">
      <c r="B129" s="269" t="s">
        <v>1039</v>
      </c>
      <c r="C129" s="64" t="s">
        <v>706</v>
      </c>
      <c r="D129" s="101" t="s">
        <v>1040</v>
      </c>
      <c r="E129" s="64" t="s">
        <v>671</v>
      </c>
      <c r="F129" s="101"/>
      <c r="G129" s="221" t="s">
        <v>1884</v>
      </c>
      <c r="H129" s="101"/>
      <c r="I129" s="61"/>
      <c r="J129" s="61"/>
      <c r="K129" s="64"/>
      <c r="L129" s="64"/>
      <c r="M129" s="100"/>
      <c r="N129" s="100"/>
    </row>
    <row r="130" s="75" customFormat="1" spans="2:14">
      <c r="B130" s="269" t="s">
        <v>1042</v>
      </c>
      <c r="C130" s="64" t="s">
        <v>706</v>
      </c>
      <c r="D130" s="101" t="s">
        <v>1043</v>
      </c>
      <c r="E130" s="64" t="s">
        <v>671</v>
      </c>
      <c r="F130" s="101"/>
      <c r="G130" s="221" t="s">
        <v>1885</v>
      </c>
      <c r="H130" s="101"/>
      <c r="I130" s="61"/>
      <c r="J130" s="61"/>
      <c r="K130" s="64"/>
      <c r="L130" s="64"/>
      <c r="M130" s="100"/>
      <c r="N130" s="100"/>
    </row>
    <row r="131" s="75" customFormat="1" spans="2:14">
      <c r="B131" s="269" t="s">
        <v>1045</v>
      </c>
      <c r="C131" s="64" t="s">
        <v>706</v>
      </c>
      <c r="D131" s="101" t="s">
        <v>1046</v>
      </c>
      <c r="E131" s="64" t="s">
        <v>671</v>
      </c>
      <c r="F131" s="101"/>
      <c r="G131" s="221" t="s">
        <v>1886</v>
      </c>
      <c r="H131" s="101"/>
      <c r="I131" s="61"/>
      <c r="J131" s="61"/>
      <c r="K131" s="64"/>
      <c r="L131" s="64"/>
      <c r="M131" s="100"/>
      <c r="N131" s="100"/>
    </row>
    <row r="132" s="75" customFormat="1" spans="2:14">
      <c r="B132" s="269" t="s">
        <v>1048</v>
      </c>
      <c r="C132" s="64" t="s">
        <v>706</v>
      </c>
      <c r="D132" s="101" t="s">
        <v>1049</v>
      </c>
      <c r="E132" s="64" t="s">
        <v>671</v>
      </c>
      <c r="F132" s="101"/>
      <c r="G132" s="221" t="s">
        <v>1887</v>
      </c>
      <c r="H132" s="101"/>
      <c r="I132" s="61"/>
      <c r="J132" s="61"/>
      <c r="K132" s="64"/>
      <c r="L132" s="64"/>
      <c r="M132" s="100"/>
      <c r="N132" s="100"/>
    </row>
    <row r="133" s="75" customFormat="1" spans="2:14">
      <c r="B133" s="292" t="s">
        <v>1051</v>
      </c>
      <c r="C133" s="64" t="s">
        <v>706</v>
      </c>
      <c r="D133" s="101" t="s">
        <v>1052</v>
      </c>
      <c r="E133" s="64" t="s">
        <v>671</v>
      </c>
      <c r="F133" s="101"/>
      <c r="G133" s="221" t="s">
        <v>1888</v>
      </c>
      <c r="H133" s="101"/>
      <c r="I133" s="61"/>
      <c r="J133" s="61"/>
      <c r="K133" s="64"/>
      <c r="L133" s="64"/>
      <c r="M133" s="100"/>
      <c r="N133" s="100"/>
    </row>
    <row r="134" s="75" customFormat="1" spans="2:14">
      <c r="B134" s="269" t="s">
        <v>1054</v>
      </c>
      <c r="C134" s="64" t="s">
        <v>203</v>
      </c>
      <c r="D134" s="101" t="s">
        <v>1055</v>
      </c>
      <c r="E134" s="64" t="s">
        <v>671</v>
      </c>
      <c r="F134" s="101"/>
      <c r="G134" s="221" t="s">
        <v>1889</v>
      </c>
      <c r="H134" s="101"/>
      <c r="I134" s="61"/>
      <c r="J134" s="61"/>
      <c r="K134" s="64"/>
      <c r="L134" s="64"/>
      <c r="M134" s="100"/>
      <c r="N134" s="100"/>
    </row>
    <row r="135" s="75" customFormat="1" spans="2:14">
      <c r="B135" s="269" t="s">
        <v>1057</v>
      </c>
      <c r="C135" s="64" t="s">
        <v>706</v>
      </c>
      <c r="D135" s="101" t="s">
        <v>1058</v>
      </c>
      <c r="E135" s="64" t="s">
        <v>671</v>
      </c>
      <c r="F135" s="101"/>
      <c r="G135" s="221" t="s">
        <v>1890</v>
      </c>
      <c r="H135" s="101"/>
      <c r="I135" s="61"/>
      <c r="J135" s="61"/>
      <c r="K135" s="64"/>
      <c r="L135" s="64"/>
      <c r="M135" s="100"/>
      <c r="N135" s="100"/>
    </row>
    <row r="136" s="75" customFormat="1" spans="2:14">
      <c r="B136" s="269" t="s">
        <v>1060</v>
      </c>
      <c r="C136" s="64" t="s">
        <v>706</v>
      </c>
      <c r="D136" s="101" t="s">
        <v>1061</v>
      </c>
      <c r="E136" s="64" t="s">
        <v>671</v>
      </c>
      <c r="F136" s="101"/>
      <c r="G136" s="221" t="s">
        <v>1891</v>
      </c>
      <c r="H136" s="101"/>
      <c r="I136" s="61"/>
      <c r="J136" s="61"/>
      <c r="K136" s="64"/>
      <c r="L136" s="64"/>
      <c r="M136" s="100"/>
      <c r="N136" s="100"/>
    </row>
    <row r="137" s="75" customFormat="1" spans="2:14">
      <c r="B137" s="269" t="s">
        <v>1063</v>
      </c>
      <c r="C137" s="64" t="s">
        <v>706</v>
      </c>
      <c r="D137" s="101" t="s">
        <v>1064</v>
      </c>
      <c r="E137" s="64" t="s">
        <v>671</v>
      </c>
      <c r="F137" s="101"/>
      <c r="G137" s="221" t="s">
        <v>1892</v>
      </c>
      <c r="H137" s="101"/>
      <c r="I137" s="61"/>
      <c r="J137" s="61"/>
      <c r="K137" s="64"/>
      <c r="L137" s="64"/>
      <c r="M137" s="100"/>
      <c r="N137" s="100"/>
    </row>
    <row r="138" s="75" customFormat="1" spans="2:14">
      <c r="B138" s="269" t="s">
        <v>1066</v>
      </c>
      <c r="C138" s="64" t="s">
        <v>706</v>
      </c>
      <c r="D138" s="101" t="s">
        <v>1067</v>
      </c>
      <c r="E138" s="64" t="s">
        <v>671</v>
      </c>
      <c r="F138" s="101"/>
      <c r="G138" s="221" t="s">
        <v>1893</v>
      </c>
      <c r="H138" s="101"/>
      <c r="I138" s="61"/>
      <c r="J138" s="61"/>
      <c r="K138" s="64"/>
      <c r="L138" s="64"/>
      <c r="M138" s="100"/>
      <c r="N138" s="100"/>
    </row>
    <row r="139" s="75" customFormat="1" spans="2:14">
      <c r="B139" s="269" t="s">
        <v>1069</v>
      </c>
      <c r="C139" s="64" t="s">
        <v>706</v>
      </c>
      <c r="D139" s="101" t="s">
        <v>1070</v>
      </c>
      <c r="E139" s="64" t="s">
        <v>671</v>
      </c>
      <c r="F139" s="101"/>
      <c r="G139" s="221" t="s">
        <v>1894</v>
      </c>
      <c r="H139" s="101"/>
      <c r="I139" s="61"/>
      <c r="J139" s="61"/>
      <c r="K139" s="64"/>
      <c r="L139" s="64"/>
      <c r="M139" s="100"/>
      <c r="N139" s="100"/>
    </row>
    <row r="140" s="75" customFormat="1" spans="2:14">
      <c r="B140" s="269" t="s">
        <v>1072</v>
      </c>
      <c r="C140" s="64" t="s">
        <v>706</v>
      </c>
      <c r="D140" s="293" t="s">
        <v>1073</v>
      </c>
      <c r="E140" s="64" t="s">
        <v>671</v>
      </c>
      <c r="F140" s="101"/>
      <c r="G140" s="221" t="s">
        <v>1693</v>
      </c>
      <c r="H140" s="101"/>
      <c r="I140" s="61"/>
      <c r="J140" s="61"/>
      <c r="K140" s="64"/>
      <c r="L140" s="64"/>
      <c r="M140" s="100"/>
      <c r="N140" s="100"/>
    </row>
    <row r="141" s="75" customFormat="1" spans="2:14">
      <c r="B141" s="269" t="s">
        <v>1075</v>
      </c>
      <c r="C141" s="64" t="s">
        <v>203</v>
      </c>
      <c r="D141" s="293" t="s">
        <v>1076</v>
      </c>
      <c r="E141" s="64" t="s">
        <v>671</v>
      </c>
      <c r="F141" s="101"/>
      <c r="G141" s="221" t="s">
        <v>1693</v>
      </c>
      <c r="H141" s="101"/>
      <c r="I141" s="61"/>
      <c r="J141" s="61"/>
      <c r="K141" s="64"/>
      <c r="L141" s="64"/>
      <c r="M141" s="100"/>
      <c r="N141" s="100"/>
    </row>
    <row r="142" s="75" customFormat="1" spans="2:14">
      <c r="B142" s="269" t="s">
        <v>1078</v>
      </c>
      <c r="C142" s="64" t="s">
        <v>706</v>
      </c>
      <c r="D142" s="293" t="s">
        <v>1079</v>
      </c>
      <c r="E142" s="64" t="s">
        <v>671</v>
      </c>
      <c r="F142" s="101"/>
      <c r="G142" s="221" t="s">
        <v>1693</v>
      </c>
      <c r="H142" s="101"/>
      <c r="I142" s="61"/>
      <c r="J142" s="61"/>
      <c r="K142" s="64"/>
      <c r="L142" s="64"/>
      <c r="M142" s="100"/>
      <c r="N142" s="100"/>
    </row>
    <row r="143" s="75" customFormat="1" spans="2:14">
      <c r="B143" s="269" t="s">
        <v>1081</v>
      </c>
      <c r="C143" s="64" t="s">
        <v>706</v>
      </c>
      <c r="D143" s="293" t="s">
        <v>1082</v>
      </c>
      <c r="E143" s="64" t="s">
        <v>671</v>
      </c>
      <c r="F143" s="101"/>
      <c r="G143" s="221" t="s">
        <v>1693</v>
      </c>
      <c r="H143" s="101"/>
      <c r="I143" s="61"/>
      <c r="J143" s="61"/>
      <c r="K143" s="64"/>
      <c r="L143" s="64"/>
      <c r="M143" s="100"/>
      <c r="N143" s="100"/>
    </row>
    <row r="144" s="75" customFormat="1" spans="2:14">
      <c r="B144" s="269" t="s">
        <v>1084</v>
      </c>
      <c r="C144" s="64" t="s">
        <v>706</v>
      </c>
      <c r="D144" s="293" t="s">
        <v>1085</v>
      </c>
      <c r="E144" s="64" t="s">
        <v>671</v>
      </c>
      <c r="F144" s="101"/>
      <c r="G144" s="221" t="s">
        <v>1693</v>
      </c>
      <c r="H144" s="101"/>
      <c r="I144" s="61"/>
      <c r="J144" s="61"/>
      <c r="K144" s="64"/>
      <c r="L144" s="64"/>
      <c r="M144" s="100"/>
      <c r="N144" s="100"/>
    </row>
    <row r="145" s="75" customFormat="1" spans="2:14">
      <c r="B145" s="269" t="s">
        <v>1087</v>
      </c>
      <c r="C145" s="64" t="s">
        <v>706</v>
      </c>
      <c r="D145" s="293" t="s">
        <v>1088</v>
      </c>
      <c r="E145" s="64" t="s">
        <v>671</v>
      </c>
      <c r="F145" s="101"/>
      <c r="G145" s="221" t="s">
        <v>1693</v>
      </c>
      <c r="H145" s="101"/>
      <c r="I145" s="61"/>
      <c r="J145" s="61"/>
      <c r="K145" s="64"/>
      <c r="L145" s="64"/>
      <c r="M145" s="100"/>
      <c r="N145" s="100"/>
    </row>
    <row r="146" s="75" customFormat="1" spans="2:14">
      <c r="B146" s="269" t="s">
        <v>1090</v>
      </c>
      <c r="C146" s="64" t="s">
        <v>706</v>
      </c>
      <c r="D146" s="293" t="s">
        <v>1091</v>
      </c>
      <c r="E146" s="64" t="s">
        <v>671</v>
      </c>
      <c r="F146" s="101"/>
      <c r="G146" s="221" t="s">
        <v>1693</v>
      </c>
      <c r="H146" s="101"/>
      <c r="I146" s="61"/>
      <c r="J146" s="61"/>
      <c r="K146" s="64"/>
      <c r="L146" s="64"/>
      <c r="M146" s="100"/>
      <c r="N146" s="100"/>
    </row>
    <row r="147" s="75" customFormat="1" spans="2:14">
      <c r="B147" s="269" t="s">
        <v>1093</v>
      </c>
      <c r="C147" s="64" t="s">
        <v>706</v>
      </c>
      <c r="D147" s="293" t="s">
        <v>1094</v>
      </c>
      <c r="E147" s="64" t="s">
        <v>671</v>
      </c>
      <c r="F147" s="101"/>
      <c r="G147" s="221" t="s">
        <v>1895</v>
      </c>
      <c r="H147" s="101"/>
      <c r="I147" s="61"/>
      <c r="J147" s="61"/>
      <c r="K147" s="64"/>
      <c r="L147" s="64"/>
      <c r="M147" s="100"/>
      <c r="N147" s="100"/>
    </row>
    <row r="148" s="75" customFormat="1" spans="2:14">
      <c r="B148" s="269" t="s">
        <v>1096</v>
      </c>
      <c r="C148" s="64" t="s">
        <v>203</v>
      </c>
      <c r="D148" s="293" t="s">
        <v>1097</v>
      </c>
      <c r="E148" s="64" t="s">
        <v>671</v>
      </c>
      <c r="F148" s="101"/>
      <c r="G148" s="221" t="s">
        <v>1896</v>
      </c>
      <c r="H148" s="101"/>
      <c r="I148" s="61"/>
      <c r="J148" s="61"/>
      <c r="K148" s="64"/>
      <c r="L148" s="64"/>
      <c r="M148" s="100"/>
      <c r="N148" s="100"/>
    </row>
    <row r="149" s="75" customFormat="1" spans="2:14">
      <c r="B149" s="269" t="s">
        <v>1099</v>
      </c>
      <c r="C149" s="64" t="s">
        <v>706</v>
      </c>
      <c r="D149" s="293" t="s">
        <v>1100</v>
      </c>
      <c r="E149" s="64" t="s">
        <v>671</v>
      </c>
      <c r="F149" s="101"/>
      <c r="G149" s="221" t="s">
        <v>1897</v>
      </c>
      <c r="H149" s="101"/>
      <c r="I149" s="61"/>
      <c r="J149" s="61"/>
      <c r="K149" s="64"/>
      <c r="L149" s="64"/>
      <c r="M149" s="100"/>
      <c r="N149" s="100"/>
    </row>
    <row r="150" s="75" customFormat="1" spans="2:14">
      <c r="B150" s="269" t="s">
        <v>1102</v>
      </c>
      <c r="C150" s="64" t="s">
        <v>706</v>
      </c>
      <c r="D150" s="293" t="s">
        <v>1103</v>
      </c>
      <c r="E150" s="64" t="s">
        <v>671</v>
      </c>
      <c r="F150" s="101"/>
      <c r="G150" s="221" t="s">
        <v>1898</v>
      </c>
      <c r="H150" s="101"/>
      <c r="I150" s="61"/>
      <c r="J150" s="61"/>
      <c r="K150" s="64"/>
      <c r="L150" s="64"/>
      <c r="M150" s="100"/>
      <c r="N150" s="100"/>
    </row>
    <row r="151" s="75" customFormat="1" spans="2:14">
      <c r="B151" s="269" t="s">
        <v>1105</v>
      </c>
      <c r="C151" s="64" t="s">
        <v>706</v>
      </c>
      <c r="D151" s="293" t="s">
        <v>1106</v>
      </c>
      <c r="E151" s="64" t="s">
        <v>671</v>
      </c>
      <c r="F151" s="101"/>
      <c r="G151" s="221" t="s">
        <v>1899</v>
      </c>
      <c r="H151" s="101"/>
      <c r="I151" s="61"/>
      <c r="J151" s="61"/>
      <c r="K151" s="64"/>
      <c r="L151" s="64"/>
      <c r="M151" s="100"/>
      <c r="N151" s="100"/>
    </row>
    <row r="152" s="75" customFormat="1" spans="2:14">
      <c r="B152" s="269" t="s">
        <v>1108</v>
      </c>
      <c r="C152" s="64" t="s">
        <v>706</v>
      </c>
      <c r="D152" s="293" t="s">
        <v>1109</v>
      </c>
      <c r="E152" s="64" t="s">
        <v>671</v>
      </c>
      <c r="F152" s="101"/>
      <c r="G152" s="221" t="s">
        <v>1900</v>
      </c>
      <c r="H152" s="101"/>
      <c r="I152" s="61"/>
      <c r="J152" s="61"/>
      <c r="K152" s="64"/>
      <c r="L152" s="64"/>
      <c r="M152" s="100"/>
      <c r="N152" s="100"/>
    </row>
    <row r="153" s="75" customFormat="1" spans="2:14">
      <c r="B153" s="269" t="s">
        <v>1111</v>
      </c>
      <c r="C153" s="64" t="s">
        <v>706</v>
      </c>
      <c r="D153" s="293" t="s">
        <v>1112</v>
      </c>
      <c r="E153" s="64" t="s">
        <v>671</v>
      </c>
      <c r="F153" s="101"/>
      <c r="G153" s="221" t="s">
        <v>1901</v>
      </c>
      <c r="H153" s="101"/>
      <c r="I153" s="61"/>
      <c r="J153" s="61"/>
      <c r="K153" s="64"/>
      <c r="L153" s="64"/>
      <c r="M153" s="100"/>
      <c r="N153" s="100"/>
    </row>
    <row r="154" s="75" customFormat="1" spans="2:14">
      <c r="B154" s="269" t="s">
        <v>1114</v>
      </c>
      <c r="C154" s="64" t="s">
        <v>706</v>
      </c>
      <c r="D154" s="293" t="s">
        <v>1115</v>
      </c>
      <c r="E154" s="64" t="s">
        <v>671</v>
      </c>
      <c r="F154" s="101"/>
      <c r="G154" s="221" t="s">
        <v>1902</v>
      </c>
      <c r="H154" s="101"/>
      <c r="I154" s="61"/>
      <c r="J154" s="61"/>
      <c r="K154" s="64"/>
      <c r="L154" s="64"/>
      <c r="M154" s="100"/>
      <c r="N154" s="100"/>
    </row>
    <row r="155" s="75" customFormat="1" spans="2:14">
      <c r="B155" s="269" t="s">
        <v>1117</v>
      </c>
      <c r="C155" s="64" t="s">
        <v>706</v>
      </c>
      <c r="D155" s="293" t="s">
        <v>1118</v>
      </c>
      <c r="E155" s="64" t="s">
        <v>671</v>
      </c>
      <c r="F155" s="101"/>
      <c r="G155" s="221" t="s">
        <v>1903</v>
      </c>
      <c r="H155" s="101"/>
      <c r="I155" s="61"/>
      <c r="J155" s="61"/>
      <c r="K155" s="64"/>
      <c r="L155" s="64"/>
      <c r="M155" s="100"/>
      <c r="N155" s="100"/>
    </row>
    <row r="156" s="75" customFormat="1" spans="2:14">
      <c r="B156" s="269" t="s">
        <v>1120</v>
      </c>
      <c r="C156" s="64" t="s">
        <v>203</v>
      </c>
      <c r="D156" s="293" t="s">
        <v>1121</v>
      </c>
      <c r="E156" s="64" t="s">
        <v>671</v>
      </c>
      <c r="F156" s="101"/>
      <c r="G156" s="221" t="s">
        <v>1904</v>
      </c>
      <c r="H156" s="101"/>
      <c r="I156" s="61"/>
      <c r="J156" s="61"/>
      <c r="K156" s="64"/>
      <c r="L156" s="64"/>
      <c r="M156" s="100"/>
      <c r="N156" s="100"/>
    </row>
    <row r="157" s="75" customFormat="1" spans="2:14">
      <c r="B157" s="269" t="s">
        <v>1123</v>
      </c>
      <c r="C157" s="64" t="s">
        <v>706</v>
      </c>
      <c r="D157" s="293" t="s">
        <v>1124</v>
      </c>
      <c r="E157" s="64" t="s">
        <v>671</v>
      </c>
      <c r="F157" s="101"/>
      <c r="G157" s="221" t="s">
        <v>1905</v>
      </c>
      <c r="H157" s="101"/>
      <c r="I157" s="61"/>
      <c r="J157" s="61"/>
      <c r="K157" s="64"/>
      <c r="L157" s="64"/>
      <c r="M157" s="100"/>
      <c r="N157" s="100"/>
    </row>
    <row r="158" s="75" customFormat="1" spans="2:14">
      <c r="B158" s="269" t="s">
        <v>1126</v>
      </c>
      <c r="C158" s="64" t="s">
        <v>706</v>
      </c>
      <c r="D158" s="293" t="s">
        <v>1127</v>
      </c>
      <c r="E158" s="64" t="s">
        <v>671</v>
      </c>
      <c r="F158" s="101"/>
      <c r="G158" s="221" t="s">
        <v>1906</v>
      </c>
      <c r="H158" s="101"/>
      <c r="I158" s="61"/>
      <c r="J158" s="61"/>
      <c r="K158" s="64"/>
      <c r="L158" s="64"/>
      <c r="M158" s="100"/>
      <c r="N158" s="100"/>
    </row>
    <row r="159" s="75" customFormat="1" spans="2:14">
      <c r="B159" s="269" t="s">
        <v>1129</v>
      </c>
      <c r="C159" s="64" t="s">
        <v>706</v>
      </c>
      <c r="D159" s="293" t="s">
        <v>1130</v>
      </c>
      <c r="E159" s="64" t="s">
        <v>671</v>
      </c>
      <c r="F159" s="101"/>
      <c r="G159" s="221" t="s">
        <v>1907</v>
      </c>
      <c r="H159" s="101"/>
      <c r="I159" s="61"/>
      <c r="J159" s="61"/>
      <c r="K159" s="64"/>
      <c r="L159" s="64"/>
      <c r="M159" s="100"/>
      <c r="N159" s="100"/>
    </row>
    <row r="160" s="75" customFormat="1" spans="2:14">
      <c r="B160" s="269" t="s">
        <v>1132</v>
      </c>
      <c r="C160" s="64" t="s">
        <v>706</v>
      </c>
      <c r="D160" s="293" t="s">
        <v>1133</v>
      </c>
      <c r="E160" s="64" t="s">
        <v>671</v>
      </c>
      <c r="F160" s="101"/>
      <c r="G160" s="221" t="s">
        <v>1908</v>
      </c>
      <c r="H160" s="101"/>
      <c r="I160" s="61"/>
      <c r="J160" s="61"/>
      <c r="K160" s="64"/>
      <c r="L160" s="64"/>
      <c r="M160" s="100"/>
      <c r="N160" s="100"/>
    </row>
    <row r="161" s="75" customFormat="1" spans="2:14">
      <c r="B161" s="269" t="s">
        <v>1135</v>
      </c>
      <c r="C161" s="64" t="s">
        <v>706</v>
      </c>
      <c r="D161" s="293" t="s">
        <v>1136</v>
      </c>
      <c r="E161" s="64" t="s">
        <v>671</v>
      </c>
      <c r="F161" s="101"/>
      <c r="G161" s="221" t="s">
        <v>1909</v>
      </c>
      <c r="H161" s="101"/>
      <c r="I161" s="61"/>
      <c r="J161" s="61"/>
      <c r="K161" s="64"/>
      <c r="L161" s="64"/>
      <c r="M161" s="100"/>
      <c r="N161" s="100"/>
    </row>
    <row r="162" s="75" customFormat="1" spans="2:14">
      <c r="B162" s="269" t="s">
        <v>1138</v>
      </c>
      <c r="C162" s="64" t="s">
        <v>706</v>
      </c>
      <c r="D162" s="101" t="s">
        <v>1139</v>
      </c>
      <c r="E162" s="64" t="s">
        <v>671</v>
      </c>
      <c r="F162" s="101"/>
      <c r="G162" s="221" t="s">
        <v>1910</v>
      </c>
      <c r="H162" s="101"/>
      <c r="I162" s="61"/>
      <c r="J162" s="61"/>
      <c r="K162" s="64"/>
      <c r="L162" s="64"/>
      <c r="M162" s="100"/>
      <c r="N162" s="100"/>
    </row>
    <row r="163" s="75" customFormat="1" spans="2:14">
      <c r="B163" s="269" t="s">
        <v>1141</v>
      </c>
      <c r="C163" s="64" t="s">
        <v>203</v>
      </c>
      <c r="D163" s="101" t="s">
        <v>1142</v>
      </c>
      <c r="E163" s="64" t="s">
        <v>671</v>
      </c>
      <c r="F163" s="101"/>
      <c r="G163" s="221" t="s">
        <v>1911</v>
      </c>
      <c r="H163" s="101"/>
      <c r="I163" s="61"/>
      <c r="J163" s="61"/>
      <c r="K163" s="64"/>
      <c r="L163" s="64"/>
      <c r="M163" s="100"/>
      <c r="N163" s="100"/>
    </row>
    <row r="164" s="75" customFormat="1" spans="2:14">
      <c r="B164" s="269" t="s">
        <v>1144</v>
      </c>
      <c r="C164" s="64" t="s">
        <v>706</v>
      </c>
      <c r="D164" s="101" t="s">
        <v>1145</v>
      </c>
      <c r="E164" s="64" t="s">
        <v>671</v>
      </c>
      <c r="F164" s="101"/>
      <c r="G164" s="221" t="s">
        <v>1912</v>
      </c>
      <c r="H164" s="101"/>
      <c r="I164" s="61"/>
      <c r="J164" s="61"/>
      <c r="K164" s="64"/>
      <c r="L164" s="64"/>
      <c r="M164" s="100"/>
      <c r="N164" s="100"/>
    </row>
    <row r="165" s="75" customFormat="1" spans="2:14">
      <c r="B165" s="269" t="s">
        <v>1147</v>
      </c>
      <c r="C165" s="64" t="s">
        <v>706</v>
      </c>
      <c r="D165" s="101" t="s">
        <v>1148</v>
      </c>
      <c r="E165" s="64" t="s">
        <v>671</v>
      </c>
      <c r="F165" s="101"/>
      <c r="G165" s="221" t="s">
        <v>1913</v>
      </c>
      <c r="H165" s="101"/>
      <c r="I165" s="61"/>
      <c r="J165" s="61"/>
      <c r="K165" s="64"/>
      <c r="L165" s="64"/>
      <c r="M165" s="100"/>
      <c r="N165" s="100"/>
    </row>
    <row r="166" s="75" customFormat="1" spans="2:14">
      <c r="B166" s="269" t="s">
        <v>1150</v>
      </c>
      <c r="C166" s="64" t="s">
        <v>706</v>
      </c>
      <c r="D166" s="101" t="s">
        <v>1151</v>
      </c>
      <c r="E166" s="64" t="s">
        <v>671</v>
      </c>
      <c r="F166" s="101"/>
      <c r="G166" s="221" t="s">
        <v>1914</v>
      </c>
      <c r="H166" s="101"/>
      <c r="I166" s="61"/>
      <c r="J166" s="61"/>
      <c r="K166" s="64"/>
      <c r="L166" s="64"/>
      <c r="M166" s="100"/>
      <c r="N166" s="100"/>
    </row>
    <row r="167" s="75" customFormat="1" spans="2:14">
      <c r="B167" s="269" t="s">
        <v>1153</v>
      </c>
      <c r="C167" s="64" t="s">
        <v>706</v>
      </c>
      <c r="D167" s="101" t="s">
        <v>1154</v>
      </c>
      <c r="E167" s="64" t="s">
        <v>671</v>
      </c>
      <c r="F167" s="101"/>
      <c r="G167" s="221" t="s">
        <v>1915</v>
      </c>
      <c r="H167" s="101"/>
      <c r="I167" s="61"/>
      <c r="J167" s="61"/>
      <c r="K167" s="64"/>
      <c r="L167" s="64"/>
      <c r="M167" s="100"/>
      <c r="N167" s="100"/>
    </row>
    <row r="168" s="75" customFormat="1" spans="2:14">
      <c r="B168" s="269" t="s">
        <v>1156</v>
      </c>
      <c r="C168" s="64" t="s">
        <v>706</v>
      </c>
      <c r="D168" s="101" t="s">
        <v>1157</v>
      </c>
      <c r="E168" s="64" t="s">
        <v>671</v>
      </c>
      <c r="F168" s="101"/>
      <c r="G168" s="221" t="s">
        <v>1916</v>
      </c>
      <c r="H168" s="101"/>
      <c r="I168" s="61"/>
      <c r="J168" s="61"/>
      <c r="K168" s="64"/>
      <c r="L168" s="64"/>
      <c r="M168" s="100"/>
      <c r="N168" s="100"/>
    </row>
    <row r="169" s="75" customFormat="1" spans="2:14">
      <c r="B169" s="269" t="s">
        <v>1159</v>
      </c>
      <c r="C169" s="64" t="s">
        <v>706</v>
      </c>
      <c r="D169" s="101" t="s">
        <v>1160</v>
      </c>
      <c r="E169" s="64" t="s">
        <v>671</v>
      </c>
      <c r="F169" s="101"/>
      <c r="G169" s="221" t="s">
        <v>1917</v>
      </c>
      <c r="H169" s="101"/>
      <c r="I169" s="61"/>
      <c r="J169" s="61"/>
      <c r="K169" s="64"/>
      <c r="L169" s="64"/>
      <c r="M169" s="100"/>
      <c r="N169" s="100"/>
    </row>
    <row r="170" s="75" customFormat="1" spans="2:14">
      <c r="B170" s="269" t="s">
        <v>1162</v>
      </c>
      <c r="C170" s="64" t="s">
        <v>203</v>
      </c>
      <c r="D170" s="101" t="s">
        <v>1163</v>
      </c>
      <c r="E170" s="64" t="s">
        <v>671</v>
      </c>
      <c r="F170" s="101"/>
      <c r="G170" s="221" t="s">
        <v>1918</v>
      </c>
      <c r="H170" s="101"/>
      <c r="I170" s="61"/>
      <c r="J170" s="61"/>
      <c r="K170" s="64"/>
      <c r="L170" s="64"/>
      <c r="M170" s="100"/>
      <c r="N170" s="100"/>
    </row>
    <row r="171" s="75" customFormat="1" spans="2:14">
      <c r="B171" s="269" t="s">
        <v>1165</v>
      </c>
      <c r="C171" s="64" t="s">
        <v>706</v>
      </c>
      <c r="D171" s="101" t="s">
        <v>1166</v>
      </c>
      <c r="E171" s="64" t="s">
        <v>671</v>
      </c>
      <c r="F171" s="101"/>
      <c r="G171" s="221" t="s">
        <v>1919</v>
      </c>
      <c r="H171" s="101"/>
      <c r="I171" s="61"/>
      <c r="J171" s="61"/>
      <c r="K171" s="64"/>
      <c r="L171" s="64"/>
      <c r="M171" s="100"/>
      <c r="N171" s="100"/>
    </row>
    <row r="172" s="75" customFormat="1" spans="2:14">
      <c r="B172" s="269" t="s">
        <v>1168</v>
      </c>
      <c r="C172" s="64" t="s">
        <v>706</v>
      </c>
      <c r="D172" s="101" t="s">
        <v>1169</v>
      </c>
      <c r="E172" s="64" t="s">
        <v>671</v>
      </c>
      <c r="F172" s="101"/>
      <c r="G172" s="221" t="s">
        <v>1920</v>
      </c>
      <c r="H172" s="101"/>
      <c r="I172" s="61"/>
      <c r="J172" s="61"/>
      <c r="K172" s="64"/>
      <c r="L172" s="64"/>
      <c r="M172" s="100"/>
      <c r="N172" s="100"/>
    </row>
    <row r="173" s="75" customFormat="1" spans="2:14">
      <c r="B173" s="269" t="s">
        <v>1171</v>
      </c>
      <c r="C173" s="64" t="s">
        <v>706</v>
      </c>
      <c r="D173" s="101" t="s">
        <v>1172</v>
      </c>
      <c r="E173" s="64" t="s">
        <v>671</v>
      </c>
      <c r="F173" s="101"/>
      <c r="G173" s="221" t="s">
        <v>1921</v>
      </c>
      <c r="H173" s="101"/>
      <c r="I173" s="61"/>
      <c r="J173" s="61"/>
      <c r="K173" s="64"/>
      <c r="L173" s="64"/>
      <c r="M173" s="100"/>
      <c r="N173" s="100"/>
    </row>
    <row r="174" s="75" customFormat="1" spans="2:14">
      <c r="B174" s="269" t="s">
        <v>1174</v>
      </c>
      <c r="C174" s="64" t="s">
        <v>706</v>
      </c>
      <c r="D174" s="101" t="s">
        <v>1175</v>
      </c>
      <c r="E174" s="64" t="s">
        <v>671</v>
      </c>
      <c r="F174" s="101"/>
      <c r="G174" s="221" t="s">
        <v>1922</v>
      </c>
      <c r="H174" s="101"/>
      <c r="I174" s="61"/>
      <c r="J174" s="61"/>
      <c r="K174" s="64"/>
      <c r="L174" s="64"/>
      <c r="M174" s="100"/>
      <c r="N174" s="100"/>
    </row>
    <row r="175" s="75" customFormat="1" spans="2:14">
      <c r="B175" s="269" t="s">
        <v>1177</v>
      </c>
      <c r="C175" s="64" t="s">
        <v>706</v>
      </c>
      <c r="D175" s="101" t="s">
        <v>1178</v>
      </c>
      <c r="E175" s="64" t="s">
        <v>671</v>
      </c>
      <c r="F175" s="101"/>
      <c r="G175" s="221" t="s">
        <v>1923</v>
      </c>
      <c r="H175" s="101"/>
      <c r="I175" s="61"/>
      <c r="J175" s="61"/>
      <c r="K175" s="64"/>
      <c r="L175" s="64"/>
      <c r="M175" s="100"/>
      <c r="N175" s="100"/>
    </row>
    <row r="176" s="75" customFormat="1" spans="2:14">
      <c r="B176" s="269" t="s">
        <v>1180</v>
      </c>
      <c r="C176" s="64" t="s">
        <v>706</v>
      </c>
      <c r="D176" s="101" t="s">
        <v>1181</v>
      </c>
      <c r="E176" s="64" t="s">
        <v>671</v>
      </c>
      <c r="F176" s="101"/>
      <c r="G176" s="221" t="s">
        <v>1924</v>
      </c>
      <c r="H176" s="101"/>
      <c r="I176" s="61"/>
      <c r="J176" s="61"/>
      <c r="K176" s="64"/>
      <c r="L176" s="64"/>
      <c r="M176" s="100"/>
      <c r="N176" s="100"/>
    </row>
    <row r="177" s="75" customFormat="1" spans="2:14">
      <c r="B177" s="269" t="s">
        <v>1183</v>
      </c>
      <c r="C177" s="64" t="s">
        <v>203</v>
      </c>
      <c r="D177" s="101" t="s">
        <v>1184</v>
      </c>
      <c r="E177" s="64" t="s">
        <v>671</v>
      </c>
      <c r="F177" s="101"/>
      <c r="G177" s="221" t="s">
        <v>1925</v>
      </c>
      <c r="H177" s="101"/>
      <c r="I177" s="61"/>
      <c r="J177" s="61"/>
      <c r="K177" s="64"/>
      <c r="L177" s="64"/>
      <c r="M177" s="100"/>
      <c r="N177" s="100"/>
    </row>
    <row r="178" s="75" customFormat="1" spans="2:14">
      <c r="B178" s="269" t="s">
        <v>1186</v>
      </c>
      <c r="C178" s="64" t="s">
        <v>706</v>
      </c>
      <c r="D178" s="101" t="s">
        <v>1187</v>
      </c>
      <c r="E178" s="64" t="s">
        <v>671</v>
      </c>
      <c r="F178" s="101"/>
      <c r="G178" s="221" t="s">
        <v>1926</v>
      </c>
      <c r="H178" s="101"/>
      <c r="I178" s="61"/>
      <c r="J178" s="61"/>
      <c r="K178" s="64"/>
      <c r="L178" s="64"/>
      <c r="M178" s="100"/>
      <c r="N178" s="100"/>
    </row>
    <row r="179" s="75" customFormat="1" spans="2:14">
      <c r="B179" s="269" t="s">
        <v>1189</v>
      </c>
      <c r="C179" s="64" t="s">
        <v>706</v>
      </c>
      <c r="D179" s="101" t="s">
        <v>1190</v>
      </c>
      <c r="E179" s="64" t="s">
        <v>671</v>
      </c>
      <c r="F179" s="101"/>
      <c r="G179" s="221" t="s">
        <v>1927</v>
      </c>
      <c r="H179" s="101"/>
      <c r="I179" s="61"/>
      <c r="J179" s="61"/>
      <c r="K179" s="64"/>
      <c r="L179" s="64"/>
      <c r="M179" s="100"/>
      <c r="N179" s="100"/>
    </row>
    <row r="180" s="75" customFormat="1" spans="2:14">
      <c r="B180" s="269" t="s">
        <v>1192</v>
      </c>
      <c r="C180" s="64" t="s">
        <v>706</v>
      </c>
      <c r="D180" s="101" t="s">
        <v>1193</v>
      </c>
      <c r="E180" s="64" t="s">
        <v>671</v>
      </c>
      <c r="F180" s="101"/>
      <c r="G180" s="221" t="s">
        <v>1928</v>
      </c>
      <c r="H180" s="101"/>
      <c r="I180" s="61"/>
      <c r="J180" s="61"/>
      <c r="K180" s="64"/>
      <c r="L180" s="64"/>
      <c r="M180" s="100"/>
      <c r="N180" s="100"/>
    </row>
    <row r="181" s="75" customFormat="1" spans="2:14">
      <c r="B181" s="269" t="s">
        <v>1195</v>
      </c>
      <c r="C181" s="64" t="s">
        <v>706</v>
      </c>
      <c r="D181" s="101" t="s">
        <v>1196</v>
      </c>
      <c r="E181" s="64" t="s">
        <v>671</v>
      </c>
      <c r="F181" s="101"/>
      <c r="G181" s="221" t="s">
        <v>1929</v>
      </c>
      <c r="H181" s="101"/>
      <c r="I181" s="61"/>
      <c r="J181" s="61"/>
      <c r="K181" s="64"/>
      <c r="L181" s="64"/>
      <c r="M181" s="100"/>
      <c r="N181" s="100"/>
    </row>
    <row r="182" s="75" customFormat="1" spans="2:14">
      <c r="B182" s="269" t="s">
        <v>1198</v>
      </c>
      <c r="C182" s="64" t="s">
        <v>706</v>
      </c>
      <c r="D182" s="101" t="s">
        <v>1199</v>
      </c>
      <c r="E182" s="64" t="s">
        <v>671</v>
      </c>
      <c r="F182" s="101"/>
      <c r="G182" s="221" t="s">
        <v>1930</v>
      </c>
      <c r="H182" s="101"/>
      <c r="I182" s="61"/>
      <c r="J182" s="61"/>
      <c r="K182" s="64"/>
      <c r="L182" s="64"/>
      <c r="M182" s="100"/>
      <c r="N182" s="100"/>
    </row>
    <row r="183" s="75" customFormat="1" spans="2:14">
      <c r="B183" s="269" t="s">
        <v>1201</v>
      </c>
      <c r="C183" s="64" t="s">
        <v>706</v>
      </c>
      <c r="D183" s="101" t="s">
        <v>1202</v>
      </c>
      <c r="E183" s="64" t="s">
        <v>671</v>
      </c>
      <c r="F183" s="101"/>
      <c r="G183" s="221" t="s">
        <v>1203</v>
      </c>
      <c r="H183" s="101"/>
      <c r="I183" s="61"/>
      <c r="J183" s="61"/>
      <c r="K183" s="64"/>
      <c r="L183" s="64"/>
      <c r="M183" s="100"/>
      <c r="N183" s="100"/>
    </row>
    <row r="184" s="75" customFormat="1" spans="2:14">
      <c r="B184" s="269" t="s">
        <v>1204</v>
      </c>
      <c r="C184" s="64" t="s">
        <v>203</v>
      </c>
      <c r="D184" s="101" t="s">
        <v>1205</v>
      </c>
      <c r="E184" s="64" t="s">
        <v>671</v>
      </c>
      <c r="F184" s="101"/>
      <c r="G184" s="221" t="s">
        <v>1206</v>
      </c>
      <c r="H184" s="101"/>
      <c r="I184" s="61"/>
      <c r="J184" s="61"/>
      <c r="K184" s="64"/>
      <c r="L184" s="64"/>
      <c r="M184" s="100"/>
      <c r="N184" s="100"/>
    </row>
    <row r="185" s="75" customFormat="1" spans="2:14">
      <c r="B185" s="269" t="s">
        <v>1207</v>
      </c>
      <c r="C185" s="64" t="s">
        <v>706</v>
      </c>
      <c r="D185" s="101" t="s">
        <v>1208</v>
      </c>
      <c r="E185" s="64" t="s">
        <v>671</v>
      </c>
      <c r="F185" s="101"/>
      <c r="G185" s="221" t="s">
        <v>1209</v>
      </c>
      <c r="H185" s="101"/>
      <c r="I185" s="61"/>
      <c r="J185" s="61"/>
      <c r="K185" s="64"/>
      <c r="L185" s="64"/>
      <c r="M185" s="100"/>
      <c r="N185" s="100"/>
    </row>
    <row r="186" s="75" customFormat="1" spans="2:14">
      <c r="B186" s="269" t="s">
        <v>1210</v>
      </c>
      <c r="C186" s="64" t="s">
        <v>706</v>
      </c>
      <c r="D186" s="101" t="s">
        <v>1211</v>
      </c>
      <c r="E186" s="64" t="s">
        <v>671</v>
      </c>
      <c r="F186" s="101"/>
      <c r="G186" s="221" t="s">
        <v>1212</v>
      </c>
      <c r="H186" s="101"/>
      <c r="I186" s="61"/>
      <c r="J186" s="61"/>
      <c r="K186" s="64"/>
      <c r="L186" s="64"/>
      <c r="M186" s="100"/>
      <c r="N186" s="100"/>
    </row>
    <row r="187" s="75" customFormat="1" spans="2:14">
      <c r="B187" s="269" t="s">
        <v>1213</v>
      </c>
      <c r="C187" s="64" t="s">
        <v>706</v>
      </c>
      <c r="D187" s="101" t="s">
        <v>1214</v>
      </c>
      <c r="E187" s="64" t="s">
        <v>671</v>
      </c>
      <c r="F187" s="101"/>
      <c r="G187" s="221" t="s">
        <v>1215</v>
      </c>
      <c r="H187" s="101"/>
      <c r="I187" s="61"/>
      <c r="J187" s="61"/>
      <c r="K187" s="64"/>
      <c r="L187" s="64"/>
      <c r="M187" s="100"/>
      <c r="N187" s="100"/>
    </row>
    <row r="188" s="75" customFormat="1" spans="2:14">
      <c r="B188" s="269" t="s">
        <v>1216</v>
      </c>
      <c r="C188" s="64" t="s">
        <v>706</v>
      </c>
      <c r="D188" s="101" t="s">
        <v>1217</v>
      </c>
      <c r="E188" s="64" t="s">
        <v>671</v>
      </c>
      <c r="F188" s="101"/>
      <c r="G188" s="221" t="s">
        <v>1218</v>
      </c>
      <c r="H188" s="101"/>
      <c r="I188" s="61"/>
      <c r="J188" s="61"/>
      <c r="K188" s="64"/>
      <c r="L188" s="64"/>
      <c r="M188" s="100"/>
      <c r="N188" s="100"/>
    </row>
    <row r="189" s="75" customFormat="1" spans="2:14">
      <c r="B189" s="269" t="s">
        <v>1219</v>
      </c>
      <c r="C189" s="64" t="s">
        <v>706</v>
      </c>
      <c r="D189" s="101" t="s">
        <v>1220</v>
      </c>
      <c r="E189" s="64" t="s">
        <v>671</v>
      </c>
      <c r="F189" s="101"/>
      <c r="G189" s="221" t="s">
        <v>1221</v>
      </c>
      <c r="H189" s="101"/>
      <c r="I189" s="61"/>
      <c r="J189" s="61"/>
      <c r="K189" s="64"/>
      <c r="L189" s="64"/>
      <c r="M189" s="100"/>
      <c r="N189" s="100"/>
    </row>
    <row r="190" s="75" customFormat="1" spans="2:14">
      <c r="B190" s="269" t="s">
        <v>1222</v>
      </c>
      <c r="C190" s="64" t="s">
        <v>706</v>
      </c>
      <c r="D190" s="101" t="s">
        <v>1223</v>
      </c>
      <c r="E190" s="64" t="s">
        <v>671</v>
      </c>
      <c r="F190" s="101"/>
      <c r="G190" s="221" t="s">
        <v>1931</v>
      </c>
      <c r="H190" s="101"/>
      <c r="I190" s="61"/>
      <c r="J190" s="61"/>
      <c r="K190" s="64"/>
      <c r="L190" s="64"/>
      <c r="M190" s="100"/>
      <c r="N190" s="100"/>
    </row>
    <row r="191" s="75" customFormat="1" spans="2:14">
      <c r="B191" s="269" t="s">
        <v>1225</v>
      </c>
      <c r="C191" s="64" t="s">
        <v>203</v>
      </c>
      <c r="D191" s="101" t="s">
        <v>1226</v>
      </c>
      <c r="E191" s="64" t="s">
        <v>671</v>
      </c>
      <c r="F191" s="101"/>
      <c r="G191" s="221" t="s">
        <v>1932</v>
      </c>
      <c r="H191" s="101"/>
      <c r="I191" s="61"/>
      <c r="J191" s="61"/>
      <c r="K191" s="64"/>
      <c r="L191" s="64"/>
      <c r="M191" s="100"/>
      <c r="N191" s="100"/>
    </row>
    <row r="192" s="75" customFormat="1" spans="2:14">
      <c r="B192" s="269" t="s">
        <v>1228</v>
      </c>
      <c r="C192" s="64" t="s">
        <v>706</v>
      </c>
      <c r="D192" s="101" t="s">
        <v>1229</v>
      </c>
      <c r="E192" s="64" t="s">
        <v>671</v>
      </c>
      <c r="F192" s="101"/>
      <c r="G192" s="221" t="s">
        <v>1933</v>
      </c>
      <c r="H192" s="101"/>
      <c r="I192" s="61"/>
      <c r="J192" s="61"/>
      <c r="K192" s="64"/>
      <c r="L192" s="64"/>
      <c r="M192" s="100"/>
      <c r="N192" s="100"/>
    </row>
    <row r="193" s="75" customFormat="1" spans="2:14">
      <c r="B193" s="269" t="s">
        <v>1231</v>
      </c>
      <c r="C193" s="64" t="s">
        <v>706</v>
      </c>
      <c r="D193" s="101" t="s">
        <v>1232</v>
      </c>
      <c r="E193" s="64" t="s">
        <v>671</v>
      </c>
      <c r="F193" s="101"/>
      <c r="G193" s="221" t="s">
        <v>1934</v>
      </c>
      <c r="H193" s="101"/>
      <c r="I193" s="61"/>
      <c r="J193" s="61"/>
      <c r="K193" s="64"/>
      <c r="L193" s="64"/>
      <c r="M193" s="100"/>
      <c r="N193" s="100"/>
    </row>
    <row r="194" s="75" customFormat="1" spans="2:14">
      <c r="B194" s="269" t="s">
        <v>1234</v>
      </c>
      <c r="C194" s="64" t="s">
        <v>706</v>
      </c>
      <c r="D194" s="101" t="s">
        <v>1235</v>
      </c>
      <c r="E194" s="64" t="s">
        <v>671</v>
      </c>
      <c r="F194" s="101"/>
      <c r="G194" s="221" t="s">
        <v>1935</v>
      </c>
      <c r="H194" s="101"/>
      <c r="I194" s="61"/>
      <c r="J194" s="61"/>
      <c r="K194" s="64"/>
      <c r="L194" s="64"/>
      <c r="M194" s="100"/>
      <c r="N194" s="100"/>
    </row>
    <row r="195" s="75" customFormat="1" spans="2:14">
      <c r="B195" s="269" t="s">
        <v>1237</v>
      </c>
      <c r="C195" s="64" t="s">
        <v>706</v>
      </c>
      <c r="D195" s="101" t="s">
        <v>1238</v>
      </c>
      <c r="E195" s="64" t="s">
        <v>671</v>
      </c>
      <c r="F195" s="101"/>
      <c r="G195" s="221" t="s">
        <v>1936</v>
      </c>
      <c r="H195" s="101"/>
      <c r="I195" s="61"/>
      <c r="J195" s="61"/>
      <c r="K195" s="64"/>
      <c r="L195" s="64"/>
      <c r="M195" s="100"/>
      <c r="N195" s="100"/>
    </row>
    <row r="196" s="75" customFormat="1" spans="2:14">
      <c r="B196" s="269" t="s">
        <v>1240</v>
      </c>
      <c r="C196" s="64" t="s">
        <v>706</v>
      </c>
      <c r="D196" s="101" t="s">
        <v>1241</v>
      </c>
      <c r="E196" s="64" t="s">
        <v>671</v>
      </c>
      <c r="F196" s="101"/>
      <c r="G196" s="221" t="s">
        <v>1937</v>
      </c>
      <c r="H196" s="101"/>
      <c r="I196" s="61"/>
      <c r="J196" s="61"/>
      <c r="K196" s="64"/>
      <c r="L196" s="64"/>
      <c r="M196" s="100"/>
      <c r="N196" s="100"/>
    </row>
    <row r="197" s="75" customFormat="1" spans="2:14">
      <c r="B197" s="269" t="s">
        <v>1243</v>
      </c>
      <c r="C197" s="64" t="s">
        <v>706</v>
      </c>
      <c r="D197" s="101" t="s">
        <v>1244</v>
      </c>
      <c r="E197" s="64" t="s">
        <v>671</v>
      </c>
      <c r="F197" s="101"/>
      <c r="G197" s="221" t="s">
        <v>1693</v>
      </c>
      <c r="H197" s="101"/>
      <c r="I197" s="61"/>
      <c r="J197" s="61"/>
      <c r="K197" s="64"/>
      <c r="L197" s="64"/>
      <c r="M197" s="100"/>
      <c r="N197" s="100"/>
    </row>
    <row r="198" s="75" customFormat="1" spans="2:14">
      <c r="B198" s="269" t="s">
        <v>1246</v>
      </c>
      <c r="C198" s="64" t="s">
        <v>203</v>
      </c>
      <c r="D198" s="101" t="s">
        <v>1247</v>
      </c>
      <c r="E198" s="64" t="s">
        <v>671</v>
      </c>
      <c r="F198" s="101"/>
      <c r="G198" s="221" t="s">
        <v>1693</v>
      </c>
      <c r="H198" s="101"/>
      <c r="I198" s="61"/>
      <c r="J198" s="61"/>
      <c r="K198" s="64"/>
      <c r="L198" s="64"/>
      <c r="M198" s="100"/>
      <c r="N198" s="100"/>
    </row>
    <row r="199" s="75" customFormat="1" spans="2:14">
      <c r="B199" s="269" t="s">
        <v>1249</v>
      </c>
      <c r="C199" s="64" t="s">
        <v>706</v>
      </c>
      <c r="D199" s="101" t="s">
        <v>1250</v>
      </c>
      <c r="E199" s="64" t="s">
        <v>671</v>
      </c>
      <c r="F199" s="101"/>
      <c r="G199" s="221" t="s">
        <v>1693</v>
      </c>
      <c r="H199" s="101"/>
      <c r="I199" s="61"/>
      <c r="J199" s="61"/>
      <c r="K199" s="64"/>
      <c r="L199" s="64"/>
      <c r="M199" s="100"/>
      <c r="N199" s="100"/>
    </row>
    <row r="200" s="75" customFormat="1" spans="2:14">
      <c r="B200" s="269" t="s">
        <v>1252</v>
      </c>
      <c r="C200" s="64" t="s">
        <v>706</v>
      </c>
      <c r="D200" s="101" t="s">
        <v>1253</v>
      </c>
      <c r="E200" s="64" t="s">
        <v>671</v>
      </c>
      <c r="F200" s="101"/>
      <c r="G200" s="221" t="s">
        <v>1693</v>
      </c>
      <c r="H200" s="101"/>
      <c r="I200" s="61"/>
      <c r="J200" s="61"/>
      <c r="K200" s="64"/>
      <c r="L200" s="64"/>
      <c r="M200" s="100"/>
      <c r="N200" s="100"/>
    </row>
    <row r="201" s="75" customFormat="1" spans="2:14">
      <c r="B201" s="269" t="s">
        <v>1255</v>
      </c>
      <c r="C201" s="64" t="s">
        <v>706</v>
      </c>
      <c r="D201" s="101" t="s">
        <v>1256</v>
      </c>
      <c r="E201" s="64" t="s">
        <v>671</v>
      </c>
      <c r="F201" s="101"/>
      <c r="G201" s="221" t="s">
        <v>1693</v>
      </c>
      <c r="H201" s="101"/>
      <c r="I201" s="61"/>
      <c r="J201" s="61"/>
      <c r="K201" s="64"/>
      <c r="L201" s="64"/>
      <c r="M201" s="100"/>
      <c r="N201" s="100"/>
    </row>
    <row r="202" s="75" customFormat="1" spans="2:14">
      <c r="B202" s="269" t="s">
        <v>1258</v>
      </c>
      <c r="C202" s="64" t="s">
        <v>706</v>
      </c>
      <c r="D202" s="101" t="s">
        <v>1259</v>
      </c>
      <c r="E202" s="64" t="s">
        <v>671</v>
      </c>
      <c r="F202" s="101"/>
      <c r="G202" s="221" t="s">
        <v>1693</v>
      </c>
      <c r="H202" s="101"/>
      <c r="I202" s="61"/>
      <c r="J202" s="61"/>
      <c r="K202" s="64"/>
      <c r="L202" s="64"/>
      <c r="M202" s="100"/>
      <c r="N202" s="100"/>
    </row>
    <row r="203" s="75" customFormat="1" spans="2:14">
      <c r="B203" s="269" t="s">
        <v>1261</v>
      </c>
      <c r="C203" s="64" t="s">
        <v>706</v>
      </c>
      <c r="D203" s="101" t="s">
        <v>1262</v>
      </c>
      <c r="E203" s="64" t="s">
        <v>671</v>
      </c>
      <c r="F203" s="101"/>
      <c r="G203" s="221" t="s">
        <v>1693</v>
      </c>
      <c r="H203" s="101"/>
      <c r="I203" s="61"/>
      <c r="J203" s="61"/>
      <c r="K203" s="64"/>
      <c r="L203" s="64"/>
      <c r="M203" s="100"/>
      <c r="N203" s="100"/>
    </row>
    <row r="204" s="75" customFormat="1" spans="2:14">
      <c r="B204" s="269" t="s">
        <v>1264</v>
      </c>
      <c r="C204" s="64" t="s">
        <v>706</v>
      </c>
      <c r="D204" s="101" t="s">
        <v>1265</v>
      </c>
      <c r="E204" s="64" t="s">
        <v>671</v>
      </c>
      <c r="F204" s="101"/>
      <c r="G204" s="221" t="s">
        <v>1938</v>
      </c>
      <c r="H204" s="101"/>
      <c r="I204" s="61"/>
      <c r="J204" s="61"/>
      <c r="K204" s="64"/>
      <c r="L204" s="64"/>
      <c r="M204" s="100"/>
      <c r="N204" s="100"/>
    </row>
    <row r="205" s="75" customFormat="1" spans="2:14">
      <c r="B205" s="269" t="s">
        <v>1267</v>
      </c>
      <c r="C205" s="64" t="s">
        <v>203</v>
      </c>
      <c r="D205" s="101" t="s">
        <v>1268</v>
      </c>
      <c r="E205" s="64" t="s">
        <v>671</v>
      </c>
      <c r="F205" s="101"/>
      <c r="G205" s="221" t="s">
        <v>1939</v>
      </c>
      <c r="H205" s="101"/>
      <c r="I205" s="61"/>
      <c r="J205" s="61"/>
      <c r="K205" s="64"/>
      <c r="L205" s="64"/>
      <c r="M205" s="100"/>
      <c r="N205" s="100"/>
    </row>
    <row r="206" s="75" customFormat="1" spans="2:14">
      <c r="B206" s="269" t="s">
        <v>1270</v>
      </c>
      <c r="C206" s="64" t="s">
        <v>706</v>
      </c>
      <c r="D206" s="101" t="s">
        <v>1271</v>
      </c>
      <c r="E206" s="64" t="s">
        <v>671</v>
      </c>
      <c r="F206" s="101"/>
      <c r="G206" s="221" t="s">
        <v>1940</v>
      </c>
      <c r="H206" s="101"/>
      <c r="I206" s="61"/>
      <c r="J206" s="61"/>
      <c r="K206" s="64"/>
      <c r="L206" s="64"/>
      <c r="M206" s="100"/>
      <c r="N206" s="100"/>
    </row>
    <row r="207" s="75" customFormat="1" spans="2:14">
      <c r="B207" s="269" t="s">
        <v>1273</v>
      </c>
      <c r="C207" s="64" t="s">
        <v>706</v>
      </c>
      <c r="D207" s="101" t="s">
        <v>1274</v>
      </c>
      <c r="E207" s="64" t="s">
        <v>671</v>
      </c>
      <c r="F207" s="101"/>
      <c r="G207" s="221" t="s">
        <v>1941</v>
      </c>
      <c r="H207" s="101"/>
      <c r="I207" s="61"/>
      <c r="J207" s="61"/>
      <c r="K207" s="64"/>
      <c r="L207" s="64"/>
      <c r="M207" s="100"/>
      <c r="N207" s="100"/>
    </row>
    <row r="208" s="75" customFormat="1" spans="2:14">
      <c r="B208" s="269" t="s">
        <v>1276</v>
      </c>
      <c r="C208" s="64" t="s">
        <v>706</v>
      </c>
      <c r="D208" s="101" t="s">
        <v>1277</v>
      </c>
      <c r="E208" s="64" t="s">
        <v>671</v>
      </c>
      <c r="F208" s="101"/>
      <c r="G208" s="221" t="s">
        <v>1942</v>
      </c>
      <c r="H208" s="101"/>
      <c r="I208" s="61"/>
      <c r="J208" s="61"/>
      <c r="K208" s="64"/>
      <c r="L208" s="64"/>
      <c r="M208" s="100"/>
      <c r="N208" s="100"/>
    </row>
    <row r="209" s="75" customFormat="1" spans="2:14">
      <c r="B209" s="269" t="s">
        <v>1279</v>
      </c>
      <c r="C209" s="64" t="s">
        <v>706</v>
      </c>
      <c r="D209" s="101" t="s">
        <v>1280</v>
      </c>
      <c r="E209" s="64" t="s">
        <v>671</v>
      </c>
      <c r="F209" s="101"/>
      <c r="G209" s="221" t="s">
        <v>1943</v>
      </c>
      <c r="H209" s="101"/>
      <c r="I209" s="61"/>
      <c r="J209" s="61"/>
      <c r="K209" s="64"/>
      <c r="L209" s="64"/>
      <c r="M209" s="100"/>
      <c r="N209" s="100"/>
    </row>
    <row r="210" s="75" customFormat="1" spans="2:14">
      <c r="B210" s="269" t="s">
        <v>1282</v>
      </c>
      <c r="C210" s="64" t="s">
        <v>706</v>
      </c>
      <c r="D210" s="101" t="s">
        <v>1283</v>
      </c>
      <c r="E210" s="64" t="s">
        <v>671</v>
      </c>
      <c r="F210" s="101"/>
      <c r="G210" s="221" t="s">
        <v>1944</v>
      </c>
      <c r="H210" s="101"/>
      <c r="I210" s="61"/>
      <c r="J210" s="61"/>
      <c r="K210" s="64"/>
      <c r="L210" s="64"/>
      <c r="M210" s="100"/>
      <c r="N210" s="100"/>
    </row>
    <row r="211" s="75" customFormat="1" spans="2:14">
      <c r="B211" s="269" t="s">
        <v>1285</v>
      </c>
      <c r="C211" s="64" t="s">
        <v>706</v>
      </c>
      <c r="D211" s="101" t="s">
        <v>1286</v>
      </c>
      <c r="E211" s="64" t="s">
        <v>671</v>
      </c>
      <c r="F211" s="101"/>
      <c r="G211" s="221" t="s">
        <v>1287</v>
      </c>
      <c r="H211" s="101"/>
      <c r="I211" s="61"/>
      <c r="J211" s="61"/>
      <c r="K211" s="64"/>
      <c r="L211" s="64"/>
      <c r="M211" s="100"/>
      <c r="N211" s="100"/>
    </row>
    <row r="212" s="75" customFormat="1" spans="2:14">
      <c r="B212" s="269" t="s">
        <v>1288</v>
      </c>
      <c r="C212" s="64" t="s">
        <v>203</v>
      </c>
      <c r="D212" s="101" t="s">
        <v>1289</v>
      </c>
      <c r="E212" s="64" t="s">
        <v>671</v>
      </c>
      <c r="F212" s="101"/>
      <c r="G212" s="221" t="s">
        <v>1290</v>
      </c>
      <c r="H212" s="101"/>
      <c r="I212" s="61"/>
      <c r="J212" s="61"/>
      <c r="K212" s="64"/>
      <c r="L212" s="64"/>
      <c r="M212" s="100"/>
      <c r="N212" s="100"/>
    </row>
    <row r="213" s="75" customFormat="1" spans="2:14">
      <c r="B213" s="269" t="s">
        <v>1291</v>
      </c>
      <c r="C213" s="64" t="s">
        <v>706</v>
      </c>
      <c r="D213" s="101" t="s">
        <v>1292</v>
      </c>
      <c r="E213" s="64" t="s">
        <v>671</v>
      </c>
      <c r="F213" s="101"/>
      <c r="G213" s="221" t="s">
        <v>1293</v>
      </c>
      <c r="H213" s="101"/>
      <c r="I213" s="61"/>
      <c r="J213" s="61"/>
      <c r="K213" s="64"/>
      <c r="L213" s="64"/>
      <c r="M213" s="100"/>
      <c r="N213" s="100"/>
    </row>
    <row r="214" s="75" customFormat="1" spans="2:14">
      <c r="B214" s="269" t="s">
        <v>1294</v>
      </c>
      <c r="C214" s="64" t="s">
        <v>706</v>
      </c>
      <c r="D214" s="101" t="s">
        <v>1295</v>
      </c>
      <c r="E214" s="64" t="s">
        <v>671</v>
      </c>
      <c r="F214" s="101"/>
      <c r="G214" s="221" t="s">
        <v>1296</v>
      </c>
      <c r="H214" s="101"/>
      <c r="I214" s="61"/>
      <c r="J214" s="61"/>
      <c r="K214" s="64"/>
      <c r="L214" s="64"/>
      <c r="M214" s="100"/>
      <c r="N214" s="100"/>
    </row>
    <row r="215" s="75" customFormat="1" spans="2:14">
      <c r="B215" s="269" t="s">
        <v>1297</v>
      </c>
      <c r="C215" s="64" t="s">
        <v>706</v>
      </c>
      <c r="D215" s="101" t="s">
        <v>1298</v>
      </c>
      <c r="E215" s="64" t="s">
        <v>671</v>
      </c>
      <c r="F215" s="101"/>
      <c r="G215" s="221" t="s">
        <v>1299</v>
      </c>
      <c r="H215" s="101"/>
      <c r="I215" s="61"/>
      <c r="J215" s="61"/>
      <c r="K215" s="64"/>
      <c r="L215" s="64"/>
      <c r="M215" s="100"/>
      <c r="N215" s="100"/>
    </row>
    <row r="216" s="75" customFormat="1" spans="2:14">
      <c r="B216" s="269" t="s">
        <v>1300</v>
      </c>
      <c r="C216" s="64" t="s">
        <v>706</v>
      </c>
      <c r="D216" s="101" t="s">
        <v>1301</v>
      </c>
      <c r="E216" s="64" t="s">
        <v>671</v>
      </c>
      <c r="F216" s="101"/>
      <c r="G216" s="221" t="s">
        <v>1302</v>
      </c>
      <c r="H216" s="101"/>
      <c r="I216" s="61"/>
      <c r="J216" s="61"/>
      <c r="K216" s="64"/>
      <c r="L216" s="64"/>
      <c r="M216" s="100"/>
      <c r="N216" s="100"/>
    </row>
    <row r="217" s="75" customFormat="1" spans="2:14">
      <c r="B217" s="269" t="s">
        <v>1303</v>
      </c>
      <c r="C217" s="64" t="s">
        <v>706</v>
      </c>
      <c r="D217" s="101" t="s">
        <v>1304</v>
      </c>
      <c r="E217" s="64" t="s">
        <v>671</v>
      </c>
      <c r="F217" s="101"/>
      <c r="G217" s="221" t="s">
        <v>1305</v>
      </c>
      <c r="H217" s="101"/>
      <c r="I217" s="61"/>
      <c r="J217" s="61"/>
      <c r="K217" s="64"/>
      <c r="L217" s="64"/>
      <c r="M217" s="100"/>
      <c r="N217" s="100"/>
    </row>
    <row r="218" s="75" customFormat="1" spans="2:14">
      <c r="B218" s="269" t="s">
        <v>1306</v>
      </c>
      <c r="C218" s="64" t="s">
        <v>706</v>
      </c>
      <c r="D218" s="101" t="s">
        <v>1307</v>
      </c>
      <c r="E218" s="64" t="s">
        <v>671</v>
      </c>
      <c r="F218" s="101"/>
      <c r="G218" s="221" t="s">
        <v>1945</v>
      </c>
      <c r="H218" s="101"/>
      <c r="I218" s="61"/>
      <c r="J218" s="61"/>
      <c r="K218" s="64"/>
      <c r="L218" s="64"/>
      <c r="M218" s="100"/>
      <c r="N218" s="100"/>
    </row>
    <row r="219" s="75" customFormat="1" spans="2:14">
      <c r="B219" s="269" t="s">
        <v>1309</v>
      </c>
      <c r="C219" s="64" t="s">
        <v>203</v>
      </c>
      <c r="D219" s="101" t="s">
        <v>1310</v>
      </c>
      <c r="E219" s="64" t="s">
        <v>671</v>
      </c>
      <c r="F219" s="101"/>
      <c r="G219" s="221" t="s">
        <v>1946</v>
      </c>
      <c r="H219" s="101"/>
      <c r="I219" s="61"/>
      <c r="J219" s="61"/>
      <c r="K219" s="64"/>
      <c r="L219" s="64"/>
      <c r="M219" s="100"/>
      <c r="N219" s="100"/>
    </row>
    <row r="220" s="75" customFormat="1" spans="2:14">
      <c r="B220" s="269" t="s">
        <v>1312</v>
      </c>
      <c r="C220" s="64" t="s">
        <v>706</v>
      </c>
      <c r="D220" s="101" t="s">
        <v>1313</v>
      </c>
      <c r="E220" s="64" t="s">
        <v>671</v>
      </c>
      <c r="F220" s="101"/>
      <c r="G220" s="221" t="s">
        <v>1947</v>
      </c>
      <c r="H220" s="101"/>
      <c r="I220" s="61"/>
      <c r="J220" s="61"/>
      <c r="K220" s="64"/>
      <c r="L220" s="64"/>
      <c r="M220" s="100"/>
      <c r="N220" s="100"/>
    </row>
    <row r="221" s="75" customFormat="1" spans="2:14">
      <c r="B221" s="269" t="s">
        <v>1315</v>
      </c>
      <c r="C221" s="64" t="s">
        <v>706</v>
      </c>
      <c r="D221" s="101" t="s">
        <v>1316</v>
      </c>
      <c r="E221" s="64" t="s">
        <v>671</v>
      </c>
      <c r="F221" s="101"/>
      <c r="G221" s="221" t="s">
        <v>1948</v>
      </c>
      <c r="H221" s="101"/>
      <c r="I221" s="61"/>
      <c r="J221" s="61"/>
      <c r="K221" s="64"/>
      <c r="L221" s="64"/>
      <c r="M221" s="100"/>
      <c r="N221" s="100"/>
    </row>
    <row r="222" s="75" customFormat="1" spans="2:14">
      <c r="B222" s="269" t="s">
        <v>1318</v>
      </c>
      <c r="C222" s="64" t="s">
        <v>706</v>
      </c>
      <c r="D222" s="101" t="s">
        <v>1319</v>
      </c>
      <c r="E222" s="64" t="s">
        <v>671</v>
      </c>
      <c r="F222" s="101"/>
      <c r="G222" s="221" t="s">
        <v>1949</v>
      </c>
      <c r="H222" s="101"/>
      <c r="I222" s="61"/>
      <c r="J222" s="61"/>
      <c r="K222" s="64"/>
      <c r="L222" s="64"/>
      <c r="M222" s="100"/>
      <c r="N222" s="100"/>
    </row>
    <row r="223" s="75" customFormat="1" spans="2:14">
      <c r="B223" s="269" t="s">
        <v>1321</v>
      </c>
      <c r="C223" s="64" t="s">
        <v>706</v>
      </c>
      <c r="D223" s="101" t="s">
        <v>1322</v>
      </c>
      <c r="E223" s="64" t="s">
        <v>671</v>
      </c>
      <c r="F223" s="101"/>
      <c r="G223" s="221" t="s">
        <v>1950</v>
      </c>
      <c r="H223" s="101"/>
      <c r="I223" s="61"/>
      <c r="J223" s="61"/>
      <c r="K223" s="64"/>
      <c r="L223" s="64"/>
      <c r="M223" s="100"/>
      <c r="N223" s="100"/>
    </row>
    <row r="224" s="75" customFormat="1" spans="2:14">
      <c r="B224" s="269" t="s">
        <v>1324</v>
      </c>
      <c r="C224" s="64" t="s">
        <v>706</v>
      </c>
      <c r="D224" s="101" t="s">
        <v>1325</v>
      </c>
      <c r="E224" s="64" t="s">
        <v>671</v>
      </c>
      <c r="F224" s="101"/>
      <c r="G224" s="221" t="s">
        <v>1951</v>
      </c>
      <c r="H224" s="101"/>
      <c r="I224" s="61"/>
      <c r="J224" s="61"/>
      <c r="K224" s="64"/>
      <c r="L224" s="64"/>
      <c r="M224" s="100"/>
      <c r="N224" s="100"/>
    </row>
    <row r="225" s="75" customFormat="1" spans="2:14">
      <c r="B225" s="269" t="s">
        <v>1327</v>
      </c>
      <c r="C225" s="64" t="s">
        <v>706</v>
      </c>
      <c r="D225" s="101" t="s">
        <v>1328</v>
      </c>
      <c r="E225" s="64" t="s">
        <v>671</v>
      </c>
      <c r="F225" s="101"/>
      <c r="G225" s="221" t="s">
        <v>1952</v>
      </c>
      <c r="H225" s="101"/>
      <c r="I225" s="61"/>
      <c r="J225" s="61"/>
      <c r="K225" s="64"/>
      <c r="L225" s="64"/>
      <c r="M225" s="100"/>
      <c r="N225" s="100"/>
    </row>
    <row r="226" s="75" customFormat="1" spans="2:14">
      <c r="B226" s="269" t="s">
        <v>1330</v>
      </c>
      <c r="C226" s="64" t="s">
        <v>203</v>
      </c>
      <c r="D226" s="101" t="s">
        <v>1331</v>
      </c>
      <c r="E226" s="64" t="s">
        <v>671</v>
      </c>
      <c r="F226" s="101"/>
      <c r="G226" s="221" t="s">
        <v>1953</v>
      </c>
      <c r="H226" s="101"/>
      <c r="I226" s="61"/>
      <c r="J226" s="61"/>
      <c r="K226" s="64"/>
      <c r="L226" s="64"/>
      <c r="M226" s="100"/>
      <c r="N226" s="100"/>
    </row>
    <row r="227" s="75" customFormat="1" spans="2:14">
      <c r="B227" s="269" t="s">
        <v>1333</v>
      </c>
      <c r="C227" s="64" t="s">
        <v>706</v>
      </c>
      <c r="D227" s="101" t="s">
        <v>1334</v>
      </c>
      <c r="E227" s="64" t="s">
        <v>671</v>
      </c>
      <c r="F227" s="101"/>
      <c r="G227" s="221" t="s">
        <v>1954</v>
      </c>
      <c r="H227" s="101"/>
      <c r="I227" s="61"/>
      <c r="J227" s="61"/>
      <c r="K227" s="64"/>
      <c r="L227" s="64"/>
      <c r="M227" s="100"/>
      <c r="N227" s="100"/>
    </row>
    <row r="228" s="75" customFormat="1" spans="2:14">
      <c r="B228" s="269" t="s">
        <v>1336</v>
      </c>
      <c r="C228" s="64" t="s">
        <v>706</v>
      </c>
      <c r="D228" s="101" t="s">
        <v>1337</v>
      </c>
      <c r="E228" s="64" t="s">
        <v>671</v>
      </c>
      <c r="F228" s="101"/>
      <c r="G228" s="221" t="s">
        <v>1955</v>
      </c>
      <c r="H228" s="101"/>
      <c r="I228" s="61"/>
      <c r="J228" s="61"/>
      <c r="K228" s="64"/>
      <c r="L228" s="64"/>
      <c r="M228" s="100"/>
      <c r="N228" s="100"/>
    </row>
    <row r="229" s="75" customFormat="1" spans="2:14">
      <c r="B229" s="269" t="s">
        <v>1339</v>
      </c>
      <c r="C229" s="64" t="s">
        <v>706</v>
      </c>
      <c r="D229" s="101" t="s">
        <v>1340</v>
      </c>
      <c r="E229" s="64" t="s">
        <v>671</v>
      </c>
      <c r="F229" s="101"/>
      <c r="G229" s="221" t="s">
        <v>1956</v>
      </c>
      <c r="H229" s="101"/>
      <c r="I229" s="61"/>
      <c r="J229" s="61"/>
      <c r="K229" s="64"/>
      <c r="L229" s="64"/>
      <c r="M229" s="100"/>
      <c r="N229" s="100"/>
    </row>
    <row r="230" s="75" customFormat="1" spans="2:14">
      <c r="B230" s="269" t="s">
        <v>1342</v>
      </c>
      <c r="C230" s="64" t="s">
        <v>706</v>
      </c>
      <c r="D230" s="101" t="s">
        <v>1343</v>
      </c>
      <c r="E230" s="64" t="s">
        <v>671</v>
      </c>
      <c r="F230" s="101"/>
      <c r="G230" s="221" t="s">
        <v>1957</v>
      </c>
      <c r="H230" s="101"/>
      <c r="I230" s="61"/>
      <c r="J230" s="61"/>
      <c r="K230" s="64"/>
      <c r="L230" s="64"/>
      <c r="M230" s="100"/>
      <c r="N230" s="100"/>
    </row>
    <row r="231" s="75" customFormat="1" spans="2:14">
      <c r="B231" s="269" t="s">
        <v>1345</v>
      </c>
      <c r="C231" s="64" t="s">
        <v>706</v>
      </c>
      <c r="D231" s="101" t="s">
        <v>1346</v>
      </c>
      <c r="E231" s="64" t="s">
        <v>671</v>
      </c>
      <c r="F231" s="101"/>
      <c r="G231" s="221" t="s">
        <v>1958</v>
      </c>
      <c r="H231" s="101"/>
      <c r="I231" s="61"/>
      <c r="J231" s="61"/>
      <c r="K231" s="64"/>
      <c r="L231" s="64"/>
      <c r="M231" s="100"/>
      <c r="N231" s="100"/>
    </row>
    <row r="232" s="75" customFormat="1" spans="2:14">
      <c r="B232" s="269" t="s">
        <v>1348</v>
      </c>
      <c r="C232" s="64" t="s">
        <v>1349</v>
      </c>
      <c r="D232" s="101" t="s">
        <v>1350</v>
      </c>
      <c r="E232" s="64" t="s">
        <v>671</v>
      </c>
      <c r="F232" s="101"/>
      <c r="G232" s="221" t="s">
        <v>1351</v>
      </c>
      <c r="H232" s="101"/>
      <c r="I232" s="61"/>
      <c r="J232" s="61"/>
      <c r="K232" s="64"/>
      <c r="L232" s="64"/>
      <c r="M232" s="100"/>
      <c r="N232" s="100"/>
    </row>
    <row r="233" s="75" customFormat="1" spans="2:14">
      <c r="B233" s="269" t="s">
        <v>1352</v>
      </c>
      <c r="C233" s="64" t="s">
        <v>706</v>
      </c>
      <c r="D233" s="101" t="s">
        <v>1353</v>
      </c>
      <c r="E233" s="64" t="s">
        <v>671</v>
      </c>
      <c r="F233" s="101"/>
      <c r="G233" s="221" t="s">
        <v>1354</v>
      </c>
      <c r="H233" s="101"/>
      <c r="I233" s="61"/>
      <c r="J233" s="61"/>
      <c r="K233" s="64"/>
      <c r="L233" s="64"/>
      <c r="M233" s="100"/>
      <c r="N233" s="100"/>
    </row>
    <row r="234" s="75" customFormat="1" spans="2:14">
      <c r="B234" s="269" t="s">
        <v>1355</v>
      </c>
      <c r="C234" s="64" t="s">
        <v>706</v>
      </c>
      <c r="D234" s="101" t="s">
        <v>1356</v>
      </c>
      <c r="E234" s="64" t="s">
        <v>671</v>
      </c>
      <c r="F234" s="101"/>
      <c r="G234" s="221" t="s">
        <v>1357</v>
      </c>
      <c r="H234" s="101"/>
      <c r="I234" s="61"/>
      <c r="J234" s="61"/>
      <c r="K234" s="64"/>
      <c r="L234" s="64"/>
      <c r="M234" s="100"/>
      <c r="N234" s="100"/>
    </row>
    <row r="235" s="75" customFormat="1" spans="2:14">
      <c r="B235" s="269" t="s">
        <v>1358</v>
      </c>
      <c r="C235" s="64" t="s">
        <v>706</v>
      </c>
      <c r="D235" s="101" t="s">
        <v>1359</v>
      </c>
      <c r="E235" s="64" t="s">
        <v>671</v>
      </c>
      <c r="F235" s="101"/>
      <c r="G235" s="221" t="s">
        <v>1360</v>
      </c>
      <c r="H235" s="101"/>
      <c r="I235" s="61"/>
      <c r="J235" s="61"/>
      <c r="K235" s="64"/>
      <c r="L235" s="64"/>
      <c r="M235" s="100"/>
      <c r="N235" s="100"/>
    </row>
    <row r="236" s="75" customFormat="1" spans="2:14">
      <c r="B236" s="269" t="s">
        <v>1361</v>
      </c>
      <c r="C236" s="64" t="s">
        <v>706</v>
      </c>
      <c r="D236" s="101" t="s">
        <v>1362</v>
      </c>
      <c r="E236" s="64" t="s">
        <v>671</v>
      </c>
      <c r="F236" s="101"/>
      <c r="G236" s="221" t="s">
        <v>1363</v>
      </c>
      <c r="H236" s="101"/>
      <c r="I236" s="61"/>
      <c r="J236" s="61"/>
      <c r="K236" s="64"/>
      <c r="L236" s="64"/>
      <c r="M236" s="100"/>
      <c r="N236" s="100"/>
    </row>
    <row r="237" s="75" customFormat="1" spans="2:14">
      <c r="B237" s="269" t="s">
        <v>1364</v>
      </c>
      <c r="C237" s="64" t="s">
        <v>706</v>
      </c>
      <c r="D237" s="101" t="s">
        <v>1365</v>
      </c>
      <c r="E237" s="64" t="s">
        <v>671</v>
      </c>
      <c r="F237" s="101"/>
      <c r="G237" s="221" t="s">
        <v>1366</v>
      </c>
      <c r="H237" s="101"/>
      <c r="I237" s="61"/>
      <c r="J237" s="61"/>
      <c r="K237" s="64"/>
      <c r="L237" s="64"/>
      <c r="M237" s="100"/>
      <c r="N237" s="100"/>
    </row>
    <row r="238" s="75" customFormat="1" spans="2:14">
      <c r="B238" s="269" t="s">
        <v>1367</v>
      </c>
      <c r="C238" s="64" t="s">
        <v>1349</v>
      </c>
      <c r="D238" s="101" t="s">
        <v>1368</v>
      </c>
      <c r="E238" s="64" t="s">
        <v>671</v>
      </c>
      <c r="F238" s="101"/>
      <c r="G238" s="221" t="s">
        <v>1959</v>
      </c>
      <c r="H238" s="101"/>
      <c r="I238" s="61"/>
      <c r="J238" s="61"/>
      <c r="K238" s="64"/>
      <c r="L238" s="64"/>
      <c r="M238" s="100"/>
      <c r="N238" s="100"/>
    </row>
    <row r="239" s="75" customFormat="1" spans="2:14">
      <c r="B239" s="269" t="s">
        <v>1370</v>
      </c>
      <c r="C239" s="64" t="s">
        <v>706</v>
      </c>
      <c r="D239" s="101" t="s">
        <v>1371</v>
      </c>
      <c r="E239" s="64" t="s">
        <v>671</v>
      </c>
      <c r="F239" s="101"/>
      <c r="G239" s="221" t="s">
        <v>1372</v>
      </c>
      <c r="H239" s="101"/>
      <c r="I239" s="61"/>
      <c r="J239" s="61"/>
      <c r="K239" s="64"/>
      <c r="L239" s="64"/>
      <c r="M239" s="100"/>
      <c r="N239" s="100"/>
    </row>
    <row r="240" s="75" customFormat="1" spans="2:14">
      <c r="B240" s="269" t="s">
        <v>1373</v>
      </c>
      <c r="C240" s="64" t="s">
        <v>706</v>
      </c>
      <c r="D240" s="101" t="s">
        <v>1374</v>
      </c>
      <c r="E240" s="64" t="s">
        <v>671</v>
      </c>
      <c r="F240" s="101"/>
      <c r="G240" s="221" t="s">
        <v>1375</v>
      </c>
      <c r="H240" s="101"/>
      <c r="I240" s="61"/>
      <c r="J240" s="61"/>
      <c r="K240" s="64"/>
      <c r="L240" s="64"/>
      <c r="M240" s="100"/>
      <c r="N240" s="100"/>
    </row>
    <row r="241" s="75" customFormat="1" spans="2:14">
      <c r="B241" s="269" t="s">
        <v>1376</v>
      </c>
      <c r="C241" s="64" t="s">
        <v>706</v>
      </c>
      <c r="D241" s="101" t="s">
        <v>1377</v>
      </c>
      <c r="E241" s="64" t="s">
        <v>671</v>
      </c>
      <c r="F241" s="101"/>
      <c r="G241" s="221" t="s">
        <v>1378</v>
      </c>
      <c r="H241" s="101"/>
      <c r="I241" s="61"/>
      <c r="J241" s="61"/>
      <c r="K241" s="64"/>
      <c r="L241" s="64"/>
      <c r="M241" s="100"/>
      <c r="N241" s="100"/>
    </row>
    <row r="242" s="75" customFormat="1" spans="2:14">
      <c r="B242" s="269" t="s">
        <v>1379</v>
      </c>
      <c r="C242" s="64" t="s">
        <v>706</v>
      </c>
      <c r="D242" s="101" t="s">
        <v>1380</v>
      </c>
      <c r="E242" s="64" t="s">
        <v>671</v>
      </c>
      <c r="F242" s="101"/>
      <c r="G242" s="221" t="s">
        <v>1381</v>
      </c>
      <c r="H242" s="101"/>
      <c r="I242" s="61"/>
      <c r="J242" s="61"/>
      <c r="K242" s="64"/>
      <c r="L242" s="64"/>
      <c r="M242" s="100"/>
      <c r="N242" s="100"/>
    </row>
    <row r="243" s="75" customFormat="1" spans="2:14">
      <c r="B243" s="269" t="s">
        <v>1382</v>
      </c>
      <c r="C243" s="64" t="s">
        <v>706</v>
      </c>
      <c r="D243" s="101" t="s">
        <v>1383</v>
      </c>
      <c r="E243" s="64" t="s">
        <v>671</v>
      </c>
      <c r="F243" s="101"/>
      <c r="G243" s="221" t="s">
        <v>1384</v>
      </c>
      <c r="H243" s="101"/>
      <c r="I243" s="61"/>
      <c r="J243" s="61"/>
      <c r="K243" s="64"/>
      <c r="L243" s="64"/>
      <c r="M243" s="100"/>
      <c r="N243" s="100"/>
    </row>
    <row r="244" s="75" customFormat="1" spans="2:14">
      <c r="B244" s="269" t="s">
        <v>1385</v>
      </c>
      <c r="C244" s="64" t="s">
        <v>1349</v>
      </c>
      <c r="D244" s="101" t="s">
        <v>1386</v>
      </c>
      <c r="E244" s="64" t="s">
        <v>671</v>
      </c>
      <c r="F244" s="101"/>
      <c r="G244" s="221" t="s">
        <v>1387</v>
      </c>
      <c r="H244" s="101"/>
      <c r="I244" s="61"/>
      <c r="J244" s="61"/>
      <c r="K244" s="64"/>
      <c r="L244" s="64"/>
      <c r="M244" s="100"/>
      <c r="N244" s="100"/>
    </row>
    <row r="245" s="75" customFormat="1" spans="2:14">
      <c r="B245" s="269" t="s">
        <v>1388</v>
      </c>
      <c r="C245" s="64" t="s">
        <v>706</v>
      </c>
      <c r="D245" s="101" t="s">
        <v>1389</v>
      </c>
      <c r="E245" s="64" t="s">
        <v>671</v>
      </c>
      <c r="F245" s="101"/>
      <c r="G245" s="221" t="s">
        <v>1390</v>
      </c>
      <c r="H245" s="101"/>
      <c r="I245" s="61"/>
      <c r="J245" s="61"/>
      <c r="K245" s="64"/>
      <c r="L245" s="64"/>
      <c r="M245" s="100"/>
      <c r="N245" s="100"/>
    </row>
    <row r="246" s="75" customFormat="1" spans="2:14">
      <c r="B246" s="269" t="s">
        <v>1391</v>
      </c>
      <c r="C246" s="64" t="s">
        <v>706</v>
      </c>
      <c r="D246" s="101" t="s">
        <v>1392</v>
      </c>
      <c r="E246" s="64" t="s">
        <v>671</v>
      </c>
      <c r="F246" s="101"/>
      <c r="G246" s="221" t="s">
        <v>1393</v>
      </c>
      <c r="H246" s="101"/>
      <c r="I246" s="61"/>
      <c r="J246" s="61"/>
      <c r="K246" s="64"/>
      <c r="L246" s="64"/>
      <c r="M246" s="100"/>
      <c r="N246" s="100"/>
    </row>
    <row r="247" s="75" customFormat="1" spans="2:14">
      <c r="B247" s="269" t="s">
        <v>1394</v>
      </c>
      <c r="C247" s="64" t="s">
        <v>706</v>
      </c>
      <c r="D247" s="101" t="s">
        <v>1395</v>
      </c>
      <c r="E247" s="64" t="s">
        <v>671</v>
      </c>
      <c r="F247" s="101"/>
      <c r="G247" s="221" t="s">
        <v>1396</v>
      </c>
      <c r="H247" s="101"/>
      <c r="I247" s="61"/>
      <c r="J247" s="61"/>
      <c r="K247" s="64"/>
      <c r="L247" s="64"/>
      <c r="M247" s="100"/>
      <c r="N247" s="100"/>
    </row>
    <row r="248" s="75" customFormat="1" spans="2:14">
      <c r="B248" s="269" t="s">
        <v>1397</v>
      </c>
      <c r="C248" s="64" t="s">
        <v>706</v>
      </c>
      <c r="D248" s="101" t="s">
        <v>1398</v>
      </c>
      <c r="E248" s="64" t="s">
        <v>671</v>
      </c>
      <c r="F248" s="101"/>
      <c r="G248" s="221" t="s">
        <v>1399</v>
      </c>
      <c r="H248" s="101"/>
      <c r="I248" s="61"/>
      <c r="J248" s="61"/>
      <c r="K248" s="64"/>
      <c r="L248" s="64"/>
      <c r="M248" s="100"/>
      <c r="N248" s="100"/>
    </row>
    <row r="249" s="75" customFormat="1" spans="2:14">
      <c r="B249" s="269" t="s">
        <v>1400</v>
      </c>
      <c r="C249" s="64" t="s">
        <v>706</v>
      </c>
      <c r="D249" s="101" t="s">
        <v>1401</v>
      </c>
      <c r="E249" s="64" t="s">
        <v>671</v>
      </c>
      <c r="F249" s="101"/>
      <c r="G249" s="221" t="s">
        <v>1402</v>
      </c>
      <c r="H249" s="101"/>
      <c r="I249" s="61"/>
      <c r="J249" s="61"/>
      <c r="K249" s="64"/>
      <c r="L249" s="64"/>
      <c r="M249" s="100"/>
      <c r="N249" s="100"/>
    </row>
    <row r="250" s="75" customFormat="1" spans="2:14">
      <c r="B250" s="269" t="s">
        <v>1403</v>
      </c>
      <c r="C250" s="64" t="s">
        <v>1349</v>
      </c>
      <c r="D250" s="101" t="s">
        <v>1404</v>
      </c>
      <c r="E250" s="64" t="s">
        <v>671</v>
      </c>
      <c r="F250" s="101"/>
      <c r="G250" s="221" t="s">
        <v>1405</v>
      </c>
      <c r="H250" s="101"/>
      <c r="I250" s="61"/>
      <c r="J250" s="61"/>
      <c r="K250" s="64"/>
      <c r="L250" s="64"/>
      <c r="M250" s="100"/>
      <c r="N250" s="100"/>
    </row>
    <row r="251" s="75" customFormat="1" spans="2:14">
      <c r="B251" s="269" t="s">
        <v>1406</v>
      </c>
      <c r="C251" s="64" t="s">
        <v>706</v>
      </c>
      <c r="D251" s="101" t="s">
        <v>1407</v>
      </c>
      <c r="E251" s="64" t="s">
        <v>671</v>
      </c>
      <c r="F251" s="101"/>
      <c r="G251" s="221" t="s">
        <v>1408</v>
      </c>
      <c r="H251" s="101"/>
      <c r="I251" s="61"/>
      <c r="J251" s="61"/>
      <c r="K251" s="64"/>
      <c r="L251" s="64"/>
      <c r="M251" s="100"/>
      <c r="N251" s="100"/>
    </row>
    <row r="252" s="75" customFormat="1" spans="2:14">
      <c r="B252" s="269" t="s">
        <v>1409</v>
      </c>
      <c r="C252" s="64" t="s">
        <v>706</v>
      </c>
      <c r="D252" s="101" t="s">
        <v>1410</v>
      </c>
      <c r="E252" s="64" t="s">
        <v>671</v>
      </c>
      <c r="F252" s="101"/>
      <c r="G252" s="221" t="s">
        <v>1411</v>
      </c>
      <c r="H252" s="101"/>
      <c r="I252" s="61"/>
      <c r="J252" s="61"/>
      <c r="K252" s="64"/>
      <c r="L252" s="64"/>
      <c r="M252" s="100"/>
      <c r="N252" s="100"/>
    </row>
    <row r="253" s="75" customFormat="1" spans="2:14">
      <c r="B253" s="269" t="s">
        <v>1412</v>
      </c>
      <c r="C253" s="64" t="s">
        <v>706</v>
      </c>
      <c r="D253" s="101" t="s">
        <v>1413</v>
      </c>
      <c r="E253" s="64" t="s">
        <v>671</v>
      </c>
      <c r="F253" s="101"/>
      <c r="G253" s="221" t="s">
        <v>1414</v>
      </c>
      <c r="H253" s="101"/>
      <c r="I253" s="61"/>
      <c r="J253" s="61"/>
      <c r="K253" s="64"/>
      <c r="L253" s="64"/>
      <c r="M253" s="100"/>
      <c r="N253" s="100"/>
    </row>
    <row r="254" s="75" customFormat="1" spans="2:14">
      <c r="B254" s="269" t="s">
        <v>1415</v>
      </c>
      <c r="C254" s="64" t="s">
        <v>706</v>
      </c>
      <c r="D254" s="101" t="s">
        <v>1416</v>
      </c>
      <c r="E254" s="64" t="s">
        <v>671</v>
      </c>
      <c r="F254" s="101"/>
      <c r="G254" s="221" t="s">
        <v>1417</v>
      </c>
      <c r="H254" s="101"/>
      <c r="I254" s="61"/>
      <c r="J254" s="61"/>
      <c r="K254" s="64"/>
      <c r="L254" s="64"/>
      <c r="M254" s="100"/>
      <c r="N254" s="100"/>
    </row>
    <row r="255" s="75" customFormat="1" spans="2:14">
      <c r="B255" s="269" t="s">
        <v>1418</v>
      </c>
      <c r="C255" s="64" t="s">
        <v>706</v>
      </c>
      <c r="D255" s="101" t="s">
        <v>1419</v>
      </c>
      <c r="E255" s="64" t="s">
        <v>671</v>
      </c>
      <c r="F255" s="101"/>
      <c r="G255" s="221" t="s">
        <v>1420</v>
      </c>
      <c r="H255" s="101"/>
      <c r="I255" s="61"/>
      <c r="J255" s="61"/>
      <c r="K255" s="64"/>
      <c r="L255" s="64"/>
      <c r="M255" s="100"/>
      <c r="N255" s="100"/>
    </row>
    <row r="256" s="75" customFormat="1" spans="2:14">
      <c r="B256" s="269" t="s">
        <v>1421</v>
      </c>
      <c r="C256" s="64" t="s">
        <v>1349</v>
      </c>
      <c r="D256" s="101" t="s">
        <v>1422</v>
      </c>
      <c r="E256" s="64" t="s">
        <v>671</v>
      </c>
      <c r="F256" s="101"/>
      <c r="G256" s="221" t="s">
        <v>1423</v>
      </c>
      <c r="H256" s="101"/>
      <c r="I256" s="61"/>
      <c r="J256" s="61"/>
      <c r="K256" s="64"/>
      <c r="L256" s="64"/>
      <c r="M256" s="100"/>
      <c r="N256" s="100"/>
    </row>
    <row r="257" s="75" customFormat="1" spans="2:14">
      <c r="B257" s="269" t="s">
        <v>1424</v>
      </c>
      <c r="C257" s="64" t="s">
        <v>706</v>
      </c>
      <c r="D257" s="101" t="s">
        <v>1425</v>
      </c>
      <c r="E257" s="64" t="s">
        <v>671</v>
      </c>
      <c r="F257" s="101"/>
      <c r="G257" s="221" t="s">
        <v>1426</v>
      </c>
      <c r="H257" s="101"/>
      <c r="I257" s="61"/>
      <c r="J257" s="61"/>
      <c r="K257" s="64"/>
      <c r="L257" s="64"/>
      <c r="M257" s="100"/>
      <c r="N257" s="100"/>
    </row>
    <row r="258" s="75" customFormat="1" spans="2:14">
      <c r="B258" s="269" t="s">
        <v>1427</v>
      </c>
      <c r="C258" s="64" t="s">
        <v>706</v>
      </c>
      <c r="D258" s="101" t="s">
        <v>1428</v>
      </c>
      <c r="E258" s="64" t="s">
        <v>671</v>
      </c>
      <c r="F258" s="101"/>
      <c r="G258" s="221" t="s">
        <v>1429</v>
      </c>
      <c r="H258" s="101"/>
      <c r="I258" s="61"/>
      <c r="J258" s="61"/>
      <c r="K258" s="64"/>
      <c r="L258" s="64"/>
      <c r="M258" s="100"/>
      <c r="N258" s="100"/>
    </row>
    <row r="259" s="75" customFormat="1" spans="2:14">
      <c r="B259" s="269" t="s">
        <v>1430</v>
      </c>
      <c r="C259" s="64" t="s">
        <v>706</v>
      </c>
      <c r="D259" s="101" t="s">
        <v>1431</v>
      </c>
      <c r="E259" s="64" t="s">
        <v>671</v>
      </c>
      <c r="F259" s="101"/>
      <c r="G259" s="221" t="s">
        <v>1432</v>
      </c>
      <c r="H259" s="101"/>
      <c r="I259" s="61"/>
      <c r="J259" s="61"/>
      <c r="K259" s="64"/>
      <c r="L259" s="64"/>
      <c r="M259" s="100"/>
      <c r="N259" s="100"/>
    </row>
    <row r="260" s="75" customFormat="1" spans="2:14">
      <c r="B260" s="269" t="s">
        <v>1433</v>
      </c>
      <c r="C260" s="64" t="s">
        <v>706</v>
      </c>
      <c r="D260" s="101" t="s">
        <v>1434</v>
      </c>
      <c r="E260" s="64" t="s">
        <v>671</v>
      </c>
      <c r="F260" s="101"/>
      <c r="G260" s="221" t="s">
        <v>1435</v>
      </c>
      <c r="H260" s="101"/>
      <c r="I260" s="61"/>
      <c r="J260" s="61"/>
      <c r="K260" s="64"/>
      <c r="L260" s="64"/>
      <c r="M260" s="100"/>
      <c r="N260" s="100"/>
    </row>
    <row r="261" s="75" customFormat="1" spans="2:14">
      <c r="B261" s="269" t="s">
        <v>1436</v>
      </c>
      <c r="C261" s="64" t="s">
        <v>706</v>
      </c>
      <c r="D261" s="101" t="s">
        <v>1437</v>
      </c>
      <c r="E261" s="64" t="s">
        <v>671</v>
      </c>
      <c r="F261" s="101"/>
      <c r="G261" s="221" t="s">
        <v>1438</v>
      </c>
      <c r="H261" s="101"/>
      <c r="I261" s="61"/>
      <c r="J261" s="61"/>
      <c r="K261" s="64"/>
      <c r="L261" s="64"/>
      <c r="M261" s="100"/>
      <c r="N261" s="100"/>
    </row>
    <row r="262" s="75" customFormat="1" spans="2:14">
      <c r="B262" s="269" t="s">
        <v>1439</v>
      </c>
      <c r="C262" s="64" t="s">
        <v>1349</v>
      </c>
      <c r="D262" s="101" t="s">
        <v>1440</v>
      </c>
      <c r="E262" s="64" t="s">
        <v>671</v>
      </c>
      <c r="F262" s="101"/>
      <c r="G262" s="221" t="s">
        <v>1441</v>
      </c>
      <c r="H262" s="101"/>
      <c r="I262" s="61"/>
      <c r="J262" s="61"/>
      <c r="K262" s="64"/>
      <c r="L262" s="64"/>
      <c r="M262" s="100"/>
      <c r="N262" s="100"/>
    </row>
    <row r="263" s="75" customFormat="1" spans="2:14">
      <c r="B263" s="269" t="s">
        <v>1442</v>
      </c>
      <c r="C263" s="64" t="s">
        <v>706</v>
      </c>
      <c r="D263" s="101" t="s">
        <v>1443</v>
      </c>
      <c r="E263" s="64" t="s">
        <v>671</v>
      </c>
      <c r="F263" s="101"/>
      <c r="G263" s="221" t="s">
        <v>1444</v>
      </c>
      <c r="H263" s="101"/>
      <c r="I263" s="61"/>
      <c r="J263" s="61"/>
      <c r="K263" s="64"/>
      <c r="L263" s="64"/>
      <c r="M263" s="100"/>
      <c r="N263" s="100"/>
    </row>
    <row r="264" s="75" customFormat="1" spans="2:14">
      <c r="B264" s="269" t="s">
        <v>1445</v>
      </c>
      <c r="C264" s="64" t="s">
        <v>706</v>
      </c>
      <c r="D264" s="101" t="s">
        <v>1446</v>
      </c>
      <c r="E264" s="64" t="s">
        <v>671</v>
      </c>
      <c r="F264" s="101"/>
      <c r="G264" s="221" t="s">
        <v>1447</v>
      </c>
      <c r="H264" s="101"/>
      <c r="I264" s="61"/>
      <c r="J264" s="61"/>
      <c r="K264" s="64"/>
      <c r="L264" s="64"/>
      <c r="M264" s="100"/>
      <c r="N264" s="100"/>
    </row>
    <row r="265" s="75" customFormat="1" spans="2:14">
      <c r="B265" s="269" t="s">
        <v>1448</v>
      </c>
      <c r="C265" s="64" t="s">
        <v>706</v>
      </c>
      <c r="D265" s="101" t="s">
        <v>1449</v>
      </c>
      <c r="E265" s="64" t="s">
        <v>671</v>
      </c>
      <c r="F265" s="101"/>
      <c r="G265" s="221" t="s">
        <v>1450</v>
      </c>
      <c r="H265" s="101"/>
      <c r="I265" s="61"/>
      <c r="J265" s="61"/>
      <c r="K265" s="64"/>
      <c r="L265" s="64"/>
      <c r="M265" s="100"/>
      <c r="N265" s="100"/>
    </row>
    <row r="266" s="75" customFormat="1" spans="2:14">
      <c r="B266" s="269" t="s">
        <v>1451</v>
      </c>
      <c r="C266" s="64" t="s">
        <v>706</v>
      </c>
      <c r="D266" s="101" t="s">
        <v>1452</v>
      </c>
      <c r="E266" s="64" t="s">
        <v>671</v>
      </c>
      <c r="F266" s="101"/>
      <c r="G266" s="221" t="s">
        <v>1453</v>
      </c>
      <c r="H266" s="101"/>
      <c r="I266" s="61"/>
      <c r="J266" s="61"/>
      <c r="K266" s="64"/>
      <c r="L266" s="64"/>
      <c r="M266" s="100"/>
      <c r="N266" s="100"/>
    </row>
    <row r="267" s="75" customFormat="1" spans="2:14">
      <c r="B267" s="269" t="s">
        <v>1454</v>
      </c>
      <c r="C267" s="64" t="s">
        <v>706</v>
      </c>
      <c r="D267" s="101" t="s">
        <v>1455</v>
      </c>
      <c r="E267" s="64" t="s">
        <v>671</v>
      </c>
      <c r="F267" s="101"/>
      <c r="G267" s="221" t="s">
        <v>1456</v>
      </c>
      <c r="H267" s="101"/>
      <c r="I267" s="61"/>
      <c r="J267" s="61"/>
      <c r="K267" s="64"/>
      <c r="L267" s="64"/>
      <c r="M267" s="100"/>
      <c r="N267" s="100"/>
    </row>
    <row r="268" s="75" customFormat="1" spans="2:14">
      <c r="B268" s="269" t="s">
        <v>1457</v>
      </c>
      <c r="C268" s="64" t="s">
        <v>1349</v>
      </c>
      <c r="D268" s="101" t="s">
        <v>1458</v>
      </c>
      <c r="E268" s="64" t="s">
        <v>671</v>
      </c>
      <c r="F268" s="101"/>
      <c r="G268" s="221" t="s">
        <v>1459</v>
      </c>
      <c r="H268" s="101"/>
      <c r="I268" s="61"/>
      <c r="J268" s="61"/>
      <c r="K268" s="64"/>
      <c r="L268" s="64"/>
      <c r="M268" s="100"/>
      <c r="N268" s="100"/>
    </row>
    <row r="269" s="75" customFormat="1" spans="2:14">
      <c r="B269" s="269" t="s">
        <v>1460</v>
      </c>
      <c r="C269" s="64" t="s">
        <v>1349</v>
      </c>
      <c r="D269" s="101" t="s">
        <v>1461</v>
      </c>
      <c r="E269" s="64" t="s">
        <v>671</v>
      </c>
      <c r="F269" s="101"/>
      <c r="G269" s="221" t="s">
        <v>1462</v>
      </c>
      <c r="H269" s="101"/>
      <c r="I269" s="61"/>
      <c r="J269" s="61"/>
      <c r="K269" s="64"/>
      <c r="L269" s="64"/>
      <c r="M269" s="100"/>
      <c r="N269" s="100"/>
    </row>
    <row r="270" s="75" customFormat="1" spans="2:14">
      <c r="B270" s="269" t="s">
        <v>1463</v>
      </c>
      <c r="C270" s="64" t="s">
        <v>1349</v>
      </c>
      <c r="D270" s="101" t="s">
        <v>1464</v>
      </c>
      <c r="E270" s="64" t="s">
        <v>671</v>
      </c>
      <c r="F270" s="101"/>
      <c r="G270" s="221" t="s">
        <v>1465</v>
      </c>
      <c r="H270" s="101"/>
      <c r="I270" s="61"/>
      <c r="J270" s="61"/>
      <c r="K270" s="64"/>
      <c r="L270" s="64"/>
      <c r="M270" s="100"/>
      <c r="N270" s="100"/>
    </row>
    <row r="271" s="75" customFormat="1" spans="2:14">
      <c r="B271" s="269" t="s">
        <v>1466</v>
      </c>
      <c r="C271" s="64" t="s">
        <v>706</v>
      </c>
      <c r="D271" s="101" t="s">
        <v>1467</v>
      </c>
      <c r="E271" s="64" t="s">
        <v>671</v>
      </c>
      <c r="F271" s="101"/>
      <c r="G271" s="221" t="s">
        <v>1960</v>
      </c>
      <c r="H271" s="101"/>
      <c r="I271" s="61"/>
      <c r="J271" s="61"/>
      <c r="K271" s="64"/>
      <c r="L271" s="64"/>
      <c r="M271" s="100"/>
      <c r="N271" s="100"/>
    </row>
    <row r="272" s="75" customFormat="1" spans="2:14">
      <c r="B272" s="269" t="s">
        <v>1469</v>
      </c>
      <c r="C272" s="64" t="s">
        <v>706</v>
      </c>
      <c r="D272" s="101" t="s">
        <v>1470</v>
      </c>
      <c r="E272" s="64" t="s">
        <v>671</v>
      </c>
      <c r="F272" s="101"/>
      <c r="G272" s="221" t="s">
        <v>1961</v>
      </c>
      <c r="H272" s="101"/>
      <c r="I272" s="61"/>
      <c r="J272" s="61"/>
      <c r="K272" s="64"/>
      <c r="L272" s="64"/>
      <c r="M272" s="100"/>
      <c r="N272" s="100"/>
    </row>
    <row r="273" s="75" customFormat="1" spans="2:14">
      <c r="B273" s="269" t="s">
        <v>1472</v>
      </c>
      <c r="C273" s="64" t="s">
        <v>706</v>
      </c>
      <c r="D273" s="101" t="s">
        <v>1473</v>
      </c>
      <c r="E273" s="64" t="s">
        <v>671</v>
      </c>
      <c r="F273" s="101"/>
      <c r="G273" s="221" t="s">
        <v>1962</v>
      </c>
      <c r="H273" s="101"/>
      <c r="I273" s="61"/>
      <c r="J273" s="61"/>
      <c r="K273" s="64"/>
      <c r="L273" s="64"/>
      <c r="M273" s="100"/>
      <c r="N273" s="100"/>
    </row>
    <row r="274" s="75" customFormat="1" spans="2:14">
      <c r="B274" s="269" t="s">
        <v>1475</v>
      </c>
      <c r="C274" s="64" t="s">
        <v>706</v>
      </c>
      <c r="D274" s="101" t="s">
        <v>1476</v>
      </c>
      <c r="E274" s="64" t="s">
        <v>671</v>
      </c>
      <c r="F274" s="101"/>
      <c r="G274" s="221" t="s">
        <v>1963</v>
      </c>
      <c r="H274" s="101"/>
      <c r="I274" s="61"/>
      <c r="J274" s="61"/>
      <c r="K274" s="64"/>
      <c r="L274" s="64"/>
      <c r="M274" s="100"/>
      <c r="N274" s="100"/>
    </row>
    <row r="275" s="75" customFormat="1" spans="2:14">
      <c r="B275" s="269" t="s">
        <v>1478</v>
      </c>
      <c r="C275" s="64" t="s">
        <v>706</v>
      </c>
      <c r="D275" s="101" t="s">
        <v>1479</v>
      </c>
      <c r="E275" s="64" t="s">
        <v>671</v>
      </c>
      <c r="F275" s="101"/>
      <c r="G275" s="221" t="s">
        <v>1964</v>
      </c>
      <c r="H275" s="101"/>
      <c r="I275" s="61"/>
      <c r="J275" s="61"/>
      <c r="K275" s="64"/>
      <c r="L275" s="64"/>
      <c r="M275" s="100"/>
      <c r="N275" s="100"/>
    </row>
    <row r="276" s="75" customFormat="1" spans="2:14">
      <c r="B276" s="269" t="s">
        <v>1481</v>
      </c>
      <c r="C276" s="64" t="s">
        <v>706</v>
      </c>
      <c r="D276" s="101" t="s">
        <v>1482</v>
      </c>
      <c r="E276" s="64" t="s">
        <v>671</v>
      </c>
      <c r="F276" s="101"/>
      <c r="G276" s="221" t="s">
        <v>1965</v>
      </c>
      <c r="H276" s="101"/>
      <c r="I276" s="61"/>
      <c r="J276" s="61"/>
      <c r="K276" s="64"/>
      <c r="L276" s="64"/>
      <c r="M276" s="100"/>
      <c r="N276" s="100"/>
    </row>
    <row r="277" s="75" customFormat="1" spans="2:14">
      <c r="B277" s="269" t="s">
        <v>1484</v>
      </c>
      <c r="C277" s="64" t="s">
        <v>706</v>
      </c>
      <c r="D277" s="101" t="s">
        <v>1485</v>
      </c>
      <c r="E277" s="64" t="s">
        <v>671</v>
      </c>
      <c r="F277" s="101"/>
      <c r="G277" s="221" t="s">
        <v>834</v>
      </c>
      <c r="H277" s="101"/>
      <c r="I277" s="61"/>
      <c r="J277" s="61"/>
      <c r="K277" s="64"/>
      <c r="L277" s="64"/>
      <c r="M277" s="100"/>
      <c r="N277" s="100"/>
    </row>
    <row r="278" s="75" customFormat="1" spans="2:14">
      <c r="B278" s="269" t="s">
        <v>1486</v>
      </c>
      <c r="C278" s="64" t="s">
        <v>706</v>
      </c>
      <c r="D278" s="101" t="s">
        <v>1487</v>
      </c>
      <c r="E278" s="64" t="s">
        <v>671</v>
      </c>
      <c r="F278" s="101"/>
      <c r="G278" s="221" t="s">
        <v>1488</v>
      </c>
      <c r="H278" s="101"/>
      <c r="I278" s="61"/>
      <c r="J278" s="61"/>
      <c r="K278" s="64"/>
      <c r="L278" s="64"/>
      <c r="M278" s="100"/>
      <c r="N278" s="100"/>
    </row>
    <row r="279" s="75" customFormat="1" spans="2:14">
      <c r="B279" s="269" t="s">
        <v>1489</v>
      </c>
      <c r="C279" s="64" t="s">
        <v>706</v>
      </c>
      <c r="D279" s="101" t="s">
        <v>1490</v>
      </c>
      <c r="E279" s="64" t="s">
        <v>671</v>
      </c>
      <c r="F279" s="101"/>
      <c r="G279" s="221" t="s">
        <v>1491</v>
      </c>
      <c r="H279" s="101"/>
      <c r="I279" s="61"/>
      <c r="J279" s="61"/>
      <c r="K279" s="64"/>
      <c r="L279" s="64"/>
      <c r="M279" s="100"/>
      <c r="N279" s="100"/>
    </row>
    <row r="280" s="75" customFormat="1" spans="2:14">
      <c r="B280" s="269" t="s">
        <v>1492</v>
      </c>
      <c r="C280" s="64" t="s">
        <v>706</v>
      </c>
      <c r="D280" s="101" t="s">
        <v>1493</v>
      </c>
      <c r="E280" s="64" t="s">
        <v>671</v>
      </c>
      <c r="F280" s="101"/>
      <c r="G280" s="221" t="s">
        <v>1494</v>
      </c>
      <c r="H280" s="101"/>
      <c r="I280" s="61"/>
      <c r="J280" s="61"/>
      <c r="K280" s="64"/>
      <c r="L280" s="64"/>
      <c r="M280" s="100"/>
      <c r="N280" s="100"/>
    </row>
    <row r="281" s="75" customFormat="1" spans="2:14">
      <c r="B281" s="269" t="s">
        <v>1495</v>
      </c>
      <c r="C281" s="64" t="s">
        <v>706</v>
      </c>
      <c r="D281" s="101" t="s">
        <v>1496</v>
      </c>
      <c r="E281" s="64" t="s">
        <v>671</v>
      </c>
      <c r="F281" s="101"/>
      <c r="G281" s="221" t="s">
        <v>1497</v>
      </c>
      <c r="H281" s="101"/>
      <c r="I281" s="61"/>
      <c r="J281" s="61"/>
      <c r="K281" s="64"/>
      <c r="L281" s="64"/>
      <c r="M281" s="100"/>
      <c r="N281" s="100"/>
    </row>
    <row r="282" s="75" customFormat="1" spans="2:14">
      <c r="B282" s="269" t="s">
        <v>1498</v>
      </c>
      <c r="C282" s="64" t="s">
        <v>706</v>
      </c>
      <c r="D282" s="101" t="s">
        <v>1499</v>
      </c>
      <c r="E282" s="64" t="s">
        <v>671</v>
      </c>
      <c r="F282" s="101"/>
      <c r="G282" s="221" t="s">
        <v>1500</v>
      </c>
      <c r="H282" s="101"/>
      <c r="I282" s="61"/>
      <c r="J282" s="61"/>
      <c r="K282" s="64"/>
      <c r="L282" s="64"/>
      <c r="M282" s="100"/>
      <c r="N282" s="100"/>
    </row>
    <row r="283" s="75" customFormat="1" spans="2:14">
      <c r="B283" s="269" t="s">
        <v>1501</v>
      </c>
      <c r="C283" s="64" t="s">
        <v>706</v>
      </c>
      <c r="D283" s="101" t="s">
        <v>1502</v>
      </c>
      <c r="E283" s="64" t="s">
        <v>671</v>
      </c>
      <c r="F283" s="101"/>
      <c r="G283" s="221" t="s">
        <v>1503</v>
      </c>
      <c r="H283" s="101"/>
      <c r="I283" s="61"/>
      <c r="J283" s="61"/>
      <c r="K283" s="64"/>
      <c r="L283" s="64"/>
      <c r="M283" s="100"/>
      <c r="N283" s="100"/>
    </row>
    <row r="284" s="75" customFormat="1" spans="2:14">
      <c r="B284" s="258" t="s">
        <v>1504</v>
      </c>
      <c r="C284" s="267" t="s">
        <v>706</v>
      </c>
      <c r="D284" s="294" t="s">
        <v>1505</v>
      </c>
      <c r="E284" s="267" t="s">
        <v>671</v>
      </c>
      <c r="F284" s="246"/>
      <c r="G284" s="243" t="s">
        <v>1506</v>
      </c>
      <c r="H284" s="258"/>
      <c r="I284" s="267"/>
      <c r="J284" s="267"/>
      <c r="K284" s="267" t="s">
        <v>1507</v>
      </c>
      <c r="L284" s="162"/>
      <c r="M284" s="100"/>
      <c r="N284" s="100"/>
    </row>
    <row r="285" s="75" customFormat="1" spans="2:14">
      <c r="B285" s="258" t="s">
        <v>1508</v>
      </c>
      <c r="C285" s="267" t="s">
        <v>706</v>
      </c>
      <c r="D285" s="294" t="s">
        <v>1509</v>
      </c>
      <c r="E285" s="267" t="s">
        <v>671</v>
      </c>
      <c r="F285" s="121"/>
      <c r="G285" s="172" t="s">
        <v>1510</v>
      </c>
      <c r="H285" s="258"/>
      <c r="I285" s="267"/>
      <c r="J285" s="267"/>
      <c r="K285" s="267" t="s">
        <v>1507</v>
      </c>
      <c r="L285" s="162"/>
      <c r="M285" s="100"/>
      <c r="N285" s="100"/>
    </row>
    <row r="286" s="75" customFormat="1" spans="2:14">
      <c r="B286" s="258" t="s">
        <v>1511</v>
      </c>
      <c r="C286" s="267" t="s">
        <v>706</v>
      </c>
      <c r="D286" s="294" t="s">
        <v>1512</v>
      </c>
      <c r="E286" s="267" t="s">
        <v>671</v>
      </c>
      <c r="F286" s="121"/>
      <c r="G286" s="172" t="s">
        <v>1513</v>
      </c>
      <c r="H286" s="258"/>
      <c r="I286" s="267"/>
      <c r="J286" s="267"/>
      <c r="K286" s="267" t="s">
        <v>1507</v>
      </c>
      <c r="L286" s="162"/>
      <c r="M286" s="100"/>
      <c r="N286" s="100"/>
    </row>
    <row r="287" s="75" customFormat="1" spans="2:14">
      <c r="B287" s="258" t="s">
        <v>1514</v>
      </c>
      <c r="C287" s="267" t="s">
        <v>706</v>
      </c>
      <c r="D287" s="294" t="s">
        <v>1515</v>
      </c>
      <c r="E287" s="267" t="s">
        <v>671</v>
      </c>
      <c r="F287" s="121"/>
      <c r="G287" s="172" t="s">
        <v>1516</v>
      </c>
      <c r="H287" s="258"/>
      <c r="I287" s="267"/>
      <c r="J287" s="267"/>
      <c r="K287" s="267" t="s">
        <v>1507</v>
      </c>
      <c r="L287" s="162"/>
      <c r="M287" s="100"/>
      <c r="N287" s="100"/>
    </row>
    <row r="288" s="75" customFormat="1" spans="2:14">
      <c r="B288" s="258" t="s">
        <v>1517</v>
      </c>
      <c r="C288" s="267" t="s">
        <v>706</v>
      </c>
      <c r="D288" s="294" t="s">
        <v>1518</v>
      </c>
      <c r="E288" s="267" t="s">
        <v>671</v>
      </c>
      <c r="F288" s="101"/>
      <c r="G288" s="221" t="s">
        <v>1519</v>
      </c>
      <c r="H288" s="258"/>
      <c r="I288" s="267"/>
      <c r="J288" s="267"/>
      <c r="K288" s="267" t="s">
        <v>1507</v>
      </c>
      <c r="L288" s="162"/>
      <c r="M288" s="100"/>
      <c r="N288" s="100"/>
    </row>
    <row r="289" s="75" customFormat="1" spans="2:14">
      <c r="B289" s="258" t="s">
        <v>1520</v>
      </c>
      <c r="C289" s="267" t="s">
        <v>706</v>
      </c>
      <c r="D289" s="294" t="s">
        <v>1521</v>
      </c>
      <c r="E289" s="267" t="s">
        <v>671</v>
      </c>
      <c r="F289" s="101"/>
      <c r="G289" s="221" t="s">
        <v>1522</v>
      </c>
      <c r="H289" s="258"/>
      <c r="I289" s="267"/>
      <c r="J289" s="267"/>
      <c r="K289" s="267" t="s">
        <v>1507</v>
      </c>
      <c r="L289" s="162"/>
      <c r="M289" s="100"/>
      <c r="N289" s="100"/>
    </row>
    <row r="290" spans="2:12">
      <c r="B290" s="200" t="s">
        <v>1523</v>
      </c>
      <c r="C290" s="200" t="s">
        <v>229</v>
      </c>
      <c r="D290" s="200" t="s">
        <v>1524</v>
      </c>
      <c r="E290" s="241" t="s">
        <v>422</v>
      </c>
      <c r="F290" s="229"/>
      <c r="G290" s="200" t="s">
        <v>1525</v>
      </c>
      <c r="H290" s="241"/>
      <c r="I290" s="241"/>
      <c r="J290" s="241"/>
      <c r="K290" s="241"/>
      <c r="L290" s="241"/>
    </row>
    <row r="291" s="75" customFormat="1" spans="2:14">
      <c r="B291" s="295" t="s">
        <v>1526</v>
      </c>
      <c r="C291" s="296" t="s">
        <v>706</v>
      </c>
      <c r="D291" s="295" t="s">
        <v>1527</v>
      </c>
      <c r="E291" s="296" t="s">
        <v>671</v>
      </c>
      <c r="F291" s="297"/>
      <c r="G291" s="171" t="s">
        <v>831</v>
      </c>
      <c r="H291" s="295"/>
      <c r="I291" s="296"/>
      <c r="J291" s="296"/>
      <c r="K291" s="296" t="s">
        <v>1507</v>
      </c>
      <c r="L291" s="298"/>
      <c r="M291" s="100"/>
      <c r="N291" s="100"/>
    </row>
    <row r="292" s="75" customFormat="1" spans="2:14">
      <c r="B292" s="269" t="s">
        <v>1528</v>
      </c>
      <c r="C292" s="64" t="s">
        <v>691</v>
      </c>
      <c r="D292" s="101" t="s">
        <v>1529</v>
      </c>
      <c r="E292" s="64"/>
      <c r="F292" s="64"/>
      <c r="G292" s="101"/>
      <c r="H292" s="101"/>
      <c r="I292" s="61"/>
      <c r="J292" s="61"/>
      <c r="K292" s="64"/>
      <c r="L292" s="64"/>
      <c r="M292" s="100"/>
      <c r="N292" s="100"/>
    </row>
    <row r="293" s="75" customFormat="1" spans="2:14">
      <c r="B293" s="269" t="s">
        <v>1530</v>
      </c>
      <c r="C293" s="64" t="s">
        <v>687</v>
      </c>
      <c r="D293" s="101" t="s">
        <v>1531</v>
      </c>
      <c r="E293" s="64"/>
      <c r="F293" s="64"/>
      <c r="G293" s="101"/>
      <c r="H293" s="101"/>
      <c r="I293" s="61"/>
      <c r="J293" s="61"/>
      <c r="K293" s="64"/>
      <c r="L293" s="64"/>
      <c r="M293" s="100"/>
      <c r="N293" s="100"/>
    </row>
    <row r="294" s="75" customFormat="1" spans="2:14">
      <c r="B294" s="269" t="s">
        <v>1532</v>
      </c>
      <c r="C294" s="64" t="s">
        <v>691</v>
      </c>
      <c r="D294" s="101" t="s">
        <v>1533</v>
      </c>
      <c r="E294" s="64"/>
      <c r="F294" s="64"/>
      <c r="G294" s="101"/>
      <c r="H294" s="101"/>
      <c r="I294" s="61"/>
      <c r="J294" s="61"/>
      <c r="K294" s="64"/>
      <c r="L294" s="64"/>
      <c r="M294" s="100"/>
      <c r="N294" s="100"/>
    </row>
    <row r="295" s="209" customFormat="1" spans="2:12">
      <c r="B295" s="229" t="s">
        <v>696</v>
      </c>
      <c r="C295" s="229" t="s">
        <v>170</v>
      </c>
      <c r="D295" s="229" t="s">
        <v>1534</v>
      </c>
      <c r="E295" s="201"/>
      <c r="F295" s="201"/>
      <c r="G295" s="201"/>
      <c r="H295" s="201"/>
      <c r="I295" s="201"/>
      <c r="J295" s="201"/>
      <c r="K295" s="229"/>
      <c r="L295" s="229"/>
    </row>
  </sheetData>
  <mergeCells count="3">
    <mergeCell ref="B2:H2"/>
    <mergeCell ref="B6:H6"/>
    <mergeCell ref="B10:L10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247"/>
  <sheetViews>
    <sheetView workbookViewId="0">
      <selection activeCell="J27" sqref="J27"/>
    </sheetView>
  </sheetViews>
  <sheetFormatPr defaultColWidth="9" defaultRowHeight="15.6"/>
  <cols>
    <col min="1" max="1" width="8.37962962962963" style="191" customWidth="1"/>
    <col min="2" max="2" width="26.3796296296296" style="191" customWidth="1"/>
    <col min="3" max="3" width="20.3796296296296" style="191" customWidth="1"/>
    <col min="4" max="4" width="37.1296296296296" style="191" customWidth="1"/>
    <col min="5" max="5" width="16.25" style="191" customWidth="1"/>
    <col min="6" max="6" width="21.1296296296296" style="209" customWidth="1"/>
    <col min="7" max="7" width="33.1296296296296" style="209" customWidth="1"/>
    <col min="8" max="8" width="12" style="191" customWidth="1"/>
    <col min="9" max="9" width="10.8796296296296" style="191" customWidth="1"/>
    <col min="10" max="10" width="12.5" style="191" customWidth="1"/>
    <col min="11" max="11" width="14.1296296296296" style="191" customWidth="1"/>
    <col min="12" max="12" width="12.3796296296296" style="192" customWidth="1"/>
    <col min="13" max="16384" width="9" style="192"/>
  </cols>
  <sheetData>
    <row r="1" spans="2:8">
      <c r="B1" s="193" t="str">
        <f>HYPERLINK("#"&amp;"导航应用"&amp;"!B1","返回")</f>
        <v>返回</v>
      </c>
      <c r="C1" s="194"/>
      <c r="D1" s="194"/>
      <c r="E1" s="194"/>
      <c r="F1" s="271"/>
      <c r="G1" s="271"/>
      <c r="H1" s="194"/>
    </row>
    <row r="2" ht="17.4" spans="2:8">
      <c r="B2" s="195" t="s">
        <v>132</v>
      </c>
      <c r="C2" s="195"/>
      <c r="D2" s="195"/>
      <c r="E2" s="195"/>
      <c r="F2" s="195"/>
      <c r="G2" s="195"/>
      <c r="H2" s="195"/>
    </row>
    <row r="3" spans="2:8">
      <c r="B3" s="196" t="s">
        <v>133</v>
      </c>
      <c r="C3" s="196" t="s">
        <v>134</v>
      </c>
      <c r="D3" s="196" t="s">
        <v>135</v>
      </c>
      <c r="E3" s="196" t="s">
        <v>136</v>
      </c>
      <c r="F3" s="273" t="s">
        <v>137</v>
      </c>
      <c r="G3" s="273" t="s">
        <v>138</v>
      </c>
      <c r="H3" s="196" t="s">
        <v>139</v>
      </c>
    </row>
    <row r="4" ht="26.4" spans="2:14">
      <c r="B4" s="84"/>
      <c r="C4" s="282" t="s">
        <v>69</v>
      </c>
      <c r="D4" s="250" t="s">
        <v>1966</v>
      </c>
      <c r="E4" s="84" t="s">
        <v>661</v>
      </c>
      <c r="F4" s="283" t="s">
        <v>141</v>
      </c>
      <c r="G4" s="247"/>
      <c r="H4" s="231"/>
      <c r="N4" s="191"/>
    </row>
    <row r="5" spans="2:8">
      <c r="B5" s="198"/>
      <c r="C5" s="198"/>
      <c r="D5" s="198"/>
      <c r="E5" s="198"/>
      <c r="F5" s="271"/>
      <c r="G5" s="271"/>
      <c r="H5" s="198"/>
    </row>
    <row r="6" ht="17.4" spans="2:8">
      <c r="B6" s="195" t="s">
        <v>142</v>
      </c>
      <c r="C6" s="195"/>
      <c r="D6" s="195"/>
      <c r="E6" s="195"/>
      <c r="F6" s="195"/>
      <c r="G6" s="195"/>
      <c r="H6" s="195"/>
    </row>
    <row r="7" spans="2:8">
      <c r="B7" s="199" t="s">
        <v>143</v>
      </c>
      <c r="C7" s="199" t="s">
        <v>144</v>
      </c>
      <c r="D7" s="199" t="s">
        <v>145</v>
      </c>
      <c r="E7" s="199" t="s">
        <v>146</v>
      </c>
      <c r="F7" s="275" t="s">
        <v>147</v>
      </c>
      <c r="G7" s="275" t="s">
        <v>13</v>
      </c>
      <c r="H7" s="199" t="s">
        <v>148</v>
      </c>
    </row>
    <row r="8" spans="2:8">
      <c r="B8" s="84"/>
      <c r="C8" s="200" t="s">
        <v>670</v>
      </c>
      <c r="D8" s="206"/>
      <c r="E8" s="84" t="s">
        <v>422</v>
      </c>
      <c r="F8" s="201"/>
      <c r="G8" s="276"/>
      <c r="H8" s="16" t="s">
        <v>21</v>
      </c>
    </row>
    <row r="9" spans="2:8">
      <c r="B9" s="84"/>
      <c r="C9" s="206"/>
      <c r="D9" s="206"/>
      <c r="E9" s="84" t="s">
        <v>1536</v>
      </c>
      <c r="F9" s="201"/>
      <c r="G9" s="276"/>
      <c r="H9" s="16"/>
    </row>
    <row r="11" spans="2:12">
      <c r="B11" s="284" t="s">
        <v>158</v>
      </c>
      <c r="C11" s="284"/>
      <c r="D11" s="284"/>
      <c r="E11" s="284"/>
      <c r="F11" s="284"/>
      <c r="G11" s="284"/>
      <c r="H11" s="284"/>
      <c r="I11" s="284"/>
      <c r="J11" s="284"/>
      <c r="K11" s="284"/>
      <c r="L11" s="284"/>
    </row>
    <row r="12" ht="24" spans="2:12">
      <c r="B12" s="204" t="s">
        <v>159</v>
      </c>
      <c r="C12" s="204" t="s">
        <v>160</v>
      </c>
      <c r="D12" s="204" t="s">
        <v>161</v>
      </c>
      <c r="E12" s="204" t="s">
        <v>162</v>
      </c>
      <c r="F12" s="278" t="s">
        <v>163</v>
      </c>
      <c r="G12" s="278" t="s">
        <v>164</v>
      </c>
      <c r="H12" s="204" t="s">
        <v>165</v>
      </c>
      <c r="I12" s="204" t="s">
        <v>13</v>
      </c>
      <c r="J12" s="204" t="s">
        <v>166</v>
      </c>
      <c r="K12" s="204" t="s">
        <v>167</v>
      </c>
      <c r="L12" s="204" t="s">
        <v>168</v>
      </c>
    </row>
    <row r="13" spans="1:12">
      <c r="A13" s="285"/>
      <c r="B13" s="228" t="s">
        <v>174</v>
      </c>
      <c r="C13" s="228" t="s">
        <v>1537</v>
      </c>
      <c r="D13" s="228" t="s">
        <v>1538</v>
      </c>
      <c r="E13" s="84" t="s">
        <v>422</v>
      </c>
      <c r="F13" s="229" t="s">
        <v>177</v>
      </c>
      <c r="G13" s="221" t="s">
        <v>689</v>
      </c>
      <c r="H13" s="84"/>
      <c r="I13" s="84"/>
      <c r="J13" s="228" t="s">
        <v>173</v>
      </c>
      <c r="K13" s="228" t="s">
        <v>749</v>
      </c>
      <c r="L13" s="228" t="s">
        <v>749</v>
      </c>
    </row>
    <row r="14" spans="1:12">
      <c r="A14" s="285"/>
      <c r="B14" s="228" t="s">
        <v>1539</v>
      </c>
      <c r="C14" s="228" t="s">
        <v>170</v>
      </c>
      <c r="D14" s="228" t="s">
        <v>1540</v>
      </c>
      <c r="E14" s="84" t="s">
        <v>422</v>
      </c>
      <c r="F14" s="229" t="s">
        <v>693</v>
      </c>
      <c r="G14" s="221" t="s">
        <v>689</v>
      </c>
      <c r="H14" s="84"/>
      <c r="I14" s="84"/>
      <c r="J14" s="228" t="s">
        <v>173</v>
      </c>
      <c r="K14" s="228" t="s">
        <v>749</v>
      </c>
      <c r="L14" s="228" t="s">
        <v>1541</v>
      </c>
    </row>
    <row r="15" spans="1:12">
      <c r="A15" s="285"/>
      <c r="B15" s="228" t="s">
        <v>661</v>
      </c>
      <c r="C15" s="228" t="s">
        <v>170</v>
      </c>
      <c r="D15" s="228" t="s">
        <v>1542</v>
      </c>
      <c r="E15" s="84" t="s">
        <v>422</v>
      </c>
      <c r="F15" s="228" t="s">
        <v>696</v>
      </c>
      <c r="G15" s="221" t="s">
        <v>689</v>
      </c>
      <c r="H15" s="84"/>
      <c r="I15" s="84"/>
      <c r="J15" s="228"/>
      <c r="K15" s="228"/>
      <c r="L15" s="228"/>
    </row>
    <row r="16" spans="1:12">
      <c r="A16" s="285"/>
      <c r="B16" s="279" t="s">
        <v>169</v>
      </c>
      <c r="C16" s="228" t="s">
        <v>170</v>
      </c>
      <c r="D16" s="228" t="s">
        <v>525</v>
      </c>
      <c r="E16" s="84" t="s">
        <v>422</v>
      </c>
      <c r="F16" s="286" t="s">
        <v>169</v>
      </c>
      <c r="G16" s="221" t="s">
        <v>689</v>
      </c>
      <c r="H16" s="84"/>
      <c r="I16" s="84"/>
      <c r="J16" s="228" t="s">
        <v>173</v>
      </c>
      <c r="K16" s="228" t="s">
        <v>749</v>
      </c>
      <c r="L16" s="228" t="s">
        <v>1544</v>
      </c>
    </row>
    <row r="17" spans="1:12">
      <c r="A17" s="285"/>
      <c r="B17" s="279" t="s">
        <v>178</v>
      </c>
      <c r="C17" s="228" t="s">
        <v>170</v>
      </c>
      <c r="D17" s="228" t="s">
        <v>1545</v>
      </c>
      <c r="E17" s="84" t="s">
        <v>422</v>
      </c>
      <c r="F17" s="286" t="s">
        <v>178</v>
      </c>
      <c r="G17" s="221" t="s">
        <v>689</v>
      </c>
      <c r="H17" s="84"/>
      <c r="I17" s="84"/>
      <c r="J17" s="228" t="s">
        <v>173</v>
      </c>
      <c r="K17" s="228" t="s">
        <v>749</v>
      </c>
      <c r="L17" s="228" t="s">
        <v>1546</v>
      </c>
    </row>
    <row r="18" spans="1:12">
      <c r="A18" s="285"/>
      <c r="B18" s="279" t="s">
        <v>180</v>
      </c>
      <c r="C18" s="228" t="s">
        <v>170</v>
      </c>
      <c r="D18" s="228" t="s">
        <v>1547</v>
      </c>
      <c r="E18" s="84" t="s">
        <v>422</v>
      </c>
      <c r="F18" s="286" t="s">
        <v>180</v>
      </c>
      <c r="G18" s="221" t="s">
        <v>689</v>
      </c>
      <c r="H18" s="84"/>
      <c r="I18" s="84"/>
      <c r="J18" s="228" t="s">
        <v>173</v>
      </c>
      <c r="K18" s="228" t="s">
        <v>749</v>
      </c>
      <c r="L18" s="228" t="s">
        <v>1548</v>
      </c>
    </row>
    <row r="19" spans="1:12">
      <c r="A19" s="285"/>
      <c r="B19" s="279" t="s">
        <v>725</v>
      </c>
      <c r="C19" s="228" t="s">
        <v>175</v>
      </c>
      <c r="D19" s="228" t="s">
        <v>725</v>
      </c>
      <c r="E19" s="84" t="s">
        <v>422</v>
      </c>
      <c r="F19" s="286" t="s">
        <v>1867</v>
      </c>
      <c r="G19" s="221" t="s">
        <v>689</v>
      </c>
      <c r="H19" s="84"/>
      <c r="I19" s="84"/>
      <c r="J19" s="228" t="s">
        <v>173</v>
      </c>
      <c r="K19" s="228" t="s">
        <v>749</v>
      </c>
      <c r="L19" s="228" t="s">
        <v>749</v>
      </c>
    </row>
    <row r="20" spans="1:12">
      <c r="A20" s="285"/>
      <c r="B20" s="279" t="s">
        <v>728</v>
      </c>
      <c r="C20" s="228" t="s">
        <v>175</v>
      </c>
      <c r="D20" s="228" t="s">
        <v>728</v>
      </c>
      <c r="E20" s="84" t="s">
        <v>422</v>
      </c>
      <c r="F20" s="286" t="s">
        <v>1868</v>
      </c>
      <c r="G20" s="221" t="s">
        <v>689</v>
      </c>
      <c r="H20" s="84"/>
      <c r="I20" s="84"/>
      <c r="J20" s="228" t="s">
        <v>173</v>
      </c>
      <c r="K20" s="228" t="s">
        <v>749</v>
      </c>
      <c r="L20" s="228" t="s">
        <v>749</v>
      </c>
    </row>
    <row r="21" spans="1:12">
      <c r="A21" s="285"/>
      <c r="B21" s="279" t="s">
        <v>735</v>
      </c>
      <c r="C21" s="228" t="s">
        <v>175</v>
      </c>
      <c r="D21" s="228" t="s">
        <v>1549</v>
      </c>
      <c r="E21" s="84" t="s">
        <v>422</v>
      </c>
      <c r="F21" s="286" t="s">
        <v>1869</v>
      </c>
      <c r="G21" s="221" t="s">
        <v>689</v>
      </c>
      <c r="H21" s="84"/>
      <c r="I21" s="84"/>
      <c r="J21" s="228" t="s">
        <v>173</v>
      </c>
      <c r="K21" s="228" t="s">
        <v>749</v>
      </c>
      <c r="L21" s="228" t="s">
        <v>749</v>
      </c>
    </row>
    <row r="22" spans="1:12">
      <c r="A22" s="285"/>
      <c r="B22" s="279" t="s">
        <v>1550</v>
      </c>
      <c r="C22" s="228" t="s">
        <v>175</v>
      </c>
      <c r="D22" s="228" t="s">
        <v>1551</v>
      </c>
      <c r="E22" s="84" t="s">
        <v>422</v>
      </c>
      <c r="F22" s="229" t="s">
        <v>1550</v>
      </c>
      <c r="G22" s="221" t="s">
        <v>689</v>
      </c>
      <c r="H22" s="84"/>
      <c r="I22" s="84"/>
      <c r="J22" s="228" t="s">
        <v>173</v>
      </c>
      <c r="K22" s="228" t="s">
        <v>749</v>
      </c>
      <c r="L22" s="228" t="s">
        <v>1552</v>
      </c>
    </row>
    <row r="23" spans="1:12">
      <c r="A23" s="285"/>
      <c r="B23" s="279" t="s">
        <v>207</v>
      </c>
      <c r="C23" s="228" t="s">
        <v>170</v>
      </c>
      <c r="D23" s="228" t="s">
        <v>1553</v>
      </c>
      <c r="E23" s="84" t="s">
        <v>422</v>
      </c>
      <c r="F23" s="229" t="s">
        <v>207</v>
      </c>
      <c r="G23" s="221" t="s">
        <v>689</v>
      </c>
      <c r="H23" s="84"/>
      <c r="I23" s="84"/>
      <c r="J23" s="228" t="s">
        <v>173</v>
      </c>
      <c r="K23" s="228" t="s">
        <v>749</v>
      </c>
      <c r="L23" s="228" t="s">
        <v>1554</v>
      </c>
    </row>
    <row r="24" spans="1:12">
      <c r="A24" s="285"/>
      <c r="B24" s="279" t="s">
        <v>1555</v>
      </c>
      <c r="C24" s="228" t="s">
        <v>229</v>
      </c>
      <c r="D24" s="228" t="s">
        <v>1556</v>
      </c>
      <c r="E24" s="84" t="s">
        <v>422</v>
      </c>
      <c r="F24" s="286" t="s">
        <v>1863</v>
      </c>
      <c r="G24" s="221" t="s">
        <v>709</v>
      </c>
      <c r="H24" s="84"/>
      <c r="I24" s="84"/>
      <c r="J24" s="228" t="s">
        <v>173</v>
      </c>
      <c r="K24" s="228" t="s">
        <v>749</v>
      </c>
      <c r="L24" s="228" t="s">
        <v>1557</v>
      </c>
    </row>
    <row r="25" spans="1:12">
      <c r="A25" s="285"/>
      <c r="B25" s="279" t="s">
        <v>1558</v>
      </c>
      <c r="C25" s="228" t="s">
        <v>229</v>
      </c>
      <c r="D25" s="228" t="s">
        <v>1559</v>
      </c>
      <c r="E25" s="84" t="s">
        <v>422</v>
      </c>
      <c r="F25" s="286" t="s">
        <v>1863</v>
      </c>
      <c r="G25" s="221" t="s">
        <v>712</v>
      </c>
      <c r="H25" s="84"/>
      <c r="I25" s="84"/>
      <c r="J25" s="228" t="s">
        <v>173</v>
      </c>
      <c r="K25" s="228" t="s">
        <v>749</v>
      </c>
      <c r="L25" s="228" t="s">
        <v>1560</v>
      </c>
    </row>
    <row r="26" spans="1:12">
      <c r="A26" s="285"/>
      <c r="B26" s="279" t="s">
        <v>211</v>
      </c>
      <c r="C26" s="228" t="s">
        <v>175</v>
      </c>
      <c r="D26" s="228" t="s">
        <v>211</v>
      </c>
      <c r="E26" s="84" t="s">
        <v>422</v>
      </c>
      <c r="F26" s="286" t="s">
        <v>1863</v>
      </c>
      <c r="G26" s="221" t="s">
        <v>714</v>
      </c>
      <c r="H26" s="84"/>
      <c r="I26" s="84"/>
      <c r="J26" s="228" t="s">
        <v>173</v>
      </c>
      <c r="K26" s="228" t="s">
        <v>749</v>
      </c>
      <c r="L26" s="228" t="s">
        <v>749</v>
      </c>
    </row>
    <row r="27" spans="1:12">
      <c r="A27" s="285"/>
      <c r="B27" s="279" t="s">
        <v>191</v>
      </c>
      <c r="C27" s="228" t="s">
        <v>175</v>
      </c>
      <c r="D27" s="228" t="s">
        <v>1561</v>
      </c>
      <c r="E27" s="84" t="s">
        <v>422</v>
      </c>
      <c r="F27" s="201" t="s">
        <v>1864</v>
      </c>
      <c r="G27" s="221" t="s">
        <v>689</v>
      </c>
      <c r="H27" s="84"/>
      <c r="I27" s="84"/>
      <c r="J27" s="228" t="s">
        <v>173</v>
      </c>
      <c r="K27" s="228" t="s">
        <v>749</v>
      </c>
      <c r="L27" s="228" t="s">
        <v>749</v>
      </c>
    </row>
    <row r="28" spans="1:12">
      <c r="A28" s="285"/>
      <c r="B28" s="279" t="s">
        <v>188</v>
      </c>
      <c r="C28" s="228" t="s">
        <v>175</v>
      </c>
      <c r="D28" s="228" t="s">
        <v>1562</v>
      </c>
      <c r="E28" s="84" t="s">
        <v>422</v>
      </c>
      <c r="F28" s="201" t="s">
        <v>188</v>
      </c>
      <c r="G28" s="221" t="s">
        <v>689</v>
      </c>
      <c r="H28" s="84"/>
      <c r="I28" s="84"/>
      <c r="J28" s="228" t="s">
        <v>173</v>
      </c>
      <c r="K28" s="228" t="s">
        <v>749</v>
      </c>
      <c r="L28" s="228" t="s">
        <v>1563</v>
      </c>
    </row>
    <row r="29" spans="1:12">
      <c r="A29" s="285"/>
      <c r="B29" s="279" t="s">
        <v>244</v>
      </c>
      <c r="C29" s="228" t="s">
        <v>175</v>
      </c>
      <c r="D29" s="228" t="s">
        <v>244</v>
      </c>
      <c r="E29" s="84" t="s">
        <v>422</v>
      </c>
      <c r="F29" s="201" t="s">
        <v>1865</v>
      </c>
      <c r="G29" s="221" t="s">
        <v>689</v>
      </c>
      <c r="H29" s="84"/>
      <c r="I29" s="84"/>
      <c r="J29" s="228" t="s">
        <v>173</v>
      </c>
      <c r="K29" s="228" t="s">
        <v>749</v>
      </c>
      <c r="L29" s="228" t="s">
        <v>749</v>
      </c>
    </row>
    <row r="30" spans="1:12">
      <c r="A30" s="285"/>
      <c r="B30" s="279" t="s">
        <v>1564</v>
      </c>
      <c r="C30" s="228" t="s">
        <v>170</v>
      </c>
      <c r="D30" s="228" t="s">
        <v>1565</v>
      </c>
      <c r="E30" s="84" t="s">
        <v>422</v>
      </c>
      <c r="F30" s="201" t="s">
        <v>1865</v>
      </c>
      <c r="G30" s="200" t="s">
        <v>1866</v>
      </c>
      <c r="H30" s="84"/>
      <c r="I30" s="84"/>
      <c r="J30" s="228" t="s">
        <v>173</v>
      </c>
      <c r="K30" s="228" t="s">
        <v>749</v>
      </c>
      <c r="L30" s="228" t="s">
        <v>1566</v>
      </c>
    </row>
    <row r="31" spans="1:12">
      <c r="A31" s="285"/>
      <c r="B31" s="279" t="s">
        <v>1567</v>
      </c>
      <c r="C31" s="228" t="s">
        <v>175</v>
      </c>
      <c r="D31" s="228" t="s">
        <v>1568</v>
      </c>
      <c r="E31" s="84" t="s">
        <v>422</v>
      </c>
      <c r="F31" s="229" t="s">
        <v>1567</v>
      </c>
      <c r="G31" s="221" t="s">
        <v>689</v>
      </c>
      <c r="H31" s="84"/>
      <c r="I31" s="84"/>
      <c r="J31" s="228" t="s">
        <v>173</v>
      </c>
      <c r="K31" s="228" t="s">
        <v>749</v>
      </c>
      <c r="L31" s="228" t="s">
        <v>1569</v>
      </c>
    </row>
    <row r="32" spans="1:12">
      <c r="A32" s="285"/>
      <c r="B32" s="279" t="s">
        <v>246</v>
      </c>
      <c r="C32" s="228" t="s">
        <v>175</v>
      </c>
      <c r="D32" s="228" t="s">
        <v>1570</v>
      </c>
      <c r="E32" s="84" t="s">
        <v>422</v>
      </c>
      <c r="F32" s="229" t="s">
        <v>246</v>
      </c>
      <c r="G32" s="221" t="s">
        <v>689</v>
      </c>
      <c r="H32" s="84"/>
      <c r="I32" s="84"/>
      <c r="J32" s="228" t="s">
        <v>173</v>
      </c>
      <c r="K32" s="228" t="s">
        <v>749</v>
      </c>
      <c r="L32" s="228" t="s">
        <v>1571</v>
      </c>
    </row>
    <row r="33" spans="2:12">
      <c r="B33" s="287" t="s">
        <v>746</v>
      </c>
      <c r="C33" s="229" t="s">
        <v>175</v>
      </c>
      <c r="D33" s="229" t="s">
        <v>747</v>
      </c>
      <c r="E33" s="201" t="s">
        <v>422</v>
      </c>
      <c r="F33" s="229" t="s">
        <v>746</v>
      </c>
      <c r="G33" s="200" t="s">
        <v>748</v>
      </c>
      <c r="H33" s="229"/>
      <c r="I33" s="229"/>
      <c r="J33" s="228" t="s">
        <v>173</v>
      </c>
      <c r="K33" s="229" t="s">
        <v>749</v>
      </c>
      <c r="L33" s="229" t="s">
        <v>750</v>
      </c>
    </row>
    <row r="34" s="75" customFormat="1" spans="2:14">
      <c r="B34" s="270" t="s">
        <v>751</v>
      </c>
      <c r="C34" s="64" t="s">
        <v>687</v>
      </c>
      <c r="D34" s="101" t="s">
        <v>752</v>
      </c>
      <c r="E34" s="64" t="s">
        <v>671</v>
      </c>
      <c r="F34" s="64"/>
      <c r="G34" s="221" t="s">
        <v>753</v>
      </c>
      <c r="H34" s="101"/>
      <c r="I34" s="61"/>
      <c r="J34" s="61" t="s">
        <v>173</v>
      </c>
      <c r="K34" s="64"/>
      <c r="L34" s="64"/>
      <c r="M34" s="100"/>
      <c r="N34" s="100"/>
    </row>
    <row r="35" spans="1:12">
      <c r="A35" s="285"/>
      <c r="B35" s="228" t="s">
        <v>1572</v>
      </c>
      <c r="C35" s="228" t="s">
        <v>229</v>
      </c>
      <c r="D35" s="228" t="s">
        <v>1573</v>
      </c>
      <c r="E35" s="84" t="s">
        <v>422</v>
      </c>
      <c r="F35" s="229"/>
      <c r="G35" s="200" t="s">
        <v>1574</v>
      </c>
      <c r="H35" s="84"/>
      <c r="I35" s="84"/>
      <c r="J35" s="228" t="s">
        <v>222</v>
      </c>
      <c r="K35" s="228" t="s">
        <v>1575</v>
      </c>
      <c r="L35" s="228" t="s">
        <v>1576</v>
      </c>
    </row>
    <row r="36" spans="1:12">
      <c r="A36" s="285"/>
      <c r="B36" s="228" t="s">
        <v>1577</v>
      </c>
      <c r="C36" s="228" t="s">
        <v>229</v>
      </c>
      <c r="D36" s="228" t="s">
        <v>1578</v>
      </c>
      <c r="E36" s="84" t="s">
        <v>422</v>
      </c>
      <c r="F36" s="229"/>
      <c r="G36" s="200" t="s">
        <v>1579</v>
      </c>
      <c r="H36" s="84"/>
      <c r="I36" s="229"/>
      <c r="J36" s="228" t="s">
        <v>222</v>
      </c>
      <c r="K36" s="228" t="s">
        <v>615</v>
      </c>
      <c r="L36" s="228" t="s">
        <v>1580</v>
      </c>
    </row>
    <row r="37" spans="1:12">
      <c r="A37" s="285"/>
      <c r="B37" s="228" t="s">
        <v>1581</v>
      </c>
      <c r="C37" s="228" t="s">
        <v>229</v>
      </c>
      <c r="D37" s="228" t="s">
        <v>1582</v>
      </c>
      <c r="E37" s="84" t="s">
        <v>422</v>
      </c>
      <c r="F37" s="229"/>
      <c r="G37" s="200" t="s">
        <v>1583</v>
      </c>
      <c r="H37" s="84"/>
      <c r="I37" s="229"/>
      <c r="J37" s="228" t="s">
        <v>222</v>
      </c>
      <c r="K37" s="228" t="s">
        <v>615</v>
      </c>
      <c r="L37" s="228" t="s">
        <v>1584</v>
      </c>
    </row>
    <row r="38" spans="1:12">
      <c r="A38" s="285"/>
      <c r="B38" s="228" t="s">
        <v>1585</v>
      </c>
      <c r="C38" s="228" t="s">
        <v>229</v>
      </c>
      <c r="D38" s="228" t="s">
        <v>1586</v>
      </c>
      <c r="E38" s="84" t="s">
        <v>422</v>
      </c>
      <c r="F38" s="229"/>
      <c r="G38" s="200" t="s">
        <v>1587</v>
      </c>
      <c r="H38" s="84"/>
      <c r="I38" s="229"/>
      <c r="J38" s="228" t="s">
        <v>222</v>
      </c>
      <c r="K38" s="228" t="s">
        <v>1588</v>
      </c>
      <c r="L38" s="228" t="s">
        <v>1589</v>
      </c>
    </row>
    <row r="39" spans="1:12">
      <c r="A39" s="285"/>
      <c r="B39" s="228" t="s">
        <v>1590</v>
      </c>
      <c r="C39" s="228" t="s">
        <v>229</v>
      </c>
      <c r="D39" s="228" t="s">
        <v>1591</v>
      </c>
      <c r="E39" s="84" t="s">
        <v>422</v>
      </c>
      <c r="F39" s="229"/>
      <c r="G39" s="200" t="s">
        <v>1592</v>
      </c>
      <c r="H39" s="84"/>
      <c r="I39" s="229"/>
      <c r="J39" s="228" t="s">
        <v>222</v>
      </c>
      <c r="K39" s="228" t="s">
        <v>1588</v>
      </c>
      <c r="L39" s="228" t="s">
        <v>1593</v>
      </c>
    </row>
    <row r="40" spans="1:12">
      <c r="A40" s="285"/>
      <c r="B40" s="228" t="s">
        <v>1594</v>
      </c>
      <c r="C40" s="228" t="s">
        <v>229</v>
      </c>
      <c r="D40" s="228" t="s">
        <v>1595</v>
      </c>
      <c r="E40" s="84" t="s">
        <v>422</v>
      </c>
      <c r="F40" s="229"/>
      <c r="G40" s="200" t="s">
        <v>1596</v>
      </c>
      <c r="H40" s="84"/>
      <c r="I40" s="229"/>
      <c r="J40" s="228" t="s">
        <v>222</v>
      </c>
      <c r="K40" s="228" t="s">
        <v>231</v>
      </c>
      <c r="L40" s="228" t="s">
        <v>1597</v>
      </c>
    </row>
    <row r="41" spans="1:12">
      <c r="A41" s="285"/>
      <c r="B41" s="228" t="s">
        <v>1598</v>
      </c>
      <c r="C41" s="228" t="s">
        <v>229</v>
      </c>
      <c r="D41" s="228" t="s">
        <v>1599</v>
      </c>
      <c r="E41" s="84" t="s">
        <v>422</v>
      </c>
      <c r="F41" s="229"/>
      <c r="G41" s="200" t="s">
        <v>1600</v>
      </c>
      <c r="H41" s="84"/>
      <c r="I41" s="229"/>
      <c r="J41" s="228" t="s">
        <v>222</v>
      </c>
      <c r="K41" s="228" t="s">
        <v>231</v>
      </c>
      <c r="L41" s="228" t="s">
        <v>1601</v>
      </c>
    </row>
    <row r="42" spans="1:12">
      <c r="A42" s="285"/>
      <c r="B42" s="228" t="s">
        <v>1602</v>
      </c>
      <c r="C42" s="228" t="s">
        <v>229</v>
      </c>
      <c r="D42" s="228" t="s">
        <v>1603</v>
      </c>
      <c r="E42" s="84" t="s">
        <v>422</v>
      </c>
      <c r="F42" s="229"/>
      <c r="G42" s="200" t="s">
        <v>1604</v>
      </c>
      <c r="H42" s="84"/>
      <c r="I42" s="229"/>
      <c r="J42" s="228" t="s">
        <v>222</v>
      </c>
      <c r="K42" s="228" t="s">
        <v>1575</v>
      </c>
      <c r="L42" s="228" t="s">
        <v>1605</v>
      </c>
    </row>
    <row r="43" spans="1:12">
      <c r="A43" s="285"/>
      <c r="B43" s="228" t="s">
        <v>1606</v>
      </c>
      <c r="C43" s="228" t="s">
        <v>229</v>
      </c>
      <c r="D43" s="228" t="s">
        <v>1607</v>
      </c>
      <c r="E43" s="84" t="s">
        <v>422</v>
      </c>
      <c r="F43" s="229"/>
      <c r="G43" s="200" t="s">
        <v>1608</v>
      </c>
      <c r="H43" s="84"/>
      <c r="I43" s="229"/>
      <c r="J43" s="228" t="s">
        <v>222</v>
      </c>
      <c r="K43" s="228" t="s">
        <v>231</v>
      </c>
      <c r="L43" s="228" t="s">
        <v>1609</v>
      </c>
    </row>
    <row r="44" spans="1:12">
      <c r="A44" s="285"/>
      <c r="B44" s="228" t="s">
        <v>1610</v>
      </c>
      <c r="C44" s="228" t="s">
        <v>229</v>
      </c>
      <c r="D44" s="228" t="s">
        <v>1611</v>
      </c>
      <c r="E44" s="84" t="s">
        <v>422</v>
      </c>
      <c r="F44" s="229"/>
      <c r="G44" s="200" t="s">
        <v>1612</v>
      </c>
      <c r="H44" s="84"/>
      <c r="I44" s="229"/>
      <c r="J44" s="228" t="s">
        <v>222</v>
      </c>
      <c r="K44" s="228" t="s">
        <v>231</v>
      </c>
      <c r="L44" s="228" t="s">
        <v>1613</v>
      </c>
    </row>
    <row r="45" spans="1:12">
      <c r="A45" s="285"/>
      <c r="B45" s="228" t="s">
        <v>1614</v>
      </c>
      <c r="C45" s="228" t="s">
        <v>229</v>
      </c>
      <c r="D45" s="228" t="s">
        <v>1615</v>
      </c>
      <c r="E45" s="84" t="s">
        <v>422</v>
      </c>
      <c r="F45" s="229"/>
      <c r="G45" s="200" t="s">
        <v>1616</v>
      </c>
      <c r="H45" s="84"/>
      <c r="I45" s="229"/>
      <c r="J45" s="228" t="s">
        <v>222</v>
      </c>
      <c r="K45" s="228" t="s">
        <v>231</v>
      </c>
      <c r="L45" s="228" t="s">
        <v>1617</v>
      </c>
    </row>
    <row r="46" spans="1:12">
      <c r="A46" s="285"/>
      <c r="B46" s="228" t="s">
        <v>1618</v>
      </c>
      <c r="C46" s="228" t="s">
        <v>229</v>
      </c>
      <c r="D46" s="228" t="s">
        <v>1619</v>
      </c>
      <c r="E46" s="84" t="s">
        <v>422</v>
      </c>
      <c r="F46" s="229"/>
      <c r="G46" s="200" t="s">
        <v>1620</v>
      </c>
      <c r="H46" s="84"/>
      <c r="I46" s="229"/>
      <c r="J46" s="228" t="s">
        <v>222</v>
      </c>
      <c r="K46" s="228" t="s">
        <v>231</v>
      </c>
      <c r="L46" s="228" t="s">
        <v>1621</v>
      </c>
    </row>
    <row r="47" spans="1:12">
      <c r="A47" s="285"/>
      <c r="B47" s="228" t="s">
        <v>1622</v>
      </c>
      <c r="C47" s="228" t="s">
        <v>229</v>
      </c>
      <c r="D47" s="228" t="s">
        <v>1623</v>
      </c>
      <c r="E47" s="84" t="s">
        <v>422</v>
      </c>
      <c r="F47" s="229"/>
      <c r="G47" s="200" t="s">
        <v>1624</v>
      </c>
      <c r="H47" s="84"/>
      <c r="I47" s="229"/>
      <c r="J47" s="228" t="s">
        <v>222</v>
      </c>
      <c r="K47" s="228" t="s">
        <v>1625</v>
      </c>
      <c r="L47" s="228" t="s">
        <v>1626</v>
      </c>
    </row>
    <row r="48" spans="1:12">
      <c r="A48" s="285"/>
      <c r="B48" s="228" t="s">
        <v>1627</v>
      </c>
      <c r="C48" s="228" t="s">
        <v>229</v>
      </c>
      <c r="D48" s="228" t="s">
        <v>1628</v>
      </c>
      <c r="E48" s="84" t="s">
        <v>422</v>
      </c>
      <c r="F48" s="229"/>
      <c r="G48" s="200" t="s">
        <v>1629</v>
      </c>
      <c r="H48" s="84"/>
      <c r="I48" s="229"/>
      <c r="J48" s="228" t="s">
        <v>222</v>
      </c>
      <c r="K48" s="228" t="s">
        <v>1625</v>
      </c>
      <c r="L48" s="228" t="s">
        <v>1630</v>
      </c>
    </row>
    <row r="49" spans="1:12">
      <c r="A49" s="285"/>
      <c r="B49" s="228" t="s">
        <v>1631</v>
      </c>
      <c r="C49" s="228" t="s">
        <v>229</v>
      </c>
      <c r="D49" s="228" t="s">
        <v>1632</v>
      </c>
      <c r="E49" s="84" t="s">
        <v>422</v>
      </c>
      <c r="F49" s="229"/>
      <c r="G49" s="200" t="s">
        <v>1633</v>
      </c>
      <c r="H49" s="84"/>
      <c r="I49" s="229"/>
      <c r="J49" s="228" t="s">
        <v>222</v>
      </c>
      <c r="K49" s="228" t="s">
        <v>231</v>
      </c>
      <c r="L49" s="228" t="s">
        <v>1634</v>
      </c>
    </row>
    <row r="50" spans="1:12">
      <c r="A50" s="285"/>
      <c r="B50" s="228" t="s">
        <v>1635</v>
      </c>
      <c r="C50" s="228" t="s">
        <v>229</v>
      </c>
      <c r="D50" s="228" t="s">
        <v>1636</v>
      </c>
      <c r="E50" s="84" t="s">
        <v>422</v>
      </c>
      <c r="F50" s="229"/>
      <c r="G50" s="200" t="s">
        <v>1637</v>
      </c>
      <c r="H50" s="84"/>
      <c r="I50" s="229"/>
      <c r="J50" s="228" t="s">
        <v>222</v>
      </c>
      <c r="K50" s="228" t="s">
        <v>231</v>
      </c>
      <c r="L50" s="228" t="s">
        <v>1638</v>
      </c>
    </row>
    <row r="51" spans="1:12">
      <c r="A51" s="285"/>
      <c r="B51" s="228" t="s">
        <v>1639</v>
      </c>
      <c r="C51" s="228" t="s">
        <v>229</v>
      </c>
      <c r="D51" s="228" t="s">
        <v>1640</v>
      </c>
      <c r="E51" s="84" t="s">
        <v>422</v>
      </c>
      <c r="F51" s="229"/>
      <c r="G51" s="200" t="s">
        <v>1967</v>
      </c>
      <c r="H51" s="84"/>
      <c r="I51" s="229"/>
      <c r="J51" s="228" t="s">
        <v>222</v>
      </c>
      <c r="K51" s="228" t="s">
        <v>1625</v>
      </c>
      <c r="L51" s="228" t="s">
        <v>1642</v>
      </c>
    </row>
    <row r="52" spans="1:12">
      <c r="A52" s="285"/>
      <c r="B52" s="228" t="s">
        <v>1643</v>
      </c>
      <c r="C52" s="228" t="s">
        <v>229</v>
      </c>
      <c r="D52" s="228" t="s">
        <v>1644</v>
      </c>
      <c r="E52" s="84" t="s">
        <v>422</v>
      </c>
      <c r="F52" s="229"/>
      <c r="G52" s="200" t="s">
        <v>1968</v>
      </c>
      <c r="H52" s="84"/>
      <c r="I52" s="229"/>
      <c r="J52" s="228" t="s">
        <v>222</v>
      </c>
      <c r="K52" s="228" t="s">
        <v>1625</v>
      </c>
      <c r="L52" s="228" t="s">
        <v>1646</v>
      </c>
    </row>
    <row r="53" spans="1:12">
      <c r="A53" s="285"/>
      <c r="B53" s="228" t="s">
        <v>1647</v>
      </c>
      <c r="C53" s="228" t="s">
        <v>229</v>
      </c>
      <c r="D53" s="228" t="s">
        <v>1648</v>
      </c>
      <c r="E53" s="84" t="s">
        <v>422</v>
      </c>
      <c r="F53" s="229"/>
      <c r="G53" s="200" t="s">
        <v>1649</v>
      </c>
      <c r="H53" s="84"/>
      <c r="I53" s="229"/>
      <c r="J53" s="228" t="s">
        <v>222</v>
      </c>
      <c r="K53" s="228" t="s">
        <v>1575</v>
      </c>
      <c r="L53" s="228" t="s">
        <v>1650</v>
      </c>
    </row>
    <row r="54" spans="1:12">
      <c r="A54" s="285"/>
      <c r="B54" s="228" t="s">
        <v>1651</v>
      </c>
      <c r="C54" s="228" t="s">
        <v>229</v>
      </c>
      <c r="D54" s="228" t="s">
        <v>1652</v>
      </c>
      <c r="E54" s="84" t="s">
        <v>422</v>
      </c>
      <c r="F54" s="229"/>
      <c r="G54" s="200" t="s">
        <v>1653</v>
      </c>
      <c r="H54" s="84"/>
      <c r="I54" s="229"/>
      <c r="J54" s="228" t="s">
        <v>222</v>
      </c>
      <c r="K54" s="228" t="s">
        <v>1575</v>
      </c>
      <c r="L54" s="228" t="s">
        <v>1654</v>
      </c>
    </row>
    <row r="55" spans="1:12">
      <c r="A55" s="285"/>
      <c r="B55" s="228" t="s">
        <v>1655</v>
      </c>
      <c r="C55" s="228" t="s">
        <v>229</v>
      </c>
      <c r="D55" s="228" t="s">
        <v>1656</v>
      </c>
      <c r="E55" s="84" t="s">
        <v>422</v>
      </c>
      <c r="F55" s="229"/>
      <c r="G55" s="200" t="s">
        <v>1657</v>
      </c>
      <c r="H55" s="84"/>
      <c r="I55" s="229"/>
      <c r="J55" s="228" t="s">
        <v>222</v>
      </c>
      <c r="K55" s="228" t="s">
        <v>1575</v>
      </c>
      <c r="L55" s="228" t="s">
        <v>1658</v>
      </c>
    </row>
    <row r="56" spans="1:12">
      <c r="A56" s="285"/>
      <c r="B56" s="228" t="s">
        <v>1659</v>
      </c>
      <c r="C56" s="228" t="s">
        <v>229</v>
      </c>
      <c r="D56" s="228" t="s">
        <v>1660</v>
      </c>
      <c r="E56" s="84" t="s">
        <v>422</v>
      </c>
      <c r="F56" s="229"/>
      <c r="G56" s="200" t="s">
        <v>1661</v>
      </c>
      <c r="H56" s="84"/>
      <c r="I56" s="229"/>
      <c r="J56" s="228" t="s">
        <v>222</v>
      </c>
      <c r="K56" s="228" t="s">
        <v>1575</v>
      </c>
      <c r="L56" s="228" t="s">
        <v>1662</v>
      </c>
    </row>
    <row r="57" spans="1:12">
      <c r="A57" s="285"/>
      <c r="B57" s="228" t="s">
        <v>1663</v>
      </c>
      <c r="C57" s="228" t="s">
        <v>229</v>
      </c>
      <c r="D57" s="228" t="s">
        <v>1664</v>
      </c>
      <c r="E57" s="84" t="s">
        <v>422</v>
      </c>
      <c r="F57" s="229"/>
      <c r="G57" s="200" t="s">
        <v>1665</v>
      </c>
      <c r="H57" s="84"/>
      <c r="I57" s="229"/>
      <c r="J57" s="228" t="s">
        <v>222</v>
      </c>
      <c r="K57" s="228" t="s">
        <v>1575</v>
      </c>
      <c r="L57" s="228" t="s">
        <v>1666</v>
      </c>
    </row>
    <row r="58" spans="1:12">
      <c r="A58" s="285"/>
      <c r="B58" s="228" t="s">
        <v>1667</v>
      </c>
      <c r="C58" s="228" t="s">
        <v>229</v>
      </c>
      <c r="D58" s="228" t="s">
        <v>1668</v>
      </c>
      <c r="E58" s="84" t="s">
        <v>422</v>
      </c>
      <c r="F58" s="229"/>
      <c r="G58" s="200" t="s">
        <v>1669</v>
      </c>
      <c r="H58" s="84"/>
      <c r="I58" s="229"/>
      <c r="J58" s="228" t="s">
        <v>222</v>
      </c>
      <c r="K58" s="228" t="s">
        <v>1625</v>
      </c>
      <c r="L58" s="228" t="s">
        <v>1670</v>
      </c>
    </row>
    <row r="59" spans="1:12">
      <c r="A59" s="285"/>
      <c r="B59" s="228" t="s">
        <v>1671</v>
      </c>
      <c r="C59" s="228" t="s">
        <v>229</v>
      </c>
      <c r="D59" s="228" t="s">
        <v>1672</v>
      </c>
      <c r="E59" s="84" t="s">
        <v>422</v>
      </c>
      <c r="F59" s="229"/>
      <c r="G59" s="200" t="s">
        <v>1673</v>
      </c>
      <c r="H59" s="84"/>
      <c r="I59" s="229"/>
      <c r="J59" s="228" t="s">
        <v>222</v>
      </c>
      <c r="K59" s="228" t="s">
        <v>1575</v>
      </c>
      <c r="L59" s="228" t="s">
        <v>1674</v>
      </c>
    </row>
    <row r="60" spans="1:12">
      <c r="A60" s="285"/>
      <c r="B60" s="228" t="s">
        <v>1675</v>
      </c>
      <c r="C60" s="228" t="s">
        <v>229</v>
      </c>
      <c r="D60" s="228" t="s">
        <v>1676</v>
      </c>
      <c r="E60" s="84" t="s">
        <v>422</v>
      </c>
      <c r="F60" s="229"/>
      <c r="G60" s="200" t="s">
        <v>1677</v>
      </c>
      <c r="H60" s="84"/>
      <c r="I60" s="229"/>
      <c r="J60" s="228" t="s">
        <v>222</v>
      </c>
      <c r="K60" s="228" t="s">
        <v>1575</v>
      </c>
      <c r="L60" s="228" t="s">
        <v>1678</v>
      </c>
    </row>
    <row r="61" spans="1:12">
      <c r="A61" s="285"/>
      <c r="B61" s="228" t="s">
        <v>1679</v>
      </c>
      <c r="C61" s="228" t="s">
        <v>229</v>
      </c>
      <c r="D61" s="228" t="s">
        <v>1680</v>
      </c>
      <c r="E61" s="84" t="s">
        <v>422</v>
      </c>
      <c r="F61" s="229"/>
      <c r="G61" s="200" t="s">
        <v>1681</v>
      </c>
      <c r="H61" s="84"/>
      <c r="I61" s="229"/>
      <c r="J61" s="228" t="s">
        <v>222</v>
      </c>
      <c r="K61" s="228" t="s">
        <v>1575</v>
      </c>
      <c r="L61" s="228" t="s">
        <v>1682</v>
      </c>
    </row>
    <row r="62" spans="1:12">
      <c r="A62" s="285"/>
      <c r="B62" s="228" t="s">
        <v>1683</v>
      </c>
      <c r="C62" s="228" t="s">
        <v>229</v>
      </c>
      <c r="D62" s="228" t="s">
        <v>1684</v>
      </c>
      <c r="E62" s="84" t="s">
        <v>422</v>
      </c>
      <c r="F62" s="229"/>
      <c r="G62" s="200" t="s">
        <v>1685</v>
      </c>
      <c r="H62" s="84"/>
      <c r="I62" s="229"/>
      <c r="J62" s="228" t="s">
        <v>222</v>
      </c>
      <c r="K62" s="228" t="s">
        <v>1575</v>
      </c>
      <c r="L62" s="228" t="s">
        <v>1686</v>
      </c>
    </row>
    <row r="63" spans="1:12">
      <c r="A63" s="285"/>
      <c r="B63" s="228" t="s">
        <v>1687</v>
      </c>
      <c r="C63" s="228" t="s">
        <v>229</v>
      </c>
      <c r="D63" s="228" t="s">
        <v>1688</v>
      </c>
      <c r="E63" s="84" t="s">
        <v>422</v>
      </c>
      <c r="F63" s="229"/>
      <c r="G63" s="200" t="s">
        <v>1689</v>
      </c>
      <c r="H63" s="84"/>
      <c r="I63" s="229"/>
      <c r="J63" s="228" t="s">
        <v>222</v>
      </c>
      <c r="K63" s="228" t="s">
        <v>1575</v>
      </c>
      <c r="L63" s="228" t="s">
        <v>1690</v>
      </c>
    </row>
    <row r="64" spans="1:12">
      <c r="A64" s="285"/>
      <c r="B64" s="228" t="s">
        <v>1691</v>
      </c>
      <c r="C64" s="228" t="s">
        <v>229</v>
      </c>
      <c r="D64" s="228" t="s">
        <v>1692</v>
      </c>
      <c r="E64" s="84" t="s">
        <v>422</v>
      </c>
      <c r="F64" s="229"/>
      <c r="G64" s="200" t="s">
        <v>1693</v>
      </c>
      <c r="H64" s="84"/>
      <c r="I64" s="229"/>
      <c r="J64" s="228" t="s">
        <v>222</v>
      </c>
      <c r="K64" s="228" t="s">
        <v>1575</v>
      </c>
      <c r="L64" s="228" t="s">
        <v>1694</v>
      </c>
    </row>
    <row r="65" spans="1:12">
      <c r="A65" s="285"/>
      <c r="B65" s="228" t="s">
        <v>1695</v>
      </c>
      <c r="C65" s="228" t="s">
        <v>229</v>
      </c>
      <c r="D65" s="228" t="s">
        <v>1696</v>
      </c>
      <c r="E65" s="84" t="s">
        <v>422</v>
      </c>
      <c r="F65" s="229"/>
      <c r="G65" s="200" t="s">
        <v>1693</v>
      </c>
      <c r="H65" s="84"/>
      <c r="I65" s="229"/>
      <c r="J65" s="228" t="s">
        <v>222</v>
      </c>
      <c r="K65" s="228" t="s">
        <v>1575</v>
      </c>
      <c r="L65" s="228" t="s">
        <v>1697</v>
      </c>
    </row>
    <row r="66" spans="1:12">
      <c r="A66" s="285"/>
      <c r="B66" s="228" t="s">
        <v>1698</v>
      </c>
      <c r="C66" s="228" t="s">
        <v>229</v>
      </c>
      <c r="D66" s="228" t="s">
        <v>1699</v>
      </c>
      <c r="E66" s="84" t="s">
        <v>422</v>
      </c>
      <c r="F66" s="229"/>
      <c r="G66" s="200" t="s">
        <v>1693</v>
      </c>
      <c r="H66" s="84"/>
      <c r="I66" s="229"/>
      <c r="J66" s="228" t="s">
        <v>222</v>
      </c>
      <c r="K66" s="228" t="s">
        <v>1575</v>
      </c>
      <c r="L66" s="228" t="s">
        <v>1700</v>
      </c>
    </row>
    <row r="67" spans="1:12">
      <c r="A67" s="285"/>
      <c r="B67" s="228" t="s">
        <v>1701</v>
      </c>
      <c r="C67" s="228" t="s">
        <v>229</v>
      </c>
      <c r="D67" s="228" t="s">
        <v>1702</v>
      </c>
      <c r="E67" s="84" t="s">
        <v>422</v>
      </c>
      <c r="F67" s="229"/>
      <c r="G67" s="200" t="s">
        <v>1693</v>
      </c>
      <c r="H67" s="84"/>
      <c r="I67" s="229"/>
      <c r="J67" s="228" t="s">
        <v>222</v>
      </c>
      <c r="K67" s="228" t="s">
        <v>1575</v>
      </c>
      <c r="L67" s="228" t="s">
        <v>1703</v>
      </c>
    </row>
    <row r="68" spans="1:12">
      <c r="A68" s="285"/>
      <c r="B68" s="228" t="s">
        <v>1704</v>
      </c>
      <c r="C68" s="228" t="s">
        <v>229</v>
      </c>
      <c r="D68" s="228" t="s">
        <v>1705</v>
      </c>
      <c r="E68" s="84" t="s">
        <v>422</v>
      </c>
      <c r="F68" s="229"/>
      <c r="G68" s="200" t="s">
        <v>1693</v>
      </c>
      <c r="H68" s="84"/>
      <c r="I68" s="229"/>
      <c r="J68" s="228" t="s">
        <v>222</v>
      </c>
      <c r="K68" s="228" t="s">
        <v>1575</v>
      </c>
      <c r="L68" s="228" t="s">
        <v>1706</v>
      </c>
    </row>
    <row r="69" spans="1:12">
      <c r="A69" s="285"/>
      <c r="B69" s="228" t="s">
        <v>1707</v>
      </c>
      <c r="C69" s="228" t="s">
        <v>229</v>
      </c>
      <c r="D69" s="228" t="s">
        <v>1708</v>
      </c>
      <c r="E69" s="84" t="s">
        <v>422</v>
      </c>
      <c r="F69" s="229"/>
      <c r="G69" s="200" t="s">
        <v>1693</v>
      </c>
      <c r="H69" s="84"/>
      <c r="I69" s="229"/>
      <c r="J69" s="228" t="s">
        <v>222</v>
      </c>
      <c r="K69" s="228" t="s">
        <v>1575</v>
      </c>
      <c r="L69" s="228" t="s">
        <v>1706</v>
      </c>
    </row>
    <row r="70" spans="1:12">
      <c r="A70" s="285"/>
      <c r="B70" s="228" t="s">
        <v>1709</v>
      </c>
      <c r="C70" s="228" t="s">
        <v>229</v>
      </c>
      <c r="D70" s="228" t="s">
        <v>1710</v>
      </c>
      <c r="E70" s="84" t="s">
        <v>422</v>
      </c>
      <c r="F70" s="229"/>
      <c r="G70" s="200" t="s">
        <v>1693</v>
      </c>
      <c r="H70" s="84"/>
      <c r="I70" s="229"/>
      <c r="J70" s="228" t="s">
        <v>222</v>
      </c>
      <c r="K70" s="228" t="s">
        <v>1575</v>
      </c>
      <c r="L70" s="228" t="s">
        <v>1711</v>
      </c>
    </row>
    <row r="71" spans="1:12">
      <c r="A71" s="285"/>
      <c r="B71" s="228" t="s">
        <v>1712</v>
      </c>
      <c r="C71" s="228" t="s">
        <v>229</v>
      </c>
      <c r="D71" s="228" t="s">
        <v>1713</v>
      </c>
      <c r="E71" s="84" t="s">
        <v>422</v>
      </c>
      <c r="F71" s="229"/>
      <c r="G71" s="200" t="s">
        <v>1693</v>
      </c>
      <c r="H71" s="84"/>
      <c r="I71" s="229"/>
      <c r="J71" s="228" t="s">
        <v>222</v>
      </c>
      <c r="K71" s="228" t="s">
        <v>1575</v>
      </c>
      <c r="L71" s="228" t="s">
        <v>1714</v>
      </c>
    </row>
    <row r="72" spans="1:12">
      <c r="A72" s="285"/>
      <c r="B72" s="228" t="s">
        <v>1715</v>
      </c>
      <c r="C72" s="228" t="s">
        <v>229</v>
      </c>
      <c r="D72" s="228" t="s">
        <v>1716</v>
      </c>
      <c r="E72" s="84" t="s">
        <v>422</v>
      </c>
      <c r="F72" s="229"/>
      <c r="G72" s="200" t="s">
        <v>1717</v>
      </c>
      <c r="H72" s="84"/>
      <c r="I72" s="229"/>
      <c r="J72" s="228" t="s">
        <v>222</v>
      </c>
      <c r="K72" s="228" t="s">
        <v>1718</v>
      </c>
      <c r="L72" s="228" t="s">
        <v>1719</v>
      </c>
    </row>
    <row r="73" spans="1:12">
      <c r="A73" s="285"/>
      <c r="B73" s="228" t="s">
        <v>1720</v>
      </c>
      <c r="C73" s="228" t="s">
        <v>229</v>
      </c>
      <c r="D73" s="228" t="s">
        <v>1721</v>
      </c>
      <c r="E73" s="84" t="s">
        <v>422</v>
      </c>
      <c r="F73" s="229"/>
      <c r="G73" s="200" t="s">
        <v>1722</v>
      </c>
      <c r="H73" s="84"/>
      <c r="I73" s="229"/>
      <c r="J73" s="228" t="s">
        <v>222</v>
      </c>
      <c r="K73" s="228" t="s">
        <v>1718</v>
      </c>
      <c r="L73" s="228" t="s">
        <v>1554</v>
      </c>
    </row>
    <row r="74" spans="1:12">
      <c r="A74" s="285"/>
      <c r="B74" s="228" t="s">
        <v>1723</v>
      </c>
      <c r="C74" s="228" t="s">
        <v>229</v>
      </c>
      <c r="D74" s="228" t="s">
        <v>1724</v>
      </c>
      <c r="E74" s="84" t="s">
        <v>422</v>
      </c>
      <c r="F74" s="229"/>
      <c r="G74" s="200" t="s">
        <v>1725</v>
      </c>
      <c r="H74" s="84"/>
      <c r="I74" s="229"/>
      <c r="J74" s="228" t="s">
        <v>222</v>
      </c>
      <c r="K74" s="228" t="s">
        <v>1718</v>
      </c>
      <c r="L74" s="228" t="s">
        <v>1719</v>
      </c>
    </row>
    <row r="75" spans="1:12">
      <c r="A75" s="285"/>
      <c r="B75" s="228" t="s">
        <v>1726</v>
      </c>
      <c r="C75" s="228" t="s">
        <v>229</v>
      </c>
      <c r="D75" s="228" t="s">
        <v>1727</v>
      </c>
      <c r="E75" s="84" t="s">
        <v>422</v>
      </c>
      <c r="F75" s="229"/>
      <c r="G75" s="200" t="s">
        <v>1728</v>
      </c>
      <c r="H75" s="84"/>
      <c r="I75" s="229"/>
      <c r="J75" s="228" t="s">
        <v>222</v>
      </c>
      <c r="K75" s="228" t="s">
        <v>1718</v>
      </c>
      <c r="L75" s="228" t="s">
        <v>1729</v>
      </c>
    </row>
    <row r="76" spans="1:12">
      <c r="A76" s="285"/>
      <c r="B76" s="228" t="s">
        <v>1730</v>
      </c>
      <c r="C76" s="228" t="s">
        <v>229</v>
      </c>
      <c r="D76" s="228" t="s">
        <v>1731</v>
      </c>
      <c r="E76" s="84" t="s">
        <v>422</v>
      </c>
      <c r="F76" s="229"/>
      <c r="G76" s="200" t="s">
        <v>1732</v>
      </c>
      <c r="H76" s="84"/>
      <c r="I76" s="229"/>
      <c r="J76" s="228" t="s">
        <v>222</v>
      </c>
      <c r="K76" s="228" t="s">
        <v>1718</v>
      </c>
      <c r="L76" s="228" t="s">
        <v>1733</v>
      </c>
    </row>
    <row r="77" spans="1:12">
      <c r="A77" s="285"/>
      <c r="B77" s="228" t="s">
        <v>1734</v>
      </c>
      <c r="C77" s="228" t="s">
        <v>229</v>
      </c>
      <c r="D77" s="228" t="s">
        <v>1735</v>
      </c>
      <c r="E77" s="84" t="s">
        <v>422</v>
      </c>
      <c r="F77" s="229"/>
      <c r="G77" s="200" t="s">
        <v>1736</v>
      </c>
      <c r="H77" s="84"/>
      <c r="I77" s="229"/>
      <c r="J77" s="228" t="s">
        <v>222</v>
      </c>
      <c r="K77" s="228" t="s">
        <v>1718</v>
      </c>
      <c r="L77" s="228" t="s">
        <v>1737</v>
      </c>
    </row>
    <row r="78" spans="1:12">
      <c r="A78" s="285"/>
      <c r="B78" s="228" t="s">
        <v>1738</v>
      </c>
      <c r="C78" s="228" t="s">
        <v>229</v>
      </c>
      <c r="D78" s="228" t="s">
        <v>1739</v>
      </c>
      <c r="E78" s="84" t="s">
        <v>422</v>
      </c>
      <c r="F78" s="229"/>
      <c r="G78" s="200" t="s">
        <v>807</v>
      </c>
      <c r="H78" s="84"/>
      <c r="I78" s="229"/>
      <c r="J78" s="228" t="s">
        <v>222</v>
      </c>
      <c r="K78" s="228" t="s">
        <v>231</v>
      </c>
      <c r="L78" s="228" t="s">
        <v>1740</v>
      </c>
    </row>
    <row r="79" spans="1:12">
      <c r="A79" s="285"/>
      <c r="B79" s="228" t="s">
        <v>1741</v>
      </c>
      <c r="C79" s="228" t="s">
        <v>229</v>
      </c>
      <c r="D79" s="228" t="s">
        <v>1742</v>
      </c>
      <c r="E79" s="84" t="s">
        <v>422</v>
      </c>
      <c r="F79" s="229"/>
      <c r="G79" s="200" t="s">
        <v>810</v>
      </c>
      <c r="H79" s="84"/>
      <c r="I79" s="229"/>
      <c r="J79" s="228" t="s">
        <v>222</v>
      </c>
      <c r="K79" s="228" t="s">
        <v>231</v>
      </c>
      <c r="L79" s="228" t="s">
        <v>1743</v>
      </c>
    </row>
    <row r="80" spans="1:12">
      <c r="A80" s="285"/>
      <c r="B80" s="228" t="s">
        <v>1744</v>
      </c>
      <c r="C80" s="228" t="s">
        <v>229</v>
      </c>
      <c r="D80" s="228" t="s">
        <v>1745</v>
      </c>
      <c r="E80" s="84" t="s">
        <v>422</v>
      </c>
      <c r="F80" s="229"/>
      <c r="G80" s="200" t="s">
        <v>813</v>
      </c>
      <c r="H80" s="84"/>
      <c r="I80" s="229"/>
      <c r="J80" s="228" t="s">
        <v>222</v>
      </c>
      <c r="K80" s="228" t="s">
        <v>231</v>
      </c>
      <c r="L80" s="228" t="s">
        <v>1746</v>
      </c>
    </row>
    <row r="81" spans="1:12">
      <c r="A81" s="285"/>
      <c r="B81" s="228" t="s">
        <v>1747</v>
      </c>
      <c r="C81" s="228" t="s">
        <v>229</v>
      </c>
      <c r="D81" s="228" t="s">
        <v>1748</v>
      </c>
      <c r="E81" s="84" t="s">
        <v>422</v>
      </c>
      <c r="F81" s="229"/>
      <c r="G81" s="200" t="s">
        <v>1749</v>
      </c>
      <c r="H81" s="84"/>
      <c r="I81" s="229"/>
      <c r="J81" s="228" t="s">
        <v>222</v>
      </c>
      <c r="K81" s="228" t="s">
        <v>231</v>
      </c>
      <c r="L81" s="228" t="s">
        <v>1750</v>
      </c>
    </row>
    <row r="82" spans="1:12">
      <c r="A82" s="285"/>
      <c r="B82" s="228" t="s">
        <v>1751</v>
      </c>
      <c r="C82" s="228" t="s">
        <v>229</v>
      </c>
      <c r="D82" s="228" t="s">
        <v>1752</v>
      </c>
      <c r="E82" s="84" t="s">
        <v>422</v>
      </c>
      <c r="F82" s="229"/>
      <c r="G82" s="200" t="s">
        <v>1753</v>
      </c>
      <c r="H82" s="84"/>
      <c r="I82" s="229"/>
      <c r="J82" s="228" t="s">
        <v>222</v>
      </c>
      <c r="K82" s="228" t="s">
        <v>1754</v>
      </c>
      <c r="L82" s="228" t="s">
        <v>1755</v>
      </c>
    </row>
    <row r="83" spans="1:12">
      <c r="A83" s="285"/>
      <c r="B83" s="228" t="s">
        <v>1756</v>
      </c>
      <c r="C83" s="228" t="s">
        <v>229</v>
      </c>
      <c r="D83" s="228" t="s">
        <v>1757</v>
      </c>
      <c r="E83" s="84" t="s">
        <v>422</v>
      </c>
      <c r="F83" s="229"/>
      <c r="G83" s="200" t="s">
        <v>1758</v>
      </c>
      <c r="H83" s="84"/>
      <c r="I83" s="229"/>
      <c r="J83" s="228" t="s">
        <v>222</v>
      </c>
      <c r="K83" s="228" t="s">
        <v>231</v>
      </c>
      <c r="L83" s="228" t="s">
        <v>1759</v>
      </c>
    </row>
    <row r="84" spans="1:12">
      <c r="A84" s="285"/>
      <c r="B84" s="228" t="s">
        <v>1760</v>
      </c>
      <c r="C84" s="228" t="s">
        <v>229</v>
      </c>
      <c r="D84" s="228" t="s">
        <v>1761</v>
      </c>
      <c r="E84" s="84" t="s">
        <v>422</v>
      </c>
      <c r="F84" s="229"/>
      <c r="G84" s="200" t="s">
        <v>1762</v>
      </c>
      <c r="H84" s="84"/>
      <c r="I84" s="229"/>
      <c r="J84" s="228" t="s">
        <v>222</v>
      </c>
      <c r="K84" s="228" t="s">
        <v>231</v>
      </c>
      <c r="L84" s="228" t="s">
        <v>1763</v>
      </c>
    </row>
    <row r="85" spans="1:12">
      <c r="A85" s="285"/>
      <c r="B85" s="228" t="s">
        <v>1764</v>
      </c>
      <c r="C85" s="228" t="s">
        <v>229</v>
      </c>
      <c r="D85" s="228" t="s">
        <v>1765</v>
      </c>
      <c r="E85" s="84" t="s">
        <v>422</v>
      </c>
      <c r="F85" s="229"/>
      <c r="G85" s="200" t="s">
        <v>1766</v>
      </c>
      <c r="H85" s="84"/>
      <c r="I85" s="229"/>
      <c r="J85" s="228" t="s">
        <v>222</v>
      </c>
      <c r="K85" s="228" t="s">
        <v>231</v>
      </c>
      <c r="L85" s="228" t="s">
        <v>1767</v>
      </c>
    </row>
    <row r="86" spans="1:12">
      <c r="A86" s="285"/>
      <c r="B86" s="228" t="s">
        <v>1768</v>
      </c>
      <c r="C86" s="228" t="s">
        <v>229</v>
      </c>
      <c r="D86" s="228" t="s">
        <v>1769</v>
      </c>
      <c r="E86" s="84" t="s">
        <v>422</v>
      </c>
      <c r="F86" s="229"/>
      <c r="G86" s="200" t="s">
        <v>1770</v>
      </c>
      <c r="H86" s="84"/>
      <c r="I86" s="229"/>
      <c r="J86" s="228" t="s">
        <v>222</v>
      </c>
      <c r="K86" s="228" t="s">
        <v>231</v>
      </c>
      <c r="L86" s="228" t="s">
        <v>1771</v>
      </c>
    </row>
    <row r="87" spans="1:12">
      <c r="A87" s="285"/>
      <c r="B87" s="228" t="s">
        <v>1772</v>
      </c>
      <c r="C87" s="228" t="s">
        <v>229</v>
      </c>
      <c r="D87" s="228" t="s">
        <v>1773</v>
      </c>
      <c r="E87" s="84" t="s">
        <v>422</v>
      </c>
      <c r="F87" s="229"/>
      <c r="G87" s="200" t="s">
        <v>1774</v>
      </c>
      <c r="H87" s="84"/>
      <c r="I87" s="229"/>
      <c r="J87" s="228" t="s">
        <v>222</v>
      </c>
      <c r="K87" s="228" t="s">
        <v>231</v>
      </c>
      <c r="L87" s="228" t="s">
        <v>1775</v>
      </c>
    </row>
    <row r="88" spans="1:12">
      <c r="A88" s="285"/>
      <c r="B88" s="228" t="s">
        <v>1776</v>
      </c>
      <c r="C88" s="228" t="s">
        <v>229</v>
      </c>
      <c r="D88" s="228" t="s">
        <v>1777</v>
      </c>
      <c r="E88" s="84" t="s">
        <v>422</v>
      </c>
      <c r="F88" s="229"/>
      <c r="G88" s="200" t="s">
        <v>1778</v>
      </c>
      <c r="H88" s="84"/>
      <c r="I88" s="229"/>
      <c r="J88" s="228" t="s">
        <v>222</v>
      </c>
      <c r="K88" s="228" t="s">
        <v>231</v>
      </c>
      <c r="L88" s="228" t="s">
        <v>1779</v>
      </c>
    </row>
    <row r="89" spans="1:12">
      <c r="A89" s="285"/>
      <c r="B89" s="228" t="s">
        <v>1780</v>
      </c>
      <c r="C89" s="228" t="s">
        <v>229</v>
      </c>
      <c r="D89" s="228" t="s">
        <v>1781</v>
      </c>
      <c r="E89" s="84" t="s">
        <v>422</v>
      </c>
      <c r="F89" s="229"/>
      <c r="G89" s="200" t="s">
        <v>1782</v>
      </c>
      <c r="H89" s="84"/>
      <c r="I89" s="229"/>
      <c r="J89" s="228" t="s">
        <v>222</v>
      </c>
      <c r="K89" s="228" t="s">
        <v>231</v>
      </c>
      <c r="L89" s="228" t="s">
        <v>1783</v>
      </c>
    </row>
    <row r="90" spans="1:12">
      <c r="A90" s="285"/>
      <c r="B90" s="228" t="s">
        <v>1784</v>
      </c>
      <c r="C90" s="228" t="s">
        <v>229</v>
      </c>
      <c r="D90" s="228" t="s">
        <v>1785</v>
      </c>
      <c r="E90" s="84" t="s">
        <v>422</v>
      </c>
      <c r="F90" s="229"/>
      <c r="G90" s="200" t="s">
        <v>1786</v>
      </c>
      <c r="H90" s="84"/>
      <c r="I90" s="229"/>
      <c r="J90" s="228" t="s">
        <v>222</v>
      </c>
      <c r="K90" s="228" t="s">
        <v>231</v>
      </c>
      <c r="L90" s="228" t="s">
        <v>1787</v>
      </c>
    </row>
    <row r="91" spans="1:12">
      <c r="A91" s="285"/>
      <c r="B91" s="228" t="s">
        <v>1788</v>
      </c>
      <c r="C91" s="228" t="s">
        <v>229</v>
      </c>
      <c r="D91" s="228" t="s">
        <v>1789</v>
      </c>
      <c r="E91" s="84" t="s">
        <v>422</v>
      </c>
      <c r="F91" s="229"/>
      <c r="G91" s="200" t="s">
        <v>1790</v>
      </c>
      <c r="H91" s="84"/>
      <c r="I91" s="229"/>
      <c r="J91" s="228" t="s">
        <v>222</v>
      </c>
      <c r="K91" s="228" t="s">
        <v>231</v>
      </c>
      <c r="L91" s="228" t="s">
        <v>1791</v>
      </c>
    </row>
    <row r="92" spans="1:12">
      <c r="A92" s="285"/>
      <c r="B92" s="228" t="s">
        <v>1792</v>
      </c>
      <c r="C92" s="228" t="s">
        <v>229</v>
      </c>
      <c r="D92" s="228" t="s">
        <v>1793</v>
      </c>
      <c r="E92" s="84" t="s">
        <v>422</v>
      </c>
      <c r="F92" s="229"/>
      <c r="G92" s="200" t="s">
        <v>1794</v>
      </c>
      <c r="H92" s="84"/>
      <c r="I92" s="229"/>
      <c r="J92" s="228" t="s">
        <v>222</v>
      </c>
      <c r="K92" s="228" t="s">
        <v>231</v>
      </c>
      <c r="L92" s="228" t="s">
        <v>1795</v>
      </c>
    </row>
    <row r="93" spans="1:12">
      <c r="A93" s="285"/>
      <c r="B93" s="228" t="s">
        <v>1796</v>
      </c>
      <c r="C93" s="228" t="s">
        <v>229</v>
      </c>
      <c r="D93" s="228" t="s">
        <v>1797</v>
      </c>
      <c r="E93" s="84" t="s">
        <v>422</v>
      </c>
      <c r="F93" s="229"/>
      <c r="G93" s="200" t="s">
        <v>957</v>
      </c>
      <c r="H93" s="84"/>
      <c r="I93" s="229"/>
      <c r="J93" s="228" t="s">
        <v>222</v>
      </c>
      <c r="K93" s="228" t="s">
        <v>231</v>
      </c>
      <c r="L93" s="228" t="s">
        <v>1746</v>
      </c>
    </row>
    <row r="94" spans="1:12">
      <c r="A94" s="285"/>
      <c r="B94" s="228" t="s">
        <v>1798</v>
      </c>
      <c r="C94" s="228" t="s">
        <v>229</v>
      </c>
      <c r="D94" s="228" t="s">
        <v>1799</v>
      </c>
      <c r="E94" s="84" t="s">
        <v>422</v>
      </c>
      <c r="F94" s="229"/>
      <c r="G94" s="200" t="s">
        <v>1800</v>
      </c>
      <c r="H94" s="84"/>
      <c r="I94" s="229"/>
      <c r="J94" s="228" t="s">
        <v>222</v>
      </c>
      <c r="K94" s="228" t="s">
        <v>231</v>
      </c>
      <c r="L94" s="228" t="s">
        <v>1801</v>
      </c>
    </row>
    <row r="95" spans="1:12">
      <c r="A95" s="285"/>
      <c r="B95" s="228" t="s">
        <v>1802</v>
      </c>
      <c r="C95" s="228" t="s">
        <v>229</v>
      </c>
      <c r="D95" s="228" t="s">
        <v>1803</v>
      </c>
      <c r="E95" s="84" t="s">
        <v>422</v>
      </c>
      <c r="F95" s="229"/>
      <c r="G95" s="200" t="s">
        <v>963</v>
      </c>
      <c r="H95" s="84"/>
      <c r="I95" s="229"/>
      <c r="J95" s="228" t="s">
        <v>222</v>
      </c>
      <c r="K95" s="228" t="s">
        <v>1754</v>
      </c>
      <c r="L95" s="228" t="s">
        <v>1804</v>
      </c>
    </row>
    <row r="96" spans="1:12">
      <c r="A96" s="285"/>
      <c r="B96" s="228" t="s">
        <v>1805</v>
      </c>
      <c r="C96" s="228" t="s">
        <v>229</v>
      </c>
      <c r="D96" s="228" t="s">
        <v>1806</v>
      </c>
      <c r="E96" s="84" t="s">
        <v>422</v>
      </c>
      <c r="F96" s="229"/>
      <c r="G96" s="200" t="s">
        <v>1807</v>
      </c>
      <c r="H96" s="84"/>
      <c r="I96" s="229"/>
      <c r="J96" s="228" t="s">
        <v>222</v>
      </c>
      <c r="K96" s="228" t="s">
        <v>231</v>
      </c>
      <c r="L96" s="228" t="s">
        <v>1808</v>
      </c>
    </row>
    <row r="97" spans="1:12">
      <c r="A97" s="285"/>
      <c r="B97" s="228" t="s">
        <v>1809</v>
      </c>
      <c r="C97" s="228" t="s">
        <v>229</v>
      </c>
      <c r="D97" s="228" t="s">
        <v>1810</v>
      </c>
      <c r="E97" s="84" t="s">
        <v>422</v>
      </c>
      <c r="F97" s="229"/>
      <c r="G97" s="200" t="s">
        <v>987</v>
      </c>
      <c r="H97" s="84"/>
      <c r="I97" s="229"/>
      <c r="J97" s="228" t="s">
        <v>222</v>
      </c>
      <c r="K97" s="228" t="s">
        <v>1754</v>
      </c>
      <c r="L97" s="228" t="s">
        <v>1811</v>
      </c>
    </row>
    <row r="98" spans="1:12">
      <c r="A98" s="285"/>
      <c r="B98" s="228" t="s">
        <v>1812</v>
      </c>
      <c r="C98" s="228" t="s">
        <v>229</v>
      </c>
      <c r="D98" s="228" t="s">
        <v>1813</v>
      </c>
      <c r="E98" s="84" t="s">
        <v>422</v>
      </c>
      <c r="F98" s="229"/>
      <c r="G98" s="200" t="s">
        <v>1814</v>
      </c>
      <c r="H98" s="84"/>
      <c r="I98" s="229"/>
      <c r="J98" s="228" t="s">
        <v>222</v>
      </c>
      <c r="K98" s="228" t="s">
        <v>231</v>
      </c>
      <c r="L98" s="228" t="s">
        <v>1815</v>
      </c>
    </row>
    <row r="99" spans="1:12">
      <c r="A99" s="285"/>
      <c r="B99" s="228" t="s">
        <v>1816</v>
      </c>
      <c r="C99" s="228" t="s">
        <v>229</v>
      </c>
      <c r="D99" s="228" t="s">
        <v>1817</v>
      </c>
      <c r="E99" s="84" t="s">
        <v>422</v>
      </c>
      <c r="F99" s="229"/>
      <c r="G99" s="200" t="s">
        <v>1818</v>
      </c>
      <c r="H99" s="84"/>
      <c r="I99" s="229"/>
      <c r="J99" s="228" t="s">
        <v>222</v>
      </c>
      <c r="K99" s="228" t="s">
        <v>868</v>
      </c>
      <c r="L99" s="228" t="s">
        <v>1819</v>
      </c>
    </row>
    <row r="100" spans="1:12">
      <c r="A100" s="285"/>
      <c r="B100" s="228" t="s">
        <v>1820</v>
      </c>
      <c r="C100" s="228" t="s">
        <v>229</v>
      </c>
      <c r="D100" s="228" t="s">
        <v>1821</v>
      </c>
      <c r="E100" s="84" t="s">
        <v>422</v>
      </c>
      <c r="F100" s="229"/>
      <c r="G100" s="200" t="s">
        <v>1822</v>
      </c>
      <c r="H100" s="84"/>
      <c r="I100" s="229"/>
      <c r="J100" s="228" t="s">
        <v>222</v>
      </c>
      <c r="K100" s="228" t="s">
        <v>231</v>
      </c>
      <c r="L100" s="228" t="s">
        <v>1823</v>
      </c>
    </row>
    <row r="101" spans="1:12">
      <c r="A101" s="285"/>
      <c r="B101" s="228" t="s">
        <v>1824</v>
      </c>
      <c r="C101" s="228" t="s">
        <v>229</v>
      </c>
      <c r="D101" s="228" t="s">
        <v>1825</v>
      </c>
      <c r="E101" s="84" t="s">
        <v>422</v>
      </c>
      <c r="F101" s="229"/>
      <c r="G101" s="200" t="s">
        <v>771</v>
      </c>
      <c r="H101" s="84"/>
      <c r="I101" s="229"/>
      <c r="J101" s="228" t="s">
        <v>222</v>
      </c>
      <c r="K101" s="228" t="s">
        <v>231</v>
      </c>
      <c r="L101" s="228" t="s">
        <v>1826</v>
      </c>
    </row>
    <row r="102" spans="1:12">
      <c r="A102" s="285"/>
      <c r="B102" s="228" t="s">
        <v>1827</v>
      </c>
      <c r="C102" s="228" t="s">
        <v>229</v>
      </c>
      <c r="D102" s="228" t="s">
        <v>1828</v>
      </c>
      <c r="E102" s="84" t="s">
        <v>422</v>
      </c>
      <c r="F102" s="229"/>
      <c r="G102" s="200" t="s">
        <v>1829</v>
      </c>
      <c r="H102" s="84"/>
      <c r="I102" s="229"/>
      <c r="J102" s="228" t="s">
        <v>222</v>
      </c>
      <c r="K102" s="228" t="s">
        <v>868</v>
      </c>
      <c r="L102" s="228" t="s">
        <v>1830</v>
      </c>
    </row>
    <row r="103" spans="1:12">
      <c r="A103" s="285"/>
      <c r="B103" s="228" t="s">
        <v>1831</v>
      </c>
      <c r="C103" s="228" t="s">
        <v>229</v>
      </c>
      <c r="D103" s="228" t="s">
        <v>1832</v>
      </c>
      <c r="E103" s="84" t="s">
        <v>422</v>
      </c>
      <c r="F103" s="229"/>
      <c r="G103" s="200" t="s">
        <v>1833</v>
      </c>
      <c r="H103" s="84"/>
      <c r="I103" s="229"/>
      <c r="J103" s="228" t="s">
        <v>222</v>
      </c>
      <c r="K103" s="228" t="s">
        <v>231</v>
      </c>
      <c r="L103" s="228" t="s">
        <v>1834</v>
      </c>
    </row>
    <row r="104" spans="1:12">
      <c r="A104" s="285"/>
      <c r="B104" s="228" t="s">
        <v>1835</v>
      </c>
      <c r="C104" s="228" t="s">
        <v>229</v>
      </c>
      <c r="D104" s="228" t="s">
        <v>1836</v>
      </c>
      <c r="E104" s="84" t="s">
        <v>422</v>
      </c>
      <c r="F104" s="229"/>
      <c r="G104" s="200" t="s">
        <v>780</v>
      </c>
      <c r="H104" s="84"/>
      <c r="I104" s="229"/>
      <c r="J104" s="228" t="s">
        <v>222</v>
      </c>
      <c r="K104" s="228" t="s">
        <v>231</v>
      </c>
      <c r="L104" s="228" t="s">
        <v>1837</v>
      </c>
    </row>
    <row r="105" spans="1:12">
      <c r="A105" s="285"/>
      <c r="B105" s="228" t="s">
        <v>1838</v>
      </c>
      <c r="C105" s="228" t="s">
        <v>229</v>
      </c>
      <c r="D105" s="228" t="s">
        <v>1839</v>
      </c>
      <c r="E105" s="84" t="s">
        <v>422</v>
      </c>
      <c r="F105" s="229"/>
      <c r="G105" s="200" t="s">
        <v>1902</v>
      </c>
      <c r="H105" s="84"/>
      <c r="I105" s="229"/>
      <c r="J105" s="228" t="s">
        <v>222</v>
      </c>
      <c r="K105" s="228" t="s">
        <v>231</v>
      </c>
      <c r="L105" s="228" t="s">
        <v>1552</v>
      </c>
    </row>
    <row r="106" spans="1:12">
      <c r="A106" s="285"/>
      <c r="B106" s="228" t="s">
        <v>1841</v>
      </c>
      <c r="C106" s="228" t="s">
        <v>229</v>
      </c>
      <c r="D106" s="228" t="s">
        <v>1842</v>
      </c>
      <c r="E106" s="84" t="s">
        <v>422</v>
      </c>
      <c r="F106" s="229"/>
      <c r="G106" s="200" t="s">
        <v>1969</v>
      </c>
      <c r="H106" s="84"/>
      <c r="I106" s="229"/>
      <c r="J106" s="228" t="s">
        <v>222</v>
      </c>
      <c r="K106" s="228" t="s">
        <v>1754</v>
      </c>
      <c r="L106" s="228" t="s">
        <v>1844</v>
      </c>
    </row>
    <row r="107" spans="1:12">
      <c r="A107" s="285"/>
      <c r="B107" s="228" t="s">
        <v>1845</v>
      </c>
      <c r="C107" s="228" t="s">
        <v>229</v>
      </c>
      <c r="D107" s="228" t="s">
        <v>1846</v>
      </c>
      <c r="E107" s="84" t="s">
        <v>422</v>
      </c>
      <c r="F107" s="229"/>
      <c r="G107" s="200" t="s">
        <v>1500</v>
      </c>
      <c r="H107" s="84"/>
      <c r="I107" s="229"/>
      <c r="J107" s="228" t="s">
        <v>222</v>
      </c>
      <c r="K107" s="228" t="s">
        <v>231</v>
      </c>
      <c r="L107" s="228" t="s">
        <v>1646</v>
      </c>
    </row>
    <row r="108" spans="1:12">
      <c r="A108" s="285"/>
      <c r="B108" s="241" t="s">
        <v>1504</v>
      </c>
      <c r="C108" s="248" t="s">
        <v>229</v>
      </c>
      <c r="D108" s="243" t="s">
        <v>1847</v>
      </c>
      <c r="E108" s="234" t="s">
        <v>422</v>
      </c>
      <c r="F108" s="246"/>
      <c r="G108" s="243" t="s">
        <v>1506</v>
      </c>
      <c r="H108" s="234"/>
      <c r="I108" s="234"/>
      <c r="J108" s="234"/>
      <c r="K108" s="248" t="s">
        <v>231</v>
      </c>
      <c r="L108" s="239"/>
    </row>
    <row r="109" spans="1:12">
      <c r="A109" s="285"/>
      <c r="B109" s="241" t="s">
        <v>1848</v>
      </c>
      <c r="C109" s="248" t="s">
        <v>229</v>
      </c>
      <c r="D109" s="243" t="s">
        <v>1849</v>
      </c>
      <c r="E109" s="234" t="s">
        <v>422</v>
      </c>
      <c r="F109" s="121"/>
      <c r="G109" s="172" t="s">
        <v>1510</v>
      </c>
      <c r="H109" s="234"/>
      <c r="I109" s="234"/>
      <c r="J109" s="234"/>
      <c r="K109" s="248" t="s">
        <v>231</v>
      </c>
      <c r="L109" s="239"/>
    </row>
    <row r="110" spans="1:12">
      <c r="A110" s="285"/>
      <c r="B110" s="241" t="s">
        <v>1850</v>
      </c>
      <c r="C110" s="248" t="s">
        <v>229</v>
      </c>
      <c r="D110" s="243" t="s">
        <v>1851</v>
      </c>
      <c r="E110" s="234" t="s">
        <v>422</v>
      </c>
      <c r="F110" s="121"/>
      <c r="G110" s="172" t="s">
        <v>1513</v>
      </c>
      <c r="H110" s="234"/>
      <c r="I110" s="234"/>
      <c r="J110" s="234"/>
      <c r="K110" s="248" t="s">
        <v>231</v>
      </c>
      <c r="L110" s="239"/>
    </row>
    <row r="111" spans="1:12">
      <c r="A111" s="285"/>
      <c r="B111" s="241" t="s">
        <v>1852</v>
      </c>
      <c r="C111" s="248" t="s">
        <v>229</v>
      </c>
      <c r="D111" s="243" t="s">
        <v>1853</v>
      </c>
      <c r="E111" s="234" t="s">
        <v>422</v>
      </c>
      <c r="F111" s="121"/>
      <c r="G111" s="172" t="s">
        <v>1516</v>
      </c>
      <c r="H111" s="234"/>
      <c r="I111" s="234"/>
      <c r="J111" s="234"/>
      <c r="K111" s="248" t="s">
        <v>231</v>
      </c>
      <c r="L111" s="239"/>
    </row>
    <row r="112" spans="1:12">
      <c r="A112" s="285"/>
      <c r="B112" s="241" t="s">
        <v>1854</v>
      </c>
      <c r="C112" s="248" t="s">
        <v>229</v>
      </c>
      <c r="D112" s="243" t="s">
        <v>1855</v>
      </c>
      <c r="E112" s="234" t="s">
        <v>422</v>
      </c>
      <c r="F112" s="101"/>
      <c r="G112" s="221" t="s">
        <v>1519</v>
      </c>
      <c r="H112" s="234"/>
      <c r="I112" s="234"/>
      <c r="J112" s="234"/>
      <c r="K112" s="248" t="s">
        <v>231</v>
      </c>
      <c r="L112" s="239"/>
    </row>
    <row r="113" spans="1:12">
      <c r="A113" s="285"/>
      <c r="B113" s="241" t="s">
        <v>1856</v>
      </c>
      <c r="C113" s="248" t="s">
        <v>229</v>
      </c>
      <c r="D113" s="243" t="s">
        <v>1857</v>
      </c>
      <c r="E113" s="234" t="s">
        <v>422</v>
      </c>
      <c r="F113" s="101"/>
      <c r="G113" s="221" t="s">
        <v>1522</v>
      </c>
      <c r="H113" s="234"/>
      <c r="I113" s="234"/>
      <c r="J113" s="234"/>
      <c r="K113" s="248" t="s">
        <v>231</v>
      </c>
      <c r="L113" s="239"/>
    </row>
    <row r="114" spans="1:12">
      <c r="A114" s="285"/>
      <c r="B114" s="200" t="s">
        <v>1523</v>
      </c>
      <c r="C114" s="200" t="s">
        <v>229</v>
      </c>
      <c r="D114" s="200" t="s">
        <v>1524</v>
      </c>
      <c r="E114" s="241" t="s">
        <v>422</v>
      </c>
      <c r="F114" s="229"/>
      <c r="G114" s="200" t="s">
        <v>1525</v>
      </c>
      <c r="H114" s="241"/>
      <c r="I114" s="241"/>
      <c r="J114" s="241"/>
      <c r="K114" s="241"/>
      <c r="L114" s="241"/>
    </row>
    <row r="115" spans="1:12">
      <c r="A115" s="285"/>
      <c r="B115" s="234" t="s">
        <v>1858</v>
      </c>
      <c r="C115" s="248" t="s">
        <v>229</v>
      </c>
      <c r="D115" s="234" t="s">
        <v>618</v>
      </c>
      <c r="E115" s="234" t="s">
        <v>422</v>
      </c>
      <c r="F115" s="229"/>
      <c r="G115" s="200" t="s">
        <v>831</v>
      </c>
      <c r="H115" s="234"/>
      <c r="I115" s="234"/>
      <c r="J115" s="234"/>
      <c r="K115" s="248" t="s">
        <v>231</v>
      </c>
      <c r="L115" s="239"/>
    </row>
    <row r="116" spans="1:12">
      <c r="A116" s="285"/>
      <c r="B116" s="228" t="s">
        <v>239</v>
      </c>
      <c r="C116" s="228" t="s">
        <v>170</v>
      </c>
      <c r="D116" s="228" t="s">
        <v>240</v>
      </c>
      <c r="E116" s="84"/>
      <c r="F116" s="201"/>
      <c r="G116" s="201"/>
      <c r="H116" s="84"/>
      <c r="I116" s="84"/>
      <c r="J116" s="84"/>
      <c r="K116" s="228" t="s">
        <v>749</v>
      </c>
      <c r="L116" s="228" t="s">
        <v>1544</v>
      </c>
    </row>
    <row r="117" spans="1:12">
      <c r="A117" s="285"/>
      <c r="B117" s="228" t="s">
        <v>177</v>
      </c>
      <c r="C117" s="228" t="s">
        <v>175</v>
      </c>
      <c r="D117" s="228" t="s">
        <v>599</v>
      </c>
      <c r="E117" s="84"/>
      <c r="F117" s="201"/>
      <c r="G117" s="201"/>
      <c r="H117" s="84"/>
      <c r="I117" s="84"/>
      <c r="J117" s="84"/>
      <c r="K117" s="228" t="s">
        <v>749</v>
      </c>
      <c r="L117" s="228" t="s">
        <v>749</v>
      </c>
    </row>
    <row r="118" spans="1:12">
      <c r="A118" s="285"/>
      <c r="B118" s="228" t="s">
        <v>693</v>
      </c>
      <c r="C118" s="228" t="s">
        <v>170</v>
      </c>
      <c r="D118" s="228" t="s">
        <v>1859</v>
      </c>
      <c r="E118" s="84"/>
      <c r="F118" s="201"/>
      <c r="G118" s="201"/>
      <c r="H118" s="84"/>
      <c r="I118" s="84"/>
      <c r="J118" s="84"/>
      <c r="K118" s="228" t="s">
        <v>749</v>
      </c>
      <c r="L118" s="228" t="s">
        <v>1860</v>
      </c>
    </row>
    <row r="119" s="209" customFormat="1" spans="2:12">
      <c r="B119" s="229" t="s">
        <v>696</v>
      </c>
      <c r="C119" s="229" t="s">
        <v>170</v>
      </c>
      <c r="D119" s="229" t="s">
        <v>1534</v>
      </c>
      <c r="E119" s="201"/>
      <c r="F119" s="201"/>
      <c r="G119" s="201"/>
      <c r="H119" s="201"/>
      <c r="I119" s="201"/>
      <c r="J119" s="201"/>
      <c r="K119" s="229"/>
      <c r="L119" s="229"/>
    </row>
    <row r="120" spans="1:1">
      <c r="A120" s="285"/>
    </row>
    <row r="121" spans="1:1">
      <c r="A121" s="285"/>
    </row>
    <row r="122" spans="1:1">
      <c r="A122" s="285"/>
    </row>
    <row r="123" spans="1:1">
      <c r="A123" s="285"/>
    </row>
    <row r="124" spans="1:1">
      <c r="A124" s="285"/>
    </row>
    <row r="125" spans="1:1">
      <c r="A125" s="285"/>
    </row>
    <row r="126" spans="1:1">
      <c r="A126" s="285"/>
    </row>
    <row r="127" spans="1:1">
      <c r="A127" s="285"/>
    </row>
    <row r="128" spans="1:1">
      <c r="A128" s="285"/>
    </row>
    <row r="129" spans="1:1">
      <c r="A129" s="285"/>
    </row>
    <row r="130" spans="1:1">
      <c r="A130" s="285"/>
    </row>
    <row r="131" spans="1:1">
      <c r="A131" s="285"/>
    </row>
    <row r="132" spans="1:1">
      <c r="A132" s="285"/>
    </row>
    <row r="133" spans="1:1">
      <c r="A133" s="285"/>
    </row>
    <row r="134" spans="1:1">
      <c r="A134" s="285"/>
    </row>
    <row r="135" spans="1:1">
      <c r="A135" s="285"/>
    </row>
    <row r="136" spans="1:1">
      <c r="A136" s="285"/>
    </row>
    <row r="137" spans="1:1">
      <c r="A137" s="285"/>
    </row>
    <row r="138" spans="1:1">
      <c r="A138" s="285"/>
    </row>
    <row r="139" spans="1:1">
      <c r="A139" s="285"/>
    </row>
    <row r="140" spans="1:1">
      <c r="A140" s="285"/>
    </row>
    <row r="141" spans="1:1">
      <c r="A141" s="285"/>
    </row>
    <row r="142" spans="1:1">
      <c r="A142" s="285"/>
    </row>
    <row r="143" spans="1:1">
      <c r="A143" s="285"/>
    </row>
    <row r="144" spans="1:1">
      <c r="A144" s="285"/>
    </row>
    <row r="145" spans="1:1">
      <c r="A145" s="285"/>
    </row>
    <row r="146" spans="1:1">
      <c r="A146" s="285"/>
    </row>
    <row r="147" spans="1:1">
      <c r="A147" s="285"/>
    </row>
    <row r="148" spans="1:1">
      <c r="A148" s="285"/>
    </row>
    <row r="149" spans="1:1">
      <c r="A149" s="285"/>
    </row>
    <row r="150" spans="1:1">
      <c r="A150" s="285"/>
    </row>
    <row r="151" spans="1:1">
      <c r="A151" s="285"/>
    </row>
    <row r="152" spans="1:1">
      <c r="A152" s="285"/>
    </row>
    <row r="153" spans="1:1">
      <c r="A153" s="285"/>
    </row>
    <row r="154" spans="1:1">
      <c r="A154" s="285"/>
    </row>
    <row r="155" spans="1:1">
      <c r="A155" s="285"/>
    </row>
    <row r="156" spans="1:1">
      <c r="A156" s="285"/>
    </row>
    <row r="157" spans="1:1">
      <c r="A157" s="285"/>
    </row>
    <row r="158" spans="1:1">
      <c r="A158" s="285"/>
    </row>
    <row r="159" spans="1:1">
      <c r="A159" s="285"/>
    </row>
    <row r="160" spans="1:1">
      <c r="A160" s="285"/>
    </row>
    <row r="161" spans="1:1">
      <c r="A161" s="285"/>
    </row>
    <row r="162" spans="1:1">
      <c r="A162" s="285"/>
    </row>
    <row r="163" spans="1:1">
      <c r="A163" s="285"/>
    </row>
    <row r="164" spans="1:1">
      <c r="A164" s="285"/>
    </row>
    <row r="165" spans="1:1">
      <c r="A165" s="285"/>
    </row>
    <row r="166" spans="1:1">
      <c r="A166" s="285"/>
    </row>
    <row r="167" spans="1:1">
      <c r="A167" s="285"/>
    </row>
    <row r="168" spans="1:1">
      <c r="A168" s="285"/>
    </row>
    <row r="169" spans="1:1">
      <c r="A169" s="285"/>
    </row>
    <row r="170" spans="1:1">
      <c r="A170" s="285"/>
    </row>
    <row r="171" spans="1:1">
      <c r="A171" s="285"/>
    </row>
    <row r="172" spans="1:1">
      <c r="A172" s="285"/>
    </row>
    <row r="173" spans="1:1">
      <c r="A173" s="285"/>
    </row>
    <row r="174" spans="1:1">
      <c r="A174" s="285"/>
    </row>
    <row r="175" spans="1:1">
      <c r="A175" s="285"/>
    </row>
    <row r="176" spans="1:1">
      <c r="A176" s="285"/>
    </row>
    <row r="177" spans="1:1">
      <c r="A177" s="285"/>
    </row>
    <row r="178" spans="1:1">
      <c r="A178" s="285"/>
    </row>
    <row r="179" spans="1:1">
      <c r="A179" s="285"/>
    </row>
    <row r="180" spans="1:1">
      <c r="A180" s="285"/>
    </row>
    <row r="181" spans="1:1">
      <c r="A181" s="285"/>
    </row>
    <row r="182" spans="1:1">
      <c r="A182" s="285"/>
    </row>
    <row r="183" spans="1:1">
      <c r="A183" s="285"/>
    </row>
    <row r="184" spans="1:1">
      <c r="A184" s="285"/>
    </row>
    <row r="185" spans="1:1">
      <c r="A185" s="285"/>
    </row>
    <row r="186" spans="1:1">
      <c r="A186" s="285"/>
    </row>
    <row r="187" spans="1:1">
      <c r="A187" s="285"/>
    </row>
    <row r="188" spans="1:1">
      <c r="A188" s="285"/>
    </row>
    <row r="189" spans="1:1">
      <c r="A189" s="285"/>
    </row>
    <row r="190" spans="1:1">
      <c r="A190" s="285"/>
    </row>
    <row r="191" spans="1:1">
      <c r="A191" s="285"/>
    </row>
    <row r="192" spans="1:1">
      <c r="A192" s="285"/>
    </row>
    <row r="193" spans="1:1">
      <c r="A193" s="285"/>
    </row>
    <row r="194" spans="1:1">
      <c r="A194" s="285"/>
    </row>
    <row r="195" spans="1:1">
      <c r="A195" s="285"/>
    </row>
    <row r="196" spans="1:1">
      <c r="A196" s="285"/>
    </row>
    <row r="197" spans="1:1">
      <c r="A197" s="285"/>
    </row>
    <row r="198" spans="1:1">
      <c r="A198" s="285"/>
    </row>
    <row r="199" spans="1:1">
      <c r="A199" s="285"/>
    </row>
    <row r="200" spans="1:1">
      <c r="A200" s="285"/>
    </row>
    <row r="201" spans="1:1">
      <c r="A201" s="285"/>
    </row>
    <row r="202" spans="1:1">
      <c r="A202" s="285"/>
    </row>
    <row r="203" spans="1:1">
      <c r="A203" s="285"/>
    </row>
    <row r="204" spans="1:1">
      <c r="A204" s="285"/>
    </row>
    <row r="205" spans="1:1">
      <c r="A205" s="285"/>
    </row>
    <row r="206" spans="1:1">
      <c r="A206" s="285"/>
    </row>
    <row r="207" spans="1:1">
      <c r="A207" s="285"/>
    </row>
    <row r="208" spans="1:1">
      <c r="A208" s="285"/>
    </row>
    <row r="209" spans="1:1">
      <c r="A209" s="285"/>
    </row>
    <row r="210" spans="1:1">
      <c r="A210" s="285"/>
    </row>
    <row r="211" spans="1:1">
      <c r="A211" s="285"/>
    </row>
    <row r="212" spans="1:1">
      <c r="A212" s="285"/>
    </row>
    <row r="213" spans="1:1">
      <c r="A213" s="285"/>
    </row>
    <row r="214" spans="1:1">
      <c r="A214" s="285"/>
    </row>
    <row r="215" spans="1:1">
      <c r="A215" s="285"/>
    </row>
    <row r="216" spans="1:1">
      <c r="A216" s="285"/>
    </row>
    <row r="217" spans="1:1">
      <c r="A217" s="285"/>
    </row>
    <row r="218" spans="1:1">
      <c r="A218" s="285"/>
    </row>
    <row r="219" spans="1:1">
      <c r="A219" s="285"/>
    </row>
    <row r="220" spans="1:1">
      <c r="A220" s="285"/>
    </row>
    <row r="221" spans="1:1">
      <c r="A221" s="285"/>
    </row>
    <row r="222" spans="1:1">
      <c r="A222" s="285"/>
    </row>
    <row r="223" spans="1:1">
      <c r="A223" s="285"/>
    </row>
    <row r="224" spans="1:1">
      <c r="A224" s="285"/>
    </row>
    <row r="225" spans="1:1">
      <c r="A225" s="285"/>
    </row>
    <row r="226" spans="1:1">
      <c r="A226" s="285"/>
    </row>
    <row r="227" spans="1:1">
      <c r="A227" s="285"/>
    </row>
    <row r="228" spans="1:1">
      <c r="A228" s="285"/>
    </row>
    <row r="229" spans="1:1">
      <c r="A229" s="285"/>
    </row>
    <row r="230" spans="1:1">
      <c r="A230" s="285"/>
    </row>
    <row r="231" spans="1:1">
      <c r="A231" s="285"/>
    </row>
    <row r="232" spans="1:1">
      <c r="A232" s="285"/>
    </row>
    <row r="233" spans="1:1">
      <c r="A233" s="285"/>
    </row>
    <row r="234" spans="1:1">
      <c r="A234" s="285"/>
    </row>
    <row r="235" spans="1:1">
      <c r="A235" s="285"/>
    </row>
    <row r="236" spans="1:1">
      <c r="A236" s="285"/>
    </row>
    <row r="237" spans="1:1">
      <c r="A237" s="285"/>
    </row>
    <row r="238" spans="1:1">
      <c r="A238" s="285"/>
    </row>
    <row r="239" spans="1:1">
      <c r="A239" s="285"/>
    </row>
    <row r="240" spans="1:1">
      <c r="A240" s="285"/>
    </row>
    <row r="241" spans="1:1">
      <c r="A241" s="285"/>
    </row>
    <row r="242" spans="1:1">
      <c r="A242" s="285"/>
    </row>
    <row r="243" spans="1:1">
      <c r="A243" s="285"/>
    </row>
    <row r="244" spans="1:1">
      <c r="A244" s="285"/>
    </row>
    <row r="245" spans="1:1">
      <c r="A245" s="285"/>
    </row>
    <row r="246" spans="1:1">
      <c r="A246" s="285"/>
    </row>
    <row r="247" spans="1:1">
      <c r="A247" s="285"/>
    </row>
  </sheetData>
  <mergeCells count="3">
    <mergeCell ref="B2:H2"/>
    <mergeCell ref="B6:H6"/>
    <mergeCell ref="B11:L11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220"/>
  <sheetViews>
    <sheetView workbookViewId="0">
      <selection activeCell="J27" sqref="J27"/>
    </sheetView>
  </sheetViews>
  <sheetFormatPr defaultColWidth="9" defaultRowHeight="15.6"/>
  <cols>
    <col min="1" max="1" width="11.8796296296296" style="191" customWidth="1"/>
    <col min="2" max="2" width="32" style="191" customWidth="1"/>
    <col min="3" max="3" width="20.3796296296296" style="191" customWidth="1"/>
    <col min="4" max="4" width="20.5" style="209" customWidth="1"/>
    <col min="5" max="5" width="16.25" style="191" customWidth="1"/>
    <col min="6" max="6" width="26.25" style="209" customWidth="1"/>
    <col min="7" max="7" width="36.75" style="209" customWidth="1"/>
    <col min="8" max="8" width="12" style="191" customWidth="1"/>
    <col min="9" max="9" width="10.8796296296296" style="191" customWidth="1"/>
    <col min="10" max="10" width="12.5" style="191" customWidth="1"/>
    <col min="11" max="11" width="14.1296296296296" style="191" customWidth="1"/>
    <col min="12" max="12" width="12.3796296296296" style="192" customWidth="1"/>
    <col min="13" max="16384" width="9" style="192"/>
  </cols>
  <sheetData>
    <row r="1" spans="2:8">
      <c r="B1" s="193" t="str">
        <f>HYPERLINK("#"&amp;"导航应用"&amp;"!B1","返回")</f>
        <v>返回</v>
      </c>
      <c r="C1" s="194"/>
      <c r="D1" s="271"/>
      <c r="E1" s="194"/>
      <c r="F1" s="271"/>
      <c r="G1" s="271"/>
      <c r="H1" s="194"/>
    </row>
    <row r="2" ht="17.4" spans="2:8">
      <c r="B2" s="195" t="s">
        <v>132</v>
      </c>
      <c r="C2" s="195"/>
      <c r="D2" s="195"/>
      <c r="E2" s="195"/>
      <c r="F2" s="195"/>
      <c r="G2" s="272"/>
      <c r="H2" s="195"/>
    </row>
    <row r="3" spans="2:8">
      <c r="B3" s="196" t="s">
        <v>133</v>
      </c>
      <c r="C3" s="196" t="s">
        <v>134</v>
      </c>
      <c r="D3" s="273" t="s">
        <v>135</v>
      </c>
      <c r="E3" s="196" t="s">
        <v>136</v>
      </c>
      <c r="F3" s="273" t="s">
        <v>137</v>
      </c>
      <c r="G3" s="273" t="s">
        <v>138</v>
      </c>
      <c r="H3" s="196" t="s">
        <v>139</v>
      </c>
    </row>
    <row r="4" spans="2:14">
      <c r="B4" s="84"/>
      <c r="C4" s="260" t="s">
        <v>72</v>
      </c>
      <c r="D4" s="229" t="s">
        <v>1970</v>
      </c>
      <c r="E4" s="84" t="s">
        <v>661</v>
      </c>
      <c r="F4" s="274" t="s">
        <v>141</v>
      </c>
      <c r="G4" s="247"/>
      <c r="H4" s="231"/>
      <c r="N4" s="191"/>
    </row>
    <row r="5" spans="2:8">
      <c r="B5" s="198"/>
      <c r="C5" s="198"/>
      <c r="D5" s="271"/>
      <c r="E5" s="198"/>
      <c r="F5" s="271"/>
      <c r="G5" s="271"/>
      <c r="H5" s="198"/>
    </row>
    <row r="6" ht="17.4" spans="2:10">
      <c r="B6" s="195" t="s">
        <v>142</v>
      </c>
      <c r="C6" s="195"/>
      <c r="D6" s="195"/>
      <c r="E6" s="195"/>
      <c r="F6" s="195"/>
      <c r="G6" s="272"/>
      <c r="H6" s="195"/>
      <c r="J6" s="229"/>
    </row>
    <row r="7" spans="2:8">
      <c r="B7" s="199" t="s">
        <v>143</v>
      </c>
      <c r="C7" s="199" t="s">
        <v>144</v>
      </c>
      <c r="D7" s="275" t="s">
        <v>145</v>
      </c>
      <c r="E7" s="199" t="s">
        <v>146</v>
      </c>
      <c r="F7" s="275" t="s">
        <v>147</v>
      </c>
      <c r="G7" s="275" t="s">
        <v>13</v>
      </c>
      <c r="H7" s="199" t="s">
        <v>148</v>
      </c>
    </row>
    <row r="8" spans="2:8">
      <c r="B8" s="84"/>
      <c r="C8" s="200" t="s">
        <v>670</v>
      </c>
      <c r="D8" s="201"/>
      <c r="E8" s="84" t="s">
        <v>422</v>
      </c>
      <c r="F8" s="201"/>
      <c r="G8" s="276"/>
      <c r="H8" s="35" t="s">
        <v>21</v>
      </c>
    </row>
    <row r="10" spans="2:12">
      <c r="B10" s="202" t="s">
        <v>158</v>
      </c>
      <c r="C10" s="203"/>
      <c r="D10" s="203"/>
      <c r="E10" s="203"/>
      <c r="F10" s="203"/>
      <c r="G10" s="277"/>
      <c r="H10" s="203"/>
      <c r="I10" s="203"/>
      <c r="J10" s="203"/>
      <c r="K10" s="203"/>
      <c r="L10" s="207"/>
    </row>
    <row r="11" ht="24" spans="2:12">
      <c r="B11" s="204" t="s">
        <v>159</v>
      </c>
      <c r="C11" s="204" t="s">
        <v>160</v>
      </c>
      <c r="D11" s="278" t="s">
        <v>161</v>
      </c>
      <c r="E11" s="204" t="s">
        <v>162</v>
      </c>
      <c r="F11" s="278" t="s">
        <v>163</v>
      </c>
      <c r="G11" s="278" t="s">
        <v>164</v>
      </c>
      <c r="H11" s="204" t="s">
        <v>165</v>
      </c>
      <c r="I11" s="204" t="s">
        <v>13</v>
      </c>
      <c r="J11" s="204" t="s">
        <v>166</v>
      </c>
      <c r="K11" s="204" t="s">
        <v>167</v>
      </c>
      <c r="L11" s="204" t="s">
        <v>168</v>
      </c>
    </row>
    <row r="12" spans="2:12">
      <c r="B12" s="228" t="s">
        <v>174</v>
      </c>
      <c r="C12" s="228" t="s">
        <v>175</v>
      </c>
      <c r="D12" s="229" t="s">
        <v>1971</v>
      </c>
      <c r="E12" s="228" t="s">
        <v>422</v>
      </c>
      <c r="F12" s="229" t="s">
        <v>177</v>
      </c>
      <c r="G12" s="200" t="s">
        <v>748</v>
      </c>
      <c r="H12" s="84"/>
      <c r="I12" s="206"/>
      <c r="J12" s="84"/>
      <c r="K12" s="228" t="s">
        <v>749</v>
      </c>
      <c r="L12" s="228" t="s">
        <v>749</v>
      </c>
    </row>
    <row r="13" spans="2:12">
      <c r="B13" s="228" t="s">
        <v>1539</v>
      </c>
      <c r="C13" s="228" t="s">
        <v>170</v>
      </c>
      <c r="D13" s="229" t="s">
        <v>1540</v>
      </c>
      <c r="E13" s="228" t="s">
        <v>422</v>
      </c>
      <c r="F13" s="229" t="s">
        <v>693</v>
      </c>
      <c r="G13" s="200" t="s">
        <v>748</v>
      </c>
      <c r="H13" s="84"/>
      <c r="I13" s="84"/>
      <c r="J13" s="84"/>
      <c r="K13" s="228" t="s">
        <v>749</v>
      </c>
      <c r="L13" s="228" t="s">
        <v>1541</v>
      </c>
    </row>
    <row r="14" spans="2:12">
      <c r="B14" s="228" t="s">
        <v>661</v>
      </c>
      <c r="C14" s="228" t="s">
        <v>170</v>
      </c>
      <c r="D14" s="229" t="s">
        <v>1972</v>
      </c>
      <c r="E14" s="228" t="s">
        <v>422</v>
      </c>
      <c r="F14" s="229" t="s">
        <v>696</v>
      </c>
      <c r="G14" s="200" t="s">
        <v>748</v>
      </c>
      <c r="H14" s="84"/>
      <c r="I14" s="84"/>
      <c r="J14" s="84"/>
      <c r="K14" s="228" t="s">
        <v>749</v>
      </c>
      <c r="L14" s="228" t="s">
        <v>1543</v>
      </c>
    </row>
    <row r="15" spans="2:12">
      <c r="B15" s="279" t="s">
        <v>1973</v>
      </c>
      <c r="C15" s="228" t="s">
        <v>170</v>
      </c>
      <c r="D15" s="229" t="s">
        <v>1974</v>
      </c>
      <c r="E15" s="228" t="s">
        <v>422</v>
      </c>
      <c r="F15" s="229" t="s">
        <v>1973</v>
      </c>
      <c r="G15" s="200" t="s">
        <v>748</v>
      </c>
      <c r="H15" s="84"/>
      <c r="I15" s="84"/>
      <c r="J15" s="84"/>
      <c r="K15" s="228" t="s">
        <v>749</v>
      </c>
      <c r="L15" s="228" t="s">
        <v>1975</v>
      </c>
    </row>
    <row r="16" spans="2:12">
      <c r="B16" s="279" t="s">
        <v>746</v>
      </c>
      <c r="C16" s="228" t="s">
        <v>170</v>
      </c>
      <c r="D16" s="229" t="s">
        <v>747</v>
      </c>
      <c r="E16" s="228" t="s">
        <v>422</v>
      </c>
      <c r="F16" s="229" t="s">
        <v>746</v>
      </c>
      <c r="G16" s="200" t="s">
        <v>748</v>
      </c>
      <c r="H16" s="84"/>
      <c r="I16" s="84"/>
      <c r="J16" s="84"/>
      <c r="K16" s="228" t="s">
        <v>749</v>
      </c>
      <c r="L16" s="228" t="s">
        <v>750</v>
      </c>
    </row>
    <row r="17" spans="2:12">
      <c r="B17" s="279" t="s">
        <v>1550</v>
      </c>
      <c r="C17" s="228" t="s">
        <v>170</v>
      </c>
      <c r="D17" s="229" t="s">
        <v>1551</v>
      </c>
      <c r="E17" s="228" t="s">
        <v>422</v>
      </c>
      <c r="F17" s="229" t="s">
        <v>1550</v>
      </c>
      <c r="G17" s="200" t="s">
        <v>748</v>
      </c>
      <c r="H17" s="84"/>
      <c r="I17" s="84"/>
      <c r="J17" s="84"/>
      <c r="K17" s="228" t="s">
        <v>749</v>
      </c>
      <c r="L17" s="228" t="s">
        <v>1552</v>
      </c>
    </row>
    <row r="18" spans="2:12">
      <c r="B18" s="279" t="s">
        <v>207</v>
      </c>
      <c r="C18" s="228" t="s">
        <v>170</v>
      </c>
      <c r="D18" s="229" t="s">
        <v>1553</v>
      </c>
      <c r="E18" s="228" t="s">
        <v>422</v>
      </c>
      <c r="F18" s="229" t="s">
        <v>207</v>
      </c>
      <c r="G18" s="200" t="s">
        <v>748</v>
      </c>
      <c r="H18" s="84"/>
      <c r="I18" s="84"/>
      <c r="J18" s="84"/>
      <c r="K18" s="228" t="s">
        <v>749</v>
      </c>
      <c r="L18" s="228" t="s">
        <v>1554</v>
      </c>
    </row>
    <row r="19" spans="2:12">
      <c r="B19" s="279" t="s">
        <v>1976</v>
      </c>
      <c r="C19" s="228" t="s">
        <v>229</v>
      </c>
      <c r="D19" s="229" t="s">
        <v>1977</v>
      </c>
      <c r="E19" s="228" t="s">
        <v>422</v>
      </c>
      <c r="F19" s="229" t="s">
        <v>708</v>
      </c>
      <c r="G19" s="221" t="s">
        <v>709</v>
      </c>
      <c r="H19" s="84"/>
      <c r="I19" s="84"/>
      <c r="J19" s="84"/>
      <c r="K19" s="228" t="s">
        <v>749</v>
      </c>
      <c r="L19" s="228" t="s">
        <v>1978</v>
      </c>
    </row>
    <row r="20" spans="2:12">
      <c r="B20" s="279" t="s">
        <v>1558</v>
      </c>
      <c r="C20" s="228" t="s">
        <v>229</v>
      </c>
      <c r="D20" s="229" t="s">
        <v>1559</v>
      </c>
      <c r="E20" s="228" t="s">
        <v>422</v>
      </c>
      <c r="F20" s="229" t="s">
        <v>708</v>
      </c>
      <c r="G20" s="221" t="s">
        <v>712</v>
      </c>
      <c r="H20" s="84"/>
      <c r="I20" s="84"/>
      <c r="J20" s="84"/>
      <c r="K20" s="228" t="s">
        <v>749</v>
      </c>
      <c r="L20" s="228" t="s">
        <v>1560</v>
      </c>
    </row>
    <row r="21" spans="2:12">
      <c r="B21" s="279" t="s">
        <v>211</v>
      </c>
      <c r="C21" s="228" t="s">
        <v>175</v>
      </c>
      <c r="D21" s="229" t="s">
        <v>211</v>
      </c>
      <c r="E21" s="228" t="s">
        <v>422</v>
      </c>
      <c r="F21" s="229" t="s">
        <v>708</v>
      </c>
      <c r="G21" s="221" t="s">
        <v>714</v>
      </c>
      <c r="H21" s="84"/>
      <c r="I21" s="84"/>
      <c r="J21" s="84"/>
      <c r="K21" s="228" t="s">
        <v>749</v>
      </c>
      <c r="L21" s="228" t="s">
        <v>749</v>
      </c>
    </row>
    <row r="22" spans="2:12">
      <c r="B22" s="279" t="s">
        <v>191</v>
      </c>
      <c r="C22" s="228" t="s">
        <v>175</v>
      </c>
      <c r="D22" s="229" t="s">
        <v>1979</v>
      </c>
      <c r="E22" s="228" t="s">
        <v>422</v>
      </c>
      <c r="F22" s="229" t="s">
        <v>191</v>
      </c>
      <c r="G22" s="200" t="s">
        <v>748</v>
      </c>
      <c r="H22" s="84"/>
      <c r="I22" s="84"/>
      <c r="J22" s="84"/>
      <c r="K22" s="228" t="s">
        <v>749</v>
      </c>
      <c r="L22" s="228" t="s">
        <v>749</v>
      </c>
    </row>
    <row r="23" spans="2:12">
      <c r="B23" s="279" t="s">
        <v>188</v>
      </c>
      <c r="C23" s="228" t="s">
        <v>175</v>
      </c>
      <c r="D23" s="229" t="s">
        <v>189</v>
      </c>
      <c r="E23" s="228" t="s">
        <v>422</v>
      </c>
      <c r="F23" s="229" t="s">
        <v>188</v>
      </c>
      <c r="G23" s="200" t="s">
        <v>748</v>
      </c>
      <c r="H23" s="84"/>
      <c r="I23" s="84"/>
      <c r="J23" s="84"/>
      <c r="K23" s="228" t="s">
        <v>749</v>
      </c>
      <c r="L23" s="228" t="s">
        <v>1563</v>
      </c>
    </row>
    <row r="24" spans="2:12">
      <c r="B24" s="279" t="s">
        <v>1564</v>
      </c>
      <c r="C24" s="228" t="s">
        <v>170</v>
      </c>
      <c r="D24" s="229" t="s">
        <v>1565</v>
      </c>
      <c r="E24" s="228" t="s">
        <v>422</v>
      </c>
      <c r="F24" s="229" t="s">
        <v>244</v>
      </c>
      <c r="G24" s="200" t="s">
        <v>723</v>
      </c>
      <c r="H24" s="84"/>
      <c r="I24" s="84"/>
      <c r="J24" s="84"/>
      <c r="K24" s="228" t="s">
        <v>749</v>
      </c>
      <c r="L24" s="228" t="s">
        <v>1566</v>
      </c>
    </row>
    <row r="25" spans="2:12">
      <c r="B25" s="279" t="s">
        <v>246</v>
      </c>
      <c r="C25" s="228" t="s">
        <v>170</v>
      </c>
      <c r="D25" s="229" t="s">
        <v>1980</v>
      </c>
      <c r="E25" s="228" t="s">
        <v>422</v>
      </c>
      <c r="F25" s="229" t="s">
        <v>246</v>
      </c>
      <c r="G25" s="200" t="s">
        <v>748</v>
      </c>
      <c r="H25" s="84"/>
      <c r="I25" s="84"/>
      <c r="J25" s="84"/>
      <c r="K25" s="228" t="s">
        <v>749</v>
      </c>
      <c r="L25" s="228" t="s">
        <v>1571</v>
      </c>
    </row>
    <row r="26" spans="2:12">
      <c r="B26" s="279" t="s">
        <v>1567</v>
      </c>
      <c r="C26" s="228" t="s">
        <v>170</v>
      </c>
      <c r="D26" s="229" t="s">
        <v>1981</v>
      </c>
      <c r="E26" s="228" t="s">
        <v>422</v>
      </c>
      <c r="F26" s="229" t="s">
        <v>1567</v>
      </c>
      <c r="G26" s="200" t="s">
        <v>748</v>
      </c>
      <c r="H26" s="84"/>
      <c r="I26" s="84"/>
      <c r="J26" s="84"/>
      <c r="K26" s="228" t="s">
        <v>749</v>
      </c>
      <c r="L26" s="228" t="s">
        <v>1569</v>
      </c>
    </row>
    <row r="27" spans="2:12">
      <c r="B27" s="279" t="s">
        <v>725</v>
      </c>
      <c r="C27" s="228" t="s">
        <v>175</v>
      </c>
      <c r="D27" s="229" t="s">
        <v>725</v>
      </c>
      <c r="E27" s="228" t="s">
        <v>422</v>
      </c>
      <c r="F27" s="229" t="s">
        <v>725</v>
      </c>
      <c r="G27" s="200" t="s">
        <v>748</v>
      </c>
      <c r="H27" s="84"/>
      <c r="I27" s="84"/>
      <c r="J27" s="84"/>
      <c r="K27" s="228" t="s">
        <v>749</v>
      </c>
      <c r="L27" s="228" t="s">
        <v>749</v>
      </c>
    </row>
    <row r="28" spans="2:12">
      <c r="B28" s="279" t="s">
        <v>728</v>
      </c>
      <c r="C28" s="228" t="s">
        <v>175</v>
      </c>
      <c r="D28" s="229" t="s">
        <v>728</v>
      </c>
      <c r="E28" s="228" t="s">
        <v>422</v>
      </c>
      <c r="F28" s="229" t="s">
        <v>728</v>
      </c>
      <c r="G28" s="200" t="s">
        <v>748</v>
      </c>
      <c r="H28" s="84"/>
      <c r="I28" s="84"/>
      <c r="J28" s="84"/>
      <c r="K28" s="228" t="s">
        <v>749</v>
      </c>
      <c r="L28" s="228" t="s">
        <v>749</v>
      </c>
    </row>
    <row r="29" spans="2:12">
      <c r="B29" s="279" t="s">
        <v>1982</v>
      </c>
      <c r="C29" s="228" t="s">
        <v>175</v>
      </c>
      <c r="D29" s="229" t="s">
        <v>1983</v>
      </c>
      <c r="E29" s="228" t="s">
        <v>422</v>
      </c>
      <c r="F29" s="229" t="s">
        <v>1982</v>
      </c>
      <c r="G29" s="200" t="s">
        <v>748</v>
      </c>
      <c r="H29" s="84"/>
      <c r="I29" s="84"/>
      <c r="J29" s="84"/>
      <c r="K29" s="228" t="s">
        <v>749</v>
      </c>
      <c r="L29" s="228" t="s">
        <v>1984</v>
      </c>
    </row>
    <row r="30" spans="2:12">
      <c r="B30" s="279" t="s">
        <v>735</v>
      </c>
      <c r="C30" s="228" t="s">
        <v>175</v>
      </c>
      <c r="D30" s="229" t="s">
        <v>735</v>
      </c>
      <c r="E30" s="228" t="s">
        <v>422</v>
      </c>
      <c r="F30" s="229" t="s">
        <v>735</v>
      </c>
      <c r="G30" s="200" t="s">
        <v>748</v>
      </c>
      <c r="H30" s="84"/>
      <c r="I30" s="84"/>
      <c r="J30" s="84"/>
      <c r="K30" s="228" t="s">
        <v>749</v>
      </c>
      <c r="L30" s="228" t="s">
        <v>749</v>
      </c>
    </row>
    <row r="31" spans="2:12">
      <c r="B31" s="279" t="s">
        <v>244</v>
      </c>
      <c r="C31" s="228" t="s">
        <v>175</v>
      </c>
      <c r="D31" s="229" t="s">
        <v>244</v>
      </c>
      <c r="E31" s="228" t="s">
        <v>422</v>
      </c>
      <c r="F31" s="229" t="s">
        <v>244</v>
      </c>
      <c r="G31" s="200" t="s">
        <v>748</v>
      </c>
      <c r="H31" s="84"/>
      <c r="I31" s="84"/>
      <c r="J31" s="84"/>
      <c r="K31" s="228" t="s">
        <v>749</v>
      </c>
      <c r="L31" s="228" t="s">
        <v>749</v>
      </c>
    </row>
    <row r="32" spans="2:12">
      <c r="B32" s="279" t="s">
        <v>169</v>
      </c>
      <c r="C32" s="228" t="s">
        <v>170</v>
      </c>
      <c r="D32" s="229" t="s">
        <v>1985</v>
      </c>
      <c r="E32" s="228" t="s">
        <v>422</v>
      </c>
      <c r="F32" s="229" t="s">
        <v>239</v>
      </c>
      <c r="G32" s="200" t="s">
        <v>748</v>
      </c>
      <c r="H32" s="84"/>
      <c r="I32" s="84"/>
      <c r="J32" s="84"/>
      <c r="K32" s="228" t="s">
        <v>749</v>
      </c>
      <c r="L32" s="228" t="s">
        <v>1544</v>
      </c>
    </row>
    <row r="33" spans="2:12">
      <c r="B33" s="279" t="s">
        <v>178</v>
      </c>
      <c r="C33" s="228" t="s">
        <v>170</v>
      </c>
      <c r="D33" s="229" t="s">
        <v>1545</v>
      </c>
      <c r="E33" s="228" t="s">
        <v>422</v>
      </c>
      <c r="F33" s="229" t="s">
        <v>178</v>
      </c>
      <c r="G33" s="200" t="s">
        <v>748</v>
      </c>
      <c r="H33" s="84"/>
      <c r="I33" s="84"/>
      <c r="J33" s="84"/>
      <c r="K33" s="228" t="s">
        <v>749</v>
      </c>
      <c r="L33" s="228" t="s">
        <v>1546</v>
      </c>
    </row>
    <row r="34" spans="2:12">
      <c r="B34" s="279" t="s">
        <v>180</v>
      </c>
      <c r="C34" s="228" t="s">
        <v>170</v>
      </c>
      <c r="D34" s="229" t="s">
        <v>1547</v>
      </c>
      <c r="E34" s="228" t="s">
        <v>422</v>
      </c>
      <c r="F34" s="229" t="s">
        <v>180</v>
      </c>
      <c r="G34" s="200" t="s">
        <v>748</v>
      </c>
      <c r="H34" s="84"/>
      <c r="I34" s="84"/>
      <c r="J34" s="84"/>
      <c r="K34" s="228" t="s">
        <v>749</v>
      </c>
      <c r="L34" s="228" t="s">
        <v>1548</v>
      </c>
    </row>
    <row r="35" spans="2:12">
      <c r="B35" s="280" t="s">
        <v>746</v>
      </c>
      <c r="C35" s="246" t="s">
        <v>175</v>
      </c>
      <c r="D35" s="246" t="s">
        <v>1986</v>
      </c>
      <c r="E35" s="281" t="s">
        <v>422</v>
      </c>
      <c r="F35" s="260" t="s">
        <v>746</v>
      </c>
      <c r="G35" s="245" t="s">
        <v>746</v>
      </c>
      <c r="H35" s="281"/>
      <c r="I35" s="281"/>
      <c r="J35" s="281"/>
      <c r="K35" s="281"/>
      <c r="L35" s="246"/>
    </row>
    <row r="36" s="75" customFormat="1" spans="2:14">
      <c r="B36" s="270" t="s">
        <v>751</v>
      </c>
      <c r="C36" s="64" t="s">
        <v>687</v>
      </c>
      <c r="D36" s="101" t="s">
        <v>752</v>
      </c>
      <c r="E36" s="64" t="s">
        <v>671</v>
      </c>
      <c r="F36" s="101" t="s">
        <v>246</v>
      </c>
      <c r="G36" s="221" t="s">
        <v>753</v>
      </c>
      <c r="H36" s="101"/>
      <c r="I36" s="61"/>
      <c r="J36" s="61" t="s">
        <v>173</v>
      </c>
      <c r="K36" s="64"/>
      <c r="L36" s="64"/>
      <c r="M36" s="100"/>
      <c r="N36" s="100"/>
    </row>
    <row r="37" spans="2:12">
      <c r="B37" s="228" t="s">
        <v>1572</v>
      </c>
      <c r="C37" s="228" t="s">
        <v>229</v>
      </c>
      <c r="D37" s="229" t="s">
        <v>1573</v>
      </c>
      <c r="E37" s="228" t="s">
        <v>422</v>
      </c>
      <c r="F37" s="229" t="s">
        <v>459</v>
      </c>
      <c r="G37" s="200" t="s">
        <v>1574</v>
      </c>
      <c r="H37" s="84"/>
      <c r="I37" s="84"/>
      <c r="J37" s="84"/>
      <c r="K37" s="228" t="s">
        <v>615</v>
      </c>
      <c r="L37" s="228" t="s">
        <v>1576</v>
      </c>
    </row>
    <row r="38" spans="2:12">
      <c r="B38" s="228" t="s">
        <v>1585</v>
      </c>
      <c r="C38" s="228" t="s">
        <v>229</v>
      </c>
      <c r="D38" s="229" t="s">
        <v>1586</v>
      </c>
      <c r="E38" s="228" t="s">
        <v>422</v>
      </c>
      <c r="F38" s="229" t="s">
        <v>1987</v>
      </c>
      <c r="G38" s="200" t="s">
        <v>759</v>
      </c>
      <c r="H38" s="84"/>
      <c r="I38" s="84"/>
      <c r="J38" s="84"/>
      <c r="K38" s="228" t="s">
        <v>1588</v>
      </c>
      <c r="L38" s="228" t="s">
        <v>1589</v>
      </c>
    </row>
    <row r="39" spans="2:12">
      <c r="B39" s="228" t="s">
        <v>1590</v>
      </c>
      <c r="C39" s="228" t="s">
        <v>229</v>
      </c>
      <c r="D39" s="229" t="s">
        <v>1591</v>
      </c>
      <c r="E39" s="228" t="s">
        <v>422</v>
      </c>
      <c r="F39" s="229" t="s">
        <v>1987</v>
      </c>
      <c r="G39" s="200" t="s">
        <v>1988</v>
      </c>
      <c r="H39" s="84"/>
      <c r="I39" s="84"/>
      <c r="J39" s="84"/>
      <c r="K39" s="228" t="s">
        <v>1588</v>
      </c>
      <c r="L39" s="228" t="s">
        <v>1593</v>
      </c>
    </row>
    <row r="40" spans="2:12">
      <c r="B40" s="228" t="s">
        <v>1598</v>
      </c>
      <c r="C40" s="228" t="s">
        <v>229</v>
      </c>
      <c r="D40" s="229" t="s">
        <v>1599</v>
      </c>
      <c r="E40" s="228" t="s">
        <v>422</v>
      </c>
      <c r="F40" s="229" t="s">
        <v>1989</v>
      </c>
      <c r="G40" s="200" t="s">
        <v>1990</v>
      </c>
      <c r="H40" s="84"/>
      <c r="I40" s="84"/>
      <c r="J40" s="84"/>
      <c r="K40" s="228" t="s">
        <v>231</v>
      </c>
      <c r="L40" s="228" t="s">
        <v>1601</v>
      </c>
    </row>
    <row r="41" spans="2:12">
      <c r="B41" s="228" t="s">
        <v>1594</v>
      </c>
      <c r="C41" s="228" t="s">
        <v>229</v>
      </c>
      <c r="D41" s="229" t="s">
        <v>1595</v>
      </c>
      <c r="E41" s="228" t="s">
        <v>422</v>
      </c>
      <c r="F41" s="229" t="s">
        <v>1991</v>
      </c>
      <c r="G41" s="200" t="s">
        <v>1992</v>
      </c>
      <c r="H41" s="84"/>
      <c r="I41" s="84"/>
      <c r="J41" s="84"/>
      <c r="K41" s="228" t="s">
        <v>231</v>
      </c>
      <c r="L41" s="228" t="s">
        <v>1597</v>
      </c>
    </row>
    <row r="42" spans="2:12">
      <c r="B42" s="228" t="s">
        <v>1606</v>
      </c>
      <c r="C42" s="228" t="s">
        <v>229</v>
      </c>
      <c r="D42" s="229" t="s">
        <v>1607</v>
      </c>
      <c r="E42" s="228" t="s">
        <v>422</v>
      </c>
      <c r="F42" s="229" t="s">
        <v>1993</v>
      </c>
      <c r="G42" s="200" t="s">
        <v>1994</v>
      </c>
      <c r="H42" s="84"/>
      <c r="I42" s="84"/>
      <c r="J42" s="84"/>
      <c r="K42" s="228" t="s">
        <v>231</v>
      </c>
      <c r="L42" s="228" t="s">
        <v>1609</v>
      </c>
    </row>
    <row r="43" spans="2:12">
      <c r="B43" s="228" t="s">
        <v>1610</v>
      </c>
      <c r="C43" s="228" t="s">
        <v>229</v>
      </c>
      <c r="D43" s="229" t="s">
        <v>1611</v>
      </c>
      <c r="E43" s="228" t="s">
        <v>422</v>
      </c>
      <c r="F43" s="229" t="s">
        <v>1995</v>
      </c>
      <c r="G43" s="200" t="s">
        <v>1996</v>
      </c>
      <c r="H43" s="84"/>
      <c r="I43" s="84"/>
      <c r="J43" s="84"/>
      <c r="K43" s="228" t="s">
        <v>231</v>
      </c>
      <c r="L43" s="228" t="s">
        <v>1613</v>
      </c>
    </row>
    <row r="44" spans="2:12">
      <c r="B44" s="228" t="s">
        <v>1997</v>
      </c>
      <c r="C44" s="228" t="s">
        <v>229</v>
      </c>
      <c r="D44" s="229" t="s">
        <v>1615</v>
      </c>
      <c r="E44" s="228" t="s">
        <v>422</v>
      </c>
      <c r="F44" s="229" t="s">
        <v>1998</v>
      </c>
      <c r="G44" s="200" t="s">
        <v>1999</v>
      </c>
      <c r="H44" s="84"/>
      <c r="I44" s="84"/>
      <c r="J44" s="84"/>
      <c r="K44" s="228" t="s">
        <v>231</v>
      </c>
      <c r="L44" s="228" t="s">
        <v>2000</v>
      </c>
    </row>
    <row r="45" spans="2:12">
      <c r="B45" s="228" t="s">
        <v>2001</v>
      </c>
      <c r="C45" s="228" t="s">
        <v>229</v>
      </c>
      <c r="D45" s="229" t="s">
        <v>1619</v>
      </c>
      <c r="E45" s="228" t="s">
        <v>422</v>
      </c>
      <c r="F45" s="229" t="s">
        <v>2002</v>
      </c>
      <c r="G45" s="200" t="s">
        <v>2003</v>
      </c>
      <c r="H45" s="84"/>
      <c r="I45" s="84"/>
      <c r="J45" s="84"/>
      <c r="K45" s="228" t="s">
        <v>231</v>
      </c>
      <c r="L45" s="228" t="s">
        <v>2004</v>
      </c>
    </row>
    <row r="46" spans="2:12">
      <c r="B46" s="228" t="s">
        <v>1577</v>
      </c>
      <c r="C46" s="228" t="s">
        <v>229</v>
      </c>
      <c r="D46" s="229" t="s">
        <v>2005</v>
      </c>
      <c r="E46" s="228" t="s">
        <v>422</v>
      </c>
      <c r="F46" s="229" t="s">
        <v>2006</v>
      </c>
      <c r="G46" s="200" t="s">
        <v>894</v>
      </c>
      <c r="H46" s="84"/>
      <c r="I46" s="84"/>
      <c r="J46" s="84"/>
      <c r="K46" s="228" t="s">
        <v>1754</v>
      </c>
      <c r="L46" s="228" t="s">
        <v>1580</v>
      </c>
    </row>
    <row r="47" spans="2:12">
      <c r="B47" s="228" t="s">
        <v>1581</v>
      </c>
      <c r="C47" s="228" t="s">
        <v>229</v>
      </c>
      <c r="D47" s="229" t="s">
        <v>2007</v>
      </c>
      <c r="E47" s="228" t="s">
        <v>422</v>
      </c>
      <c r="F47" s="229" t="s">
        <v>2008</v>
      </c>
      <c r="G47" s="200" t="s">
        <v>2009</v>
      </c>
      <c r="H47" s="84"/>
      <c r="I47" s="84"/>
      <c r="J47" s="84"/>
      <c r="K47" s="228" t="s">
        <v>1754</v>
      </c>
      <c r="L47" s="228" t="s">
        <v>1584</v>
      </c>
    </row>
    <row r="48" spans="2:12">
      <c r="B48" s="228" t="s">
        <v>1751</v>
      </c>
      <c r="C48" s="228" t="s">
        <v>229</v>
      </c>
      <c r="D48" s="229" t="s">
        <v>1752</v>
      </c>
      <c r="E48" s="228" t="s">
        <v>422</v>
      </c>
      <c r="F48" s="229" t="s">
        <v>2010</v>
      </c>
      <c r="G48" s="200" t="s">
        <v>2011</v>
      </c>
      <c r="H48" s="84"/>
      <c r="I48" s="84"/>
      <c r="J48" s="84"/>
      <c r="K48" s="228" t="s">
        <v>1754</v>
      </c>
      <c r="L48" s="228" t="s">
        <v>1755</v>
      </c>
    </row>
    <row r="49" spans="2:12">
      <c r="B49" s="228" t="s">
        <v>1802</v>
      </c>
      <c r="C49" s="228" t="s">
        <v>229</v>
      </c>
      <c r="D49" s="229" t="s">
        <v>2012</v>
      </c>
      <c r="E49" s="228" t="s">
        <v>422</v>
      </c>
      <c r="F49" s="229" t="s">
        <v>2013</v>
      </c>
      <c r="G49" s="200" t="s">
        <v>2014</v>
      </c>
      <c r="H49" s="84"/>
      <c r="I49" s="84"/>
      <c r="J49" s="84"/>
      <c r="K49" s="228" t="s">
        <v>1754</v>
      </c>
      <c r="L49" s="228" t="s">
        <v>1804</v>
      </c>
    </row>
    <row r="50" spans="2:12">
      <c r="B50" s="228" t="s">
        <v>1809</v>
      </c>
      <c r="C50" s="228" t="s">
        <v>229</v>
      </c>
      <c r="D50" s="229" t="s">
        <v>2015</v>
      </c>
      <c r="E50" s="228" t="s">
        <v>422</v>
      </c>
      <c r="F50" s="229" t="s">
        <v>2016</v>
      </c>
      <c r="G50" s="200" t="s">
        <v>2017</v>
      </c>
      <c r="H50" s="84"/>
      <c r="I50" s="84"/>
      <c r="J50" s="84"/>
      <c r="K50" s="228" t="s">
        <v>1754</v>
      </c>
      <c r="L50" s="228" t="s">
        <v>1811</v>
      </c>
    </row>
    <row r="51" spans="2:12">
      <c r="B51" s="228" t="s">
        <v>1622</v>
      </c>
      <c r="C51" s="228" t="s">
        <v>229</v>
      </c>
      <c r="D51" s="229" t="s">
        <v>1623</v>
      </c>
      <c r="E51" s="228" t="s">
        <v>422</v>
      </c>
      <c r="F51" s="229" t="s">
        <v>2018</v>
      </c>
      <c r="G51" s="200" t="s">
        <v>2019</v>
      </c>
      <c r="H51" s="84"/>
      <c r="I51" s="84"/>
      <c r="J51" s="84"/>
      <c r="K51" s="228" t="s">
        <v>231</v>
      </c>
      <c r="L51" s="228" t="s">
        <v>1626</v>
      </c>
    </row>
    <row r="52" spans="2:12">
      <c r="B52" s="228" t="s">
        <v>1627</v>
      </c>
      <c r="C52" s="228" t="s">
        <v>229</v>
      </c>
      <c r="D52" s="229" t="s">
        <v>1628</v>
      </c>
      <c r="E52" s="228" t="s">
        <v>422</v>
      </c>
      <c r="F52" s="229" t="s">
        <v>2020</v>
      </c>
      <c r="G52" s="200" t="s">
        <v>2021</v>
      </c>
      <c r="H52" s="84"/>
      <c r="I52" s="84"/>
      <c r="J52" s="84"/>
      <c r="K52" s="228" t="s">
        <v>231</v>
      </c>
      <c r="L52" s="228" t="s">
        <v>1630</v>
      </c>
    </row>
    <row r="53" spans="2:12">
      <c r="B53" s="228" t="s">
        <v>1631</v>
      </c>
      <c r="C53" s="228" t="s">
        <v>229</v>
      </c>
      <c r="D53" s="229" t="s">
        <v>1632</v>
      </c>
      <c r="E53" s="228" t="s">
        <v>422</v>
      </c>
      <c r="F53" s="229" t="s">
        <v>2022</v>
      </c>
      <c r="G53" s="200" t="s">
        <v>2023</v>
      </c>
      <c r="H53" s="84"/>
      <c r="I53" s="84"/>
      <c r="J53" s="84"/>
      <c r="K53" s="228" t="s">
        <v>749</v>
      </c>
      <c r="L53" s="228" t="s">
        <v>1634</v>
      </c>
    </row>
    <row r="54" spans="2:12">
      <c r="B54" s="228" t="s">
        <v>1635</v>
      </c>
      <c r="C54" s="228" t="s">
        <v>229</v>
      </c>
      <c r="D54" s="229" t="s">
        <v>1636</v>
      </c>
      <c r="E54" s="228" t="s">
        <v>422</v>
      </c>
      <c r="F54" s="229" t="s">
        <v>2024</v>
      </c>
      <c r="G54" s="200" t="s">
        <v>2025</v>
      </c>
      <c r="H54" s="84"/>
      <c r="I54" s="84"/>
      <c r="J54" s="84"/>
      <c r="K54" s="228" t="s">
        <v>749</v>
      </c>
      <c r="L54" s="228" t="s">
        <v>1638</v>
      </c>
    </row>
    <row r="55" spans="2:12">
      <c r="B55" s="228" t="s">
        <v>2026</v>
      </c>
      <c r="C55" s="228" t="s">
        <v>229</v>
      </c>
      <c r="D55" s="229" t="s">
        <v>2027</v>
      </c>
      <c r="E55" s="228" t="s">
        <v>422</v>
      </c>
      <c r="F55" s="229"/>
      <c r="G55" s="200" t="s">
        <v>831</v>
      </c>
      <c r="H55" s="84"/>
      <c r="I55" s="84"/>
      <c r="J55" s="84"/>
      <c r="K55" s="228" t="s">
        <v>231</v>
      </c>
      <c r="L55" s="228" t="s">
        <v>2028</v>
      </c>
    </row>
    <row r="56" spans="2:12">
      <c r="B56" s="228" t="s">
        <v>2029</v>
      </c>
      <c r="C56" s="228" t="s">
        <v>229</v>
      </c>
      <c r="D56" s="229" t="s">
        <v>2030</v>
      </c>
      <c r="E56" s="228" t="s">
        <v>422</v>
      </c>
      <c r="F56" s="229" t="s">
        <v>2031</v>
      </c>
      <c r="G56" s="200" t="s">
        <v>2032</v>
      </c>
      <c r="H56" s="84"/>
      <c r="I56" s="84"/>
      <c r="J56" s="84"/>
      <c r="K56" s="228" t="s">
        <v>231</v>
      </c>
      <c r="L56" s="228" t="s">
        <v>2033</v>
      </c>
    </row>
    <row r="57" spans="2:12">
      <c r="B57" s="228" t="s">
        <v>2034</v>
      </c>
      <c r="C57" s="228" t="s">
        <v>229</v>
      </c>
      <c r="D57" s="229" t="s">
        <v>2035</v>
      </c>
      <c r="E57" s="228" t="s">
        <v>422</v>
      </c>
      <c r="F57" s="229" t="s">
        <v>2031</v>
      </c>
      <c r="G57" s="200" t="s">
        <v>2036</v>
      </c>
      <c r="H57" s="84"/>
      <c r="I57" s="84"/>
      <c r="J57" s="84"/>
      <c r="K57" s="228" t="s">
        <v>231</v>
      </c>
      <c r="L57" s="228" t="s">
        <v>2037</v>
      </c>
    </row>
    <row r="58" spans="2:12">
      <c r="B58" s="228" t="s">
        <v>2038</v>
      </c>
      <c r="C58" s="228" t="s">
        <v>203</v>
      </c>
      <c r="D58" s="229" t="s">
        <v>2039</v>
      </c>
      <c r="E58" s="228" t="s">
        <v>422</v>
      </c>
      <c r="F58" s="229" t="s">
        <v>2031</v>
      </c>
      <c r="G58" s="200" t="s">
        <v>2040</v>
      </c>
      <c r="H58" s="84"/>
      <c r="I58" s="84"/>
      <c r="J58" s="84"/>
      <c r="K58" s="228" t="s">
        <v>1718</v>
      </c>
      <c r="L58" s="228" t="s">
        <v>1719</v>
      </c>
    </row>
    <row r="59" spans="2:12">
      <c r="B59" s="228" t="s">
        <v>2041</v>
      </c>
      <c r="C59" s="228" t="s">
        <v>229</v>
      </c>
      <c r="D59" s="229" t="s">
        <v>2042</v>
      </c>
      <c r="E59" s="228" t="s">
        <v>422</v>
      </c>
      <c r="F59" s="229" t="s">
        <v>2041</v>
      </c>
      <c r="G59" s="200" t="s">
        <v>2043</v>
      </c>
      <c r="H59" s="84"/>
      <c r="I59" s="84"/>
      <c r="J59" s="84"/>
      <c r="K59" s="228" t="s">
        <v>231</v>
      </c>
      <c r="L59" s="228" t="s">
        <v>2044</v>
      </c>
    </row>
    <row r="60" spans="2:12">
      <c r="B60" s="228" t="s">
        <v>2045</v>
      </c>
      <c r="C60" s="228" t="s">
        <v>229</v>
      </c>
      <c r="D60" s="229" t="s">
        <v>2046</v>
      </c>
      <c r="E60" s="228" t="s">
        <v>422</v>
      </c>
      <c r="F60" s="229" t="s">
        <v>2041</v>
      </c>
      <c r="G60" s="200" t="s">
        <v>2047</v>
      </c>
      <c r="H60" s="84"/>
      <c r="I60" s="84"/>
      <c r="J60" s="84"/>
      <c r="K60" s="228" t="s">
        <v>231</v>
      </c>
      <c r="L60" s="228" t="s">
        <v>2048</v>
      </c>
    </row>
    <row r="61" spans="2:12">
      <c r="B61" s="228" t="s">
        <v>2049</v>
      </c>
      <c r="C61" s="228" t="s">
        <v>229</v>
      </c>
      <c r="D61" s="229" t="s">
        <v>2050</v>
      </c>
      <c r="E61" s="228" t="s">
        <v>422</v>
      </c>
      <c r="F61" s="229"/>
      <c r="G61" s="245" t="s">
        <v>2051</v>
      </c>
      <c r="H61" s="84"/>
      <c r="I61" s="84"/>
      <c r="J61" s="84"/>
      <c r="K61" s="228" t="s">
        <v>1754</v>
      </c>
      <c r="L61" s="228" t="s">
        <v>2052</v>
      </c>
    </row>
    <row r="62" spans="2:12">
      <c r="B62" s="228" t="s">
        <v>2053</v>
      </c>
      <c r="C62" s="228" t="s">
        <v>229</v>
      </c>
      <c r="D62" s="229" t="s">
        <v>2054</v>
      </c>
      <c r="E62" s="228" t="s">
        <v>422</v>
      </c>
      <c r="F62" s="229"/>
      <c r="G62" s="200" t="s">
        <v>2055</v>
      </c>
      <c r="H62" s="84"/>
      <c r="I62" s="84"/>
      <c r="J62" s="84"/>
      <c r="K62" s="228" t="s">
        <v>1754</v>
      </c>
      <c r="L62" s="228" t="s">
        <v>2052</v>
      </c>
    </row>
    <row r="63" spans="2:12">
      <c r="B63" s="228" t="s">
        <v>2056</v>
      </c>
      <c r="C63" s="228" t="s">
        <v>229</v>
      </c>
      <c r="D63" s="229" t="s">
        <v>2057</v>
      </c>
      <c r="E63" s="228" t="s">
        <v>422</v>
      </c>
      <c r="F63" s="229" t="s">
        <v>2058</v>
      </c>
      <c r="G63" s="200" t="s">
        <v>2059</v>
      </c>
      <c r="H63" s="84"/>
      <c r="I63" s="84"/>
      <c r="J63" s="84"/>
      <c r="K63" s="228" t="s">
        <v>1754</v>
      </c>
      <c r="L63" s="228" t="s">
        <v>2060</v>
      </c>
    </row>
    <row r="64" spans="2:12">
      <c r="B64" s="228" t="s">
        <v>2061</v>
      </c>
      <c r="C64" s="228" t="s">
        <v>203</v>
      </c>
      <c r="D64" s="229" t="s">
        <v>2062</v>
      </c>
      <c r="E64" s="228" t="s">
        <v>422</v>
      </c>
      <c r="F64" s="229" t="s">
        <v>2063</v>
      </c>
      <c r="G64" s="200" t="s">
        <v>2064</v>
      </c>
      <c r="H64" s="84"/>
      <c r="I64" s="84"/>
      <c r="J64" s="84"/>
      <c r="K64" s="228" t="s">
        <v>1718</v>
      </c>
      <c r="L64" s="228" t="s">
        <v>2065</v>
      </c>
    </row>
    <row r="65" spans="2:12">
      <c r="B65" s="228" t="s">
        <v>2066</v>
      </c>
      <c r="C65" s="228" t="s">
        <v>229</v>
      </c>
      <c r="D65" s="229" t="s">
        <v>2067</v>
      </c>
      <c r="E65" s="228" t="s">
        <v>422</v>
      </c>
      <c r="F65" s="229" t="s">
        <v>2068</v>
      </c>
      <c r="G65" s="200" t="s">
        <v>2069</v>
      </c>
      <c r="H65" s="84"/>
      <c r="I65" s="84"/>
      <c r="J65" s="84"/>
      <c r="K65" s="228" t="s">
        <v>1754</v>
      </c>
      <c r="L65" s="228" t="s">
        <v>2070</v>
      </c>
    </row>
    <row r="66" spans="2:12">
      <c r="B66" s="228" t="s">
        <v>2071</v>
      </c>
      <c r="C66" s="228" t="s">
        <v>203</v>
      </c>
      <c r="D66" s="229" t="s">
        <v>2072</v>
      </c>
      <c r="E66" s="228" t="s">
        <v>422</v>
      </c>
      <c r="F66" s="229" t="s">
        <v>2073</v>
      </c>
      <c r="G66" s="200" t="s">
        <v>2074</v>
      </c>
      <c r="H66" s="84"/>
      <c r="I66" s="84"/>
      <c r="J66" s="84"/>
      <c r="K66" s="228" t="s">
        <v>1718</v>
      </c>
      <c r="L66" s="228" t="s">
        <v>2075</v>
      </c>
    </row>
    <row r="67" spans="2:12">
      <c r="B67" s="228" t="s">
        <v>2076</v>
      </c>
      <c r="C67" s="228" t="s">
        <v>203</v>
      </c>
      <c r="D67" s="229" t="s">
        <v>2077</v>
      </c>
      <c r="E67" s="228" t="s">
        <v>422</v>
      </c>
      <c r="F67" s="229"/>
      <c r="G67" s="200" t="s">
        <v>2078</v>
      </c>
      <c r="H67" s="84"/>
      <c r="I67" s="84"/>
      <c r="J67" s="84"/>
      <c r="K67" s="228" t="s">
        <v>2079</v>
      </c>
      <c r="L67" s="228" t="s">
        <v>2080</v>
      </c>
    </row>
    <row r="68" spans="2:12">
      <c r="B68" s="228" t="s">
        <v>2081</v>
      </c>
      <c r="C68" s="228" t="s">
        <v>229</v>
      </c>
      <c r="D68" s="229" t="s">
        <v>2082</v>
      </c>
      <c r="E68" s="228" t="s">
        <v>422</v>
      </c>
      <c r="F68" s="229"/>
      <c r="G68" s="200" t="s">
        <v>2083</v>
      </c>
      <c r="H68" s="84"/>
      <c r="I68" s="84"/>
      <c r="J68" s="84"/>
      <c r="K68" s="228" t="s">
        <v>1625</v>
      </c>
      <c r="L68" s="228" t="s">
        <v>2033</v>
      </c>
    </row>
    <row r="69" spans="2:12">
      <c r="B69" s="228" t="s">
        <v>2084</v>
      </c>
      <c r="C69" s="228" t="s">
        <v>203</v>
      </c>
      <c r="D69" s="229" t="s">
        <v>504</v>
      </c>
      <c r="E69" s="228" t="s">
        <v>422</v>
      </c>
      <c r="F69" s="228" t="s">
        <v>2084</v>
      </c>
      <c r="G69" s="248" t="s">
        <v>2085</v>
      </c>
      <c r="H69" s="84"/>
      <c r="I69" s="84"/>
      <c r="J69" s="84"/>
      <c r="K69" s="228" t="s">
        <v>749</v>
      </c>
      <c r="L69" s="228" t="s">
        <v>2086</v>
      </c>
    </row>
    <row r="70" spans="2:12">
      <c r="B70" s="228" t="s">
        <v>2087</v>
      </c>
      <c r="C70" s="228" t="s">
        <v>203</v>
      </c>
      <c r="D70" s="229" t="s">
        <v>2088</v>
      </c>
      <c r="E70" s="228" t="s">
        <v>422</v>
      </c>
      <c r="F70" s="229"/>
      <c r="G70" s="200" t="s">
        <v>2089</v>
      </c>
      <c r="H70" s="84"/>
      <c r="I70" s="84"/>
      <c r="J70" s="84"/>
      <c r="K70" s="228" t="s">
        <v>1718</v>
      </c>
      <c r="L70" s="228" t="s">
        <v>2090</v>
      </c>
    </row>
    <row r="71" spans="2:12">
      <c r="B71" s="228" t="s">
        <v>2091</v>
      </c>
      <c r="C71" s="228" t="s">
        <v>203</v>
      </c>
      <c r="D71" s="229" t="s">
        <v>2092</v>
      </c>
      <c r="E71" s="228" t="s">
        <v>422</v>
      </c>
      <c r="F71" s="229"/>
      <c r="G71" s="200" t="s">
        <v>2093</v>
      </c>
      <c r="H71" s="84"/>
      <c r="I71" s="84"/>
      <c r="J71" s="84"/>
      <c r="K71" s="228" t="s">
        <v>1718</v>
      </c>
      <c r="L71" s="228" t="s">
        <v>2028</v>
      </c>
    </row>
    <row r="72" spans="2:12">
      <c r="B72" s="228" t="s">
        <v>2094</v>
      </c>
      <c r="C72" s="228" t="s">
        <v>203</v>
      </c>
      <c r="D72" s="229" t="s">
        <v>2095</v>
      </c>
      <c r="E72" s="228" t="s">
        <v>422</v>
      </c>
      <c r="F72" s="229"/>
      <c r="G72" s="200" t="s">
        <v>2096</v>
      </c>
      <c r="H72" s="84"/>
      <c r="I72" s="84"/>
      <c r="J72" s="84"/>
      <c r="K72" s="228" t="s">
        <v>1718</v>
      </c>
      <c r="L72" s="228" t="s">
        <v>2097</v>
      </c>
    </row>
    <row r="73" spans="2:12">
      <c r="B73" s="228" t="s">
        <v>2098</v>
      </c>
      <c r="C73" s="228" t="s">
        <v>229</v>
      </c>
      <c r="D73" s="229" t="s">
        <v>2099</v>
      </c>
      <c r="E73" s="228" t="s">
        <v>422</v>
      </c>
      <c r="F73" s="229"/>
      <c r="G73" s="200" t="s">
        <v>2100</v>
      </c>
      <c r="H73" s="84"/>
      <c r="I73" s="84"/>
      <c r="J73" s="84"/>
      <c r="K73" s="228" t="s">
        <v>2079</v>
      </c>
      <c r="L73" s="228" t="s">
        <v>1552</v>
      </c>
    </row>
    <row r="74" spans="2:12">
      <c r="B74" s="228" t="s">
        <v>2101</v>
      </c>
      <c r="C74" s="228" t="s">
        <v>229</v>
      </c>
      <c r="D74" s="229" t="s">
        <v>2102</v>
      </c>
      <c r="E74" s="228" t="s">
        <v>422</v>
      </c>
      <c r="F74" s="229"/>
      <c r="G74" s="200" t="s">
        <v>2103</v>
      </c>
      <c r="H74" s="84"/>
      <c r="I74" s="84"/>
      <c r="J74" s="84"/>
      <c r="K74" s="228" t="s">
        <v>231</v>
      </c>
      <c r="L74" s="228" t="s">
        <v>1552</v>
      </c>
    </row>
    <row r="75" spans="2:12">
      <c r="B75" s="228" t="s">
        <v>2104</v>
      </c>
      <c r="C75" s="228" t="s">
        <v>229</v>
      </c>
      <c r="D75" s="229" t="s">
        <v>2105</v>
      </c>
      <c r="E75" s="228" t="s">
        <v>422</v>
      </c>
      <c r="F75" s="229"/>
      <c r="G75" s="200" t="s">
        <v>2106</v>
      </c>
      <c r="H75" s="84"/>
      <c r="I75" s="84"/>
      <c r="J75" s="84"/>
      <c r="K75" s="228" t="s">
        <v>2079</v>
      </c>
      <c r="L75" s="228" t="s">
        <v>2107</v>
      </c>
    </row>
    <row r="76" spans="2:12">
      <c r="B76" s="228" t="s">
        <v>2108</v>
      </c>
      <c r="C76" s="228" t="s">
        <v>229</v>
      </c>
      <c r="D76" s="229" t="s">
        <v>2109</v>
      </c>
      <c r="E76" s="228" t="s">
        <v>422</v>
      </c>
      <c r="F76" s="229" t="s">
        <v>2110</v>
      </c>
      <c r="G76" s="200" t="s">
        <v>2111</v>
      </c>
      <c r="H76" s="84"/>
      <c r="I76" s="84"/>
      <c r="J76" s="84"/>
      <c r="K76" s="228" t="s">
        <v>749</v>
      </c>
      <c r="L76" s="228" t="s">
        <v>2112</v>
      </c>
    </row>
    <row r="77" spans="2:12">
      <c r="B77" s="228" t="s">
        <v>2113</v>
      </c>
      <c r="C77" s="228" t="s">
        <v>229</v>
      </c>
      <c r="D77" s="229" t="s">
        <v>2114</v>
      </c>
      <c r="E77" s="228" t="s">
        <v>422</v>
      </c>
      <c r="F77" s="229" t="s">
        <v>2115</v>
      </c>
      <c r="G77" s="200" t="s">
        <v>2116</v>
      </c>
      <c r="H77" s="84"/>
      <c r="I77" s="84"/>
      <c r="J77" s="84"/>
      <c r="K77" s="228" t="s">
        <v>615</v>
      </c>
      <c r="L77" s="228" t="s">
        <v>2117</v>
      </c>
    </row>
    <row r="78" spans="2:12">
      <c r="B78" s="228" t="s">
        <v>2118</v>
      </c>
      <c r="C78" s="228" t="s">
        <v>203</v>
      </c>
      <c r="D78" s="229" t="s">
        <v>2119</v>
      </c>
      <c r="E78" s="228" t="s">
        <v>422</v>
      </c>
      <c r="F78" s="229"/>
      <c r="G78" s="200" t="s">
        <v>2120</v>
      </c>
      <c r="H78" s="84"/>
      <c r="I78" s="84"/>
      <c r="J78" s="84"/>
      <c r="K78" s="228" t="s">
        <v>1718</v>
      </c>
      <c r="L78" s="228" t="s">
        <v>2121</v>
      </c>
    </row>
    <row r="79" spans="2:12">
      <c r="B79" s="228" t="s">
        <v>2122</v>
      </c>
      <c r="C79" s="228" t="s">
        <v>203</v>
      </c>
      <c r="D79" s="229" t="s">
        <v>2123</v>
      </c>
      <c r="E79" s="228" t="s">
        <v>422</v>
      </c>
      <c r="F79" s="229"/>
      <c r="G79" s="200" t="s">
        <v>2124</v>
      </c>
      <c r="H79" s="84"/>
      <c r="I79" s="84"/>
      <c r="J79" s="84"/>
      <c r="K79" s="228" t="s">
        <v>1718</v>
      </c>
      <c r="L79" s="228" t="s">
        <v>2033</v>
      </c>
    </row>
    <row r="80" spans="2:12">
      <c r="B80" s="228" t="s">
        <v>2125</v>
      </c>
      <c r="C80" s="228" t="s">
        <v>203</v>
      </c>
      <c r="D80" s="229" t="s">
        <v>2126</v>
      </c>
      <c r="E80" s="228" t="s">
        <v>422</v>
      </c>
      <c r="F80" s="229"/>
      <c r="G80" s="200" t="s">
        <v>2127</v>
      </c>
      <c r="H80" s="84"/>
      <c r="I80" s="84"/>
      <c r="J80" s="84"/>
      <c r="K80" s="228" t="s">
        <v>749</v>
      </c>
      <c r="L80" s="228" t="s">
        <v>2128</v>
      </c>
    </row>
    <row r="81" spans="2:12">
      <c r="B81" s="228" t="s">
        <v>2129</v>
      </c>
      <c r="C81" s="228" t="s">
        <v>229</v>
      </c>
      <c r="D81" s="229" t="s">
        <v>2130</v>
      </c>
      <c r="E81" s="228" t="s">
        <v>422</v>
      </c>
      <c r="F81" s="229" t="s">
        <v>2131</v>
      </c>
      <c r="G81" s="200" t="s">
        <v>2132</v>
      </c>
      <c r="H81" s="84"/>
      <c r="I81" s="84"/>
      <c r="J81" s="84"/>
      <c r="K81" s="228" t="s">
        <v>231</v>
      </c>
      <c r="L81" s="228" t="s">
        <v>2133</v>
      </c>
    </row>
    <row r="82" spans="2:12">
      <c r="B82" s="228" t="s">
        <v>2134</v>
      </c>
      <c r="C82" s="228" t="s">
        <v>229</v>
      </c>
      <c r="D82" s="229" t="s">
        <v>2135</v>
      </c>
      <c r="E82" s="228" t="s">
        <v>422</v>
      </c>
      <c r="F82" s="229"/>
      <c r="G82" s="200" t="s">
        <v>2136</v>
      </c>
      <c r="H82" s="84"/>
      <c r="I82" s="84"/>
      <c r="J82" s="84"/>
      <c r="K82" s="228" t="s">
        <v>231</v>
      </c>
      <c r="L82" s="228" t="s">
        <v>2137</v>
      </c>
    </row>
    <row r="83" spans="2:12">
      <c r="B83" s="228" t="s">
        <v>2138</v>
      </c>
      <c r="C83" s="228" t="s">
        <v>229</v>
      </c>
      <c r="D83" s="229" t="s">
        <v>2139</v>
      </c>
      <c r="E83" s="228" t="s">
        <v>422</v>
      </c>
      <c r="F83" s="229"/>
      <c r="G83" s="200" t="s">
        <v>2140</v>
      </c>
      <c r="H83" s="84"/>
      <c r="I83" s="84"/>
      <c r="J83" s="84"/>
      <c r="K83" s="228" t="s">
        <v>231</v>
      </c>
      <c r="L83" s="228" t="s">
        <v>2141</v>
      </c>
    </row>
    <row r="84" spans="2:12">
      <c r="B84" s="228" t="s">
        <v>2142</v>
      </c>
      <c r="C84" s="228" t="s">
        <v>229</v>
      </c>
      <c r="D84" s="229" t="s">
        <v>2143</v>
      </c>
      <c r="E84" s="228" t="s">
        <v>422</v>
      </c>
      <c r="F84" s="229"/>
      <c r="G84" s="200" t="s">
        <v>2144</v>
      </c>
      <c r="H84" s="84"/>
      <c r="I84" s="84"/>
      <c r="J84" s="84"/>
      <c r="K84" s="228" t="s">
        <v>231</v>
      </c>
      <c r="L84" s="228" t="s">
        <v>2133</v>
      </c>
    </row>
    <row r="85" spans="2:12">
      <c r="B85" s="228" t="s">
        <v>2145</v>
      </c>
      <c r="C85" s="228" t="s">
        <v>229</v>
      </c>
      <c r="D85" s="229" t="s">
        <v>2146</v>
      </c>
      <c r="E85" s="228" t="s">
        <v>422</v>
      </c>
      <c r="F85" s="229"/>
      <c r="G85" s="200" t="s">
        <v>2147</v>
      </c>
      <c r="H85" s="84"/>
      <c r="I85" s="84"/>
      <c r="J85" s="84"/>
      <c r="K85" s="228" t="s">
        <v>868</v>
      </c>
      <c r="L85" s="228" t="s">
        <v>2148</v>
      </c>
    </row>
    <row r="86" spans="2:12">
      <c r="B86" s="228" t="s">
        <v>2149</v>
      </c>
      <c r="C86" s="228" t="s">
        <v>229</v>
      </c>
      <c r="D86" s="229" t="s">
        <v>2150</v>
      </c>
      <c r="E86" s="228" t="s">
        <v>422</v>
      </c>
      <c r="F86" s="229"/>
      <c r="G86" s="200" t="s">
        <v>2151</v>
      </c>
      <c r="H86" s="84"/>
      <c r="I86" s="84"/>
      <c r="J86" s="84"/>
      <c r="K86" s="228" t="s">
        <v>615</v>
      </c>
      <c r="L86" s="228" t="s">
        <v>2152</v>
      </c>
    </row>
    <row r="87" spans="2:12">
      <c r="B87" s="228" t="s">
        <v>1738</v>
      </c>
      <c r="C87" s="228" t="s">
        <v>229</v>
      </c>
      <c r="D87" s="229" t="s">
        <v>1739</v>
      </c>
      <c r="E87" s="228" t="s">
        <v>422</v>
      </c>
      <c r="F87" s="229" t="s">
        <v>2020</v>
      </c>
      <c r="G87" s="200" t="s">
        <v>2153</v>
      </c>
      <c r="H87" s="84"/>
      <c r="I87" s="84"/>
      <c r="J87" s="84"/>
      <c r="K87" s="228" t="s">
        <v>231</v>
      </c>
      <c r="L87" s="228" t="s">
        <v>1740</v>
      </c>
    </row>
    <row r="88" spans="2:12">
      <c r="B88" s="228" t="s">
        <v>1741</v>
      </c>
      <c r="C88" s="228" t="s">
        <v>229</v>
      </c>
      <c r="D88" s="229" t="s">
        <v>1742</v>
      </c>
      <c r="E88" s="228" t="s">
        <v>422</v>
      </c>
      <c r="F88" s="229" t="s">
        <v>2018</v>
      </c>
      <c r="G88" s="200" t="s">
        <v>2154</v>
      </c>
      <c r="H88" s="84"/>
      <c r="I88" s="84"/>
      <c r="J88" s="84"/>
      <c r="K88" s="228" t="s">
        <v>231</v>
      </c>
      <c r="L88" s="228" t="s">
        <v>1743</v>
      </c>
    </row>
    <row r="89" spans="2:12">
      <c r="B89" s="228" t="s">
        <v>1744</v>
      </c>
      <c r="C89" s="228" t="s">
        <v>229</v>
      </c>
      <c r="D89" s="229" t="s">
        <v>1745</v>
      </c>
      <c r="E89" s="228" t="s">
        <v>422</v>
      </c>
      <c r="F89" s="229"/>
      <c r="G89" s="200" t="s">
        <v>2155</v>
      </c>
      <c r="H89" s="84"/>
      <c r="I89" s="84"/>
      <c r="J89" s="84"/>
      <c r="K89" s="228" t="s">
        <v>231</v>
      </c>
      <c r="L89" s="228" t="s">
        <v>1746</v>
      </c>
    </row>
    <row r="90" spans="2:12">
      <c r="B90" s="228" t="s">
        <v>1747</v>
      </c>
      <c r="C90" s="228" t="s">
        <v>229</v>
      </c>
      <c r="D90" s="229" t="s">
        <v>1748</v>
      </c>
      <c r="E90" s="228" t="s">
        <v>422</v>
      </c>
      <c r="F90" s="229"/>
      <c r="G90" s="200" t="s">
        <v>2156</v>
      </c>
      <c r="H90" s="84"/>
      <c r="I90" s="84"/>
      <c r="J90" s="84"/>
      <c r="K90" s="228" t="s">
        <v>231</v>
      </c>
      <c r="L90" s="228" t="s">
        <v>1750</v>
      </c>
    </row>
    <row r="91" spans="2:12">
      <c r="B91" s="228" t="s">
        <v>1796</v>
      </c>
      <c r="C91" s="228" t="s">
        <v>229</v>
      </c>
      <c r="D91" s="229" t="s">
        <v>1797</v>
      </c>
      <c r="E91" s="228" t="s">
        <v>422</v>
      </c>
      <c r="F91" s="229" t="s">
        <v>2157</v>
      </c>
      <c r="G91" s="200" t="s">
        <v>957</v>
      </c>
      <c r="H91" s="84"/>
      <c r="I91" s="84"/>
      <c r="J91" s="84"/>
      <c r="K91" s="228" t="s">
        <v>231</v>
      </c>
      <c r="L91" s="228" t="s">
        <v>1746</v>
      </c>
    </row>
    <row r="92" spans="2:12">
      <c r="B92" s="228" t="s">
        <v>1798</v>
      </c>
      <c r="C92" s="228" t="s">
        <v>229</v>
      </c>
      <c r="D92" s="229" t="s">
        <v>1799</v>
      </c>
      <c r="E92" s="228" t="s">
        <v>422</v>
      </c>
      <c r="F92" s="229" t="s">
        <v>2008</v>
      </c>
      <c r="G92" s="200" t="s">
        <v>1800</v>
      </c>
      <c r="H92" s="84"/>
      <c r="I92" s="84"/>
      <c r="J92" s="84"/>
      <c r="K92" s="228" t="s">
        <v>231</v>
      </c>
      <c r="L92" s="228" t="s">
        <v>1801</v>
      </c>
    </row>
    <row r="93" spans="2:12">
      <c r="B93" s="228" t="s">
        <v>1805</v>
      </c>
      <c r="C93" s="228" t="s">
        <v>229</v>
      </c>
      <c r="D93" s="229" t="s">
        <v>1806</v>
      </c>
      <c r="E93" s="228" t="s">
        <v>422</v>
      </c>
      <c r="F93" s="229" t="s">
        <v>2013</v>
      </c>
      <c r="G93" s="200" t="s">
        <v>2158</v>
      </c>
      <c r="H93" s="84"/>
      <c r="I93" s="84"/>
      <c r="J93" s="84"/>
      <c r="K93" s="228" t="s">
        <v>231</v>
      </c>
      <c r="L93" s="228" t="s">
        <v>1808</v>
      </c>
    </row>
    <row r="94" spans="2:12">
      <c r="B94" s="228" t="s">
        <v>1812</v>
      </c>
      <c r="C94" s="228" t="s">
        <v>229</v>
      </c>
      <c r="D94" s="229" t="s">
        <v>1813</v>
      </c>
      <c r="E94" s="228" t="s">
        <v>422</v>
      </c>
      <c r="F94" s="229" t="s">
        <v>2016</v>
      </c>
      <c r="G94" s="200" t="s">
        <v>2159</v>
      </c>
      <c r="H94" s="84"/>
      <c r="I94" s="84"/>
      <c r="J94" s="84"/>
      <c r="K94" s="228" t="s">
        <v>231</v>
      </c>
      <c r="L94" s="228" t="s">
        <v>1815</v>
      </c>
    </row>
    <row r="95" spans="2:12">
      <c r="B95" s="228" t="s">
        <v>1827</v>
      </c>
      <c r="C95" s="228" t="s">
        <v>229</v>
      </c>
      <c r="D95" s="229" t="s">
        <v>1828</v>
      </c>
      <c r="E95" s="228" t="s">
        <v>422</v>
      </c>
      <c r="F95" s="229" t="s">
        <v>2160</v>
      </c>
      <c r="G95" s="200" t="s">
        <v>2161</v>
      </c>
      <c r="H95" s="84"/>
      <c r="I95" s="84"/>
      <c r="J95" s="84"/>
      <c r="K95" s="228" t="s">
        <v>868</v>
      </c>
      <c r="L95" s="228" t="s">
        <v>1830</v>
      </c>
    </row>
    <row r="96" spans="2:12">
      <c r="B96" s="228" t="s">
        <v>2162</v>
      </c>
      <c r="C96" s="228" t="s">
        <v>229</v>
      </c>
      <c r="D96" s="229" t="s">
        <v>2163</v>
      </c>
      <c r="E96" s="228" t="s">
        <v>422</v>
      </c>
      <c r="F96" s="229"/>
      <c r="G96" s="200" t="s">
        <v>2164</v>
      </c>
      <c r="H96" s="84"/>
      <c r="I96" s="84"/>
      <c r="J96" s="84"/>
      <c r="K96" s="228" t="s">
        <v>231</v>
      </c>
      <c r="L96" s="228" t="s">
        <v>2165</v>
      </c>
    </row>
    <row r="97" spans="2:12">
      <c r="B97" s="228" t="s">
        <v>2166</v>
      </c>
      <c r="C97" s="228" t="s">
        <v>229</v>
      </c>
      <c r="D97" s="229" t="s">
        <v>2167</v>
      </c>
      <c r="E97" s="228" t="s">
        <v>422</v>
      </c>
      <c r="F97" s="229"/>
      <c r="G97" s="200" t="s">
        <v>2168</v>
      </c>
      <c r="H97" s="84"/>
      <c r="I97" s="84"/>
      <c r="J97" s="84"/>
      <c r="K97" s="228" t="s">
        <v>868</v>
      </c>
      <c r="L97" s="228" t="s">
        <v>2169</v>
      </c>
    </row>
    <row r="98" spans="2:12">
      <c r="B98" s="228" t="s">
        <v>2170</v>
      </c>
      <c r="C98" s="228" t="s">
        <v>229</v>
      </c>
      <c r="D98" s="229" t="s">
        <v>1846</v>
      </c>
      <c r="E98" s="228" t="s">
        <v>422</v>
      </c>
      <c r="F98" s="229"/>
      <c r="G98" s="200" t="s">
        <v>1500</v>
      </c>
      <c r="H98" s="84"/>
      <c r="I98" s="84"/>
      <c r="J98" s="84"/>
      <c r="K98" s="228" t="s">
        <v>231</v>
      </c>
      <c r="L98" s="228" t="s">
        <v>2171</v>
      </c>
    </row>
    <row r="99" spans="2:12">
      <c r="B99" s="228" t="s">
        <v>2172</v>
      </c>
      <c r="C99" s="228" t="s">
        <v>229</v>
      </c>
      <c r="D99" s="229" t="s">
        <v>2173</v>
      </c>
      <c r="E99" s="228" t="s">
        <v>422</v>
      </c>
      <c r="F99" s="229" t="s">
        <v>2174</v>
      </c>
      <c r="G99" s="200" t="s">
        <v>2175</v>
      </c>
      <c r="H99" s="84"/>
      <c r="I99" s="84"/>
      <c r="J99" s="84"/>
      <c r="K99" s="228" t="s">
        <v>749</v>
      </c>
      <c r="L99" s="228" t="s">
        <v>2176</v>
      </c>
    </row>
    <row r="100" spans="2:12">
      <c r="B100" s="228" t="s">
        <v>2177</v>
      </c>
      <c r="C100" s="228" t="s">
        <v>229</v>
      </c>
      <c r="D100" s="229" t="s">
        <v>2178</v>
      </c>
      <c r="E100" s="228" t="s">
        <v>422</v>
      </c>
      <c r="F100" s="229" t="s">
        <v>2084</v>
      </c>
      <c r="G100" s="200" t="s">
        <v>2179</v>
      </c>
      <c r="H100" s="84"/>
      <c r="I100" s="84"/>
      <c r="J100" s="84"/>
      <c r="K100" s="228" t="s">
        <v>231</v>
      </c>
      <c r="L100" s="228" t="s">
        <v>2180</v>
      </c>
    </row>
    <row r="101" spans="2:12">
      <c r="B101" s="228" t="s">
        <v>2181</v>
      </c>
      <c r="C101" s="228" t="s">
        <v>229</v>
      </c>
      <c r="D101" s="229" t="s">
        <v>2182</v>
      </c>
      <c r="E101" s="228" t="s">
        <v>422</v>
      </c>
      <c r="F101" s="229" t="s">
        <v>2084</v>
      </c>
      <c r="G101" s="200" t="s">
        <v>2183</v>
      </c>
      <c r="H101" s="84"/>
      <c r="I101" s="84"/>
      <c r="J101" s="84"/>
      <c r="K101" s="228" t="s">
        <v>231</v>
      </c>
      <c r="L101" s="228" t="s">
        <v>2184</v>
      </c>
    </row>
    <row r="102" spans="2:12">
      <c r="B102" s="228" t="s">
        <v>2185</v>
      </c>
      <c r="C102" s="228" t="s">
        <v>229</v>
      </c>
      <c r="D102" s="229" t="s">
        <v>2186</v>
      </c>
      <c r="E102" s="228" t="s">
        <v>422</v>
      </c>
      <c r="F102" s="229" t="s">
        <v>2084</v>
      </c>
      <c r="G102" s="200" t="s">
        <v>2187</v>
      </c>
      <c r="H102" s="84"/>
      <c r="I102" s="84"/>
      <c r="J102" s="84"/>
      <c r="K102" s="228" t="s">
        <v>231</v>
      </c>
      <c r="L102" s="228" t="s">
        <v>2188</v>
      </c>
    </row>
    <row r="103" spans="2:12">
      <c r="B103" s="228" t="s">
        <v>2189</v>
      </c>
      <c r="C103" s="228" t="s">
        <v>229</v>
      </c>
      <c r="D103" s="229" t="s">
        <v>2190</v>
      </c>
      <c r="E103" s="228" t="s">
        <v>422</v>
      </c>
      <c r="F103" s="229"/>
      <c r="G103" s="200" t="s">
        <v>2191</v>
      </c>
      <c r="H103" s="84"/>
      <c r="I103" s="84"/>
      <c r="J103" s="84"/>
      <c r="K103" s="228" t="s">
        <v>231</v>
      </c>
      <c r="L103" s="228" t="s">
        <v>2192</v>
      </c>
    </row>
    <row r="104" spans="2:12">
      <c r="B104" s="228" t="s">
        <v>2193</v>
      </c>
      <c r="C104" s="228" t="s">
        <v>229</v>
      </c>
      <c r="D104" s="229" t="s">
        <v>2194</v>
      </c>
      <c r="E104" s="228" t="s">
        <v>422</v>
      </c>
      <c r="F104" s="229"/>
      <c r="G104" s="200" t="s">
        <v>2195</v>
      </c>
      <c r="H104" s="84"/>
      <c r="I104" s="84"/>
      <c r="J104" s="84"/>
      <c r="K104" s="228" t="s">
        <v>231</v>
      </c>
      <c r="L104" s="228" t="s">
        <v>2196</v>
      </c>
    </row>
    <row r="105" spans="2:12">
      <c r="B105" s="228" t="s">
        <v>2197</v>
      </c>
      <c r="C105" s="228" t="s">
        <v>229</v>
      </c>
      <c r="D105" s="229" t="s">
        <v>2198</v>
      </c>
      <c r="E105" s="228" t="s">
        <v>422</v>
      </c>
      <c r="F105" s="229"/>
      <c r="G105" s="200" t="s">
        <v>2199</v>
      </c>
      <c r="H105" s="84"/>
      <c r="I105" s="84"/>
      <c r="J105" s="84"/>
      <c r="K105" s="228" t="s">
        <v>231</v>
      </c>
      <c r="L105" s="228" t="s">
        <v>2200</v>
      </c>
    </row>
    <row r="106" spans="2:12">
      <c r="B106" s="228" t="s">
        <v>1647</v>
      </c>
      <c r="C106" s="228" t="s">
        <v>203</v>
      </c>
      <c r="D106" s="229" t="s">
        <v>1648</v>
      </c>
      <c r="E106" s="228" t="s">
        <v>422</v>
      </c>
      <c r="F106" s="229" t="s">
        <v>2006</v>
      </c>
      <c r="G106" s="200" t="s">
        <v>897</v>
      </c>
      <c r="H106" s="84"/>
      <c r="I106" s="84"/>
      <c r="J106" s="84"/>
      <c r="K106" s="228" t="s">
        <v>1754</v>
      </c>
      <c r="L106" s="228" t="s">
        <v>1650</v>
      </c>
    </row>
    <row r="107" spans="2:12">
      <c r="B107" s="228" t="s">
        <v>1756</v>
      </c>
      <c r="C107" s="228" t="s">
        <v>229</v>
      </c>
      <c r="D107" s="229" t="s">
        <v>1757</v>
      </c>
      <c r="E107" s="228" t="s">
        <v>422</v>
      </c>
      <c r="F107" s="229" t="s">
        <v>2006</v>
      </c>
      <c r="G107" s="200" t="s">
        <v>2201</v>
      </c>
      <c r="H107" s="84"/>
      <c r="I107" s="84"/>
      <c r="J107" s="84"/>
      <c r="K107" s="228" t="s">
        <v>231</v>
      </c>
      <c r="L107" s="228" t="s">
        <v>1759</v>
      </c>
    </row>
    <row r="108" spans="2:12">
      <c r="B108" s="228" t="s">
        <v>1760</v>
      </c>
      <c r="C108" s="228" t="s">
        <v>229</v>
      </c>
      <c r="D108" s="229" t="s">
        <v>1761</v>
      </c>
      <c r="E108" s="228" t="s">
        <v>422</v>
      </c>
      <c r="F108" s="229" t="s">
        <v>2006</v>
      </c>
      <c r="G108" s="200" t="s">
        <v>2202</v>
      </c>
      <c r="H108" s="84"/>
      <c r="I108" s="84"/>
      <c r="J108" s="84"/>
      <c r="K108" s="228" t="s">
        <v>231</v>
      </c>
      <c r="L108" s="228" t="s">
        <v>1763</v>
      </c>
    </row>
    <row r="109" spans="2:12">
      <c r="B109" s="228" t="s">
        <v>1764</v>
      </c>
      <c r="C109" s="228" t="s">
        <v>229</v>
      </c>
      <c r="D109" s="229" t="s">
        <v>1765</v>
      </c>
      <c r="E109" s="228" t="s">
        <v>422</v>
      </c>
      <c r="F109" s="229" t="s">
        <v>2006</v>
      </c>
      <c r="G109" s="200" t="s">
        <v>2203</v>
      </c>
      <c r="H109" s="84"/>
      <c r="I109" s="84"/>
      <c r="J109" s="84"/>
      <c r="K109" s="228" t="s">
        <v>231</v>
      </c>
      <c r="L109" s="228" t="s">
        <v>1767</v>
      </c>
    </row>
    <row r="110" spans="2:12">
      <c r="B110" s="228" t="s">
        <v>1768</v>
      </c>
      <c r="C110" s="228" t="s">
        <v>229</v>
      </c>
      <c r="D110" s="229" t="s">
        <v>1769</v>
      </c>
      <c r="E110" s="228" t="s">
        <v>422</v>
      </c>
      <c r="F110" s="229" t="s">
        <v>2006</v>
      </c>
      <c r="G110" s="200" t="s">
        <v>2204</v>
      </c>
      <c r="H110" s="84"/>
      <c r="I110" s="84"/>
      <c r="J110" s="84"/>
      <c r="K110" s="228" t="s">
        <v>231</v>
      </c>
      <c r="L110" s="228" t="s">
        <v>1771</v>
      </c>
    </row>
    <row r="111" spans="2:12">
      <c r="B111" s="228" t="s">
        <v>1772</v>
      </c>
      <c r="C111" s="228" t="s">
        <v>229</v>
      </c>
      <c r="D111" s="229" t="s">
        <v>1773</v>
      </c>
      <c r="E111" s="228" t="s">
        <v>422</v>
      </c>
      <c r="F111" s="229" t="s">
        <v>2006</v>
      </c>
      <c r="G111" s="200" t="s">
        <v>2205</v>
      </c>
      <c r="H111" s="84"/>
      <c r="I111" s="84"/>
      <c r="J111" s="84"/>
      <c r="K111" s="228" t="s">
        <v>231</v>
      </c>
      <c r="L111" s="228" t="s">
        <v>1775</v>
      </c>
    </row>
    <row r="112" spans="2:12">
      <c r="B112" s="228" t="s">
        <v>1651</v>
      </c>
      <c r="C112" s="228" t="s">
        <v>203</v>
      </c>
      <c r="D112" s="229" t="s">
        <v>1652</v>
      </c>
      <c r="E112" s="228" t="s">
        <v>422</v>
      </c>
      <c r="F112" s="229" t="s">
        <v>2008</v>
      </c>
      <c r="G112" s="200" t="s">
        <v>2206</v>
      </c>
      <c r="H112" s="84"/>
      <c r="I112" s="84"/>
      <c r="J112" s="84"/>
      <c r="K112" s="228" t="s">
        <v>1754</v>
      </c>
      <c r="L112" s="228" t="s">
        <v>1654</v>
      </c>
    </row>
    <row r="113" spans="2:12">
      <c r="B113" s="228" t="s">
        <v>1776</v>
      </c>
      <c r="C113" s="228" t="s">
        <v>229</v>
      </c>
      <c r="D113" s="229" t="s">
        <v>1777</v>
      </c>
      <c r="E113" s="228" t="s">
        <v>422</v>
      </c>
      <c r="F113" s="229" t="s">
        <v>2008</v>
      </c>
      <c r="G113" s="200" t="s">
        <v>2207</v>
      </c>
      <c r="H113" s="84"/>
      <c r="I113" s="84"/>
      <c r="J113" s="84"/>
      <c r="K113" s="228" t="s">
        <v>231</v>
      </c>
      <c r="L113" s="228" t="s">
        <v>1779</v>
      </c>
    </row>
    <row r="114" spans="2:12">
      <c r="B114" s="228" t="s">
        <v>1780</v>
      </c>
      <c r="C114" s="228" t="s">
        <v>229</v>
      </c>
      <c r="D114" s="229" t="s">
        <v>1781</v>
      </c>
      <c r="E114" s="228" t="s">
        <v>422</v>
      </c>
      <c r="F114" s="229" t="s">
        <v>2008</v>
      </c>
      <c r="G114" s="200" t="s">
        <v>2208</v>
      </c>
      <c r="H114" s="84"/>
      <c r="I114" s="84"/>
      <c r="J114" s="84"/>
      <c r="K114" s="228" t="s">
        <v>231</v>
      </c>
      <c r="L114" s="228" t="s">
        <v>1783</v>
      </c>
    </row>
    <row r="115" spans="2:12">
      <c r="B115" s="228" t="s">
        <v>1784</v>
      </c>
      <c r="C115" s="228" t="s">
        <v>229</v>
      </c>
      <c r="D115" s="229" t="s">
        <v>1785</v>
      </c>
      <c r="E115" s="228" t="s">
        <v>422</v>
      </c>
      <c r="F115" s="229" t="s">
        <v>2008</v>
      </c>
      <c r="G115" s="200" t="s">
        <v>2209</v>
      </c>
      <c r="H115" s="84"/>
      <c r="I115" s="84"/>
      <c r="J115" s="84"/>
      <c r="K115" s="228" t="s">
        <v>231</v>
      </c>
      <c r="L115" s="228" t="s">
        <v>1787</v>
      </c>
    </row>
    <row r="116" spans="2:12">
      <c r="B116" s="228" t="s">
        <v>1788</v>
      </c>
      <c r="C116" s="228" t="s">
        <v>229</v>
      </c>
      <c r="D116" s="229" t="s">
        <v>1789</v>
      </c>
      <c r="E116" s="228" t="s">
        <v>422</v>
      </c>
      <c r="F116" s="229" t="s">
        <v>2008</v>
      </c>
      <c r="G116" s="200" t="s">
        <v>2210</v>
      </c>
      <c r="H116" s="84"/>
      <c r="I116" s="84"/>
      <c r="J116" s="84"/>
      <c r="K116" s="228" t="s">
        <v>231</v>
      </c>
      <c r="L116" s="228" t="s">
        <v>1791</v>
      </c>
    </row>
    <row r="117" spans="2:12">
      <c r="B117" s="228" t="s">
        <v>1792</v>
      </c>
      <c r="C117" s="228" t="s">
        <v>229</v>
      </c>
      <c r="D117" s="229" t="s">
        <v>1793</v>
      </c>
      <c r="E117" s="228" t="s">
        <v>422</v>
      </c>
      <c r="F117" s="229" t="s">
        <v>2008</v>
      </c>
      <c r="G117" s="200" t="s">
        <v>2211</v>
      </c>
      <c r="H117" s="84"/>
      <c r="I117" s="84"/>
      <c r="J117" s="84"/>
      <c r="K117" s="228" t="s">
        <v>231</v>
      </c>
      <c r="L117" s="228" t="s">
        <v>1795</v>
      </c>
    </row>
    <row r="118" spans="2:12">
      <c r="B118" s="228" t="s">
        <v>1655</v>
      </c>
      <c r="C118" s="228" t="s">
        <v>203</v>
      </c>
      <c r="D118" s="229" t="s">
        <v>1656</v>
      </c>
      <c r="E118" s="228" t="s">
        <v>422</v>
      </c>
      <c r="F118" s="229" t="s">
        <v>2212</v>
      </c>
      <c r="G118" s="200" t="s">
        <v>2213</v>
      </c>
      <c r="H118" s="84"/>
      <c r="I118" s="84"/>
      <c r="J118" s="84"/>
      <c r="K118" s="228" t="s">
        <v>1754</v>
      </c>
      <c r="L118" s="228" t="s">
        <v>1658</v>
      </c>
    </row>
    <row r="119" spans="2:12">
      <c r="B119" s="228" t="s">
        <v>2214</v>
      </c>
      <c r="C119" s="228" t="s">
        <v>229</v>
      </c>
      <c r="D119" s="229" t="s">
        <v>2215</v>
      </c>
      <c r="E119" s="228" t="s">
        <v>422</v>
      </c>
      <c r="F119" s="229" t="s">
        <v>2212</v>
      </c>
      <c r="G119" s="200" t="s">
        <v>2216</v>
      </c>
      <c r="H119" s="84"/>
      <c r="I119" s="84"/>
      <c r="J119" s="84"/>
      <c r="K119" s="228" t="s">
        <v>231</v>
      </c>
      <c r="L119" s="228" t="s">
        <v>2217</v>
      </c>
    </row>
    <row r="120" spans="2:12">
      <c r="B120" s="228" t="s">
        <v>2218</v>
      </c>
      <c r="C120" s="228" t="s">
        <v>229</v>
      </c>
      <c r="D120" s="229" t="s">
        <v>2219</v>
      </c>
      <c r="E120" s="228" t="s">
        <v>422</v>
      </c>
      <c r="F120" s="229" t="s">
        <v>2212</v>
      </c>
      <c r="G120" s="200" t="s">
        <v>2220</v>
      </c>
      <c r="H120" s="84"/>
      <c r="I120" s="84"/>
      <c r="J120" s="84"/>
      <c r="K120" s="228" t="s">
        <v>231</v>
      </c>
      <c r="L120" s="228" t="s">
        <v>2221</v>
      </c>
    </row>
    <row r="121" spans="2:12">
      <c r="B121" s="228" t="s">
        <v>2222</v>
      </c>
      <c r="C121" s="228" t="s">
        <v>229</v>
      </c>
      <c r="D121" s="229" t="s">
        <v>2223</v>
      </c>
      <c r="E121" s="228" t="s">
        <v>422</v>
      </c>
      <c r="F121" s="229" t="s">
        <v>2212</v>
      </c>
      <c r="G121" s="200" t="s">
        <v>2224</v>
      </c>
      <c r="H121" s="84"/>
      <c r="I121" s="84"/>
      <c r="J121" s="84"/>
      <c r="K121" s="228" t="s">
        <v>231</v>
      </c>
      <c r="L121" s="228" t="s">
        <v>2225</v>
      </c>
    </row>
    <row r="122" spans="2:12">
      <c r="B122" s="228" t="s">
        <v>2226</v>
      </c>
      <c r="C122" s="228" t="s">
        <v>229</v>
      </c>
      <c r="D122" s="229" t="s">
        <v>2227</v>
      </c>
      <c r="E122" s="228" t="s">
        <v>422</v>
      </c>
      <c r="F122" s="229" t="s">
        <v>2212</v>
      </c>
      <c r="G122" s="200" t="s">
        <v>2228</v>
      </c>
      <c r="H122" s="84"/>
      <c r="I122" s="84"/>
      <c r="J122" s="84"/>
      <c r="K122" s="228" t="s">
        <v>231</v>
      </c>
      <c r="L122" s="228" t="s">
        <v>2229</v>
      </c>
    </row>
    <row r="123" spans="2:12">
      <c r="B123" s="228" t="s">
        <v>2230</v>
      </c>
      <c r="C123" s="228" t="s">
        <v>229</v>
      </c>
      <c r="D123" s="229" t="s">
        <v>2231</v>
      </c>
      <c r="E123" s="228" t="s">
        <v>422</v>
      </c>
      <c r="F123" s="229" t="s">
        <v>2212</v>
      </c>
      <c r="G123" s="200" t="s">
        <v>2232</v>
      </c>
      <c r="H123" s="84"/>
      <c r="I123" s="84"/>
      <c r="J123" s="84"/>
      <c r="K123" s="228" t="s">
        <v>231</v>
      </c>
      <c r="L123" s="228" t="s">
        <v>2233</v>
      </c>
    </row>
    <row r="124" spans="2:12">
      <c r="B124" s="228" t="s">
        <v>2234</v>
      </c>
      <c r="C124" s="228" t="s">
        <v>203</v>
      </c>
      <c r="D124" s="229" t="s">
        <v>2235</v>
      </c>
      <c r="E124" s="228" t="s">
        <v>422</v>
      </c>
      <c r="F124" s="229" t="s">
        <v>2041</v>
      </c>
      <c r="G124" s="200" t="s">
        <v>2236</v>
      </c>
      <c r="H124" s="84"/>
      <c r="I124" s="84"/>
      <c r="J124" s="84"/>
      <c r="K124" s="228" t="s">
        <v>749</v>
      </c>
      <c r="L124" s="228" t="s">
        <v>2237</v>
      </c>
    </row>
    <row r="125" spans="2:12">
      <c r="B125" s="228" t="s">
        <v>2238</v>
      </c>
      <c r="C125" s="228" t="s">
        <v>229</v>
      </c>
      <c r="D125" s="229" t="s">
        <v>2239</v>
      </c>
      <c r="E125" s="228" t="s">
        <v>422</v>
      </c>
      <c r="F125" s="229" t="s">
        <v>2041</v>
      </c>
      <c r="G125" s="200" t="s">
        <v>2240</v>
      </c>
      <c r="H125" s="84"/>
      <c r="I125" s="84"/>
      <c r="J125" s="84"/>
      <c r="K125" s="228" t="s">
        <v>231</v>
      </c>
      <c r="L125" s="228" t="s">
        <v>2048</v>
      </c>
    </row>
    <row r="126" spans="2:12">
      <c r="B126" s="228" t="s">
        <v>2241</v>
      </c>
      <c r="C126" s="228" t="s">
        <v>229</v>
      </c>
      <c r="D126" s="229" t="s">
        <v>2242</v>
      </c>
      <c r="E126" s="228" t="s">
        <v>422</v>
      </c>
      <c r="F126" s="229" t="s">
        <v>2041</v>
      </c>
      <c r="G126" s="200" t="s">
        <v>2243</v>
      </c>
      <c r="H126" s="84"/>
      <c r="I126" s="84"/>
      <c r="J126" s="84"/>
      <c r="K126" s="228" t="s">
        <v>231</v>
      </c>
      <c r="L126" s="228" t="s">
        <v>2244</v>
      </c>
    </row>
    <row r="127" spans="2:12">
      <c r="B127" s="228" t="s">
        <v>2245</v>
      </c>
      <c r="C127" s="228" t="s">
        <v>229</v>
      </c>
      <c r="D127" s="229" t="s">
        <v>2246</v>
      </c>
      <c r="E127" s="228" t="s">
        <v>422</v>
      </c>
      <c r="F127" s="229" t="s">
        <v>2041</v>
      </c>
      <c r="G127" s="200" t="s">
        <v>2247</v>
      </c>
      <c r="H127" s="84"/>
      <c r="I127" s="84"/>
      <c r="J127" s="84"/>
      <c r="K127" s="228" t="s">
        <v>231</v>
      </c>
      <c r="L127" s="228" t="s">
        <v>2248</v>
      </c>
    </row>
    <row r="128" spans="2:12">
      <c r="B128" s="228" t="s">
        <v>2249</v>
      </c>
      <c r="C128" s="228" t="s">
        <v>229</v>
      </c>
      <c r="D128" s="229" t="s">
        <v>2250</v>
      </c>
      <c r="E128" s="228" t="s">
        <v>422</v>
      </c>
      <c r="F128" s="229" t="s">
        <v>2041</v>
      </c>
      <c r="G128" s="200" t="s">
        <v>2251</v>
      </c>
      <c r="H128" s="84"/>
      <c r="I128" s="84"/>
      <c r="J128" s="84"/>
      <c r="K128" s="228" t="s">
        <v>231</v>
      </c>
      <c r="L128" s="228" t="s">
        <v>2252</v>
      </c>
    </row>
    <row r="129" spans="2:12">
      <c r="B129" s="228" t="s">
        <v>2253</v>
      </c>
      <c r="C129" s="228" t="s">
        <v>229</v>
      </c>
      <c r="D129" s="229" t="s">
        <v>2254</v>
      </c>
      <c r="E129" s="228" t="s">
        <v>422</v>
      </c>
      <c r="F129" s="229" t="s">
        <v>2041</v>
      </c>
      <c r="G129" s="200" t="s">
        <v>2255</v>
      </c>
      <c r="H129" s="84"/>
      <c r="I129" s="84"/>
      <c r="J129" s="84"/>
      <c r="K129" s="228" t="s">
        <v>231</v>
      </c>
      <c r="L129" s="228" t="s">
        <v>2256</v>
      </c>
    </row>
    <row r="130" spans="2:12">
      <c r="B130" s="228" t="s">
        <v>2257</v>
      </c>
      <c r="C130" s="228" t="s">
        <v>203</v>
      </c>
      <c r="D130" s="229" t="s">
        <v>2258</v>
      </c>
      <c r="E130" s="228" t="s">
        <v>422</v>
      </c>
      <c r="F130" s="229"/>
      <c r="G130" s="200" t="s">
        <v>2259</v>
      </c>
      <c r="H130" s="84"/>
      <c r="I130" s="84"/>
      <c r="J130" s="84"/>
      <c r="K130" s="228" t="s">
        <v>749</v>
      </c>
      <c r="L130" s="228" t="s">
        <v>2260</v>
      </c>
    </row>
    <row r="131" spans="2:12">
      <c r="B131" s="228" t="s">
        <v>2261</v>
      </c>
      <c r="C131" s="228" t="s">
        <v>229</v>
      </c>
      <c r="D131" s="229" t="s">
        <v>2262</v>
      </c>
      <c r="E131" s="228" t="s">
        <v>422</v>
      </c>
      <c r="F131" s="229"/>
      <c r="G131" s="200" t="s">
        <v>2263</v>
      </c>
      <c r="H131" s="84"/>
      <c r="I131" s="84"/>
      <c r="J131" s="84"/>
      <c r="K131" s="228" t="s">
        <v>231</v>
      </c>
      <c r="L131" s="228" t="s">
        <v>2264</v>
      </c>
    </row>
    <row r="132" spans="2:12">
      <c r="B132" s="228" t="s">
        <v>2265</v>
      </c>
      <c r="C132" s="228" t="s">
        <v>229</v>
      </c>
      <c r="D132" s="229" t="s">
        <v>2266</v>
      </c>
      <c r="E132" s="228" t="s">
        <v>422</v>
      </c>
      <c r="F132" s="229"/>
      <c r="G132" s="200" t="s">
        <v>2267</v>
      </c>
      <c r="H132" s="84"/>
      <c r="I132" s="84"/>
      <c r="J132" s="84"/>
      <c r="K132" s="228" t="s">
        <v>231</v>
      </c>
      <c r="L132" s="228" t="s">
        <v>2268</v>
      </c>
    </row>
    <row r="133" spans="2:12">
      <c r="B133" s="228" t="s">
        <v>2269</v>
      </c>
      <c r="C133" s="228" t="s">
        <v>229</v>
      </c>
      <c r="D133" s="229" t="s">
        <v>2270</v>
      </c>
      <c r="E133" s="228" t="s">
        <v>422</v>
      </c>
      <c r="F133" s="229"/>
      <c r="G133" s="200" t="s">
        <v>2271</v>
      </c>
      <c r="H133" s="84"/>
      <c r="I133" s="84"/>
      <c r="J133" s="84"/>
      <c r="K133" s="228" t="s">
        <v>231</v>
      </c>
      <c r="L133" s="228" t="s">
        <v>2272</v>
      </c>
    </row>
    <row r="134" spans="2:12">
      <c r="B134" s="228" t="s">
        <v>2273</v>
      </c>
      <c r="C134" s="228" t="s">
        <v>229</v>
      </c>
      <c r="D134" s="229" t="s">
        <v>2274</v>
      </c>
      <c r="E134" s="228" t="s">
        <v>422</v>
      </c>
      <c r="F134" s="229"/>
      <c r="G134" s="200" t="s">
        <v>2275</v>
      </c>
      <c r="H134" s="84"/>
      <c r="I134" s="84"/>
      <c r="J134" s="84"/>
      <c r="K134" s="228" t="s">
        <v>231</v>
      </c>
      <c r="L134" s="228" t="s">
        <v>2276</v>
      </c>
    </row>
    <row r="135" spans="2:12">
      <c r="B135" s="228" t="s">
        <v>2277</v>
      </c>
      <c r="C135" s="228" t="s">
        <v>229</v>
      </c>
      <c r="D135" s="229" t="s">
        <v>2278</v>
      </c>
      <c r="E135" s="228" t="s">
        <v>422</v>
      </c>
      <c r="F135" s="229"/>
      <c r="G135" s="200" t="s">
        <v>2279</v>
      </c>
      <c r="H135" s="84"/>
      <c r="I135" s="84"/>
      <c r="J135" s="84"/>
      <c r="K135" s="228" t="s">
        <v>231</v>
      </c>
      <c r="L135" s="228" t="s">
        <v>2280</v>
      </c>
    </row>
    <row r="136" spans="2:12">
      <c r="B136" s="228" t="s">
        <v>2281</v>
      </c>
      <c r="C136" s="228" t="s">
        <v>203</v>
      </c>
      <c r="D136" s="229" t="s">
        <v>2282</v>
      </c>
      <c r="E136" s="228" t="s">
        <v>422</v>
      </c>
      <c r="F136" s="229" t="s">
        <v>2068</v>
      </c>
      <c r="G136" s="200" t="s">
        <v>2283</v>
      </c>
      <c r="H136" s="84"/>
      <c r="I136" s="84"/>
      <c r="J136" s="84"/>
      <c r="K136" s="228" t="s">
        <v>1754</v>
      </c>
      <c r="L136" s="228" t="s">
        <v>2284</v>
      </c>
    </row>
    <row r="137" spans="2:12">
      <c r="B137" s="228" t="s">
        <v>2285</v>
      </c>
      <c r="C137" s="228" t="s">
        <v>229</v>
      </c>
      <c r="D137" s="229" t="s">
        <v>2286</v>
      </c>
      <c r="E137" s="228" t="s">
        <v>422</v>
      </c>
      <c r="F137" s="229" t="s">
        <v>2068</v>
      </c>
      <c r="G137" s="200" t="s">
        <v>2287</v>
      </c>
      <c r="H137" s="84"/>
      <c r="I137" s="84"/>
      <c r="J137" s="84"/>
      <c r="K137" s="228" t="s">
        <v>231</v>
      </c>
      <c r="L137" s="228" t="s">
        <v>2288</v>
      </c>
    </row>
    <row r="138" spans="2:12">
      <c r="B138" s="228" t="s">
        <v>2289</v>
      </c>
      <c r="C138" s="228" t="s">
        <v>229</v>
      </c>
      <c r="D138" s="229" t="s">
        <v>2290</v>
      </c>
      <c r="E138" s="228" t="s">
        <v>422</v>
      </c>
      <c r="F138" s="229" t="s">
        <v>2068</v>
      </c>
      <c r="G138" s="200" t="s">
        <v>2291</v>
      </c>
      <c r="H138" s="84"/>
      <c r="I138" s="84"/>
      <c r="J138" s="84"/>
      <c r="K138" s="228" t="s">
        <v>231</v>
      </c>
      <c r="L138" s="228" t="s">
        <v>2292</v>
      </c>
    </row>
    <row r="139" spans="2:12">
      <c r="B139" s="228" t="s">
        <v>2293</v>
      </c>
      <c r="C139" s="228" t="s">
        <v>229</v>
      </c>
      <c r="D139" s="229" t="s">
        <v>2294</v>
      </c>
      <c r="E139" s="228" t="s">
        <v>422</v>
      </c>
      <c r="F139" s="229" t="s">
        <v>2068</v>
      </c>
      <c r="G139" s="200" t="s">
        <v>2295</v>
      </c>
      <c r="H139" s="84"/>
      <c r="I139" s="84"/>
      <c r="J139" s="84"/>
      <c r="K139" s="228" t="s">
        <v>231</v>
      </c>
      <c r="L139" s="228" t="s">
        <v>2296</v>
      </c>
    </row>
    <row r="140" spans="2:12">
      <c r="B140" s="228" t="s">
        <v>2297</v>
      </c>
      <c r="C140" s="228" t="s">
        <v>229</v>
      </c>
      <c r="D140" s="229" t="s">
        <v>2298</v>
      </c>
      <c r="E140" s="228" t="s">
        <v>422</v>
      </c>
      <c r="F140" s="229" t="s">
        <v>2068</v>
      </c>
      <c r="G140" s="200" t="s">
        <v>2299</v>
      </c>
      <c r="H140" s="84"/>
      <c r="I140" s="84"/>
      <c r="J140" s="84"/>
      <c r="K140" s="228" t="s">
        <v>231</v>
      </c>
      <c r="L140" s="228" t="s">
        <v>2300</v>
      </c>
    </row>
    <row r="141" spans="2:12">
      <c r="B141" s="228" t="s">
        <v>2301</v>
      </c>
      <c r="C141" s="228" t="s">
        <v>229</v>
      </c>
      <c r="D141" s="229" t="s">
        <v>2302</v>
      </c>
      <c r="E141" s="228" t="s">
        <v>422</v>
      </c>
      <c r="F141" s="229" t="s">
        <v>2068</v>
      </c>
      <c r="G141" s="200" t="s">
        <v>2303</v>
      </c>
      <c r="H141" s="84"/>
      <c r="I141" s="84"/>
      <c r="J141" s="84"/>
      <c r="K141" s="228" t="s">
        <v>231</v>
      </c>
      <c r="L141" s="228" t="s">
        <v>2304</v>
      </c>
    </row>
    <row r="142" s="240" customFormat="1" spans="1:12">
      <c r="A142" s="191"/>
      <c r="B142" s="248" t="s">
        <v>2305</v>
      </c>
      <c r="C142" s="248" t="s">
        <v>203</v>
      </c>
      <c r="D142" s="200" t="s">
        <v>2306</v>
      </c>
      <c r="E142" s="248" t="s">
        <v>422</v>
      </c>
      <c r="F142" s="200" t="s">
        <v>2058</v>
      </c>
      <c r="G142" s="200" t="s">
        <v>2307</v>
      </c>
      <c r="H142" s="234"/>
      <c r="I142" s="234"/>
      <c r="J142" s="234"/>
      <c r="K142" s="248" t="s">
        <v>1754</v>
      </c>
      <c r="L142" s="248" t="s">
        <v>2308</v>
      </c>
    </row>
    <row r="143" s="240" customFormat="1" spans="1:12">
      <c r="A143" s="191"/>
      <c r="B143" s="248" t="s">
        <v>2309</v>
      </c>
      <c r="C143" s="248" t="s">
        <v>229</v>
      </c>
      <c r="D143" s="200" t="s">
        <v>2310</v>
      </c>
      <c r="E143" s="248" t="s">
        <v>422</v>
      </c>
      <c r="F143" s="200" t="s">
        <v>2058</v>
      </c>
      <c r="G143" s="200" t="s">
        <v>2311</v>
      </c>
      <c r="H143" s="234"/>
      <c r="I143" s="234"/>
      <c r="J143" s="234"/>
      <c r="K143" s="248" t="s">
        <v>231</v>
      </c>
      <c r="L143" s="248" t="s">
        <v>2312</v>
      </c>
    </row>
    <row r="144" s="240" customFormat="1" spans="1:12">
      <c r="A144" s="191"/>
      <c r="B144" s="248" t="s">
        <v>2313</v>
      </c>
      <c r="C144" s="248" t="s">
        <v>229</v>
      </c>
      <c r="D144" s="200" t="s">
        <v>2314</v>
      </c>
      <c r="E144" s="248" t="s">
        <v>422</v>
      </c>
      <c r="F144" s="200" t="s">
        <v>2058</v>
      </c>
      <c r="G144" s="200" t="s">
        <v>2315</v>
      </c>
      <c r="H144" s="234"/>
      <c r="I144" s="234"/>
      <c r="J144" s="234"/>
      <c r="K144" s="248" t="s">
        <v>231</v>
      </c>
      <c r="L144" s="248" t="s">
        <v>2316</v>
      </c>
    </row>
    <row r="145" s="240" customFormat="1" spans="1:12">
      <c r="A145" s="191"/>
      <c r="B145" s="248" t="s">
        <v>2317</v>
      </c>
      <c r="C145" s="248" t="s">
        <v>229</v>
      </c>
      <c r="D145" s="200" t="s">
        <v>2318</v>
      </c>
      <c r="E145" s="248" t="s">
        <v>422</v>
      </c>
      <c r="F145" s="200" t="s">
        <v>2058</v>
      </c>
      <c r="G145" s="200" t="s">
        <v>2319</v>
      </c>
      <c r="H145" s="234"/>
      <c r="I145" s="234"/>
      <c r="J145" s="234"/>
      <c r="K145" s="248" t="s">
        <v>231</v>
      </c>
      <c r="L145" s="248" t="s">
        <v>2320</v>
      </c>
    </row>
    <row r="146" s="240" customFormat="1" spans="1:12">
      <c r="A146" s="191"/>
      <c r="B146" s="248" t="s">
        <v>2321</v>
      </c>
      <c r="C146" s="248" t="s">
        <v>229</v>
      </c>
      <c r="D146" s="200" t="s">
        <v>2322</v>
      </c>
      <c r="E146" s="248" t="s">
        <v>422</v>
      </c>
      <c r="F146" s="200" t="s">
        <v>2058</v>
      </c>
      <c r="G146" s="200" t="s">
        <v>2323</v>
      </c>
      <c r="H146" s="234"/>
      <c r="I146" s="234"/>
      <c r="J146" s="234"/>
      <c r="K146" s="248" t="s">
        <v>231</v>
      </c>
      <c r="L146" s="248" t="s">
        <v>2324</v>
      </c>
    </row>
    <row r="147" s="240" customFormat="1" spans="1:12">
      <c r="A147" s="191"/>
      <c r="B147" s="248" t="s">
        <v>2325</v>
      </c>
      <c r="C147" s="248" t="s">
        <v>229</v>
      </c>
      <c r="D147" s="200" t="s">
        <v>2326</v>
      </c>
      <c r="E147" s="248" t="s">
        <v>422</v>
      </c>
      <c r="F147" s="200" t="s">
        <v>2058</v>
      </c>
      <c r="G147" s="200" t="s">
        <v>2327</v>
      </c>
      <c r="H147" s="234"/>
      <c r="I147" s="234"/>
      <c r="J147" s="234"/>
      <c r="K147" s="248" t="s">
        <v>231</v>
      </c>
      <c r="L147" s="248" t="s">
        <v>2328</v>
      </c>
    </row>
    <row r="148" s="240" customFormat="1" spans="1:12">
      <c r="A148" s="191"/>
      <c r="B148" s="248" t="s">
        <v>2329</v>
      </c>
      <c r="C148" s="248" t="s">
        <v>203</v>
      </c>
      <c r="D148" s="200" t="s">
        <v>2330</v>
      </c>
      <c r="E148" s="248" t="s">
        <v>422</v>
      </c>
      <c r="F148" s="200" t="s">
        <v>2331</v>
      </c>
      <c r="G148" s="200" t="s">
        <v>2085</v>
      </c>
      <c r="H148" s="234"/>
      <c r="I148" s="234"/>
      <c r="J148" s="234"/>
      <c r="K148" s="248" t="s">
        <v>749</v>
      </c>
      <c r="L148" s="248" t="s">
        <v>2332</v>
      </c>
    </row>
    <row r="149" s="240" customFormat="1" spans="1:12">
      <c r="A149" s="191"/>
      <c r="B149" s="248" t="s">
        <v>2333</v>
      </c>
      <c r="C149" s="248" t="s">
        <v>229</v>
      </c>
      <c r="D149" s="200" t="s">
        <v>2334</v>
      </c>
      <c r="E149" s="248" t="s">
        <v>422</v>
      </c>
      <c r="F149" s="200" t="s">
        <v>2084</v>
      </c>
      <c r="G149" s="200" t="s">
        <v>2335</v>
      </c>
      <c r="H149" s="234"/>
      <c r="I149" s="234"/>
      <c r="J149" s="234"/>
      <c r="K149" s="248" t="s">
        <v>231</v>
      </c>
      <c r="L149" s="248" t="s">
        <v>2336</v>
      </c>
    </row>
    <row r="150" s="240" customFormat="1" spans="1:12">
      <c r="A150" s="191"/>
      <c r="B150" s="248" t="s">
        <v>2337</v>
      </c>
      <c r="C150" s="248" t="s">
        <v>229</v>
      </c>
      <c r="D150" s="200" t="s">
        <v>2338</v>
      </c>
      <c r="E150" s="248" t="s">
        <v>422</v>
      </c>
      <c r="F150" s="200" t="s">
        <v>2084</v>
      </c>
      <c r="G150" s="200" t="s">
        <v>2339</v>
      </c>
      <c r="H150" s="234"/>
      <c r="I150" s="234"/>
      <c r="J150" s="234"/>
      <c r="K150" s="248" t="s">
        <v>231</v>
      </c>
      <c r="L150" s="248" t="s">
        <v>2340</v>
      </c>
    </row>
    <row r="151" s="240" customFormat="1" spans="1:12">
      <c r="A151" s="191"/>
      <c r="B151" s="248" t="s">
        <v>2341</v>
      </c>
      <c r="C151" s="248" t="s">
        <v>229</v>
      </c>
      <c r="D151" s="200" t="s">
        <v>2342</v>
      </c>
      <c r="E151" s="248" t="s">
        <v>422</v>
      </c>
      <c r="F151" s="200" t="s">
        <v>2084</v>
      </c>
      <c r="G151" s="200" t="s">
        <v>2343</v>
      </c>
      <c r="H151" s="234"/>
      <c r="I151" s="234"/>
      <c r="J151" s="234"/>
      <c r="K151" s="248" t="s">
        <v>231</v>
      </c>
      <c r="L151" s="248" t="s">
        <v>2344</v>
      </c>
    </row>
    <row r="152" s="240" customFormat="1" spans="1:12">
      <c r="A152" s="191"/>
      <c r="B152" s="248" t="s">
        <v>2345</v>
      </c>
      <c r="C152" s="248" t="s">
        <v>229</v>
      </c>
      <c r="D152" s="200" t="s">
        <v>2346</v>
      </c>
      <c r="E152" s="248" t="s">
        <v>422</v>
      </c>
      <c r="F152" s="200" t="s">
        <v>2084</v>
      </c>
      <c r="G152" s="200" t="s">
        <v>2347</v>
      </c>
      <c r="H152" s="234"/>
      <c r="I152" s="234"/>
      <c r="J152" s="234"/>
      <c r="K152" s="248" t="s">
        <v>231</v>
      </c>
      <c r="L152" s="248" t="s">
        <v>2348</v>
      </c>
    </row>
    <row r="153" s="240" customFormat="1" spans="1:12">
      <c r="A153" s="191"/>
      <c r="B153" s="248" t="s">
        <v>2349</v>
      </c>
      <c r="C153" s="248" t="s">
        <v>229</v>
      </c>
      <c r="D153" s="200" t="s">
        <v>2350</v>
      </c>
      <c r="E153" s="248" t="s">
        <v>422</v>
      </c>
      <c r="F153" s="200" t="s">
        <v>2084</v>
      </c>
      <c r="G153" s="200" t="s">
        <v>2351</v>
      </c>
      <c r="H153" s="234"/>
      <c r="I153" s="234"/>
      <c r="J153" s="234"/>
      <c r="K153" s="248" t="s">
        <v>231</v>
      </c>
      <c r="L153" s="248" t="s">
        <v>2180</v>
      </c>
    </row>
    <row r="154" s="240" customFormat="1" spans="1:12">
      <c r="A154" s="191"/>
      <c r="B154" s="248" t="s">
        <v>2352</v>
      </c>
      <c r="C154" s="248" t="s">
        <v>203</v>
      </c>
      <c r="D154" s="200" t="s">
        <v>2353</v>
      </c>
      <c r="E154" s="248" t="s">
        <v>422</v>
      </c>
      <c r="F154" s="200" t="s">
        <v>2115</v>
      </c>
      <c r="G154" s="200" t="s">
        <v>2354</v>
      </c>
      <c r="H154" s="234"/>
      <c r="I154" s="234"/>
      <c r="J154" s="234"/>
      <c r="K154" s="248" t="s">
        <v>615</v>
      </c>
      <c r="L154" s="248" t="s">
        <v>2355</v>
      </c>
    </row>
    <row r="155" s="240" customFormat="1" spans="1:12">
      <c r="A155" s="191"/>
      <c r="B155" s="248" t="s">
        <v>2356</v>
      </c>
      <c r="C155" s="248" t="s">
        <v>229</v>
      </c>
      <c r="D155" s="200" t="s">
        <v>2357</v>
      </c>
      <c r="E155" s="248" t="s">
        <v>422</v>
      </c>
      <c r="F155" s="200" t="s">
        <v>2115</v>
      </c>
      <c r="G155" s="200" t="s">
        <v>2358</v>
      </c>
      <c r="H155" s="234"/>
      <c r="I155" s="234"/>
      <c r="J155" s="234"/>
      <c r="K155" s="248" t="s">
        <v>231</v>
      </c>
      <c r="L155" s="248" t="s">
        <v>2359</v>
      </c>
    </row>
    <row r="156" s="240" customFormat="1" spans="1:12">
      <c r="A156" s="191"/>
      <c r="B156" s="248" t="s">
        <v>2360</v>
      </c>
      <c r="C156" s="248" t="s">
        <v>229</v>
      </c>
      <c r="D156" s="200" t="s">
        <v>2361</v>
      </c>
      <c r="E156" s="248" t="s">
        <v>422</v>
      </c>
      <c r="F156" s="200" t="s">
        <v>2115</v>
      </c>
      <c r="G156" s="200" t="s">
        <v>2362</v>
      </c>
      <c r="H156" s="234"/>
      <c r="I156" s="234"/>
      <c r="J156" s="234"/>
      <c r="K156" s="248" t="s">
        <v>231</v>
      </c>
      <c r="L156" s="248" t="s">
        <v>2363</v>
      </c>
    </row>
    <row r="157" s="240" customFormat="1" spans="1:12">
      <c r="A157" s="191"/>
      <c r="B157" s="248" t="s">
        <v>2364</v>
      </c>
      <c r="C157" s="248" t="s">
        <v>229</v>
      </c>
      <c r="D157" s="200" t="s">
        <v>2365</v>
      </c>
      <c r="E157" s="248" t="s">
        <v>422</v>
      </c>
      <c r="F157" s="200" t="s">
        <v>2115</v>
      </c>
      <c r="G157" s="200" t="s">
        <v>2366</v>
      </c>
      <c r="H157" s="234"/>
      <c r="I157" s="234"/>
      <c r="J157" s="234"/>
      <c r="K157" s="248" t="s">
        <v>231</v>
      </c>
      <c r="L157" s="248" t="s">
        <v>2367</v>
      </c>
    </row>
    <row r="158" s="240" customFormat="1" spans="1:12">
      <c r="A158" s="191"/>
      <c r="B158" s="248" t="s">
        <v>2368</v>
      </c>
      <c r="C158" s="248" t="s">
        <v>229</v>
      </c>
      <c r="D158" s="200" t="s">
        <v>2369</v>
      </c>
      <c r="E158" s="248" t="s">
        <v>422</v>
      </c>
      <c r="F158" s="200" t="s">
        <v>2115</v>
      </c>
      <c r="G158" s="200" t="s">
        <v>2370</v>
      </c>
      <c r="H158" s="234"/>
      <c r="I158" s="234"/>
      <c r="J158" s="234"/>
      <c r="K158" s="248" t="s">
        <v>231</v>
      </c>
      <c r="L158" s="248" t="s">
        <v>2371</v>
      </c>
    </row>
    <row r="159" s="240" customFormat="1" spans="1:12">
      <c r="A159" s="191"/>
      <c r="B159" s="248" t="s">
        <v>2372</v>
      </c>
      <c r="C159" s="248" t="s">
        <v>229</v>
      </c>
      <c r="D159" s="200" t="s">
        <v>2373</v>
      </c>
      <c r="E159" s="248" t="s">
        <v>422</v>
      </c>
      <c r="F159" s="200" t="s">
        <v>2115</v>
      </c>
      <c r="G159" s="200" t="s">
        <v>2374</v>
      </c>
      <c r="H159" s="234"/>
      <c r="I159" s="234"/>
      <c r="J159" s="234"/>
      <c r="K159" s="248" t="s">
        <v>231</v>
      </c>
      <c r="L159" s="248" t="s">
        <v>2375</v>
      </c>
    </row>
    <row r="160" s="240" customFormat="1" spans="1:12">
      <c r="A160" s="191"/>
      <c r="B160" s="248" t="s">
        <v>2376</v>
      </c>
      <c r="C160" s="248" t="s">
        <v>203</v>
      </c>
      <c r="D160" s="200" t="s">
        <v>2095</v>
      </c>
      <c r="E160" s="248" t="s">
        <v>422</v>
      </c>
      <c r="F160" s="200"/>
      <c r="G160" s="200" t="s">
        <v>2096</v>
      </c>
      <c r="H160" s="234"/>
      <c r="I160" s="234"/>
      <c r="J160" s="234"/>
      <c r="K160" s="248" t="s">
        <v>1718</v>
      </c>
      <c r="L160" s="248" t="s">
        <v>2377</v>
      </c>
    </row>
    <row r="161" s="240" customFormat="1" spans="1:12">
      <c r="A161" s="191"/>
      <c r="B161" s="248" t="s">
        <v>2378</v>
      </c>
      <c r="C161" s="248" t="s">
        <v>229</v>
      </c>
      <c r="D161" s="200" t="s">
        <v>2379</v>
      </c>
      <c r="E161" s="248" t="s">
        <v>422</v>
      </c>
      <c r="F161" s="200"/>
      <c r="G161" s="200" t="s">
        <v>2380</v>
      </c>
      <c r="H161" s="234"/>
      <c r="I161" s="234"/>
      <c r="J161" s="234"/>
      <c r="K161" s="248" t="s">
        <v>231</v>
      </c>
      <c r="L161" s="248" t="s">
        <v>2381</v>
      </c>
    </row>
    <row r="162" s="240" customFormat="1" spans="1:12">
      <c r="A162" s="191"/>
      <c r="B162" s="248" t="s">
        <v>2382</v>
      </c>
      <c r="C162" s="248" t="s">
        <v>229</v>
      </c>
      <c r="D162" s="200" t="s">
        <v>2383</v>
      </c>
      <c r="E162" s="248" t="s">
        <v>422</v>
      </c>
      <c r="F162" s="200"/>
      <c r="G162" s="200" t="s">
        <v>2384</v>
      </c>
      <c r="H162" s="234"/>
      <c r="I162" s="234"/>
      <c r="J162" s="234"/>
      <c r="K162" s="248" t="s">
        <v>231</v>
      </c>
      <c r="L162" s="248" t="s">
        <v>1737</v>
      </c>
    </row>
    <row r="163" s="240" customFormat="1" spans="1:12">
      <c r="A163" s="191"/>
      <c r="B163" s="248" t="s">
        <v>2385</v>
      </c>
      <c r="C163" s="248" t="s">
        <v>229</v>
      </c>
      <c r="D163" s="200" t="s">
        <v>2386</v>
      </c>
      <c r="E163" s="248" t="s">
        <v>422</v>
      </c>
      <c r="F163" s="200"/>
      <c r="G163" s="200" t="s">
        <v>2387</v>
      </c>
      <c r="H163" s="234"/>
      <c r="I163" s="234"/>
      <c r="J163" s="234"/>
      <c r="K163" s="248" t="s">
        <v>231</v>
      </c>
      <c r="L163" s="248" t="s">
        <v>2388</v>
      </c>
    </row>
    <row r="164" s="240" customFormat="1" spans="1:12">
      <c r="A164" s="191"/>
      <c r="B164" s="248" t="s">
        <v>2389</v>
      </c>
      <c r="C164" s="248" t="s">
        <v>229</v>
      </c>
      <c r="D164" s="200" t="s">
        <v>2390</v>
      </c>
      <c r="E164" s="248" t="s">
        <v>422</v>
      </c>
      <c r="F164" s="200"/>
      <c r="G164" s="200" t="s">
        <v>2391</v>
      </c>
      <c r="H164" s="234"/>
      <c r="I164" s="234"/>
      <c r="J164" s="234"/>
      <c r="K164" s="248" t="s">
        <v>231</v>
      </c>
      <c r="L164" s="248" t="s">
        <v>2392</v>
      </c>
    </row>
    <row r="165" s="240" customFormat="1" spans="1:12">
      <c r="A165" s="191"/>
      <c r="B165" s="248" t="s">
        <v>2393</v>
      </c>
      <c r="C165" s="248" t="s">
        <v>229</v>
      </c>
      <c r="D165" s="200" t="s">
        <v>2394</v>
      </c>
      <c r="E165" s="248" t="s">
        <v>422</v>
      </c>
      <c r="F165" s="200"/>
      <c r="G165" s="200" t="s">
        <v>2395</v>
      </c>
      <c r="H165" s="234"/>
      <c r="I165" s="234"/>
      <c r="J165" s="234"/>
      <c r="K165" s="248" t="s">
        <v>231</v>
      </c>
      <c r="L165" s="248" t="s">
        <v>2396</v>
      </c>
    </row>
    <row r="166" spans="2:12">
      <c r="B166" s="228" t="s">
        <v>2397</v>
      </c>
      <c r="C166" s="228" t="s">
        <v>203</v>
      </c>
      <c r="D166" s="229" t="s">
        <v>1716</v>
      </c>
      <c r="E166" s="228" t="s">
        <v>422</v>
      </c>
      <c r="F166" s="229" t="s">
        <v>2398</v>
      </c>
      <c r="G166" s="200" t="s">
        <v>2399</v>
      </c>
      <c r="H166" s="84"/>
      <c r="I166" s="84"/>
      <c r="J166" s="84"/>
      <c r="K166" s="228" t="s">
        <v>1718</v>
      </c>
      <c r="L166" s="228" t="s">
        <v>1719</v>
      </c>
    </row>
    <row r="167" spans="2:12">
      <c r="B167" s="228" t="s">
        <v>2400</v>
      </c>
      <c r="C167" s="228" t="s">
        <v>229</v>
      </c>
      <c r="D167" s="229" t="s">
        <v>2401</v>
      </c>
      <c r="E167" s="228" t="s">
        <v>422</v>
      </c>
      <c r="F167" s="229" t="s">
        <v>2397</v>
      </c>
      <c r="G167" s="200" t="s">
        <v>2402</v>
      </c>
      <c r="H167" s="84"/>
      <c r="I167" s="84"/>
      <c r="J167" s="84"/>
      <c r="K167" s="228" t="s">
        <v>231</v>
      </c>
      <c r="L167" s="228" t="s">
        <v>2403</v>
      </c>
    </row>
    <row r="168" spans="2:12">
      <c r="B168" s="228" t="s">
        <v>2404</v>
      </c>
      <c r="C168" s="228" t="s">
        <v>229</v>
      </c>
      <c r="D168" s="229" t="s">
        <v>2405</v>
      </c>
      <c r="E168" s="228" t="s">
        <v>422</v>
      </c>
      <c r="F168" s="229" t="s">
        <v>2397</v>
      </c>
      <c r="G168" s="200" t="s">
        <v>2406</v>
      </c>
      <c r="H168" s="84"/>
      <c r="I168" s="84"/>
      <c r="J168" s="84"/>
      <c r="K168" s="228" t="s">
        <v>231</v>
      </c>
      <c r="L168" s="228" t="s">
        <v>2407</v>
      </c>
    </row>
    <row r="169" spans="2:12">
      <c r="B169" s="228" t="s">
        <v>2408</v>
      </c>
      <c r="C169" s="228" t="s">
        <v>229</v>
      </c>
      <c r="D169" s="229" t="s">
        <v>2409</v>
      </c>
      <c r="E169" s="228" t="s">
        <v>422</v>
      </c>
      <c r="F169" s="229" t="s">
        <v>2397</v>
      </c>
      <c r="G169" s="200" t="s">
        <v>2410</v>
      </c>
      <c r="H169" s="84"/>
      <c r="I169" s="84"/>
      <c r="J169" s="84"/>
      <c r="K169" s="228" t="s">
        <v>231</v>
      </c>
      <c r="L169" s="228" t="s">
        <v>2411</v>
      </c>
    </row>
    <row r="170" spans="2:12">
      <c r="B170" s="228" t="s">
        <v>2412</v>
      </c>
      <c r="C170" s="228" t="s">
        <v>229</v>
      </c>
      <c r="D170" s="229" t="s">
        <v>2413</v>
      </c>
      <c r="E170" s="228" t="s">
        <v>422</v>
      </c>
      <c r="F170" s="229" t="s">
        <v>2397</v>
      </c>
      <c r="G170" s="200" t="s">
        <v>2414</v>
      </c>
      <c r="H170" s="84"/>
      <c r="I170" s="84"/>
      <c r="J170" s="84"/>
      <c r="K170" s="228" t="s">
        <v>231</v>
      </c>
      <c r="L170" s="228" t="s">
        <v>2415</v>
      </c>
    </row>
    <row r="171" spans="2:12">
      <c r="B171" s="228" t="s">
        <v>2416</v>
      </c>
      <c r="C171" s="228" t="s">
        <v>229</v>
      </c>
      <c r="D171" s="229" t="s">
        <v>2417</v>
      </c>
      <c r="E171" s="228" t="s">
        <v>422</v>
      </c>
      <c r="F171" s="229" t="s">
        <v>2397</v>
      </c>
      <c r="G171" s="200" t="s">
        <v>2418</v>
      </c>
      <c r="H171" s="84"/>
      <c r="I171" s="84"/>
      <c r="J171" s="84"/>
      <c r="K171" s="228" t="s">
        <v>231</v>
      </c>
      <c r="L171" s="228" t="s">
        <v>2419</v>
      </c>
    </row>
    <row r="172" spans="2:12">
      <c r="B172" s="228" t="s">
        <v>2420</v>
      </c>
      <c r="C172" s="228" t="s">
        <v>203</v>
      </c>
      <c r="D172" s="229" t="s">
        <v>1721</v>
      </c>
      <c r="E172" s="228" t="s">
        <v>422</v>
      </c>
      <c r="F172" s="229" t="s">
        <v>2421</v>
      </c>
      <c r="G172" s="200" t="s">
        <v>1959</v>
      </c>
      <c r="H172" s="84"/>
      <c r="I172" s="84"/>
      <c r="J172" s="84"/>
      <c r="K172" s="228" t="s">
        <v>1718</v>
      </c>
      <c r="L172" s="228" t="s">
        <v>1554</v>
      </c>
    </row>
    <row r="173" spans="2:12">
      <c r="B173" s="228" t="s">
        <v>2422</v>
      </c>
      <c r="C173" s="228" t="s">
        <v>229</v>
      </c>
      <c r="D173" s="229" t="s">
        <v>2423</v>
      </c>
      <c r="E173" s="228" t="s">
        <v>422</v>
      </c>
      <c r="F173" s="229" t="s">
        <v>2420</v>
      </c>
      <c r="G173" s="200" t="s">
        <v>2424</v>
      </c>
      <c r="H173" s="84"/>
      <c r="I173" s="84"/>
      <c r="J173" s="84"/>
      <c r="K173" s="228" t="s">
        <v>231</v>
      </c>
      <c r="L173" s="228" t="s">
        <v>2425</v>
      </c>
    </row>
    <row r="174" spans="2:12">
      <c r="B174" s="228" t="s">
        <v>2426</v>
      </c>
      <c r="C174" s="228" t="s">
        <v>229</v>
      </c>
      <c r="D174" s="229" t="s">
        <v>2427</v>
      </c>
      <c r="E174" s="228" t="s">
        <v>422</v>
      </c>
      <c r="F174" s="229" t="s">
        <v>2420</v>
      </c>
      <c r="G174" s="200" t="s">
        <v>2428</v>
      </c>
      <c r="H174" s="84"/>
      <c r="I174" s="84"/>
      <c r="J174" s="84"/>
      <c r="K174" s="228" t="s">
        <v>231</v>
      </c>
      <c r="L174" s="228" t="s">
        <v>2429</v>
      </c>
    </row>
    <row r="175" spans="2:12">
      <c r="B175" s="228" t="s">
        <v>2430</v>
      </c>
      <c r="C175" s="228" t="s">
        <v>229</v>
      </c>
      <c r="D175" s="229" t="s">
        <v>2431</v>
      </c>
      <c r="E175" s="228" t="s">
        <v>422</v>
      </c>
      <c r="F175" s="229" t="s">
        <v>2420</v>
      </c>
      <c r="G175" s="200" t="s">
        <v>2432</v>
      </c>
      <c r="H175" s="84"/>
      <c r="I175" s="84"/>
      <c r="J175" s="84"/>
      <c r="K175" s="228" t="s">
        <v>231</v>
      </c>
      <c r="L175" s="228" t="s">
        <v>2433</v>
      </c>
    </row>
    <row r="176" spans="2:12">
      <c r="B176" s="228" t="s">
        <v>2434</v>
      </c>
      <c r="C176" s="228" t="s">
        <v>229</v>
      </c>
      <c r="D176" s="229" t="s">
        <v>2435</v>
      </c>
      <c r="E176" s="228" t="s">
        <v>422</v>
      </c>
      <c r="F176" s="229" t="s">
        <v>2420</v>
      </c>
      <c r="G176" s="200" t="s">
        <v>2436</v>
      </c>
      <c r="H176" s="84"/>
      <c r="I176" s="84"/>
      <c r="J176" s="84"/>
      <c r="K176" s="228" t="s">
        <v>231</v>
      </c>
      <c r="L176" s="228" t="s">
        <v>2437</v>
      </c>
    </row>
    <row r="177" spans="2:12">
      <c r="B177" s="228" t="s">
        <v>2438</v>
      </c>
      <c r="C177" s="228" t="s">
        <v>229</v>
      </c>
      <c r="D177" s="229" t="s">
        <v>2439</v>
      </c>
      <c r="E177" s="228" t="s">
        <v>422</v>
      </c>
      <c r="F177" s="229" t="s">
        <v>2420</v>
      </c>
      <c r="G177" s="200" t="s">
        <v>2440</v>
      </c>
      <c r="H177" s="84"/>
      <c r="I177" s="84"/>
      <c r="J177" s="84"/>
      <c r="K177" s="228" t="s">
        <v>231</v>
      </c>
      <c r="L177" s="228" t="s">
        <v>2441</v>
      </c>
    </row>
    <row r="178" spans="2:12">
      <c r="B178" s="228" t="s">
        <v>2442</v>
      </c>
      <c r="C178" s="228" t="s">
        <v>203</v>
      </c>
      <c r="D178" s="229" t="s">
        <v>1724</v>
      </c>
      <c r="E178" s="228" t="s">
        <v>422</v>
      </c>
      <c r="F178" s="229" t="s">
        <v>2443</v>
      </c>
      <c r="G178" s="200" t="s">
        <v>1387</v>
      </c>
      <c r="H178" s="84"/>
      <c r="I178" s="84"/>
      <c r="J178" s="84"/>
      <c r="K178" s="228" t="s">
        <v>1718</v>
      </c>
      <c r="L178" s="228" t="s">
        <v>1719</v>
      </c>
    </row>
    <row r="179" spans="2:12">
      <c r="B179" s="228" t="s">
        <v>2444</v>
      </c>
      <c r="C179" s="228" t="s">
        <v>229</v>
      </c>
      <c r="D179" s="229" t="s">
        <v>2445</v>
      </c>
      <c r="E179" s="228" t="s">
        <v>422</v>
      </c>
      <c r="F179" s="229" t="s">
        <v>2442</v>
      </c>
      <c r="G179" s="200" t="s">
        <v>2446</v>
      </c>
      <c r="H179" s="84"/>
      <c r="I179" s="84"/>
      <c r="J179" s="84"/>
      <c r="K179" s="228" t="s">
        <v>231</v>
      </c>
      <c r="L179" s="228" t="s">
        <v>2447</v>
      </c>
    </row>
    <row r="180" spans="2:12">
      <c r="B180" s="228" t="s">
        <v>2448</v>
      </c>
      <c r="C180" s="228" t="s">
        <v>229</v>
      </c>
      <c r="D180" s="229" t="s">
        <v>2449</v>
      </c>
      <c r="E180" s="228" t="s">
        <v>422</v>
      </c>
      <c r="F180" s="229" t="s">
        <v>2442</v>
      </c>
      <c r="G180" s="200" t="s">
        <v>2450</v>
      </c>
      <c r="H180" s="84"/>
      <c r="I180" s="84"/>
      <c r="J180" s="84"/>
      <c r="K180" s="228" t="s">
        <v>231</v>
      </c>
      <c r="L180" s="228" t="s">
        <v>2451</v>
      </c>
    </row>
    <row r="181" spans="2:12">
      <c r="B181" s="228" t="s">
        <v>2452</v>
      </c>
      <c r="C181" s="228" t="s">
        <v>229</v>
      </c>
      <c r="D181" s="229" t="s">
        <v>2453</v>
      </c>
      <c r="E181" s="228" t="s">
        <v>422</v>
      </c>
      <c r="F181" s="229" t="s">
        <v>2442</v>
      </c>
      <c r="G181" s="200" t="s">
        <v>2454</v>
      </c>
      <c r="H181" s="84"/>
      <c r="I181" s="84"/>
      <c r="J181" s="84"/>
      <c r="K181" s="228" t="s">
        <v>231</v>
      </c>
      <c r="L181" s="228" t="s">
        <v>2455</v>
      </c>
    </row>
    <row r="182" spans="2:12">
      <c r="B182" s="228" t="s">
        <v>2456</v>
      </c>
      <c r="C182" s="228" t="s">
        <v>229</v>
      </c>
      <c r="D182" s="229" t="s">
        <v>2457</v>
      </c>
      <c r="E182" s="228" t="s">
        <v>422</v>
      </c>
      <c r="F182" s="229" t="s">
        <v>2442</v>
      </c>
      <c r="G182" s="200" t="s">
        <v>2458</v>
      </c>
      <c r="H182" s="84"/>
      <c r="I182" s="84"/>
      <c r="J182" s="84"/>
      <c r="K182" s="228" t="s">
        <v>231</v>
      </c>
      <c r="L182" s="228" t="s">
        <v>2459</v>
      </c>
    </row>
    <row r="183" spans="2:12">
      <c r="B183" s="228" t="s">
        <v>2460</v>
      </c>
      <c r="C183" s="228" t="s">
        <v>229</v>
      </c>
      <c r="D183" s="229" t="s">
        <v>2461</v>
      </c>
      <c r="E183" s="228" t="s">
        <v>422</v>
      </c>
      <c r="F183" s="229" t="s">
        <v>2442</v>
      </c>
      <c r="G183" s="200" t="s">
        <v>2462</v>
      </c>
      <c r="H183" s="84"/>
      <c r="I183" s="84"/>
      <c r="J183" s="84"/>
      <c r="K183" s="228" t="s">
        <v>231</v>
      </c>
      <c r="L183" s="228" t="s">
        <v>2463</v>
      </c>
    </row>
    <row r="184" spans="2:12">
      <c r="B184" s="228" t="s">
        <v>2464</v>
      </c>
      <c r="C184" s="228" t="s">
        <v>203</v>
      </c>
      <c r="D184" s="229" t="s">
        <v>1727</v>
      </c>
      <c r="E184" s="228" t="s">
        <v>422</v>
      </c>
      <c r="F184" s="229" t="s">
        <v>2465</v>
      </c>
      <c r="G184" s="200" t="s">
        <v>2466</v>
      </c>
      <c r="H184" s="84"/>
      <c r="I184" s="84"/>
      <c r="J184" s="84"/>
      <c r="K184" s="228" t="s">
        <v>1718</v>
      </c>
      <c r="L184" s="228" t="s">
        <v>1719</v>
      </c>
    </row>
    <row r="185" spans="2:12">
      <c r="B185" s="228" t="s">
        <v>2467</v>
      </c>
      <c r="C185" s="228" t="s">
        <v>229</v>
      </c>
      <c r="D185" s="229" t="s">
        <v>2468</v>
      </c>
      <c r="E185" s="228" t="s">
        <v>422</v>
      </c>
      <c r="F185" s="229" t="s">
        <v>2464</v>
      </c>
      <c r="G185" s="200" t="s">
        <v>2469</v>
      </c>
      <c r="H185" s="84"/>
      <c r="I185" s="84"/>
      <c r="J185" s="84"/>
      <c r="K185" s="228" t="s">
        <v>231</v>
      </c>
      <c r="L185" s="228" t="s">
        <v>2470</v>
      </c>
    </row>
    <row r="186" spans="2:12">
      <c r="B186" s="228" t="s">
        <v>2471</v>
      </c>
      <c r="C186" s="228" t="s">
        <v>229</v>
      </c>
      <c r="D186" s="229" t="s">
        <v>2472</v>
      </c>
      <c r="E186" s="228" t="s">
        <v>422</v>
      </c>
      <c r="F186" s="229" t="s">
        <v>2464</v>
      </c>
      <c r="G186" s="200" t="s">
        <v>2473</v>
      </c>
      <c r="H186" s="84"/>
      <c r="I186" s="84"/>
      <c r="J186" s="84"/>
      <c r="K186" s="228" t="s">
        <v>231</v>
      </c>
      <c r="L186" s="228" t="s">
        <v>2474</v>
      </c>
    </row>
    <row r="187" spans="2:12">
      <c r="B187" s="228" t="s">
        <v>2475</v>
      </c>
      <c r="C187" s="228" t="s">
        <v>229</v>
      </c>
      <c r="D187" s="229" t="s">
        <v>2476</v>
      </c>
      <c r="E187" s="228" t="s">
        <v>422</v>
      </c>
      <c r="F187" s="229" t="s">
        <v>2464</v>
      </c>
      <c r="G187" s="200" t="s">
        <v>2477</v>
      </c>
      <c r="H187" s="84"/>
      <c r="I187" s="84"/>
      <c r="J187" s="84"/>
      <c r="K187" s="228" t="s">
        <v>231</v>
      </c>
      <c r="L187" s="228" t="s">
        <v>2478</v>
      </c>
    </row>
    <row r="188" spans="2:12">
      <c r="B188" s="228" t="s">
        <v>2479</v>
      </c>
      <c r="C188" s="228" t="s">
        <v>229</v>
      </c>
      <c r="D188" s="229" t="s">
        <v>2480</v>
      </c>
      <c r="E188" s="228" t="s">
        <v>422</v>
      </c>
      <c r="F188" s="229" t="s">
        <v>2464</v>
      </c>
      <c r="G188" s="200" t="s">
        <v>2481</v>
      </c>
      <c r="H188" s="84"/>
      <c r="I188" s="84"/>
      <c r="J188" s="84"/>
      <c r="K188" s="228" t="s">
        <v>231</v>
      </c>
      <c r="L188" s="228" t="s">
        <v>2482</v>
      </c>
    </row>
    <row r="189" spans="2:12">
      <c r="B189" s="228" t="s">
        <v>2483</v>
      </c>
      <c r="C189" s="228" t="s">
        <v>229</v>
      </c>
      <c r="D189" s="229" t="s">
        <v>2484</v>
      </c>
      <c r="E189" s="228" t="s">
        <v>422</v>
      </c>
      <c r="F189" s="229" t="s">
        <v>2464</v>
      </c>
      <c r="G189" s="200" t="s">
        <v>2485</v>
      </c>
      <c r="H189" s="84"/>
      <c r="I189" s="84"/>
      <c r="J189" s="84"/>
      <c r="K189" s="228" t="s">
        <v>231</v>
      </c>
      <c r="L189" s="228" t="s">
        <v>2486</v>
      </c>
    </row>
    <row r="190" spans="2:12">
      <c r="B190" s="228" t="s">
        <v>2487</v>
      </c>
      <c r="C190" s="228" t="s">
        <v>203</v>
      </c>
      <c r="D190" s="229" t="s">
        <v>1731</v>
      </c>
      <c r="E190" s="228" t="s">
        <v>422</v>
      </c>
      <c r="F190" s="229" t="s">
        <v>2488</v>
      </c>
      <c r="G190" s="200" t="s">
        <v>2489</v>
      </c>
      <c r="H190" s="84"/>
      <c r="I190" s="84"/>
      <c r="J190" s="84"/>
      <c r="K190" s="228" t="s">
        <v>1718</v>
      </c>
      <c r="L190" s="228" t="s">
        <v>1719</v>
      </c>
    </row>
    <row r="191" spans="2:12">
      <c r="B191" s="228" t="s">
        <v>2490</v>
      </c>
      <c r="C191" s="228" t="s">
        <v>229</v>
      </c>
      <c r="D191" s="229" t="s">
        <v>2491</v>
      </c>
      <c r="E191" s="228" t="s">
        <v>422</v>
      </c>
      <c r="F191" s="229" t="s">
        <v>2487</v>
      </c>
      <c r="G191" s="200" t="s">
        <v>2492</v>
      </c>
      <c r="H191" s="84"/>
      <c r="I191" s="84"/>
      <c r="J191" s="84"/>
      <c r="K191" s="228" t="s">
        <v>231</v>
      </c>
      <c r="L191" s="228" t="s">
        <v>2493</v>
      </c>
    </row>
    <row r="192" spans="2:12">
      <c r="B192" s="228" t="s">
        <v>2494</v>
      </c>
      <c r="C192" s="228" t="s">
        <v>229</v>
      </c>
      <c r="D192" s="229" t="s">
        <v>2495</v>
      </c>
      <c r="E192" s="228" t="s">
        <v>422</v>
      </c>
      <c r="F192" s="229" t="s">
        <v>2487</v>
      </c>
      <c r="G192" s="200" t="s">
        <v>2496</v>
      </c>
      <c r="H192" s="84"/>
      <c r="I192" s="84"/>
      <c r="J192" s="84"/>
      <c r="K192" s="228" t="s">
        <v>231</v>
      </c>
      <c r="L192" s="228" t="s">
        <v>2497</v>
      </c>
    </row>
    <row r="193" spans="2:12">
      <c r="B193" s="228" t="s">
        <v>2498</v>
      </c>
      <c r="C193" s="228" t="s">
        <v>229</v>
      </c>
      <c r="D193" s="229" t="s">
        <v>2499</v>
      </c>
      <c r="E193" s="228" t="s">
        <v>422</v>
      </c>
      <c r="F193" s="229" t="s">
        <v>2487</v>
      </c>
      <c r="G193" s="200" t="s">
        <v>2500</v>
      </c>
      <c r="H193" s="84"/>
      <c r="I193" s="84"/>
      <c r="J193" s="84"/>
      <c r="K193" s="228" t="s">
        <v>231</v>
      </c>
      <c r="L193" s="228" t="s">
        <v>2501</v>
      </c>
    </row>
    <row r="194" spans="2:12">
      <c r="B194" s="228" t="s">
        <v>2502</v>
      </c>
      <c r="C194" s="228" t="s">
        <v>229</v>
      </c>
      <c r="D194" s="229" t="s">
        <v>2503</v>
      </c>
      <c r="E194" s="228" t="s">
        <v>422</v>
      </c>
      <c r="F194" s="229" t="s">
        <v>2487</v>
      </c>
      <c r="G194" s="200" t="s">
        <v>2504</v>
      </c>
      <c r="H194" s="84"/>
      <c r="I194" s="84"/>
      <c r="J194" s="84"/>
      <c r="K194" s="228" t="s">
        <v>231</v>
      </c>
      <c r="L194" s="228" t="s">
        <v>2505</v>
      </c>
    </row>
    <row r="195" spans="2:12">
      <c r="B195" s="228" t="s">
        <v>2506</v>
      </c>
      <c r="C195" s="228" t="s">
        <v>229</v>
      </c>
      <c r="D195" s="229" t="s">
        <v>2507</v>
      </c>
      <c r="E195" s="228" t="s">
        <v>422</v>
      </c>
      <c r="F195" s="229" t="s">
        <v>2487</v>
      </c>
      <c r="G195" s="200" t="s">
        <v>2508</v>
      </c>
      <c r="H195" s="84"/>
      <c r="I195" s="84"/>
      <c r="J195" s="84"/>
      <c r="K195" s="228" t="s">
        <v>231</v>
      </c>
      <c r="L195" s="228" t="s">
        <v>2509</v>
      </c>
    </row>
    <row r="196" spans="2:12">
      <c r="B196" s="228" t="s">
        <v>2510</v>
      </c>
      <c r="C196" s="228" t="s">
        <v>203</v>
      </c>
      <c r="D196" s="229" t="s">
        <v>1735</v>
      </c>
      <c r="E196" s="228" t="s">
        <v>422</v>
      </c>
      <c r="F196" s="229" t="s">
        <v>2511</v>
      </c>
      <c r="G196" s="200" t="s">
        <v>2512</v>
      </c>
      <c r="H196" s="84"/>
      <c r="I196" s="84"/>
      <c r="J196" s="84"/>
      <c r="K196" s="228" t="s">
        <v>1718</v>
      </c>
      <c r="L196" s="228" t="s">
        <v>1719</v>
      </c>
    </row>
    <row r="197" spans="2:12">
      <c r="B197" s="228" t="s">
        <v>2513</v>
      </c>
      <c r="C197" s="228" t="s">
        <v>229</v>
      </c>
      <c r="D197" s="229" t="s">
        <v>2514</v>
      </c>
      <c r="E197" s="228" t="s">
        <v>422</v>
      </c>
      <c r="F197" s="229" t="s">
        <v>2510</v>
      </c>
      <c r="G197" s="200" t="s">
        <v>2515</v>
      </c>
      <c r="H197" s="84"/>
      <c r="I197" s="84"/>
      <c r="J197" s="84"/>
      <c r="K197" s="228" t="s">
        <v>231</v>
      </c>
      <c r="L197" s="228" t="s">
        <v>2516</v>
      </c>
    </row>
    <row r="198" spans="2:12">
      <c r="B198" s="228" t="s">
        <v>2517</v>
      </c>
      <c r="C198" s="228" t="s">
        <v>229</v>
      </c>
      <c r="D198" s="229" t="s">
        <v>2518</v>
      </c>
      <c r="E198" s="228" t="s">
        <v>422</v>
      </c>
      <c r="F198" s="229" t="s">
        <v>2510</v>
      </c>
      <c r="G198" s="200" t="s">
        <v>2519</v>
      </c>
      <c r="H198" s="84"/>
      <c r="I198" s="84"/>
      <c r="J198" s="84"/>
      <c r="K198" s="228" t="s">
        <v>231</v>
      </c>
      <c r="L198" s="228" t="s">
        <v>2520</v>
      </c>
    </row>
    <row r="199" spans="2:12">
      <c r="B199" s="228" t="s">
        <v>2521</v>
      </c>
      <c r="C199" s="228" t="s">
        <v>229</v>
      </c>
      <c r="D199" s="229" t="s">
        <v>2522</v>
      </c>
      <c r="E199" s="228" t="s">
        <v>422</v>
      </c>
      <c r="F199" s="229" t="s">
        <v>2510</v>
      </c>
      <c r="G199" s="200" t="s">
        <v>2523</v>
      </c>
      <c r="H199" s="84"/>
      <c r="I199" s="84"/>
      <c r="J199" s="84"/>
      <c r="K199" s="228" t="s">
        <v>231</v>
      </c>
      <c r="L199" s="228" t="s">
        <v>2524</v>
      </c>
    </row>
    <row r="200" spans="2:12">
      <c r="B200" s="228" t="s">
        <v>2525</v>
      </c>
      <c r="C200" s="228" t="s">
        <v>229</v>
      </c>
      <c r="D200" s="229" t="s">
        <v>2526</v>
      </c>
      <c r="E200" s="228" t="s">
        <v>422</v>
      </c>
      <c r="F200" s="229" t="s">
        <v>2510</v>
      </c>
      <c r="G200" s="200" t="s">
        <v>2527</v>
      </c>
      <c r="H200" s="84"/>
      <c r="I200" s="84"/>
      <c r="J200" s="84"/>
      <c r="K200" s="228" t="s">
        <v>231</v>
      </c>
      <c r="L200" s="228" t="s">
        <v>2528</v>
      </c>
    </row>
    <row r="201" spans="2:12">
      <c r="B201" s="228" t="s">
        <v>2529</v>
      </c>
      <c r="C201" s="228" t="s">
        <v>229</v>
      </c>
      <c r="D201" s="229" t="s">
        <v>2530</v>
      </c>
      <c r="E201" s="228" t="s">
        <v>422</v>
      </c>
      <c r="F201" s="229" t="s">
        <v>2510</v>
      </c>
      <c r="G201" s="200" t="s">
        <v>2531</v>
      </c>
      <c r="H201" s="84"/>
      <c r="I201" s="84"/>
      <c r="J201" s="84"/>
      <c r="K201" s="228" t="s">
        <v>231</v>
      </c>
      <c r="L201" s="228" t="s">
        <v>2532</v>
      </c>
    </row>
    <row r="202" spans="2:12">
      <c r="B202" s="248" t="s">
        <v>2533</v>
      </c>
      <c r="C202" s="248" t="s">
        <v>203</v>
      </c>
      <c r="D202" s="200" t="s">
        <v>2534</v>
      </c>
      <c r="E202" s="234" t="s">
        <v>422</v>
      </c>
      <c r="F202" s="200"/>
      <c r="G202" s="200" t="s">
        <v>2535</v>
      </c>
      <c r="H202" s="234"/>
      <c r="I202" s="234"/>
      <c r="J202" s="234"/>
      <c r="K202" s="234"/>
      <c r="L202" s="239"/>
    </row>
    <row r="203" spans="2:12">
      <c r="B203" s="248" t="s">
        <v>2536</v>
      </c>
      <c r="C203" s="248" t="s">
        <v>203</v>
      </c>
      <c r="D203" s="200" t="s">
        <v>2537</v>
      </c>
      <c r="E203" s="234" t="s">
        <v>422</v>
      </c>
      <c r="F203" s="200"/>
      <c r="G203" s="200" t="s">
        <v>2538</v>
      </c>
      <c r="H203" s="234"/>
      <c r="I203" s="234"/>
      <c r="J203" s="234"/>
      <c r="K203" s="234"/>
      <c r="L203" s="239"/>
    </row>
    <row r="204" spans="2:12">
      <c r="B204" s="157" t="s">
        <v>2539</v>
      </c>
      <c r="C204" s="157" t="s">
        <v>229</v>
      </c>
      <c r="D204" s="200" t="s">
        <v>2540</v>
      </c>
      <c r="E204" s="234" t="s">
        <v>422</v>
      </c>
      <c r="F204" s="241"/>
      <c r="G204" s="241" t="s">
        <v>2541</v>
      </c>
      <c r="H204" s="234"/>
      <c r="I204" s="234"/>
      <c r="J204" s="234"/>
      <c r="K204" s="234"/>
      <c r="L204" s="239"/>
    </row>
    <row r="205" spans="2:12">
      <c r="B205" s="157" t="s">
        <v>2542</v>
      </c>
      <c r="C205" s="157" t="s">
        <v>229</v>
      </c>
      <c r="D205" s="200" t="s">
        <v>2543</v>
      </c>
      <c r="E205" s="234" t="s">
        <v>422</v>
      </c>
      <c r="F205" s="241"/>
      <c r="G205" s="241" t="s">
        <v>2544</v>
      </c>
      <c r="H205" s="234"/>
      <c r="I205" s="234"/>
      <c r="J205" s="234"/>
      <c r="K205" s="234"/>
      <c r="L205" s="239"/>
    </row>
    <row r="206" spans="2:12">
      <c r="B206" s="157" t="s">
        <v>2545</v>
      </c>
      <c r="C206" s="157" t="s">
        <v>229</v>
      </c>
      <c r="D206" s="200" t="s">
        <v>2546</v>
      </c>
      <c r="E206" s="234" t="s">
        <v>422</v>
      </c>
      <c r="F206" s="241"/>
      <c r="G206" s="241" t="s">
        <v>2547</v>
      </c>
      <c r="H206" s="234"/>
      <c r="I206" s="234"/>
      <c r="J206" s="234"/>
      <c r="K206" s="234"/>
      <c r="L206" s="239"/>
    </row>
    <row r="207" spans="2:12">
      <c r="B207" s="157" t="s">
        <v>2548</v>
      </c>
      <c r="C207" s="157" t="s">
        <v>229</v>
      </c>
      <c r="D207" s="200" t="s">
        <v>2549</v>
      </c>
      <c r="E207" s="234" t="s">
        <v>422</v>
      </c>
      <c r="F207" s="241"/>
      <c r="G207" s="241" t="s">
        <v>2550</v>
      </c>
      <c r="H207" s="234"/>
      <c r="I207" s="234"/>
      <c r="J207" s="234"/>
      <c r="K207" s="234"/>
      <c r="L207" s="239"/>
    </row>
    <row r="208" spans="2:12">
      <c r="B208" s="157" t="s">
        <v>2551</v>
      </c>
      <c r="C208" s="157" t="s">
        <v>229</v>
      </c>
      <c r="D208" s="200" t="s">
        <v>2552</v>
      </c>
      <c r="E208" s="234" t="s">
        <v>422</v>
      </c>
      <c r="F208" s="241"/>
      <c r="G208" s="241" t="s">
        <v>2553</v>
      </c>
      <c r="H208" s="234"/>
      <c r="I208" s="234"/>
      <c r="J208" s="234"/>
      <c r="K208" s="234"/>
      <c r="L208" s="239"/>
    </row>
    <row r="209" spans="2:12">
      <c r="B209" s="243" t="s">
        <v>1854</v>
      </c>
      <c r="C209" s="243" t="s">
        <v>170</v>
      </c>
      <c r="D209" s="243" t="s">
        <v>2554</v>
      </c>
      <c r="E209" s="249" t="s">
        <v>422</v>
      </c>
      <c r="F209" s="245"/>
      <c r="G209" s="243" t="s">
        <v>2555</v>
      </c>
      <c r="H209" s="249"/>
      <c r="I209" s="249"/>
      <c r="J209" s="249"/>
      <c r="K209" s="249"/>
      <c r="L209" s="243"/>
    </row>
    <row r="210" spans="2:12">
      <c r="B210" s="243" t="s">
        <v>1856</v>
      </c>
      <c r="C210" s="243" t="s">
        <v>170</v>
      </c>
      <c r="D210" s="243" t="s">
        <v>2556</v>
      </c>
      <c r="E210" s="249" t="s">
        <v>422</v>
      </c>
      <c r="F210" s="245"/>
      <c r="G210" s="243" t="s">
        <v>2557</v>
      </c>
      <c r="H210" s="249"/>
      <c r="I210" s="249"/>
      <c r="J210" s="249"/>
      <c r="K210" s="249"/>
      <c r="L210" s="243"/>
    </row>
    <row r="211" spans="2:12">
      <c r="B211" s="243" t="s">
        <v>1504</v>
      </c>
      <c r="C211" s="243" t="s">
        <v>170</v>
      </c>
      <c r="D211" s="243" t="s">
        <v>2558</v>
      </c>
      <c r="E211" s="249" t="s">
        <v>422</v>
      </c>
      <c r="F211" s="245"/>
      <c r="G211" s="243" t="s">
        <v>2559</v>
      </c>
      <c r="H211" s="249"/>
      <c r="I211" s="249"/>
      <c r="J211" s="249"/>
      <c r="K211" s="249"/>
      <c r="L211" s="243"/>
    </row>
    <row r="212" spans="2:12">
      <c r="B212" s="243" t="s">
        <v>1848</v>
      </c>
      <c r="C212" s="243" t="s">
        <v>170</v>
      </c>
      <c r="D212" s="243" t="s">
        <v>2560</v>
      </c>
      <c r="E212" s="249" t="s">
        <v>422</v>
      </c>
      <c r="F212" s="245"/>
      <c r="G212" s="243" t="s">
        <v>2561</v>
      </c>
      <c r="H212" s="249"/>
      <c r="I212" s="249"/>
      <c r="J212" s="249"/>
      <c r="K212" s="249"/>
      <c r="L212" s="243"/>
    </row>
    <row r="213" spans="2:12">
      <c r="B213" s="243" t="s">
        <v>1850</v>
      </c>
      <c r="C213" s="243" t="s">
        <v>170</v>
      </c>
      <c r="D213" s="243" t="s">
        <v>2562</v>
      </c>
      <c r="E213" s="249" t="s">
        <v>422</v>
      </c>
      <c r="F213" s="245"/>
      <c r="G213" s="243" t="s">
        <v>2563</v>
      </c>
      <c r="H213" s="249"/>
      <c r="I213" s="249"/>
      <c r="J213" s="249"/>
      <c r="K213" s="249"/>
      <c r="L213" s="243"/>
    </row>
    <row r="214" spans="2:12">
      <c r="B214" s="243" t="s">
        <v>1852</v>
      </c>
      <c r="C214" s="243" t="s">
        <v>170</v>
      </c>
      <c r="D214" s="243" t="s">
        <v>2564</v>
      </c>
      <c r="E214" s="249" t="s">
        <v>422</v>
      </c>
      <c r="F214" s="245"/>
      <c r="G214" s="243" t="s">
        <v>2565</v>
      </c>
      <c r="H214" s="249"/>
      <c r="I214" s="249"/>
      <c r="J214" s="249"/>
      <c r="K214" s="249"/>
      <c r="L214" s="243"/>
    </row>
    <row r="215" spans="2:12">
      <c r="B215" s="243" t="s">
        <v>1523</v>
      </c>
      <c r="C215" s="243" t="s">
        <v>229</v>
      </c>
      <c r="D215" s="243" t="s">
        <v>1524</v>
      </c>
      <c r="E215" s="249" t="s">
        <v>2566</v>
      </c>
      <c r="F215" s="245" t="s">
        <v>2567</v>
      </c>
      <c r="G215" s="243" t="s">
        <v>2568</v>
      </c>
      <c r="H215" s="249"/>
      <c r="I215" s="249"/>
      <c r="J215" s="249"/>
      <c r="K215" s="249"/>
      <c r="L215" s="243"/>
    </row>
    <row r="216" spans="2:12">
      <c r="B216" s="243" t="s">
        <v>1858</v>
      </c>
      <c r="C216" s="243" t="s">
        <v>229</v>
      </c>
      <c r="D216" s="243" t="s">
        <v>618</v>
      </c>
      <c r="E216" s="249" t="s">
        <v>422</v>
      </c>
      <c r="F216" s="245"/>
      <c r="G216" s="243" t="s">
        <v>831</v>
      </c>
      <c r="H216" s="249"/>
      <c r="I216" s="249"/>
      <c r="J216" s="249"/>
      <c r="K216" s="249"/>
      <c r="L216" s="243"/>
    </row>
    <row r="217" spans="2:12">
      <c r="B217" s="228" t="s">
        <v>239</v>
      </c>
      <c r="C217" s="228" t="s">
        <v>170</v>
      </c>
      <c r="D217" s="229" t="s">
        <v>240</v>
      </c>
      <c r="E217" s="84"/>
      <c r="F217" s="201"/>
      <c r="G217" s="201"/>
      <c r="H217" s="84"/>
      <c r="I217" s="84"/>
      <c r="J217" s="84"/>
      <c r="K217" s="228" t="s">
        <v>749</v>
      </c>
      <c r="L217" s="228" t="s">
        <v>1544</v>
      </c>
    </row>
    <row r="218" spans="2:12">
      <c r="B218" s="228" t="s">
        <v>177</v>
      </c>
      <c r="C218" s="228" t="s">
        <v>175</v>
      </c>
      <c r="D218" s="229" t="s">
        <v>1971</v>
      </c>
      <c r="E218" s="84"/>
      <c r="F218" s="201"/>
      <c r="G218" s="201"/>
      <c r="H218" s="84"/>
      <c r="I218" s="84"/>
      <c r="J218" s="84"/>
      <c r="K218" s="228" t="s">
        <v>749</v>
      </c>
      <c r="L218" s="228" t="s">
        <v>749</v>
      </c>
    </row>
    <row r="219" spans="2:12">
      <c r="B219" s="228" t="s">
        <v>693</v>
      </c>
      <c r="C219" s="228" t="s">
        <v>175</v>
      </c>
      <c r="D219" s="229" t="s">
        <v>1859</v>
      </c>
      <c r="E219" s="84"/>
      <c r="F219" s="201"/>
      <c r="G219" s="201"/>
      <c r="H219" s="84"/>
      <c r="I219" s="84"/>
      <c r="J219" s="84"/>
      <c r="K219" s="228" t="s">
        <v>749</v>
      </c>
      <c r="L219" s="228" t="s">
        <v>1860</v>
      </c>
    </row>
    <row r="220" s="209" customFormat="1" spans="2:12">
      <c r="B220" s="229" t="s">
        <v>696</v>
      </c>
      <c r="C220" s="229" t="s">
        <v>170</v>
      </c>
      <c r="D220" s="229" t="s">
        <v>1534</v>
      </c>
      <c r="E220" s="201"/>
      <c r="F220" s="201"/>
      <c r="G220" s="201"/>
      <c r="H220" s="201"/>
      <c r="I220" s="201"/>
      <c r="J220" s="201"/>
      <c r="K220" s="229"/>
      <c r="L220" s="229"/>
    </row>
  </sheetData>
  <mergeCells count="3">
    <mergeCell ref="B2:H2"/>
    <mergeCell ref="B6:H6"/>
    <mergeCell ref="B10:L10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70"/>
  <sheetViews>
    <sheetView workbookViewId="0">
      <selection activeCell="J27" sqref="J27"/>
    </sheetView>
  </sheetViews>
  <sheetFormatPr defaultColWidth="9" defaultRowHeight="13.8"/>
  <cols>
    <col min="1" max="1" width="9" style="75"/>
    <col min="2" max="2" width="39.75" style="75" customWidth="1"/>
    <col min="3" max="3" width="29.25" style="75" customWidth="1"/>
    <col min="4" max="4" width="32" style="75" customWidth="1"/>
    <col min="5" max="8" width="16.75" style="75" customWidth="1"/>
    <col min="9" max="16384" width="9" style="75"/>
  </cols>
  <sheetData>
    <row r="1" ht="15.6" spans="1:14">
      <c r="A1" s="76"/>
      <c r="B1" s="77" t="str">
        <f>HYPERLINK("#"&amp;"导航应用"&amp;"!B1","返回")</f>
        <v>返回</v>
      </c>
      <c r="C1" s="78"/>
      <c r="D1" s="78"/>
      <c r="E1" s="78"/>
      <c r="F1" s="78"/>
      <c r="G1" s="78"/>
      <c r="H1" s="78"/>
      <c r="I1" s="76"/>
      <c r="J1" s="76"/>
      <c r="K1" s="76"/>
      <c r="L1" s="100"/>
      <c r="M1" s="100"/>
      <c r="N1" s="100"/>
    </row>
    <row r="2" ht="18" customHeight="1" spans="1:14">
      <c r="A2" s="76"/>
      <c r="B2" s="79" t="s">
        <v>653</v>
      </c>
      <c r="C2" s="79"/>
      <c r="D2" s="79"/>
      <c r="E2" s="79"/>
      <c r="F2" s="79"/>
      <c r="G2" s="79"/>
      <c r="H2" s="79"/>
      <c r="I2" s="76"/>
      <c r="J2" s="76"/>
      <c r="K2" s="76"/>
      <c r="L2" s="100"/>
      <c r="M2" s="100"/>
      <c r="N2" s="100"/>
    </row>
    <row r="3" ht="15.6" spans="1:14">
      <c r="A3" s="76"/>
      <c r="B3" s="80" t="s">
        <v>654</v>
      </c>
      <c r="C3" s="81" t="s">
        <v>655</v>
      </c>
      <c r="D3" s="81" t="s">
        <v>656</v>
      </c>
      <c r="E3" s="81" t="s">
        <v>657</v>
      </c>
      <c r="F3" s="81" t="s">
        <v>658</v>
      </c>
      <c r="G3" s="81" t="s">
        <v>659</v>
      </c>
      <c r="H3" s="81" t="s">
        <v>660</v>
      </c>
      <c r="I3" s="76"/>
      <c r="J3" s="76"/>
      <c r="K3" s="76"/>
      <c r="L3" s="100"/>
      <c r="M3" s="100"/>
      <c r="N3" s="100"/>
    </row>
    <row r="4" ht="15.6" spans="1:14">
      <c r="A4" s="76"/>
      <c r="B4" s="82"/>
      <c r="C4" s="262" t="s">
        <v>75</v>
      </c>
      <c r="D4" s="83" t="s">
        <v>2569</v>
      </c>
      <c r="E4" s="84" t="s">
        <v>661</v>
      </c>
      <c r="F4" s="85" t="s">
        <v>141</v>
      </c>
      <c r="G4" s="263"/>
      <c r="H4" s="263"/>
      <c r="I4" s="76"/>
      <c r="J4" s="76"/>
      <c r="K4" s="76"/>
      <c r="L4" s="100"/>
      <c r="M4" s="100"/>
      <c r="N4" s="76"/>
    </row>
    <row r="5" ht="15.6" spans="1:14">
      <c r="A5" s="76"/>
      <c r="B5" s="86"/>
      <c r="C5" s="87"/>
      <c r="D5" s="87"/>
      <c r="E5" s="87"/>
      <c r="F5" s="87"/>
      <c r="G5" s="131"/>
      <c r="H5" s="131"/>
      <c r="I5" s="76"/>
      <c r="J5" s="76"/>
      <c r="K5" s="76"/>
      <c r="L5" s="100"/>
      <c r="M5" s="100"/>
      <c r="N5" s="100"/>
    </row>
    <row r="6" ht="18" customHeight="1" spans="1:14">
      <c r="A6" s="76"/>
      <c r="B6" s="79" t="s">
        <v>662</v>
      </c>
      <c r="C6" s="79"/>
      <c r="D6" s="79"/>
      <c r="E6" s="79"/>
      <c r="F6" s="79"/>
      <c r="G6" s="79"/>
      <c r="H6" s="79"/>
      <c r="I6" s="76"/>
      <c r="J6" s="76"/>
      <c r="K6" s="76"/>
      <c r="L6" s="100"/>
      <c r="M6" s="100"/>
      <c r="N6" s="100"/>
    </row>
    <row r="7" ht="15.6" spans="1:14">
      <c r="A7" s="76"/>
      <c r="B7" s="88" t="s">
        <v>663</v>
      </c>
      <c r="C7" s="89" t="s">
        <v>664</v>
      </c>
      <c r="D7" s="89" t="s">
        <v>665</v>
      </c>
      <c r="E7" s="89" t="s">
        <v>666</v>
      </c>
      <c r="F7" s="89" t="s">
        <v>667</v>
      </c>
      <c r="G7" s="89" t="s">
        <v>668</v>
      </c>
      <c r="H7" s="89" t="s">
        <v>669</v>
      </c>
      <c r="I7" s="76"/>
      <c r="J7" s="76"/>
      <c r="K7" s="76"/>
      <c r="L7" s="100"/>
      <c r="M7" s="100"/>
      <c r="N7" s="100"/>
    </row>
    <row r="8" ht="15.6" spans="1:14">
      <c r="A8" s="76"/>
      <c r="B8" s="82"/>
      <c r="C8" s="200" t="s">
        <v>670</v>
      </c>
      <c r="D8" s="61"/>
      <c r="E8" s="64" t="s">
        <v>671</v>
      </c>
      <c r="F8" s="221" t="s">
        <v>2570</v>
      </c>
      <c r="G8" s="61"/>
      <c r="H8" s="134" t="s">
        <v>672</v>
      </c>
      <c r="I8" s="76"/>
      <c r="J8" s="76"/>
      <c r="K8" s="76"/>
      <c r="L8" s="100"/>
      <c r="M8" s="100"/>
      <c r="N8" s="100"/>
    </row>
    <row r="9" ht="15.6" spans="1:14">
      <c r="A9" s="264"/>
      <c r="B9" s="265"/>
      <c r="C9" s="266" t="s">
        <v>2571</v>
      </c>
      <c r="D9" s="162"/>
      <c r="E9" s="267" t="s">
        <v>2572</v>
      </c>
      <c r="F9" s="267"/>
      <c r="G9" s="258" t="s">
        <v>2573</v>
      </c>
      <c r="H9" s="268"/>
      <c r="I9" s="76"/>
      <c r="J9" s="76"/>
      <c r="K9" s="76"/>
      <c r="L9" s="100"/>
      <c r="M9" s="100"/>
      <c r="N9" s="100"/>
    </row>
    <row r="10" ht="15.6" spans="1:14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100"/>
      <c r="M10" s="100"/>
      <c r="N10" s="100"/>
    </row>
    <row r="11" ht="16.5" customHeight="1" spans="1:14">
      <c r="A11" s="76"/>
      <c r="B11" s="92" t="s">
        <v>673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100"/>
      <c r="N11" s="100"/>
    </row>
    <row r="12" ht="15.6" spans="1:14">
      <c r="A12" s="76"/>
      <c r="B12" s="93" t="s">
        <v>674</v>
      </c>
      <c r="C12" s="94" t="s">
        <v>675</v>
      </c>
      <c r="D12" s="94" t="s">
        <v>676</v>
      </c>
      <c r="E12" s="94" t="s">
        <v>677</v>
      </c>
      <c r="F12" s="94" t="s">
        <v>678</v>
      </c>
      <c r="G12" s="94" t="s">
        <v>679</v>
      </c>
      <c r="H12" s="94" t="s">
        <v>680</v>
      </c>
      <c r="I12" s="94" t="s">
        <v>681</v>
      </c>
      <c r="J12" s="94" t="s">
        <v>682</v>
      </c>
      <c r="K12" s="94" t="s">
        <v>683</v>
      </c>
      <c r="L12" s="94" t="s">
        <v>684</v>
      </c>
      <c r="M12" s="100"/>
      <c r="N12" s="100"/>
    </row>
    <row r="13" ht="15.6" spans="1:14">
      <c r="A13" s="76"/>
      <c r="B13" s="121" t="s">
        <v>174</v>
      </c>
      <c r="C13" s="69" t="s">
        <v>687</v>
      </c>
      <c r="D13" s="61" t="s">
        <v>1530</v>
      </c>
      <c r="E13" s="64" t="s">
        <v>671</v>
      </c>
      <c r="F13" s="64"/>
      <c r="G13" s="172" t="s">
        <v>174</v>
      </c>
      <c r="H13" s="82"/>
      <c r="I13" s="61"/>
      <c r="J13" s="64"/>
      <c r="K13" s="64"/>
      <c r="L13" s="64"/>
      <c r="M13" s="100"/>
      <c r="N13" s="100"/>
    </row>
    <row r="14" ht="15.6" spans="1:14">
      <c r="A14" s="76"/>
      <c r="B14" s="105" t="s">
        <v>690</v>
      </c>
      <c r="C14" s="61" t="s">
        <v>687</v>
      </c>
      <c r="D14" s="61" t="s">
        <v>1532</v>
      </c>
      <c r="E14" s="64" t="s">
        <v>671</v>
      </c>
      <c r="F14" s="64"/>
      <c r="G14" s="166" t="s">
        <v>1532</v>
      </c>
      <c r="H14" s="64"/>
      <c r="I14" s="64"/>
      <c r="J14" s="64"/>
      <c r="K14" s="64"/>
      <c r="L14" s="61"/>
      <c r="M14" s="100"/>
      <c r="N14" s="100"/>
    </row>
    <row r="15" ht="15.6" spans="1:14">
      <c r="A15" s="76"/>
      <c r="B15" s="269" t="s">
        <v>694</v>
      </c>
      <c r="C15" s="61" t="s">
        <v>687</v>
      </c>
      <c r="D15" s="61" t="s">
        <v>2574</v>
      </c>
      <c r="E15" s="64" t="s">
        <v>671</v>
      </c>
      <c r="F15" s="64"/>
      <c r="G15" s="148" t="s">
        <v>2574</v>
      </c>
      <c r="H15" s="64"/>
      <c r="I15" s="64"/>
      <c r="J15" s="64"/>
      <c r="K15" s="64"/>
      <c r="L15" s="61"/>
      <c r="M15" s="100"/>
      <c r="N15" s="100"/>
    </row>
    <row r="16" ht="15.6" spans="1:14">
      <c r="A16" s="76"/>
      <c r="B16" s="270" t="s">
        <v>2575</v>
      </c>
      <c r="C16" s="61" t="s">
        <v>687</v>
      </c>
      <c r="D16" s="61" t="s">
        <v>2575</v>
      </c>
      <c r="E16" s="64" t="s">
        <v>671</v>
      </c>
      <c r="F16" s="64"/>
      <c r="G16" s="148" t="s">
        <v>2576</v>
      </c>
      <c r="H16" s="64"/>
      <c r="I16" s="64"/>
      <c r="J16" s="64"/>
      <c r="K16" s="64"/>
      <c r="L16" s="61"/>
      <c r="M16" s="100"/>
      <c r="N16" s="100"/>
    </row>
    <row r="17" ht="15.6" spans="1:14">
      <c r="A17" s="76"/>
      <c r="B17" s="270" t="s">
        <v>715</v>
      </c>
      <c r="C17" s="61" t="s">
        <v>687</v>
      </c>
      <c r="D17" s="61" t="s">
        <v>715</v>
      </c>
      <c r="E17" s="64" t="s">
        <v>671</v>
      </c>
      <c r="F17" s="64"/>
      <c r="G17" s="148" t="s">
        <v>715</v>
      </c>
      <c r="H17" s="64"/>
      <c r="I17" s="64"/>
      <c r="J17" s="64"/>
      <c r="K17" s="64"/>
      <c r="L17" s="61"/>
      <c r="M17" s="100"/>
      <c r="N17" s="100"/>
    </row>
    <row r="18" ht="15.6" spans="1:14">
      <c r="A18" s="76"/>
      <c r="B18" s="270" t="s">
        <v>717</v>
      </c>
      <c r="C18" s="61" t="s">
        <v>687</v>
      </c>
      <c r="D18" s="61" t="s">
        <v>2577</v>
      </c>
      <c r="E18" s="64" t="s">
        <v>671</v>
      </c>
      <c r="F18" s="64"/>
      <c r="G18" s="148" t="s">
        <v>717</v>
      </c>
      <c r="H18" s="64"/>
      <c r="I18" s="64"/>
      <c r="J18" s="64"/>
      <c r="K18" s="64"/>
      <c r="L18" s="61"/>
      <c r="M18" s="100"/>
      <c r="N18" s="100"/>
    </row>
    <row r="19" ht="15.6" spans="1:14">
      <c r="A19" s="76"/>
      <c r="B19" s="269" t="s">
        <v>2578</v>
      </c>
      <c r="C19" s="61" t="s">
        <v>1349</v>
      </c>
      <c r="D19" s="61" t="s">
        <v>2579</v>
      </c>
      <c r="E19" s="64" t="s">
        <v>671</v>
      </c>
      <c r="F19" s="64"/>
      <c r="G19" s="148" t="s">
        <v>2580</v>
      </c>
      <c r="H19" s="64"/>
      <c r="I19" s="64"/>
      <c r="J19" s="64"/>
      <c r="K19" s="64"/>
      <c r="L19" s="61"/>
      <c r="M19" s="100"/>
      <c r="N19" s="100"/>
    </row>
    <row r="20" ht="15.6" spans="1:14">
      <c r="A20" s="76"/>
      <c r="B20" s="269" t="s">
        <v>2581</v>
      </c>
      <c r="C20" s="61" t="s">
        <v>1349</v>
      </c>
      <c r="D20" s="61" t="s">
        <v>2582</v>
      </c>
      <c r="E20" s="64" t="s">
        <v>671</v>
      </c>
      <c r="F20" s="64"/>
      <c r="G20" s="148" t="s">
        <v>2583</v>
      </c>
      <c r="H20" s="64"/>
      <c r="I20" s="64"/>
      <c r="J20" s="64"/>
      <c r="K20" s="64"/>
      <c r="L20" s="61"/>
      <c r="M20" s="100"/>
      <c r="N20" s="100"/>
    </row>
    <row r="21" ht="15.6" spans="1:14">
      <c r="A21" s="76"/>
      <c r="B21" s="269" t="s">
        <v>2584</v>
      </c>
      <c r="C21" s="61" t="s">
        <v>706</v>
      </c>
      <c r="D21" s="61" t="s">
        <v>2585</v>
      </c>
      <c r="E21" s="64" t="s">
        <v>671</v>
      </c>
      <c r="F21" s="64"/>
      <c r="G21" s="152" t="s">
        <v>2586</v>
      </c>
      <c r="H21" s="64"/>
      <c r="J21" s="64"/>
      <c r="K21" s="64"/>
      <c r="L21" s="61"/>
      <c r="M21" s="100"/>
      <c r="N21" s="100"/>
    </row>
    <row r="22" ht="15.6" spans="1:14">
      <c r="A22" s="76"/>
      <c r="B22" s="269" t="s">
        <v>2587</v>
      </c>
      <c r="C22" s="61" t="s">
        <v>1349</v>
      </c>
      <c r="D22" s="61" t="s">
        <v>2588</v>
      </c>
      <c r="E22" s="64" t="s">
        <v>671</v>
      </c>
      <c r="F22" s="64"/>
      <c r="G22" s="148" t="s">
        <v>2589</v>
      </c>
      <c r="H22" s="64"/>
      <c r="I22" s="64"/>
      <c r="J22" s="64"/>
      <c r="K22" s="64"/>
      <c r="L22" s="61"/>
      <c r="M22" s="100"/>
      <c r="N22" s="100"/>
    </row>
    <row r="23" ht="15.6" spans="1:14">
      <c r="A23" s="76"/>
      <c r="B23" s="269" t="s">
        <v>2590</v>
      </c>
      <c r="C23" s="61" t="s">
        <v>1349</v>
      </c>
      <c r="D23" s="61" t="s">
        <v>2591</v>
      </c>
      <c r="E23" s="64" t="s">
        <v>671</v>
      </c>
      <c r="F23" s="64"/>
      <c r="G23" s="148" t="s">
        <v>2592</v>
      </c>
      <c r="H23" s="64"/>
      <c r="I23" s="64"/>
      <c r="J23" s="64"/>
      <c r="K23" s="64"/>
      <c r="L23" s="61"/>
      <c r="M23" s="100"/>
      <c r="N23" s="100"/>
    </row>
    <row r="24" ht="15.6" spans="1:14">
      <c r="A24" s="76"/>
      <c r="B24" s="269" t="s">
        <v>2593</v>
      </c>
      <c r="C24" s="61" t="s">
        <v>1349</v>
      </c>
      <c r="D24" s="61" t="s">
        <v>2594</v>
      </c>
      <c r="E24" s="64" t="s">
        <v>671</v>
      </c>
      <c r="F24" s="64"/>
      <c r="G24" s="148" t="s">
        <v>2595</v>
      </c>
      <c r="H24" s="64"/>
      <c r="I24" s="64"/>
      <c r="J24" s="64"/>
      <c r="K24" s="64"/>
      <c r="L24" s="61"/>
      <c r="M24" s="100"/>
      <c r="N24" s="100"/>
    </row>
    <row r="25" ht="15.6" spans="1:14">
      <c r="A25" s="76"/>
      <c r="B25" s="269" t="s">
        <v>2596</v>
      </c>
      <c r="C25" s="61" t="s">
        <v>706</v>
      </c>
      <c r="D25" s="61" t="s">
        <v>2597</v>
      </c>
      <c r="E25" s="64" t="s">
        <v>671</v>
      </c>
      <c r="F25" s="64"/>
      <c r="G25" s="148" t="s">
        <v>2598</v>
      </c>
      <c r="H25" s="64"/>
      <c r="I25" s="64"/>
      <c r="J25" s="64"/>
      <c r="K25" s="64"/>
      <c r="L25" s="61"/>
      <c r="M25" s="100"/>
      <c r="N25" s="100"/>
    </row>
    <row r="26" ht="15.6" spans="1:14">
      <c r="A26" s="76"/>
      <c r="B26" s="269" t="s">
        <v>2599</v>
      </c>
      <c r="C26" s="61" t="s">
        <v>706</v>
      </c>
      <c r="D26" s="61" t="s">
        <v>2600</v>
      </c>
      <c r="E26" s="64" t="s">
        <v>671</v>
      </c>
      <c r="F26" s="64"/>
      <c r="G26" s="148" t="s">
        <v>2601</v>
      </c>
      <c r="H26" s="64"/>
      <c r="I26" s="64"/>
      <c r="J26" s="64"/>
      <c r="K26" s="64"/>
      <c r="L26" s="61"/>
      <c r="M26" s="100"/>
      <c r="N26" s="100"/>
    </row>
    <row r="27" ht="15.6" spans="1:14">
      <c r="A27" s="76"/>
      <c r="B27" s="269" t="s">
        <v>2602</v>
      </c>
      <c r="C27" s="61" t="s">
        <v>706</v>
      </c>
      <c r="D27" s="61" t="s">
        <v>2603</v>
      </c>
      <c r="E27" s="64" t="s">
        <v>671</v>
      </c>
      <c r="F27" s="64"/>
      <c r="G27" s="148" t="s">
        <v>2604</v>
      </c>
      <c r="H27" s="64"/>
      <c r="I27" s="64"/>
      <c r="J27" s="64"/>
      <c r="K27" s="64"/>
      <c r="L27" s="61"/>
      <c r="M27" s="100"/>
      <c r="N27" s="100"/>
    </row>
    <row r="28" ht="15.6" spans="1:14">
      <c r="A28" s="76"/>
      <c r="B28" s="269" t="s">
        <v>2605</v>
      </c>
      <c r="C28" s="61" t="s">
        <v>1349</v>
      </c>
      <c r="D28" s="61" t="s">
        <v>2606</v>
      </c>
      <c r="E28" s="64" t="s">
        <v>671</v>
      </c>
      <c r="F28" s="64"/>
      <c r="G28" s="148" t="s">
        <v>2607</v>
      </c>
      <c r="H28" s="64"/>
      <c r="I28" s="64"/>
      <c r="J28" s="64"/>
      <c r="K28" s="64"/>
      <c r="L28" s="61"/>
      <c r="M28" s="100"/>
      <c r="N28" s="100"/>
    </row>
    <row r="29" ht="15.6" spans="1:14">
      <c r="A29" s="76"/>
      <c r="B29" s="269" t="s">
        <v>2608</v>
      </c>
      <c r="C29" s="61" t="s">
        <v>1349</v>
      </c>
      <c r="D29" s="61" t="s">
        <v>2609</v>
      </c>
      <c r="E29" s="64" t="s">
        <v>671</v>
      </c>
      <c r="F29" s="64"/>
      <c r="G29" s="148" t="s">
        <v>2610</v>
      </c>
      <c r="H29" s="64"/>
      <c r="I29" s="64"/>
      <c r="J29" s="64"/>
      <c r="K29" s="64"/>
      <c r="L29" s="61"/>
      <c r="M29" s="100"/>
      <c r="N29" s="100"/>
    </row>
    <row r="30" ht="15.6" spans="1:14">
      <c r="A30" s="76"/>
      <c r="B30" s="269" t="s">
        <v>2611</v>
      </c>
      <c r="C30" s="61" t="s">
        <v>1349</v>
      </c>
      <c r="D30" s="61" t="s">
        <v>2612</v>
      </c>
      <c r="E30" s="64" t="s">
        <v>671</v>
      </c>
      <c r="F30" s="64"/>
      <c r="G30" s="148" t="s">
        <v>2613</v>
      </c>
      <c r="H30" s="64"/>
      <c r="I30" s="64"/>
      <c r="J30" s="64"/>
      <c r="K30" s="64"/>
      <c r="L30" s="61"/>
      <c r="M30" s="100"/>
      <c r="N30" s="100"/>
    </row>
    <row r="31" ht="15.6" spans="1:14">
      <c r="A31" s="76"/>
      <c r="B31" s="269" t="s">
        <v>2614</v>
      </c>
      <c r="C31" s="61" t="s">
        <v>706</v>
      </c>
      <c r="D31" s="61" t="s">
        <v>2615</v>
      </c>
      <c r="E31" s="64" t="s">
        <v>671</v>
      </c>
      <c r="F31" s="64"/>
      <c r="G31" s="148" t="s">
        <v>2616</v>
      </c>
      <c r="H31" s="64"/>
      <c r="I31" s="64"/>
      <c r="J31" s="64"/>
      <c r="K31" s="64"/>
      <c r="L31" s="61"/>
      <c r="M31" s="100"/>
      <c r="N31" s="100"/>
    </row>
    <row r="32" ht="15.6" spans="1:14">
      <c r="A32" s="76"/>
      <c r="B32" s="269" t="s">
        <v>2617</v>
      </c>
      <c r="C32" s="61" t="s">
        <v>706</v>
      </c>
      <c r="D32" s="61" t="s">
        <v>2618</v>
      </c>
      <c r="E32" s="64" t="s">
        <v>671</v>
      </c>
      <c r="F32" s="64"/>
      <c r="G32" s="148" t="s">
        <v>2619</v>
      </c>
      <c r="H32" s="64"/>
      <c r="I32" s="64"/>
      <c r="J32" s="64"/>
      <c r="K32" s="64"/>
      <c r="L32" s="61"/>
      <c r="M32" s="100"/>
      <c r="N32" s="100"/>
    </row>
    <row r="33" ht="15.6" spans="1:14">
      <c r="A33" s="76"/>
      <c r="B33" s="269" t="s">
        <v>2620</v>
      </c>
      <c r="C33" s="61" t="s">
        <v>1349</v>
      </c>
      <c r="D33" s="61" t="s">
        <v>2621</v>
      </c>
      <c r="E33" s="64" t="s">
        <v>671</v>
      </c>
      <c r="F33" s="64"/>
      <c r="G33" s="148" t="s">
        <v>2622</v>
      </c>
      <c r="H33" s="64"/>
      <c r="I33" s="64"/>
      <c r="J33" s="64"/>
      <c r="K33" s="64"/>
      <c r="L33" s="61"/>
      <c r="M33" s="100"/>
      <c r="N33" s="100"/>
    </row>
    <row r="34" ht="15.6" spans="1:14">
      <c r="A34" s="76"/>
      <c r="B34" s="269" t="s">
        <v>2623</v>
      </c>
      <c r="C34" s="61" t="s">
        <v>1349</v>
      </c>
      <c r="D34" s="61" t="s">
        <v>2624</v>
      </c>
      <c r="E34" s="64"/>
      <c r="F34" s="64"/>
      <c r="G34" s="148" t="s">
        <v>1693</v>
      </c>
      <c r="H34" s="64"/>
      <c r="I34" s="64"/>
      <c r="J34" s="64"/>
      <c r="K34" s="64"/>
      <c r="L34" s="61"/>
      <c r="M34" s="100"/>
      <c r="N34" s="100"/>
    </row>
    <row r="35" ht="15.6" spans="1:14">
      <c r="A35" s="76"/>
      <c r="B35" s="269" t="s">
        <v>2625</v>
      </c>
      <c r="C35" s="61" t="s">
        <v>706</v>
      </c>
      <c r="D35" s="61" t="s">
        <v>2626</v>
      </c>
      <c r="E35" s="64"/>
      <c r="F35" s="64"/>
      <c r="G35" s="148" t="s">
        <v>1693</v>
      </c>
      <c r="H35" s="64"/>
      <c r="I35" s="64"/>
      <c r="J35" s="64"/>
      <c r="K35" s="64"/>
      <c r="L35" s="61"/>
      <c r="M35" s="100"/>
      <c r="N35" s="100"/>
    </row>
    <row r="36" ht="15.6" spans="1:14">
      <c r="A36" s="76"/>
      <c r="B36" s="269" t="s">
        <v>2627</v>
      </c>
      <c r="C36" s="61" t="s">
        <v>706</v>
      </c>
      <c r="D36" s="61" t="s">
        <v>2628</v>
      </c>
      <c r="E36" s="64"/>
      <c r="F36" s="64"/>
      <c r="G36" s="148" t="s">
        <v>1693</v>
      </c>
      <c r="H36" s="64"/>
      <c r="I36" s="64"/>
      <c r="J36" s="64"/>
      <c r="K36" s="64"/>
      <c r="L36" s="61"/>
      <c r="M36" s="100"/>
      <c r="N36" s="100"/>
    </row>
    <row r="37" ht="15.6" spans="1:14">
      <c r="A37" s="76"/>
      <c r="B37" s="269" t="s">
        <v>2629</v>
      </c>
      <c r="C37" s="61" t="s">
        <v>1349</v>
      </c>
      <c r="D37" s="61" t="s">
        <v>2630</v>
      </c>
      <c r="E37" s="64"/>
      <c r="F37" s="64"/>
      <c r="G37" s="148" t="s">
        <v>1693</v>
      </c>
      <c r="H37" s="64"/>
      <c r="I37" s="64"/>
      <c r="J37" s="64"/>
      <c r="K37" s="64"/>
      <c r="L37" s="61"/>
      <c r="M37" s="100"/>
      <c r="N37" s="100"/>
    </row>
    <row r="38" ht="15.6" spans="1:14">
      <c r="A38" s="76"/>
      <c r="B38" s="269" t="s">
        <v>2631</v>
      </c>
      <c r="C38" s="61" t="s">
        <v>1349</v>
      </c>
      <c r="D38" s="61" t="s">
        <v>2632</v>
      </c>
      <c r="E38" s="64"/>
      <c r="F38" s="64"/>
      <c r="G38" s="148" t="s">
        <v>1693</v>
      </c>
      <c r="H38" s="64"/>
      <c r="I38" s="64"/>
      <c r="J38" s="64"/>
      <c r="K38" s="64"/>
      <c r="L38" s="61"/>
      <c r="M38" s="100"/>
      <c r="N38" s="100"/>
    </row>
    <row r="39" ht="15.6" spans="1:14">
      <c r="A39" s="76"/>
      <c r="B39" s="269" t="s">
        <v>2633</v>
      </c>
      <c r="C39" s="61" t="s">
        <v>706</v>
      </c>
      <c r="D39" s="61" t="s">
        <v>2634</v>
      </c>
      <c r="E39" s="64"/>
      <c r="F39" s="64"/>
      <c r="G39" s="148" t="s">
        <v>1693</v>
      </c>
      <c r="H39" s="64"/>
      <c r="I39" s="64"/>
      <c r="J39" s="64"/>
      <c r="K39" s="64"/>
      <c r="L39" s="61"/>
      <c r="M39" s="100"/>
      <c r="N39" s="100"/>
    </row>
    <row r="40" ht="15.6" spans="1:14">
      <c r="A40" s="76"/>
      <c r="B40" s="269" t="s">
        <v>2635</v>
      </c>
      <c r="C40" s="61" t="s">
        <v>706</v>
      </c>
      <c r="D40" s="61" t="s">
        <v>2636</v>
      </c>
      <c r="E40" s="64"/>
      <c r="F40" s="64"/>
      <c r="G40" s="148" t="s">
        <v>1693</v>
      </c>
      <c r="H40" s="64"/>
      <c r="I40" s="64"/>
      <c r="J40" s="64"/>
      <c r="K40" s="64"/>
      <c r="L40" s="61"/>
      <c r="M40" s="100"/>
      <c r="N40" s="100"/>
    </row>
    <row r="41" ht="15.6" spans="1:14">
      <c r="A41" s="76"/>
      <c r="B41" s="269" t="s">
        <v>2637</v>
      </c>
      <c r="C41" s="61" t="s">
        <v>1349</v>
      </c>
      <c r="D41" s="61" t="s">
        <v>2638</v>
      </c>
      <c r="E41" s="64"/>
      <c r="F41" s="64"/>
      <c r="G41" s="148" t="s">
        <v>1693</v>
      </c>
      <c r="H41" s="64"/>
      <c r="I41" s="64"/>
      <c r="J41" s="64"/>
      <c r="K41" s="64"/>
      <c r="L41" s="61"/>
      <c r="M41" s="100"/>
      <c r="N41" s="100"/>
    </row>
    <row r="42" ht="15.6" spans="1:14">
      <c r="A42" s="76"/>
      <c r="B42" s="269" t="s">
        <v>2639</v>
      </c>
      <c r="C42" s="61" t="s">
        <v>1349</v>
      </c>
      <c r="D42" s="61" t="s">
        <v>2640</v>
      </c>
      <c r="E42" s="64"/>
      <c r="F42" s="64"/>
      <c r="G42" s="148" t="s">
        <v>1693</v>
      </c>
      <c r="H42" s="64"/>
      <c r="I42" s="64"/>
      <c r="J42" s="64"/>
      <c r="K42" s="64"/>
      <c r="L42" s="61"/>
      <c r="M42" s="100"/>
      <c r="N42" s="100"/>
    </row>
    <row r="43" ht="15.6" spans="1:14">
      <c r="A43" s="76"/>
      <c r="B43" s="269" t="s">
        <v>2641</v>
      </c>
      <c r="C43" s="61" t="s">
        <v>706</v>
      </c>
      <c r="D43" s="61" t="s">
        <v>2642</v>
      </c>
      <c r="E43" s="64"/>
      <c r="F43" s="64"/>
      <c r="G43" s="148" t="s">
        <v>1693</v>
      </c>
      <c r="H43" s="64"/>
      <c r="I43" s="64"/>
      <c r="J43" s="64"/>
      <c r="K43" s="64"/>
      <c r="L43" s="61"/>
      <c r="M43" s="100"/>
      <c r="N43" s="100"/>
    </row>
    <row r="44" ht="15.6" spans="1:14">
      <c r="A44" s="76"/>
      <c r="B44" s="269" t="s">
        <v>2643</v>
      </c>
      <c r="C44" s="61" t="s">
        <v>706</v>
      </c>
      <c r="D44" s="61" t="s">
        <v>2644</v>
      </c>
      <c r="E44" s="64"/>
      <c r="F44" s="64"/>
      <c r="G44" s="148" t="s">
        <v>1693</v>
      </c>
      <c r="H44" s="64"/>
      <c r="I44" s="64"/>
      <c r="J44" s="64"/>
      <c r="K44" s="64"/>
      <c r="L44" s="61"/>
      <c r="M44" s="100"/>
      <c r="N44" s="100"/>
    </row>
    <row r="45" ht="15.6" spans="1:14">
      <c r="A45" s="76"/>
      <c r="B45" s="269" t="s">
        <v>2645</v>
      </c>
      <c r="C45" s="61" t="s">
        <v>1349</v>
      </c>
      <c r="D45" s="61" t="s">
        <v>2646</v>
      </c>
      <c r="E45" s="64"/>
      <c r="F45" s="64"/>
      <c r="G45" s="148" t="s">
        <v>1693</v>
      </c>
      <c r="H45" s="64"/>
      <c r="I45" s="64"/>
      <c r="J45" s="64"/>
      <c r="K45" s="64"/>
      <c r="L45" s="61"/>
      <c r="M45" s="100"/>
      <c r="N45" s="100"/>
    </row>
    <row r="46" ht="15.6" spans="1:14">
      <c r="A46" s="76"/>
      <c r="B46" s="269" t="s">
        <v>2647</v>
      </c>
      <c r="C46" s="61" t="s">
        <v>706</v>
      </c>
      <c r="D46" s="61" t="s">
        <v>2648</v>
      </c>
      <c r="E46" s="64" t="s">
        <v>671</v>
      </c>
      <c r="F46" s="64"/>
      <c r="G46" s="148" t="s">
        <v>2649</v>
      </c>
      <c r="H46" s="64"/>
      <c r="I46" s="64"/>
      <c r="J46" s="64"/>
      <c r="K46" s="64"/>
      <c r="L46" s="61"/>
      <c r="M46" s="100"/>
      <c r="N46" s="100"/>
    </row>
    <row r="47" ht="15.6" spans="1:14">
      <c r="A47" s="76"/>
      <c r="B47" s="269" t="s">
        <v>2650</v>
      </c>
      <c r="C47" s="61" t="s">
        <v>706</v>
      </c>
      <c r="D47" s="61" t="s">
        <v>2651</v>
      </c>
      <c r="E47" s="64" t="s">
        <v>671</v>
      </c>
      <c r="F47" s="64"/>
      <c r="G47" s="148" t="s">
        <v>2652</v>
      </c>
      <c r="H47" s="64"/>
      <c r="I47" s="64"/>
      <c r="J47" s="64"/>
      <c r="K47" s="64"/>
      <c r="L47" s="61"/>
      <c r="M47" s="100"/>
      <c r="N47" s="100"/>
    </row>
    <row r="48" ht="15.6" spans="1:14">
      <c r="A48" s="76"/>
      <c r="B48" s="269" t="s">
        <v>2653</v>
      </c>
      <c r="C48" s="61" t="s">
        <v>706</v>
      </c>
      <c r="D48" s="61" t="s">
        <v>2654</v>
      </c>
      <c r="E48" s="64" t="s">
        <v>671</v>
      </c>
      <c r="F48" s="64"/>
      <c r="G48" s="148" t="s">
        <v>2655</v>
      </c>
      <c r="H48" s="64"/>
      <c r="I48" s="64"/>
      <c r="J48" s="64"/>
      <c r="K48" s="64"/>
      <c r="L48" s="61"/>
      <c r="M48" s="100"/>
      <c r="N48" s="100"/>
    </row>
    <row r="49" ht="15.6" spans="1:14">
      <c r="A49" s="76"/>
      <c r="B49" s="269" t="s">
        <v>2656</v>
      </c>
      <c r="C49" s="61" t="s">
        <v>706</v>
      </c>
      <c r="D49" s="61" t="s">
        <v>2657</v>
      </c>
      <c r="E49" s="64" t="s">
        <v>671</v>
      </c>
      <c r="F49" s="64"/>
      <c r="G49" s="148" t="s">
        <v>2658</v>
      </c>
      <c r="H49" s="64"/>
      <c r="I49" s="64"/>
      <c r="J49" s="64"/>
      <c r="K49" s="64"/>
      <c r="L49" s="61"/>
      <c r="M49" s="100"/>
      <c r="N49" s="100"/>
    </row>
    <row r="50" ht="15.6" spans="1:14">
      <c r="A50" s="76"/>
      <c r="B50" s="269" t="s">
        <v>2659</v>
      </c>
      <c r="C50" s="61" t="s">
        <v>1349</v>
      </c>
      <c r="D50" s="61" t="s">
        <v>2660</v>
      </c>
      <c r="E50" s="64" t="s">
        <v>671</v>
      </c>
      <c r="F50" s="64"/>
      <c r="G50" s="148" t="s">
        <v>2661</v>
      </c>
      <c r="H50" s="64"/>
      <c r="I50" s="64"/>
      <c r="J50" s="64"/>
      <c r="K50" s="64"/>
      <c r="L50" s="61"/>
      <c r="M50" s="100"/>
      <c r="N50" s="100"/>
    </row>
    <row r="51" ht="15.6" spans="1:14">
      <c r="A51" s="76"/>
      <c r="B51" s="269" t="s">
        <v>2662</v>
      </c>
      <c r="C51" s="61" t="s">
        <v>1349</v>
      </c>
      <c r="D51" s="61" t="s">
        <v>2663</v>
      </c>
      <c r="E51" s="64" t="s">
        <v>671</v>
      </c>
      <c r="F51" s="64"/>
      <c r="G51" s="148" t="s">
        <v>2664</v>
      </c>
      <c r="H51" s="64"/>
      <c r="I51" s="64"/>
      <c r="J51" s="64"/>
      <c r="K51" s="64"/>
      <c r="L51" s="61"/>
      <c r="M51" s="100"/>
      <c r="N51" s="100"/>
    </row>
    <row r="52" ht="15.6" spans="1:14">
      <c r="A52" s="76"/>
      <c r="B52" s="269" t="s">
        <v>2665</v>
      </c>
      <c r="C52" s="61" t="s">
        <v>1349</v>
      </c>
      <c r="D52" s="61" t="s">
        <v>2666</v>
      </c>
      <c r="E52" s="64" t="s">
        <v>671</v>
      </c>
      <c r="F52" s="64"/>
      <c r="G52" s="148" t="s">
        <v>2667</v>
      </c>
      <c r="H52" s="64"/>
      <c r="I52" s="64"/>
      <c r="J52" s="64"/>
      <c r="K52" s="64"/>
      <c r="L52" s="61"/>
      <c r="M52" s="100"/>
      <c r="N52" s="100"/>
    </row>
    <row r="53" ht="15.6" spans="1:14">
      <c r="A53" s="76"/>
      <c r="B53" s="269" t="s">
        <v>2668</v>
      </c>
      <c r="C53" s="61" t="s">
        <v>1349</v>
      </c>
      <c r="D53" s="61" t="s">
        <v>2669</v>
      </c>
      <c r="E53" s="64" t="s">
        <v>671</v>
      </c>
      <c r="F53" s="64"/>
      <c r="G53" s="148" t="s">
        <v>2670</v>
      </c>
      <c r="H53" s="64"/>
      <c r="I53" s="64"/>
      <c r="J53" s="64"/>
      <c r="K53" s="64"/>
      <c r="L53" s="61"/>
      <c r="M53" s="100"/>
      <c r="N53" s="100"/>
    </row>
    <row r="54" ht="15.6" spans="1:14">
      <c r="A54" s="76"/>
      <c r="B54" s="269" t="s">
        <v>2671</v>
      </c>
      <c r="C54" s="61" t="s">
        <v>706</v>
      </c>
      <c r="D54" s="61" t="s">
        <v>2672</v>
      </c>
      <c r="E54" s="64" t="s">
        <v>671</v>
      </c>
      <c r="F54" s="64"/>
      <c r="G54" s="148" t="s">
        <v>2673</v>
      </c>
      <c r="H54" s="64"/>
      <c r="I54" s="64" t="s">
        <v>2674</v>
      </c>
      <c r="J54" s="64"/>
      <c r="K54" s="64"/>
      <c r="L54" s="61"/>
      <c r="M54" s="100"/>
      <c r="N54" s="100"/>
    </row>
    <row r="55" ht="15.6" spans="1:14">
      <c r="A55" s="76"/>
      <c r="B55" s="269" t="s">
        <v>2675</v>
      </c>
      <c r="C55" s="61" t="s">
        <v>706</v>
      </c>
      <c r="D55" s="61" t="s">
        <v>2676</v>
      </c>
      <c r="E55" s="64"/>
      <c r="F55" s="64"/>
      <c r="G55" s="148" t="s">
        <v>1693</v>
      </c>
      <c r="H55" s="64"/>
      <c r="I55" s="64"/>
      <c r="J55" s="64"/>
      <c r="K55" s="64"/>
      <c r="L55" s="61"/>
      <c r="M55" s="100"/>
      <c r="N55" s="100"/>
    </row>
    <row r="56" ht="15.6" spans="1:14">
      <c r="A56" s="76"/>
      <c r="B56" s="269" t="s">
        <v>2677</v>
      </c>
      <c r="C56" s="61" t="s">
        <v>706</v>
      </c>
      <c r="D56" s="61" t="s">
        <v>2678</v>
      </c>
      <c r="E56" s="64"/>
      <c r="F56" s="64"/>
      <c r="G56" s="148" t="s">
        <v>1693</v>
      </c>
      <c r="H56" s="64"/>
      <c r="I56" s="64"/>
      <c r="J56" s="64"/>
      <c r="K56" s="64"/>
      <c r="L56" s="61"/>
      <c r="M56" s="100"/>
      <c r="N56" s="100"/>
    </row>
    <row r="57" ht="15.6" spans="1:14">
      <c r="A57" s="76"/>
      <c r="B57" s="269" t="s">
        <v>2679</v>
      </c>
      <c r="C57" s="61" t="s">
        <v>706</v>
      </c>
      <c r="D57" s="61" t="s">
        <v>2680</v>
      </c>
      <c r="E57" s="64"/>
      <c r="F57" s="64"/>
      <c r="G57" s="148" t="s">
        <v>1693</v>
      </c>
      <c r="H57" s="64"/>
      <c r="I57" s="64"/>
      <c r="J57" s="64"/>
      <c r="K57" s="64"/>
      <c r="L57" s="61"/>
      <c r="M57" s="100"/>
      <c r="N57" s="100"/>
    </row>
    <row r="58" ht="15.6" spans="1:14">
      <c r="A58" s="76"/>
      <c r="B58" s="269" t="s">
        <v>2681</v>
      </c>
      <c r="C58" s="61" t="s">
        <v>1349</v>
      </c>
      <c r="D58" s="61" t="s">
        <v>2682</v>
      </c>
      <c r="E58" s="64"/>
      <c r="F58" s="64"/>
      <c r="G58" s="148" t="s">
        <v>1693</v>
      </c>
      <c r="H58" s="64"/>
      <c r="I58" s="64"/>
      <c r="J58" s="64"/>
      <c r="K58" s="64"/>
      <c r="L58" s="61"/>
      <c r="M58" s="100"/>
      <c r="N58" s="100"/>
    </row>
    <row r="59" ht="15.6" spans="1:14">
      <c r="A59" s="76"/>
      <c r="B59" s="269" t="s">
        <v>2683</v>
      </c>
      <c r="C59" s="61" t="s">
        <v>1349</v>
      </c>
      <c r="D59" s="61" t="s">
        <v>2684</v>
      </c>
      <c r="E59" s="64"/>
      <c r="F59" s="64"/>
      <c r="G59" s="148" t="s">
        <v>1693</v>
      </c>
      <c r="H59" s="64"/>
      <c r="I59" s="64"/>
      <c r="J59" s="64"/>
      <c r="K59" s="64"/>
      <c r="L59" s="61"/>
      <c r="M59" s="100"/>
      <c r="N59" s="100"/>
    </row>
    <row r="60" ht="15.6" spans="1:14">
      <c r="A60" s="76"/>
      <c r="B60" s="269" t="s">
        <v>2685</v>
      </c>
      <c r="C60" s="61" t="s">
        <v>1349</v>
      </c>
      <c r="D60" s="61" t="s">
        <v>2686</v>
      </c>
      <c r="E60" s="64"/>
      <c r="F60" s="64"/>
      <c r="G60" s="148" t="s">
        <v>1693</v>
      </c>
      <c r="H60" s="64"/>
      <c r="I60" s="64"/>
      <c r="J60" s="64"/>
      <c r="K60" s="64"/>
      <c r="L60" s="61"/>
      <c r="M60" s="100"/>
      <c r="N60" s="100"/>
    </row>
    <row r="61" ht="15.6" spans="1:14">
      <c r="A61" s="76"/>
      <c r="B61" s="269" t="s">
        <v>2687</v>
      </c>
      <c r="C61" s="61" t="s">
        <v>1349</v>
      </c>
      <c r="D61" s="61" t="s">
        <v>2688</v>
      </c>
      <c r="E61" s="64"/>
      <c r="F61" s="64"/>
      <c r="G61" s="148" t="s">
        <v>1693</v>
      </c>
      <c r="H61" s="64"/>
      <c r="I61" s="64"/>
      <c r="J61" s="64"/>
      <c r="K61" s="64"/>
      <c r="L61" s="61"/>
      <c r="M61" s="100"/>
      <c r="N61" s="100"/>
    </row>
    <row r="62" ht="15.6" spans="1:14">
      <c r="A62" s="76"/>
      <c r="B62" s="269" t="s">
        <v>2689</v>
      </c>
      <c r="C62" s="61" t="s">
        <v>706</v>
      </c>
      <c r="D62" s="61" t="s">
        <v>2690</v>
      </c>
      <c r="E62" s="64"/>
      <c r="F62" s="64"/>
      <c r="G62" s="148" t="s">
        <v>1693</v>
      </c>
      <c r="H62" s="69"/>
      <c r="I62" s="64"/>
      <c r="J62" s="64"/>
      <c r="K62" s="64"/>
      <c r="L62" s="61"/>
      <c r="M62" s="100"/>
      <c r="N62" s="100"/>
    </row>
    <row r="63" ht="15.6" spans="1:14">
      <c r="A63" s="76"/>
      <c r="B63" s="269" t="s">
        <v>2691</v>
      </c>
      <c r="C63" s="61" t="s">
        <v>706</v>
      </c>
      <c r="D63" s="61" t="s">
        <v>2692</v>
      </c>
      <c r="E63" s="64"/>
      <c r="F63" s="64"/>
      <c r="G63" s="148" t="s">
        <v>1693</v>
      </c>
      <c r="H63" s="64"/>
      <c r="I63" s="64"/>
      <c r="J63" s="64"/>
      <c r="K63" s="64"/>
      <c r="L63" s="61"/>
      <c r="M63" s="100"/>
      <c r="N63" s="100"/>
    </row>
    <row r="64" ht="15.6" spans="1:14">
      <c r="A64" s="76"/>
      <c r="B64" s="269" t="s">
        <v>2693</v>
      </c>
      <c r="C64" s="61" t="s">
        <v>706</v>
      </c>
      <c r="D64" s="61" t="s">
        <v>2694</v>
      </c>
      <c r="E64" s="64"/>
      <c r="F64" s="64"/>
      <c r="G64" s="148" t="s">
        <v>1693</v>
      </c>
      <c r="H64" s="64"/>
      <c r="I64" s="64"/>
      <c r="J64" s="64"/>
      <c r="K64" s="64"/>
      <c r="L64" s="61"/>
      <c r="M64" s="100"/>
      <c r="N64" s="100"/>
    </row>
    <row r="65" ht="15.6" spans="1:14">
      <c r="A65" s="76"/>
      <c r="B65" s="269" t="s">
        <v>2695</v>
      </c>
      <c r="C65" s="61" t="s">
        <v>706</v>
      </c>
      <c r="D65" s="64" t="s">
        <v>2696</v>
      </c>
      <c r="E65" s="64" t="s">
        <v>2697</v>
      </c>
      <c r="F65" s="64"/>
      <c r="G65" s="221" t="s">
        <v>2698</v>
      </c>
      <c r="H65" s="64"/>
      <c r="I65" s="64"/>
      <c r="J65" s="64"/>
      <c r="K65" s="64"/>
      <c r="L65" s="61"/>
      <c r="M65" s="100"/>
      <c r="N65" s="100"/>
    </row>
    <row r="66" ht="15.6" spans="1:14">
      <c r="A66" s="76"/>
      <c r="B66" s="269" t="s">
        <v>2699</v>
      </c>
      <c r="C66" s="61" t="s">
        <v>706</v>
      </c>
      <c r="D66" s="64" t="s">
        <v>2700</v>
      </c>
      <c r="E66" s="64" t="s">
        <v>2697</v>
      </c>
      <c r="F66" s="64"/>
      <c r="G66" s="221" t="s">
        <v>2698</v>
      </c>
      <c r="H66" s="64"/>
      <c r="I66" s="64"/>
      <c r="J66" s="64"/>
      <c r="K66" s="64"/>
      <c r="L66" s="61"/>
      <c r="M66" s="100"/>
      <c r="N66" s="100"/>
    </row>
    <row r="67" s="192" customFormat="1" ht="15.6" spans="1:12">
      <c r="A67" s="191"/>
      <c r="B67" s="228" t="s">
        <v>239</v>
      </c>
      <c r="C67" s="228" t="s">
        <v>170</v>
      </c>
      <c r="D67" s="229" t="s">
        <v>240</v>
      </c>
      <c r="E67" s="64" t="s">
        <v>2697</v>
      </c>
      <c r="F67" s="201"/>
      <c r="G67" s="221" t="s">
        <v>2701</v>
      </c>
      <c r="H67" s="84"/>
      <c r="I67" s="84"/>
      <c r="J67" s="84"/>
      <c r="K67" s="228"/>
      <c r="L67" s="228"/>
    </row>
    <row r="68" s="192" customFormat="1" ht="15.6" spans="1:12">
      <c r="A68" s="191"/>
      <c r="B68" s="228" t="s">
        <v>177</v>
      </c>
      <c r="C68" s="228" t="s">
        <v>175</v>
      </c>
      <c r="D68" s="229" t="s">
        <v>1971</v>
      </c>
      <c r="E68" s="84"/>
      <c r="F68" s="201"/>
      <c r="G68" s="201"/>
      <c r="H68" s="84"/>
      <c r="I68" s="84"/>
      <c r="J68" s="84"/>
      <c r="K68" s="228"/>
      <c r="L68" s="228"/>
    </row>
    <row r="69" s="192" customFormat="1" ht="15.6" spans="1:12">
      <c r="A69" s="191"/>
      <c r="B69" s="228" t="s">
        <v>693</v>
      </c>
      <c r="C69" s="228" t="s">
        <v>175</v>
      </c>
      <c r="D69" s="229" t="s">
        <v>1859</v>
      </c>
      <c r="E69" s="84"/>
      <c r="F69" s="201"/>
      <c r="G69" s="201"/>
      <c r="H69" s="84"/>
      <c r="I69" s="84"/>
      <c r="J69" s="84"/>
      <c r="K69" s="228"/>
      <c r="L69" s="228"/>
    </row>
    <row r="70" s="209" customFormat="1" ht="15.6" spans="2:12">
      <c r="B70" s="229" t="s">
        <v>696</v>
      </c>
      <c r="C70" s="229" t="s">
        <v>170</v>
      </c>
      <c r="D70" s="229" t="s">
        <v>1534</v>
      </c>
      <c r="E70" s="201"/>
      <c r="F70" s="201"/>
      <c r="G70" s="201"/>
      <c r="H70" s="201"/>
      <c r="I70" s="201"/>
      <c r="J70" s="201"/>
      <c r="K70" s="229"/>
      <c r="L70" s="229"/>
    </row>
  </sheetData>
  <mergeCells count="3">
    <mergeCell ref="B2:H2"/>
    <mergeCell ref="B6:H6"/>
    <mergeCell ref="B11:L11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hyperlinks>
    <hyperlink ref="B1" location="导航!B1" display="=HYPERLINK(&quot;#&quot;&amp;&quot;导航应用&quot;&amp;&quot;!B1&quot;,&quot;返回&quot;)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42"/>
  <sheetViews>
    <sheetView workbookViewId="0">
      <selection activeCell="J27" sqref="J27"/>
    </sheetView>
  </sheetViews>
  <sheetFormatPr defaultColWidth="9" defaultRowHeight="15.6"/>
  <cols>
    <col min="1" max="1" width="5" style="191" customWidth="1"/>
    <col min="2" max="2" width="16.3796296296296" style="191" customWidth="1"/>
    <col min="3" max="3" width="23.1296296296296" style="191" customWidth="1"/>
    <col min="4" max="4" width="20.5" style="191" customWidth="1"/>
    <col min="5" max="5" width="16.25" style="191" customWidth="1"/>
    <col min="6" max="6" width="11.1296296296296" style="191" customWidth="1"/>
    <col min="7" max="7" width="9.12962962962963" style="191" customWidth="1"/>
    <col min="8" max="8" width="12" style="191" customWidth="1"/>
    <col min="9" max="9" width="10.8796296296296" style="191" customWidth="1"/>
    <col min="10" max="10" width="12.5" style="191" customWidth="1"/>
    <col min="11" max="11" width="14.1296296296296" style="191" customWidth="1"/>
    <col min="12" max="12" width="12.3796296296296" style="192" customWidth="1"/>
    <col min="13" max="16384" width="9" style="192"/>
  </cols>
  <sheetData>
    <row r="1" spans="2:8">
      <c r="B1" s="193" t="str">
        <f>HYPERLINK("#"&amp;"导航应用"&amp;"!B1","返回")</f>
        <v>返回</v>
      </c>
      <c r="C1" s="194"/>
      <c r="D1" s="194"/>
      <c r="E1" s="194"/>
      <c r="F1" s="194"/>
      <c r="G1" s="194"/>
      <c r="H1" s="194"/>
    </row>
    <row r="2" ht="17.4" spans="2:8">
      <c r="B2" s="195" t="s">
        <v>132</v>
      </c>
      <c r="C2" s="195"/>
      <c r="D2" s="195"/>
      <c r="E2" s="195"/>
      <c r="F2" s="195"/>
      <c r="G2" s="195"/>
      <c r="H2" s="195"/>
    </row>
    <row r="3" spans="2:8">
      <c r="B3" s="196" t="s">
        <v>133</v>
      </c>
      <c r="C3" s="196" t="s">
        <v>134</v>
      </c>
      <c r="D3" s="196" t="s">
        <v>135</v>
      </c>
      <c r="E3" s="196" t="s">
        <v>136</v>
      </c>
      <c r="F3" s="196" t="s">
        <v>137</v>
      </c>
      <c r="G3" s="196" t="s">
        <v>138</v>
      </c>
      <c r="H3" s="196" t="s">
        <v>139</v>
      </c>
    </row>
    <row r="4" spans="2:14">
      <c r="B4" s="84"/>
      <c r="C4" s="260" t="s">
        <v>78</v>
      </c>
      <c r="D4" s="84" t="s">
        <v>2702</v>
      </c>
      <c r="E4" s="84" t="s">
        <v>661</v>
      </c>
      <c r="F4" s="197" t="s">
        <v>141</v>
      </c>
      <c r="G4" s="84"/>
      <c r="H4" s="84"/>
      <c r="N4" s="191"/>
    </row>
    <row r="5" spans="2:8">
      <c r="B5" s="198"/>
      <c r="C5" s="198"/>
      <c r="D5" s="198"/>
      <c r="E5" s="198"/>
      <c r="F5" s="198"/>
      <c r="G5" s="198"/>
      <c r="H5" s="198"/>
    </row>
    <row r="6" ht="17.4" spans="2:8">
      <c r="B6" s="195" t="s">
        <v>142</v>
      </c>
      <c r="C6" s="195"/>
      <c r="D6" s="195"/>
      <c r="E6" s="195"/>
      <c r="F6" s="195"/>
      <c r="G6" s="195"/>
      <c r="H6" s="195"/>
    </row>
    <row r="7" spans="2:8">
      <c r="B7" s="199" t="s">
        <v>143</v>
      </c>
      <c r="C7" s="199" t="s">
        <v>144</v>
      </c>
      <c r="D7" s="199" t="s">
        <v>145</v>
      </c>
      <c r="E7" s="199" t="s">
        <v>146</v>
      </c>
      <c r="F7" s="199" t="s">
        <v>147</v>
      </c>
      <c r="G7" s="199" t="s">
        <v>13</v>
      </c>
      <c r="H7" s="199" t="s">
        <v>148</v>
      </c>
    </row>
    <row r="8" spans="2:8">
      <c r="B8" s="84"/>
      <c r="C8" s="200" t="s">
        <v>670</v>
      </c>
      <c r="D8" s="201"/>
      <c r="E8" s="84" t="s">
        <v>422</v>
      </c>
      <c r="F8" s="84"/>
      <c r="G8" s="84"/>
      <c r="H8" s="84" t="s">
        <v>21</v>
      </c>
    </row>
    <row r="10" spans="2:12">
      <c r="B10" s="202" t="s">
        <v>158</v>
      </c>
      <c r="C10" s="203"/>
      <c r="D10" s="203"/>
      <c r="E10" s="203"/>
      <c r="F10" s="203"/>
      <c r="G10" s="203"/>
      <c r="H10" s="203"/>
      <c r="I10" s="203"/>
      <c r="J10" s="203"/>
      <c r="K10" s="203"/>
      <c r="L10" s="207"/>
    </row>
    <row r="11" ht="24" spans="2:12">
      <c r="B11" s="204" t="s">
        <v>159</v>
      </c>
      <c r="C11" s="204" t="s">
        <v>160</v>
      </c>
      <c r="D11" s="204" t="s">
        <v>161</v>
      </c>
      <c r="E11" s="204" t="s">
        <v>162</v>
      </c>
      <c r="F11" s="204" t="s">
        <v>163</v>
      </c>
      <c r="G11" s="204" t="s">
        <v>164</v>
      </c>
      <c r="H11" s="204" t="s">
        <v>165</v>
      </c>
      <c r="I11" s="204" t="s">
        <v>13</v>
      </c>
      <c r="J11" s="204" t="s">
        <v>166</v>
      </c>
      <c r="K11" s="204" t="s">
        <v>167</v>
      </c>
      <c r="L11" s="204" t="s">
        <v>168</v>
      </c>
    </row>
    <row r="12" spans="2:12">
      <c r="B12" s="72" t="s">
        <v>174</v>
      </c>
      <c r="C12" s="72" t="s">
        <v>175</v>
      </c>
      <c r="D12" s="72" t="s">
        <v>176</v>
      </c>
      <c r="E12" s="72" t="s">
        <v>422</v>
      </c>
      <c r="F12" s="84"/>
      <c r="G12" s="72" t="s">
        <v>177</v>
      </c>
      <c r="H12" s="84"/>
      <c r="I12" s="206"/>
      <c r="J12" s="84"/>
      <c r="K12" s="84"/>
      <c r="L12" s="84"/>
    </row>
    <row r="13" spans="2:12">
      <c r="B13" s="72" t="s">
        <v>1539</v>
      </c>
      <c r="C13" s="72" t="s">
        <v>175</v>
      </c>
      <c r="D13" s="72" t="s">
        <v>1540</v>
      </c>
      <c r="E13" s="72" t="s">
        <v>422</v>
      </c>
      <c r="F13" s="84"/>
      <c r="G13" s="72" t="s">
        <v>693</v>
      </c>
      <c r="H13" s="84"/>
      <c r="I13" s="84"/>
      <c r="J13" s="84"/>
      <c r="K13" s="84"/>
      <c r="L13" s="206"/>
    </row>
    <row r="14" spans="2:12">
      <c r="B14" s="72" t="s">
        <v>661</v>
      </c>
      <c r="C14" s="72" t="s">
        <v>175</v>
      </c>
      <c r="D14" s="72" t="s">
        <v>1542</v>
      </c>
      <c r="E14" s="72" t="s">
        <v>422</v>
      </c>
      <c r="F14" s="84"/>
      <c r="G14" s="72" t="s">
        <v>696</v>
      </c>
      <c r="H14" s="84"/>
      <c r="I14" s="84"/>
      <c r="J14" s="84"/>
      <c r="K14" s="84"/>
      <c r="L14" s="206"/>
    </row>
    <row r="15" spans="2:12">
      <c r="B15" s="261" t="s">
        <v>211</v>
      </c>
      <c r="C15" s="72" t="s">
        <v>175</v>
      </c>
      <c r="D15" s="72" t="s">
        <v>211</v>
      </c>
      <c r="E15" s="72" t="s">
        <v>422</v>
      </c>
      <c r="F15" s="84"/>
      <c r="G15" s="72" t="s">
        <v>2703</v>
      </c>
      <c r="H15" s="84"/>
      <c r="I15" s="84"/>
      <c r="J15" s="84"/>
      <c r="K15" s="84"/>
      <c r="L15" s="206"/>
    </row>
    <row r="16" spans="2:12">
      <c r="B16" s="261" t="s">
        <v>191</v>
      </c>
      <c r="C16" s="72" t="s">
        <v>175</v>
      </c>
      <c r="D16" s="72" t="s">
        <v>191</v>
      </c>
      <c r="E16" s="72" t="s">
        <v>422</v>
      </c>
      <c r="F16" s="84"/>
      <c r="G16" s="72" t="s">
        <v>191</v>
      </c>
      <c r="H16" s="84"/>
      <c r="I16" s="84"/>
      <c r="J16" s="84"/>
      <c r="K16" s="84"/>
      <c r="L16" s="206"/>
    </row>
    <row r="17" spans="2:12">
      <c r="B17" s="261" t="s">
        <v>188</v>
      </c>
      <c r="C17" s="72" t="s">
        <v>175</v>
      </c>
      <c r="D17" s="72" t="s">
        <v>2704</v>
      </c>
      <c r="E17" s="72" t="s">
        <v>422</v>
      </c>
      <c r="F17" s="84"/>
      <c r="G17" s="72" t="s">
        <v>188</v>
      </c>
      <c r="H17" s="84"/>
      <c r="I17" s="84"/>
      <c r="J17" s="84"/>
      <c r="K17" s="84"/>
      <c r="L17" s="206"/>
    </row>
    <row r="18" spans="2:12">
      <c r="B18" s="72" t="s">
        <v>2705</v>
      </c>
      <c r="C18" s="72" t="s">
        <v>170</v>
      </c>
      <c r="D18" s="72" t="s">
        <v>2706</v>
      </c>
      <c r="E18" s="72" t="s">
        <v>422</v>
      </c>
      <c r="F18" s="84"/>
      <c r="G18" s="72" t="s">
        <v>2707</v>
      </c>
      <c r="H18" s="84"/>
      <c r="I18" s="84"/>
      <c r="J18" s="84"/>
      <c r="K18" s="84"/>
      <c r="L18" s="206"/>
    </row>
    <row r="19" spans="2:12">
      <c r="B19" s="72" t="s">
        <v>2708</v>
      </c>
      <c r="C19" s="72" t="s">
        <v>170</v>
      </c>
      <c r="D19" s="72" t="s">
        <v>2709</v>
      </c>
      <c r="E19" s="72" t="s">
        <v>422</v>
      </c>
      <c r="F19" s="84"/>
      <c r="G19" s="157" t="s">
        <v>2710</v>
      </c>
      <c r="H19" s="84"/>
      <c r="I19" s="84"/>
      <c r="J19" s="84"/>
      <c r="K19" s="84"/>
      <c r="L19" s="206"/>
    </row>
    <row r="20" spans="2:12">
      <c r="B20" s="72" t="s">
        <v>2711</v>
      </c>
      <c r="C20" s="72" t="s">
        <v>170</v>
      </c>
      <c r="D20" s="72" t="s">
        <v>2712</v>
      </c>
      <c r="E20" s="72" t="s">
        <v>422</v>
      </c>
      <c r="F20" s="84"/>
      <c r="G20" s="72" t="s">
        <v>2713</v>
      </c>
      <c r="H20" s="84"/>
      <c r="I20" s="84"/>
      <c r="J20" s="84"/>
      <c r="K20" s="84"/>
      <c r="L20" s="206"/>
    </row>
    <row r="21" spans="2:12">
      <c r="B21" s="72" t="s">
        <v>2714</v>
      </c>
      <c r="C21" s="72" t="s">
        <v>170</v>
      </c>
      <c r="D21" s="72" t="s">
        <v>2715</v>
      </c>
      <c r="E21" s="72" t="s">
        <v>422</v>
      </c>
      <c r="F21" s="84"/>
      <c r="G21" s="157" t="s">
        <v>2716</v>
      </c>
      <c r="H21" s="84"/>
      <c r="I21" s="84"/>
      <c r="J21" s="84"/>
      <c r="K21" s="84"/>
      <c r="L21" s="206"/>
    </row>
    <row r="22" spans="2:12">
      <c r="B22" s="72" t="s">
        <v>2717</v>
      </c>
      <c r="C22" s="72" t="s">
        <v>203</v>
      </c>
      <c r="D22" s="72" t="s">
        <v>2718</v>
      </c>
      <c r="E22" s="72" t="s">
        <v>422</v>
      </c>
      <c r="F22" s="84"/>
      <c r="G22" s="157" t="s">
        <v>2719</v>
      </c>
      <c r="H22" s="84"/>
      <c r="I22" s="84"/>
      <c r="J22" s="84"/>
      <c r="K22" s="84"/>
      <c r="L22" s="206"/>
    </row>
    <row r="23" spans="2:12">
      <c r="B23" s="72" t="s">
        <v>2720</v>
      </c>
      <c r="C23" s="72" t="s">
        <v>203</v>
      </c>
      <c r="D23" s="72" t="s">
        <v>2721</v>
      </c>
      <c r="E23" s="72" t="s">
        <v>422</v>
      </c>
      <c r="F23" s="84"/>
      <c r="G23" s="157" t="s">
        <v>2722</v>
      </c>
      <c r="H23" s="84"/>
      <c r="I23" s="84"/>
      <c r="J23" s="84"/>
      <c r="K23" s="84"/>
      <c r="L23" s="206"/>
    </row>
    <row r="24" spans="2:12">
      <c r="B24" s="72" t="s">
        <v>2723</v>
      </c>
      <c r="C24" s="72" t="s">
        <v>2724</v>
      </c>
      <c r="D24" s="72" t="s">
        <v>2725</v>
      </c>
      <c r="E24" s="72"/>
      <c r="F24" s="84"/>
      <c r="G24" s="206" t="s">
        <v>1693</v>
      </c>
      <c r="H24" s="84"/>
      <c r="I24" s="208" t="s">
        <v>2726</v>
      </c>
      <c r="J24" s="84"/>
      <c r="K24" s="84"/>
      <c r="L24" s="206"/>
    </row>
    <row r="25" spans="2:12">
      <c r="B25" s="72" t="s">
        <v>2727</v>
      </c>
      <c r="C25" s="96" t="s">
        <v>706</v>
      </c>
      <c r="D25" s="72" t="s">
        <v>2728</v>
      </c>
      <c r="E25" s="72"/>
      <c r="F25" s="84"/>
      <c r="G25" s="206" t="s">
        <v>1693</v>
      </c>
      <c r="H25" s="84"/>
      <c r="I25" s="208" t="s">
        <v>2729</v>
      </c>
      <c r="J25" s="84"/>
      <c r="K25" s="84"/>
      <c r="L25" s="206"/>
    </row>
    <row r="26" spans="2:12">
      <c r="B26" s="72" t="s">
        <v>2730</v>
      </c>
      <c r="C26" s="96" t="s">
        <v>706</v>
      </c>
      <c r="D26" s="72" t="s">
        <v>2731</v>
      </c>
      <c r="E26" s="72"/>
      <c r="F26" s="84"/>
      <c r="G26" s="206" t="s">
        <v>1693</v>
      </c>
      <c r="H26" s="84"/>
      <c r="I26" s="208" t="s">
        <v>2732</v>
      </c>
      <c r="J26" s="84"/>
      <c r="K26" s="84"/>
      <c r="L26" s="206"/>
    </row>
    <row r="27" spans="2:12">
      <c r="B27" s="72" t="s">
        <v>2733</v>
      </c>
      <c r="C27" s="96" t="s">
        <v>706</v>
      </c>
      <c r="D27" s="72" t="s">
        <v>2734</v>
      </c>
      <c r="E27" s="72"/>
      <c r="F27" s="84"/>
      <c r="G27" s="206" t="s">
        <v>1693</v>
      </c>
      <c r="H27" s="84"/>
      <c r="I27" s="208" t="s">
        <v>2735</v>
      </c>
      <c r="J27" s="84"/>
      <c r="K27" s="84"/>
      <c r="L27" s="206"/>
    </row>
    <row r="28" spans="2:12">
      <c r="B28" s="72" t="s">
        <v>2736</v>
      </c>
      <c r="C28" s="96" t="s">
        <v>706</v>
      </c>
      <c r="D28" s="72" t="s">
        <v>2737</v>
      </c>
      <c r="E28" s="72"/>
      <c r="F28" s="84"/>
      <c r="G28" s="206" t="s">
        <v>1693</v>
      </c>
      <c r="H28" s="84"/>
      <c r="I28" s="208" t="s">
        <v>2738</v>
      </c>
      <c r="J28" s="84"/>
      <c r="K28" s="84"/>
      <c r="L28" s="206"/>
    </row>
    <row r="29" spans="2:12">
      <c r="B29" s="72" t="s">
        <v>2739</v>
      </c>
      <c r="C29" s="96" t="s">
        <v>706</v>
      </c>
      <c r="D29" s="72" t="s">
        <v>2740</v>
      </c>
      <c r="E29" s="72"/>
      <c r="F29" s="84"/>
      <c r="G29" s="206" t="s">
        <v>1693</v>
      </c>
      <c r="H29" s="84"/>
      <c r="I29" s="208" t="s">
        <v>2741</v>
      </c>
      <c r="J29" s="84"/>
      <c r="K29" s="84"/>
      <c r="L29" s="206"/>
    </row>
    <row r="30" spans="2:12">
      <c r="B30" s="72" t="s">
        <v>2742</v>
      </c>
      <c r="C30" s="96" t="s">
        <v>706</v>
      </c>
      <c r="D30" s="72" t="s">
        <v>2743</v>
      </c>
      <c r="E30" s="72"/>
      <c r="F30" s="84"/>
      <c r="G30" s="206" t="s">
        <v>1693</v>
      </c>
      <c r="H30" s="84"/>
      <c r="I30" s="208" t="s">
        <v>2744</v>
      </c>
      <c r="J30" s="84"/>
      <c r="K30" s="84"/>
      <c r="L30" s="206"/>
    </row>
    <row r="31" spans="2:12">
      <c r="B31" s="72" t="s">
        <v>2745</v>
      </c>
      <c r="C31" s="96" t="s">
        <v>706</v>
      </c>
      <c r="D31" s="72" t="s">
        <v>2746</v>
      </c>
      <c r="E31" s="72"/>
      <c r="F31" s="84"/>
      <c r="G31" s="206" t="s">
        <v>1693</v>
      </c>
      <c r="H31" s="84"/>
      <c r="I31" s="208" t="s">
        <v>2747</v>
      </c>
      <c r="J31" s="84"/>
      <c r="K31" s="84"/>
      <c r="L31" s="206"/>
    </row>
    <row r="32" spans="2:12">
      <c r="B32" s="72" t="s">
        <v>2748</v>
      </c>
      <c r="C32" s="96" t="s">
        <v>706</v>
      </c>
      <c r="D32" s="72" t="s">
        <v>2749</v>
      </c>
      <c r="E32" s="72"/>
      <c r="F32" s="84"/>
      <c r="G32" s="206" t="s">
        <v>1693</v>
      </c>
      <c r="H32" s="84"/>
      <c r="I32" s="208" t="s">
        <v>2750</v>
      </c>
      <c r="J32" s="84"/>
      <c r="K32" s="84"/>
      <c r="L32" s="206"/>
    </row>
    <row r="33" spans="2:12">
      <c r="B33" s="72" t="s">
        <v>2751</v>
      </c>
      <c r="C33" s="96" t="s">
        <v>706</v>
      </c>
      <c r="D33" s="72" t="s">
        <v>2752</v>
      </c>
      <c r="E33" s="72"/>
      <c r="F33" s="84"/>
      <c r="G33" s="206" t="s">
        <v>1693</v>
      </c>
      <c r="H33" s="84"/>
      <c r="I33" s="208" t="s">
        <v>2753</v>
      </c>
      <c r="J33" s="84"/>
      <c r="K33" s="84"/>
      <c r="L33" s="206"/>
    </row>
    <row r="34" spans="2:12">
      <c r="B34" s="72" t="s">
        <v>2754</v>
      </c>
      <c r="C34" s="96" t="s">
        <v>706</v>
      </c>
      <c r="D34" s="72" t="s">
        <v>2755</v>
      </c>
      <c r="E34" s="72"/>
      <c r="F34" s="84"/>
      <c r="G34" s="206" t="s">
        <v>1693</v>
      </c>
      <c r="H34" s="84"/>
      <c r="I34" s="208" t="s">
        <v>2756</v>
      </c>
      <c r="J34" s="84"/>
      <c r="K34" s="84"/>
      <c r="L34" s="206"/>
    </row>
    <row r="35" spans="2:12">
      <c r="B35" s="72" t="s">
        <v>2757</v>
      </c>
      <c r="C35" s="96" t="s">
        <v>706</v>
      </c>
      <c r="D35" s="72" t="s">
        <v>2758</v>
      </c>
      <c r="E35" s="72"/>
      <c r="F35" s="84"/>
      <c r="G35" s="206" t="s">
        <v>1693</v>
      </c>
      <c r="H35" s="84"/>
      <c r="I35" s="208" t="s">
        <v>2759</v>
      </c>
      <c r="J35" s="84"/>
      <c r="K35" s="84"/>
      <c r="L35" s="206"/>
    </row>
    <row r="36" spans="2:12">
      <c r="B36" s="72" t="s">
        <v>2760</v>
      </c>
      <c r="C36" s="96" t="s">
        <v>706</v>
      </c>
      <c r="D36" s="72" t="s">
        <v>2761</v>
      </c>
      <c r="E36" s="72"/>
      <c r="F36" s="84"/>
      <c r="G36" s="206" t="s">
        <v>1693</v>
      </c>
      <c r="H36" s="84"/>
      <c r="I36" s="208" t="s">
        <v>2762</v>
      </c>
      <c r="J36" s="84"/>
      <c r="K36" s="84"/>
      <c r="L36" s="206"/>
    </row>
    <row r="37" spans="2:12">
      <c r="B37" s="72" t="s">
        <v>2763</v>
      </c>
      <c r="C37" s="96" t="s">
        <v>706</v>
      </c>
      <c r="D37" s="72" t="s">
        <v>2764</v>
      </c>
      <c r="E37" s="72"/>
      <c r="F37" s="84"/>
      <c r="G37" s="206" t="s">
        <v>1693</v>
      </c>
      <c r="H37" s="84"/>
      <c r="I37" s="208" t="s">
        <v>2765</v>
      </c>
      <c r="J37" s="84"/>
      <c r="K37" s="84"/>
      <c r="L37" s="206"/>
    </row>
    <row r="38" spans="2:12">
      <c r="B38" s="72" t="s">
        <v>2766</v>
      </c>
      <c r="C38" s="96" t="s">
        <v>706</v>
      </c>
      <c r="D38" s="72" t="s">
        <v>2767</v>
      </c>
      <c r="E38" s="72"/>
      <c r="F38" s="84"/>
      <c r="G38" s="206" t="s">
        <v>1693</v>
      </c>
      <c r="H38" s="84"/>
      <c r="I38" s="208" t="s">
        <v>2768</v>
      </c>
      <c r="J38" s="84"/>
      <c r="K38" s="84"/>
      <c r="L38" s="206"/>
    </row>
    <row r="39" s="75" customFormat="1" spans="1:14">
      <c r="A39" s="95"/>
      <c r="B39" s="69" t="s">
        <v>2769</v>
      </c>
      <c r="C39" s="96" t="s">
        <v>706</v>
      </c>
      <c r="D39" s="96" t="s">
        <v>2770</v>
      </c>
      <c r="E39" s="72" t="s">
        <v>422</v>
      </c>
      <c r="F39" s="69"/>
      <c r="G39" s="150" t="s">
        <v>831</v>
      </c>
      <c r="H39" s="64"/>
      <c r="I39" s="64"/>
      <c r="J39" s="64"/>
      <c r="K39" s="64"/>
      <c r="L39" s="61"/>
      <c r="M39" s="100"/>
      <c r="N39" s="100"/>
    </row>
    <row r="40" spans="2:12">
      <c r="B40" s="72" t="s">
        <v>177</v>
      </c>
      <c r="C40" s="72" t="s">
        <v>175</v>
      </c>
      <c r="D40" s="72" t="s">
        <v>177</v>
      </c>
      <c r="E40" s="72"/>
      <c r="F40" s="84"/>
      <c r="G40" s="72" t="s">
        <v>177</v>
      </c>
      <c r="H40" s="84"/>
      <c r="I40" s="206"/>
      <c r="J40" s="84"/>
      <c r="K40" s="84"/>
      <c r="L40" s="84"/>
    </row>
    <row r="41" spans="2:12">
      <c r="B41" s="72" t="s">
        <v>693</v>
      </c>
      <c r="C41" s="72" t="s">
        <v>175</v>
      </c>
      <c r="D41" s="72" t="s">
        <v>693</v>
      </c>
      <c r="E41" s="72"/>
      <c r="F41" s="84"/>
      <c r="G41" s="72" t="s">
        <v>693</v>
      </c>
      <c r="H41" s="84"/>
      <c r="I41" s="84"/>
      <c r="J41" s="84"/>
      <c r="K41" s="84"/>
      <c r="L41" s="206"/>
    </row>
    <row r="42" spans="2:12">
      <c r="B42" s="72" t="s">
        <v>696</v>
      </c>
      <c r="C42" s="72" t="s">
        <v>175</v>
      </c>
      <c r="D42" s="72" t="s">
        <v>696</v>
      </c>
      <c r="E42" s="72"/>
      <c r="F42" s="84"/>
      <c r="G42" s="72" t="s">
        <v>696</v>
      </c>
      <c r="H42" s="84"/>
      <c r="I42" s="84"/>
      <c r="J42" s="84"/>
      <c r="K42" s="84"/>
      <c r="L42" s="206"/>
    </row>
  </sheetData>
  <mergeCells count="3">
    <mergeCell ref="B2:H2"/>
    <mergeCell ref="B6:H6"/>
    <mergeCell ref="B10:L10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B1:N344"/>
  <sheetViews>
    <sheetView workbookViewId="0">
      <selection activeCell="J27" sqref="J27"/>
    </sheetView>
  </sheetViews>
  <sheetFormatPr defaultColWidth="9" defaultRowHeight="15.6"/>
  <cols>
    <col min="1" max="1" width="9.75" style="191" customWidth="1"/>
    <col min="2" max="2" width="29.8796296296296" style="191" customWidth="1"/>
    <col min="3" max="3" width="17.1296296296296" style="191" customWidth="1"/>
    <col min="4" max="4" width="38.6296296296296" style="191" customWidth="1"/>
    <col min="5" max="5" width="12.3796296296296" style="191" customWidth="1"/>
    <col min="6" max="6" width="11.1296296296296" style="191" customWidth="1"/>
    <col min="7" max="7" width="37.3796296296296" style="191" customWidth="1"/>
    <col min="8" max="8" width="12" style="191" customWidth="1"/>
    <col min="9" max="9" width="10.8796296296296" style="191" customWidth="1"/>
    <col min="10" max="10" width="12.5" style="191" customWidth="1"/>
    <col min="11" max="11" width="14.1296296296296" style="191" customWidth="1"/>
    <col min="12" max="12" width="12.3796296296296" style="192" customWidth="1"/>
    <col min="13" max="16384" width="9" style="192"/>
  </cols>
  <sheetData>
    <row r="1" spans="2:8">
      <c r="B1" s="193" t="str">
        <f>HYPERLINK("#"&amp;"导航应用"&amp;"!B1","返回")</f>
        <v>返回</v>
      </c>
      <c r="C1" s="194"/>
      <c r="D1" s="194"/>
      <c r="E1" s="194"/>
      <c r="F1" s="194"/>
      <c r="G1" s="194"/>
      <c r="H1" s="194"/>
    </row>
    <row r="2" ht="17.4" spans="2:8">
      <c r="B2" s="195" t="s">
        <v>132</v>
      </c>
      <c r="C2" s="195"/>
      <c r="D2" s="195"/>
      <c r="E2" s="195"/>
      <c r="F2" s="195"/>
      <c r="G2" s="195"/>
      <c r="H2" s="195"/>
    </row>
    <row r="3" spans="2:8">
      <c r="B3" s="196" t="s">
        <v>133</v>
      </c>
      <c r="C3" s="196" t="s">
        <v>134</v>
      </c>
      <c r="D3" s="196" t="s">
        <v>135</v>
      </c>
      <c r="E3" s="196" t="s">
        <v>136</v>
      </c>
      <c r="F3" s="196" t="s">
        <v>137</v>
      </c>
      <c r="G3" s="196" t="s">
        <v>138</v>
      </c>
      <c r="H3" s="196" t="s">
        <v>139</v>
      </c>
    </row>
    <row r="4" spans="2:14">
      <c r="B4" s="84"/>
      <c r="C4" s="246" t="s">
        <v>81</v>
      </c>
      <c r="D4" s="250" t="s">
        <v>2771</v>
      </c>
      <c r="E4" s="84" t="s">
        <v>661</v>
      </c>
      <c r="F4" s="197"/>
      <c r="G4" s="231"/>
      <c r="H4" s="231"/>
      <c r="N4" s="191"/>
    </row>
    <row r="5" spans="2:8">
      <c r="B5" s="198"/>
      <c r="C5" s="198"/>
      <c r="D5" s="198"/>
      <c r="E5" s="198"/>
      <c r="F5" s="198"/>
      <c r="G5" s="198"/>
      <c r="H5" s="198"/>
    </row>
    <row r="6" ht="17.4" spans="2:8">
      <c r="B6" s="195" t="s">
        <v>142</v>
      </c>
      <c r="C6" s="195"/>
      <c r="D6" s="195"/>
      <c r="E6" s="195"/>
      <c r="F6" s="195"/>
      <c r="G6" s="195"/>
      <c r="H6" s="195"/>
    </row>
    <row r="7" spans="2:8">
      <c r="B7" s="199" t="s">
        <v>143</v>
      </c>
      <c r="C7" s="199" t="s">
        <v>144</v>
      </c>
      <c r="D7" s="199" t="s">
        <v>145</v>
      </c>
      <c r="E7" s="199" t="s">
        <v>146</v>
      </c>
      <c r="F7" s="199" t="s">
        <v>147</v>
      </c>
      <c r="G7" s="199" t="s">
        <v>13</v>
      </c>
      <c r="H7" s="199" t="s">
        <v>148</v>
      </c>
    </row>
    <row r="8" spans="2:8">
      <c r="B8" s="84"/>
      <c r="C8" s="200" t="s">
        <v>670</v>
      </c>
      <c r="D8" s="206"/>
      <c r="E8" s="84" t="s">
        <v>422</v>
      </c>
      <c r="F8" s="201" t="s">
        <v>1862</v>
      </c>
      <c r="G8" s="54"/>
      <c r="H8" s="16" t="s">
        <v>21</v>
      </c>
    </row>
    <row r="10" spans="2:12">
      <c r="B10" s="202" t="s">
        <v>158</v>
      </c>
      <c r="C10" s="203"/>
      <c r="D10" s="203"/>
      <c r="E10" s="203"/>
      <c r="F10" s="203"/>
      <c r="G10" s="203"/>
      <c r="H10" s="203"/>
      <c r="I10" s="203"/>
      <c r="J10" s="203"/>
      <c r="K10" s="203"/>
      <c r="L10" s="207"/>
    </row>
    <row r="11" ht="24" spans="2:12">
      <c r="B11" s="204" t="s">
        <v>159</v>
      </c>
      <c r="C11" s="204" t="s">
        <v>160</v>
      </c>
      <c r="D11" s="204" t="s">
        <v>161</v>
      </c>
      <c r="E11" s="204" t="s">
        <v>162</v>
      </c>
      <c r="F11" s="204" t="s">
        <v>163</v>
      </c>
      <c r="G11" s="204" t="s">
        <v>164</v>
      </c>
      <c r="H11" s="204" t="s">
        <v>165</v>
      </c>
      <c r="I11" s="204" t="s">
        <v>13</v>
      </c>
      <c r="J11" s="204" t="s">
        <v>166</v>
      </c>
      <c r="K11" s="204" t="s">
        <v>167</v>
      </c>
      <c r="L11" s="204" t="s">
        <v>168</v>
      </c>
    </row>
    <row r="12" spans="2:12">
      <c r="B12" s="229" t="s">
        <v>174</v>
      </c>
      <c r="C12" s="229" t="s">
        <v>175</v>
      </c>
      <c r="D12" s="229" t="s">
        <v>1538</v>
      </c>
      <c r="E12" s="201" t="s">
        <v>422</v>
      </c>
      <c r="F12" s="251" t="s">
        <v>177</v>
      </c>
      <c r="G12" s="229" t="s">
        <v>748</v>
      </c>
      <c r="H12" s="201"/>
      <c r="I12" s="229" t="s">
        <v>2772</v>
      </c>
      <c r="J12" s="201"/>
      <c r="K12" s="229" t="s">
        <v>749</v>
      </c>
      <c r="L12" s="229" t="s">
        <v>749</v>
      </c>
    </row>
    <row r="13" spans="2:12">
      <c r="B13" s="229" t="s">
        <v>1539</v>
      </c>
      <c r="C13" s="229" t="s">
        <v>170</v>
      </c>
      <c r="D13" s="229" t="s">
        <v>1540</v>
      </c>
      <c r="E13" s="201" t="s">
        <v>422</v>
      </c>
      <c r="F13" s="251" t="s">
        <v>693</v>
      </c>
      <c r="G13" s="229" t="s">
        <v>748</v>
      </c>
      <c r="H13" s="201"/>
      <c r="I13" s="229" t="s">
        <v>749</v>
      </c>
      <c r="J13" s="201"/>
      <c r="K13" s="229" t="s">
        <v>749</v>
      </c>
      <c r="L13" s="229" t="s">
        <v>1541</v>
      </c>
    </row>
    <row r="14" spans="2:12">
      <c r="B14" s="229" t="s">
        <v>661</v>
      </c>
      <c r="C14" s="229" t="s">
        <v>170</v>
      </c>
      <c r="D14" s="229" t="s">
        <v>1542</v>
      </c>
      <c r="E14" s="201" t="s">
        <v>422</v>
      </c>
      <c r="F14" s="251" t="s">
        <v>696</v>
      </c>
      <c r="G14" s="229" t="s">
        <v>748</v>
      </c>
      <c r="H14" s="201"/>
      <c r="I14" s="229" t="s">
        <v>749</v>
      </c>
      <c r="J14" s="201"/>
      <c r="K14" s="229" t="s">
        <v>749</v>
      </c>
      <c r="L14" s="229" t="s">
        <v>1543</v>
      </c>
    </row>
    <row r="15" spans="2:12">
      <c r="B15" s="229" t="s">
        <v>169</v>
      </c>
      <c r="C15" s="229" t="s">
        <v>170</v>
      </c>
      <c r="D15" s="229" t="s">
        <v>525</v>
      </c>
      <c r="E15" s="201" t="s">
        <v>422</v>
      </c>
      <c r="F15" s="201"/>
      <c r="G15" s="200" t="s">
        <v>2773</v>
      </c>
      <c r="H15" s="201"/>
      <c r="I15" s="229" t="s">
        <v>749</v>
      </c>
      <c r="J15" s="201"/>
      <c r="K15" s="229" t="s">
        <v>749</v>
      </c>
      <c r="L15" s="229" t="s">
        <v>1544</v>
      </c>
    </row>
    <row r="16" spans="2:12">
      <c r="B16" s="229" t="s">
        <v>178</v>
      </c>
      <c r="C16" s="229" t="s">
        <v>170</v>
      </c>
      <c r="D16" s="229" t="s">
        <v>527</v>
      </c>
      <c r="E16" s="201" t="s">
        <v>422</v>
      </c>
      <c r="F16" s="201"/>
      <c r="G16" s="200" t="s">
        <v>2773</v>
      </c>
      <c r="H16" s="201"/>
      <c r="I16" s="229" t="s">
        <v>749</v>
      </c>
      <c r="J16" s="201"/>
      <c r="K16" s="229" t="s">
        <v>749</v>
      </c>
      <c r="L16" s="229" t="s">
        <v>1546</v>
      </c>
    </row>
    <row r="17" spans="2:12">
      <c r="B17" s="229" t="s">
        <v>180</v>
      </c>
      <c r="C17" s="229" t="s">
        <v>170</v>
      </c>
      <c r="D17" s="229" t="s">
        <v>2774</v>
      </c>
      <c r="E17" s="201" t="s">
        <v>422</v>
      </c>
      <c r="F17" s="201"/>
      <c r="G17" s="200" t="s">
        <v>2773</v>
      </c>
      <c r="H17" s="201"/>
      <c r="I17" s="229" t="s">
        <v>749</v>
      </c>
      <c r="J17" s="201"/>
      <c r="K17" s="229" t="s">
        <v>749</v>
      </c>
      <c r="L17" s="229" t="s">
        <v>1548</v>
      </c>
    </row>
    <row r="18" spans="2:12">
      <c r="B18" s="229" t="s">
        <v>182</v>
      </c>
      <c r="C18" s="229" t="s">
        <v>175</v>
      </c>
      <c r="D18" s="229" t="s">
        <v>183</v>
      </c>
      <c r="E18" s="201" t="s">
        <v>422</v>
      </c>
      <c r="F18" s="201"/>
      <c r="G18" s="200" t="s">
        <v>2773</v>
      </c>
      <c r="H18" s="201"/>
      <c r="I18" s="229"/>
      <c r="J18" s="201"/>
      <c r="K18" s="229" t="s">
        <v>749</v>
      </c>
      <c r="L18" s="229" t="s">
        <v>1544</v>
      </c>
    </row>
    <row r="19" spans="2:12">
      <c r="B19" s="229" t="s">
        <v>184</v>
      </c>
      <c r="C19" s="229" t="s">
        <v>175</v>
      </c>
      <c r="D19" s="229" t="s">
        <v>2775</v>
      </c>
      <c r="E19" s="201" t="s">
        <v>422</v>
      </c>
      <c r="F19" s="201"/>
      <c r="G19" s="200" t="s">
        <v>2773</v>
      </c>
      <c r="H19" s="201"/>
      <c r="I19" s="229"/>
      <c r="J19" s="201"/>
      <c r="K19" s="229" t="s">
        <v>749</v>
      </c>
      <c r="L19" s="229" t="s">
        <v>749</v>
      </c>
    </row>
    <row r="20" spans="2:12">
      <c r="B20" s="229" t="s">
        <v>186</v>
      </c>
      <c r="C20" s="229" t="s">
        <v>175</v>
      </c>
      <c r="D20" s="229" t="s">
        <v>187</v>
      </c>
      <c r="E20" s="201" t="s">
        <v>422</v>
      </c>
      <c r="F20" s="201"/>
      <c r="G20" s="200" t="s">
        <v>2773</v>
      </c>
      <c r="H20" s="201"/>
      <c r="I20" s="229"/>
      <c r="J20" s="201"/>
      <c r="K20" s="229" t="s">
        <v>749</v>
      </c>
      <c r="L20" s="229" t="s">
        <v>749</v>
      </c>
    </row>
    <row r="21" spans="2:12">
      <c r="B21" s="229" t="s">
        <v>1973</v>
      </c>
      <c r="C21" s="229" t="s">
        <v>170</v>
      </c>
      <c r="D21" s="229" t="s">
        <v>2776</v>
      </c>
      <c r="E21" s="201" t="s">
        <v>422</v>
      </c>
      <c r="F21" s="201"/>
      <c r="G21" s="229" t="s">
        <v>748</v>
      </c>
      <c r="H21" s="201"/>
      <c r="I21" s="229"/>
      <c r="J21" s="201"/>
      <c r="K21" s="229" t="s">
        <v>749</v>
      </c>
      <c r="L21" s="229" t="s">
        <v>1975</v>
      </c>
    </row>
    <row r="22" spans="2:12">
      <c r="B22" s="229" t="s">
        <v>2777</v>
      </c>
      <c r="C22" s="229" t="s">
        <v>170</v>
      </c>
      <c r="D22" s="229" t="s">
        <v>1553</v>
      </c>
      <c r="E22" s="201" t="s">
        <v>422</v>
      </c>
      <c r="F22" s="201"/>
      <c r="G22" s="229" t="s">
        <v>748</v>
      </c>
      <c r="H22" s="201"/>
      <c r="I22" s="229" t="s">
        <v>749</v>
      </c>
      <c r="J22" s="201"/>
      <c r="K22" s="229" t="s">
        <v>749</v>
      </c>
      <c r="L22" s="229" t="s">
        <v>1554</v>
      </c>
    </row>
    <row r="23" spans="2:12">
      <c r="B23" s="229" t="s">
        <v>2778</v>
      </c>
      <c r="C23" s="229" t="s">
        <v>175</v>
      </c>
      <c r="D23" s="229" t="s">
        <v>1551</v>
      </c>
      <c r="E23" s="201" t="s">
        <v>422</v>
      </c>
      <c r="F23" s="201"/>
      <c r="G23" s="229" t="s">
        <v>748</v>
      </c>
      <c r="H23" s="201"/>
      <c r="I23" s="229" t="s">
        <v>749</v>
      </c>
      <c r="J23" s="201"/>
      <c r="K23" s="229" t="s">
        <v>749</v>
      </c>
      <c r="L23" s="229" t="s">
        <v>1552</v>
      </c>
    </row>
    <row r="24" spans="2:12">
      <c r="B24" s="229" t="s">
        <v>1555</v>
      </c>
      <c r="C24" s="229" t="s">
        <v>229</v>
      </c>
      <c r="D24" s="229" t="s">
        <v>1977</v>
      </c>
      <c r="E24" s="201" t="s">
        <v>422</v>
      </c>
      <c r="F24" s="241" t="s">
        <v>1863</v>
      </c>
      <c r="G24" s="200" t="s">
        <v>2779</v>
      </c>
      <c r="H24" s="201"/>
      <c r="I24" s="229" t="s">
        <v>749</v>
      </c>
      <c r="J24" s="201"/>
      <c r="K24" s="229" t="s">
        <v>749</v>
      </c>
      <c r="L24" s="229" t="s">
        <v>1557</v>
      </c>
    </row>
    <row r="25" spans="2:12">
      <c r="B25" s="229" t="s">
        <v>1558</v>
      </c>
      <c r="C25" s="229" t="s">
        <v>229</v>
      </c>
      <c r="D25" s="229" t="s">
        <v>1559</v>
      </c>
      <c r="E25" s="201" t="s">
        <v>422</v>
      </c>
      <c r="F25" s="241" t="s">
        <v>1863</v>
      </c>
      <c r="G25" s="200" t="s">
        <v>2780</v>
      </c>
      <c r="H25" s="201"/>
      <c r="I25" s="229" t="s">
        <v>749</v>
      </c>
      <c r="J25" s="201"/>
      <c r="K25" s="229" t="s">
        <v>749</v>
      </c>
      <c r="L25" s="229" t="s">
        <v>1560</v>
      </c>
    </row>
    <row r="26" spans="2:12">
      <c r="B26" s="229" t="s">
        <v>211</v>
      </c>
      <c r="C26" s="229" t="s">
        <v>175</v>
      </c>
      <c r="D26" s="229" t="s">
        <v>2781</v>
      </c>
      <c r="E26" s="201" t="s">
        <v>422</v>
      </c>
      <c r="F26" s="241" t="s">
        <v>1863</v>
      </c>
      <c r="G26" s="200" t="s">
        <v>2782</v>
      </c>
      <c r="H26" s="201"/>
      <c r="I26" s="229"/>
      <c r="J26" s="201"/>
      <c r="K26" s="229" t="s">
        <v>749</v>
      </c>
      <c r="L26" s="229" t="s">
        <v>749</v>
      </c>
    </row>
    <row r="27" spans="2:12">
      <c r="B27" s="229" t="s">
        <v>1567</v>
      </c>
      <c r="C27" s="229" t="s">
        <v>175</v>
      </c>
      <c r="D27" s="229" t="s">
        <v>1568</v>
      </c>
      <c r="E27" s="201" t="s">
        <v>422</v>
      </c>
      <c r="F27" s="229" t="s">
        <v>1567</v>
      </c>
      <c r="G27" s="229" t="s">
        <v>748</v>
      </c>
      <c r="H27" s="201"/>
      <c r="I27" s="229"/>
      <c r="J27" s="201"/>
      <c r="K27" s="229" t="s">
        <v>749</v>
      </c>
      <c r="L27" s="229" t="s">
        <v>1569</v>
      </c>
    </row>
    <row r="28" spans="2:12">
      <c r="B28" s="229" t="s">
        <v>2783</v>
      </c>
      <c r="C28" s="229" t="s">
        <v>175</v>
      </c>
      <c r="D28" s="229" t="s">
        <v>1979</v>
      </c>
      <c r="E28" s="201" t="s">
        <v>422</v>
      </c>
      <c r="F28" s="201" t="s">
        <v>1864</v>
      </c>
      <c r="G28" s="229" t="s">
        <v>748</v>
      </c>
      <c r="H28" s="201"/>
      <c r="I28" s="229" t="s">
        <v>749</v>
      </c>
      <c r="J28" s="201"/>
      <c r="K28" s="229" t="s">
        <v>749</v>
      </c>
      <c r="L28" s="229" t="s">
        <v>749</v>
      </c>
    </row>
    <row r="29" spans="2:12">
      <c r="B29" s="229" t="s">
        <v>188</v>
      </c>
      <c r="C29" s="229" t="s">
        <v>175</v>
      </c>
      <c r="D29" s="229" t="s">
        <v>2784</v>
      </c>
      <c r="E29" s="201" t="s">
        <v>422</v>
      </c>
      <c r="F29" s="229" t="s">
        <v>188</v>
      </c>
      <c r="G29" s="229" t="s">
        <v>748</v>
      </c>
      <c r="H29" s="201"/>
      <c r="I29" s="229" t="s">
        <v>749</v>
      </c>
      <c r="J29" s="201"/>
      <c r="K29" s="229" t="s">
        <v>749</v>
      </c>
      <c r="L29" s="229" t="s">
        <v>1563</v>
      </c>
    </row>
    <row r="30" spans="2:12">
      <c r="B30" s="229" t="s">
        <v>1865</v>
      </c>
      <c r="C30" s="229" t="s">
        <v>175</v>
      </c>
      <c r="D30" s="229" t="s">
        <v>2785</v>
      </c>
      <c r="E30" s="201" t="s">
        <v>422</v>
      </c>
      <c r="F30" s="229" t="s">
        <v>1865</v>
      </c>
      <c r="G30" s="229" t="s">
        <v>748</v>
      </c>
      <c r="H30" s="201"/>
      <c r="I30" s="229"/>
      <c r="J30" s="201"/>
      <c r="K30" s="229" t="s">
        <v>749</v>
      </c>
      <c r="L30" s="229" t="s">
        <v>749</v>
      </c>
    </row>
    <row r="31" spans="2:12">
      <c r="B31" s="229" t="s">
        <v>1564</v>
      </c>
      <c r="C31" s="229" t="s">
        <v>170</v>
      </c>
      <c r="D31" s="229" t="s">
        <v>1565</v>
      </c>
      <c r="E31" s="201" t="s">
        <v>422</v>
      </c>
      <c r="F31" s="201" t="s">
        <v>1865</v>
      </c>
      <c r="G31" s="200" t="s">
        <v>1866</v>
      </c>
      <c r="H31" s="201"/>
      <c r="I31" s="229" t="s">
        <v>749</v>
      </c>
      <c r="J31" s="201"/>
      <c r="K31" s="229" t="s">
        <v>749</v>
      </c>
      <c r="L31" s="229" t="s">
        <v>1566</v>
      </c>
    </row>
    <row r="32" spans="2:12">
      <c r="B32" s="229" t="s">
        <v>2786</v>
      </c>
      <c r="C32" s="229" t="s">
        <v>175</v>
      </c>
      <c r="D32" s="229" t="s">
        <v>2787</v>
      </c>
      <c r="E32" s="201" t="s">
        <v>422</v>
      </c>
      <c r="F32" s="201"/>
      <c r="G32" s="229" t="s">
        <v>748</v>
      </c>
      <c r="H32" s="201"/>
      <c r="I32" s="229" t="s">
        <v>749</v>
      </c>
      <c r="J32" s="201"/>
      <c r="K32" s="229" t="s">
        <v>749</v>
      </c>
      <c r="L32" s="229" t="s">
        <v>2788</v>
      </c>
    </row>
    <row r="33" spans="2:12">
      <c r="B33" s="229" t="s">
        <v>2789</v>
      </c>
      <c r="C33" s="229" t="s">
        <v>175</v>
      </c>
      <c r="D33" s="229" t="s">
        <v>2790</v>
      </c>
      <c r="E33" s="201" t="s">
        <v>422</v>
      </c>
      <c r="F33" s="201"/>
      <c r="G33" s="229" t="s">
        <v>748</v>
      </c>
      <c r="H33" s="201"/>
      <c r="I33" s="229" t="s">
        <v>749</v>
      </c>
      <c r="J33" s="201"/>
      <c r="K33" s="229" t="s">
        <v>749</v>
      </c>
      <c r="L33" s="229" t="s">
        <v>2791</v>
      </c>
    </row>
    <row r="34" spans="2:12">
      <c r="B34" s="229" t="s">
        <v>1869</v>
      </c>
      <c r="C34" s="229" t="s">
        <v>175</v>
      </c>
      <c r="D34" s="229" t="s">
        <v>2792</v>
      </c>
      <c r="E34" s="201" t="s">
        <v>422</v>
      </c>
      <c r="F34" s="201" t="s">
        <v>1869</v>
      </c>
      <c r="G34" s="229" t="s">
        <v>748</v>
      </c>
      <c r="H34" s="201"/>
      <c r="I34" s="229" t="s">
        <v>749</v>
      </c>
      <c r="J34" s="201"/>
      <c r="K34" s="229" t="s">
        <v>749</v>
      </c>
      <c r="L34" s="229" t="s">
        <v>749</v>
      </c>
    </row>
    <row r="35" spans="2:12">
      <c r="B35" s="229" t="s">
        <v>2793</v>
      </c>
      <c r="C35" s="229" t="s">
        <v>170</v>
      </c>
      <c r="D35" s="229" t="s">
        <v>2793</v>
      </c>
      <c r="E35" s="201" t="s">
        <v>422</v>
      </c>
      <c r="F35" s="201" t="s">
        <v>2793</v>
      </c>
      <c r="G35" s="229" t="s">
        <v>748</v>
      </c>
      <c r="H35" s="201"/>
      <c r="I35" s="229" t="s">
        <v>749</v>
      </c>
      <c r="J35" s="201"/>
      <c r="K35" s="229" t="s">
        <v>749</v>
      </c>
      <c r="L35" s="229" t="s">
        <v>2794</v>
      </c>
    </row>
    <row r="36" spans="2:12">
      <c r="B36" s="229" t="s">
        <v>1867</v>
      </c>
      <c r="C36" s="229" t="s">
        <v>175</v>
      </c>
      <c r="D36" s="229" t="s">
        <v>2795</v>
      </c>
      <c r="E36" s="201" t="s">
        <v>422</v>
      </c>
      <c r="F36" s="201" t="s">
        <v>1867</v>
      </c>
      <c r="G36" s="229" t="s">
        <v>748</v>
      </c>
      <c r="H36" s="201"/>
      <c r="I36" s="229" t="s">
        <v>749</v>
      </c>
      <c r="J36" s="201"/>
      <c r="K36" s="229" t="s">
        <v>749</v>
      </c>
      <c r="L36" s="229" t="s">
        <v>749</v>
      </c>
    </row>
    <row r="37" spans="2:12">
      <c r="B37" s="229" t="s">
        <v>1868</v>
      </c>
      <c r="C37" s="229" t="s">
        <v>175</v>
      </c>
      <c r="D37" s="229" t="s">
        <v>2796</v>
      </c>
      <c r="E37" s="201" t="s">
        <v>422</v>
      </c>
      <c r="F37" s="201" t="s">
        <v>1868</v>
      </c>
      <c r="G37" s="229" t="s">
        <v>748</v>
      </c>
      <c r="H37" s="201"/>
      <c r="I37" s="229"/>
      <c r="J37" s="201"/>
      <c r="K37" s="229" t="s">
        <v>749</v>
      </c>
      <c r="L37" s="229" t="s">
        <v>749</v>
      </c>
    </row>
    <row r="38" spans="2:12">
      <c r="B38" s="229" t="s">
        <v>738</v>
      </c>
      <c r="C38" s="229" t="s">
        <v>170</v>
      </c>
      <c r="D38" s="229" t="s">
        <v>738</v>
      </c>
      <c r="E38" s="201" t="s">
        <v>422</v>
      </c>
      <c r="F38" s="201" t="s">
        <v>738</v>
      </c>
      <c r="G38" s="229" t="s">
        <v>748</v>
      </c>
      <c r="H38" s="201"/>
      <c r="I38" s="229" t="s">
        <v>749</v>
      </c>
      <c r="J38" s="201"/>
      <c r="K38" s="229" t="s">
        <v>749</v>
      </c>
      <c r="L38" s="229" t="s">
        <v>2797</v>
      </c>
    </row>
    <row r="39" spans="2:12">
      <c r="B39" s="252" t="s">
        <v>2798</v>
      </c>
      <c r="C39" s="252" t="s">
        <v>170</v>
      </c>
      <c r="D39" s="253" t="s">
        <v>2799</v>
      </c>
      <c r="E39" s="254"/>
      <c r="F39" s="253"/>
      <c r="G39" s="253" t="s">
        <v>2800</v>
      </c>
      <c r="H39" s="201"/>
      <c r="I39" s="229" t="s">
        <v>749</v>
      </c>
      <c r="J39" s="201"/>
      <c r="K39" s="229" t="s">
        <v>749</v>
      </c>
      <c r="L39" s="229" t="s">
        <v>2801</v>
      </c>
    </row>
    <row r="40" spans="2:12">
      <c r="B40" s="229" t="s">
        <v>2802</v>
      </c>
      <c r="C40" s="229" t="s">
        <v>170</v>
      </c>
      <c r="D40" s="229" t="s">
        <v>1570</v>
      </c>
      <c r="E40" s="201" t="s">
        <v>422</v>
      </c>
      <c r="F40" s="201" t="s">
        <v>246</v>
      </c>
      <c r="G40" s="229" t="s">
        <v>748</v>
      </c>
      <c r="H40" s="201"/>
      <c r="I40" s="229" t="s">
        <v>749</v>
      </c>
      <c r="J40" s="201"/>
      <c r="K40" s="229" t="s">
        <v>749</v>
      </c>
      <c r="L40" s="229" t="s">
        <v>1571</v>
      </c>
    </row>
    <row r="41" spans="2:12">
      <c r="B41" s="229" t="s">
        <v>2803</v>
      </c>
      <c r="C41" s="229" t="s">
        <v>175</v>
      </c>
      <c r="D41" s="229" t="s">
        <v>2804</v>
      </c>
      <c r="E41" s="201" t="s">
        <v>422</v>
      </c>
      <c r="F41" s="255" t="s">
        <v>2805</v>
      </c>
      <c r="G41" s="229" t="s">
        <v>2806</v>
      </c>
      <c r="H41" s="201"/>
      <c r="I41" s="229"/>
      <c r="J41" s="201"/>
      <c r="K41" s="229" t="s">
        <v>749</v>
      </c>
      <c r="L41" s="229" t="s">
        <v>749</v>
      </c>
    </row>
    <row r="42" spans="2:12">
      <c r="B42" s="229" t="s">
        <v>1572</v>
      </c>
      <c r="C42" s="229" t="s">
        <v>229</v>
      </c>
      <c r="D42" s="229" t="s">
        <v>1573</v>
      </c>
      <c r="E42" s="201" t="s">
        <v>422</v>
      </c>
      <c r="F42" s="201"/>
      <c r="G42" s="200" t="s">
        <v>1574</v>
      </c>
      <c r="H42" s="229"/>
      <c r="I42" s="229" t="s">
        <v>749</v>
      </c>
      <c r="J42" s="201"/>
      <c r="K42" s="229" t="s">
        <v>615</v>
      </c>
      <c r="L42" s="229" t="s">
        <v>1576</v>
      </c>
    </row>
    <row r="43" spans="2:12">
      <c r="B43" s="229" t="s">
        <v>2807</v>
      </c>
      <c r="C43" s="229" t="s">
        <v>229</v>
      </c>
      <c r="D43" s="229" t="s">
        <v>1586</v>
      </c>
      <c r="E43" s="201" t="s">
        <v>422</v>
      </c>
      <c r="F43" s="201"/>
      <c r="G43" s="200" t="s">
        <v>759</v>
      </c>
      <c r="H43" s="229"/>
      <c r="I43" s="229" t="s">
        <v>749</v>
      </c>
      <c r="J43" s="201"/>
      <c r="K43" s="229" t="s">
        <v>1588</v>
      </c>
      <c r="L43" s="229" t="s">
        <v>1589</v>
      </c>
    </row>
    <row r="44" spans="2:12">
      <c r="B44" s="229" t="s">
        <v>2808</v>
      </c>
      <c r="C44" s="229" t="s">
        <v>229</v>
      </c>
      <c r="D44" s="229" t="s">
        <v>1591</v>
      </c>
      <c r="E44" s="201" t="s">
        <v>422</v>
      </c>
      <c r="F44" s="201"/>
      <c r="G44" s="200" t="s">
        <v>1988</v>
      </c>
      <c r="H44" s="229"/>
      <c r="I44" s="229" t="s">
        <v>749</v>
      </c>
      <c r="J44" s="201"/>
      <c r="K44" s="229" t="s">
        <v>1588</v>
      </c>
      <c r="L44" s="229" t="s">
        <v>1593</v>
      </c>
    </row>
    <row r="45" spans="2:12">
      <c r="B45" s="229" t="s">
        <v>1820</v>
      </c>
      <c r="C45" s="229" t="s">
        <v>229</v>
      </c>
      <c r="D45" s="229" t="s">
        <v>1821</v>
      </c>
      <c r="E45" s="201" t="s">
        <v>422</v>
      </c>
      <c r="F45" s="201"/>
      <c r="G45" s="200" t="s">
        <v>1822</v>
      </c>
      <c r="H45" s="229"/>
      <c r="I45" s="229"/>
      <c r="J45" s="201"/>
      <c r="K45" s="229" t="s">
        <v>231</v>
      </c>
      <c r="L45" s="229" t="s">
        <v>1823</v>
      </c>
    </row>
    <row r="46" spans="2:12">
      <c r="B46" s="229" t="s">
        <v>2809</v>
      </c>
      <c r="C46" s="229" t="s">
        <v>229</v>
      </c>
      <c r="D46" s="229" t="s">
        <v>1825</v>
      </c>
      <c r="E46" s="201" t="s">
        <v>422</v>
      </c>
      <c r="F46" s="201"/>
      <c r="G46" s="200" t="s">
        <v>771</v>
      </c>
      <c r="H46" s="229"/>
      <c r="I46" s="229" t="s">
        <v>2810</v>
      </c>
      <c r="J46" s="201"/>
      <c r="K46" s="229" t="s">
        <v>231</v>
      </c>
      <c r="L46" s="229" t="s">
        <v>2811</v>
      </c>
    </row>
    <row r="47" spans="2:12">
      <c r="B47" s="229" t="s">
        <v>2812</v>
      </c>
      <c r="C47" s="229" t="s">
        <v>229</v>
      </c>
      <c r="D47" s="229" t="s">
        <v>2813</v>
      </c>
      <c r="E47" s="201" t="s">
        <v>422</v>
      </c>
      <c r="F47" s="201"/>
      <c r="G47" s="200" t="s">
        <v>2814</v>
      </c>
      <c r="H47" s="229"/>
      <c r="I47" s="229" t="s">
        <v>2815</v>
      </c>
      <c r="J47" s="201"/>
      <c r="K47" s="229" t="s">
        <v>231</v>
      </c>
      <c r="L47" s="229" t="s">
        <v>2816</v>
      </c>
    </row>
    <row r="48" spans="2:12">
      <c r="B48" s="229" t="s">
        <v>1831</v>
      </c>
      <c r="C48" s="229" t="s">
        <v>229</v>
      </c>
      <c r="D48" s="229" t="s">
        <v>1832</v>
      </c>
      <c r="E48" s="201" t="s">
        <v>422</v>
      </c>
      <c r="F48" s="201"/>
      <c r="G48" s="200" t="s">
        <v>1833</v>
      </c>
      <c r="H48" s="229"/>
      <c r="I48" s="229"/>
      <c r="J48" s="201"/>
      <c r="K48" s="229" t="s">
        <v>231</v>
      </c>
      <c r="L48" s="229" t="s">
        <v>1834</v>
      </c>
    </row>
    <row r="49" spans="2:12">
      <c r="B49" s="229" t="s">
        <v>2817</v>
      </c>
      <c r="C49" s="229" t="s">
        <v>229</v>
      </c>
      <c r="D49" s="229" t="s">
        <v>1836</v>
      </c>
      <c r="E49" s="201" t="s">
        <v>422</v>
      </c>
      <c r="F49" s="201"/>
      <c r="G49" s="200" t="s">
        <v>780</v>
      </c>
      <c r="H49" s="229"/>
      <c r="I49" s="229" t="s">
        <v>2818</v>
      </c>
      <c r="J49" s="201"/>
      <c r="K49" s="229" t="s">
        <v>231</v>
      </c>
      <c r="L49" s="229" t="s">
        <v>2819</v>
      </c>
    </row>
    <row r="50" spans="2:12">
      <c r="B50" s="229" t="s">
        <v>2820</v>
      </c>
      <c r="C50" s="229" t="s">
        <v>229</v>
      </c>
      <c r="D50" s="229" t="s">
        <v>2821</v>
      </c>
      <c r="E50" s="201" t="s">
        <v>422</v>
      </c>
      <c r="F50" s="201"/>
      <c r="G50" s="200" t="s">
        <v>2822</v>
      </c>
      <c r="H50" s="229"/>
      <c r="I50" s="229" t="s">
        <v>2823</v>
      </c>
      <c r="J50" s="201"/>
      <c r="K50" s="229" t="s">
        <v>231</v>
      </c>
      <c r="L50" s="229" t="s">
        <v>2824</v>
      </c>
    </row>
    <row r="51" spans="2:12">
      <c r="B51" s="229" t="s">
        <v>2825</v>
      </c>
      <c r="C51" s="229" t="s">
        <v>229</v>
      </c>
      <c r="D51" s="229" t="s">
        <v>2826</v>
      </c>
      <c r="E51" s="201" t="s">
        <v>422</v>
      </c>
      <c r="F51" s="201"/>
      <c r="G51" s="200" t="s">
        <v>2827</v>
      </c>
      <c r="H51" s="229"/>
      <c r="I51" s="229" t="s">
        <v>2828</v>
      </c>
      <c r="J51" s="201"/>
      <c r="K51" s="229" t="s">
        <v>231</v>
      </c>
      <c r="L51" s="229" t="s">
        <v>2829</v>
      </c>
    </row>
    <row r="52" spans="2:12">
      <c r="B52" s="229" t="s">
        <v>2830</v>
      </c>
      <c r="C52" s="229" t="s">
        <v>229</v>
      </c>
      <c r="D52" s="229" t="s">
        <v>1595</v>
      </c>
      <c r="E52" s="201" t="s">
        <v>422</v>
      </c>
      <c r="F52" s="201"/>
      <c r="G52" s="200" t="s">
        <v>1992</v>
      </c>
      <c r="H52" s="229"/>
      <c r="I52" s="229" t="s">
        <v>749</v>
      </c>
      <c r="J52" s="201"/>
      <c r="K52" s="229" t="s">
        <v>231</v>
      </c>
      <c r="L52" s="229" t="s">
        <v>1597</v>
      </c>
    </row>
    <row r="53" spans="2:12">
      <c r="B53" s="229" t="s">
        <v>2831</v>
      </c>
      <c r="C53" s="229" t="s">
        <v>229</v>
      </c>
      <c r="D53" s="229" t="s">
        <v>1599</v>
      </c>
      <c r="E53" s="201" t="s">
        <v>422</v>
      </c>
      <c r="F53" s="201"/>
      <c r="G53" s="200" t="s">
        <v>1990</v>
      </c>
      <c r="H53" s="229"/>
      <c r="I53" s="229" t="s">
        <v>749</v>
      </c>
      <c r="J53" s="201"/>
      <c r="K53" s="229" t="s">
        <v>231</v>
      </c>
      <c r="L53" s="229" t="s">
        <v>1601</v>
      </c>
    </row>
    <row r="54" spans="2:12">
      <c r="B54" s="229" t="s">
        <v>2832</v>
      </c>
      <c r="C54" s="229" t="s">
        <v>229</v>
      </c>
      <c r="D54" s="229" t="s">
        <v>1607</v>
      </c>
      <c r="E54" s="201" t="s">
        <v>422</v>
      </c>
      <c r="F54" s="201"/>
      <c r="G54" s="200" t="s">
        <v>1994</v>
      </c>
      <c r="H54" s="229"/>
      <c r="I54" s="229" t="s">
        <v>749</v>
      </c>
      <c r="J54" s="201"/>
      <c r="K54" s="229" t="s">
        <v>231</v>
      </c>
      <c r="L54" s="229" t="s">
        <v>1609</v>
      </c>
    </row>
    <row r="55" spans="2:12">
      <c r="B55" s="229" t="s">
        <v>2833</v>
      </c>
      <c r="C55" s="229" t="s">
        <v>229</v>
      </c>
      <c r="D55" s="229" t="s">
        <v>1611</v>
      </c>
      <c r="E55" s="201" t="s">
        <v>422</v>
      </c>
      <c r="F55" s="201"/>
      <c r="G55" s="200" t="s">
        <v>1996</v>
      </c>
      <c r="H55" s="229"/>
      <c r="I55" s="229" t="s">
        <v>749</v>
      </c>
      <c r="J55" s="201"/>
      <c r="K55" s="229" t="s">
        <v>231</v>
      </c>
      <c r="L55" s="229" t="s">
        <v>1613</v>
      </c>
    </row>
    <row r="56" spans="2:12">
      <c r="B56" s="229" t="s">
        <v>2834</v>
      </c>
      <c r="C56" s="229" t="s">
        <v>229</v>
      </c>
      <c r="D56" s="229" t="s">
        <v>1615</v>
      </c>
      <c r="E56" s="201" t="s">
        <v>422</v>
      </c>
      <c r="F56" s="201"/>
      <c r="G56" s="200" t="s">
        <v>1999</v>
      </c>
      <c r="H56" s="229"/>
      <c r="I56" s="229" t="s">
        <v>749</v>
      </c>
      <c r="J56" s="201"/>
      <c r="K56" s="229" t="s">
        <v>231</v>
      </c>
      <c r="L56" s="229" t="s">
        <v>2000</v>
      </c>
    </row>
    <row r="57" spans="2:12">
      <c r="B57" s="229" t="s">
        <v>2835</v>
      </c>
      <c r="C57" s="229" t="s">
        <v>229</v>
      </c>
      <c r="D57" s="229" t="s">
        <v>1619</v>
      </c>
      <c r="E57" s="201" t="s">
        <v>422</v>
      </c>
      <c r="F57" s="201"/>
      <c r="G57" s="200" t="s">
        <v>2003</v>
      </c>
      <c r="H57" s="229"/>
      <c r="I57" s="229" t="s">
        <v>749</v>
      </c>
      <c r="J57" s="201"/>
      <c r="K57" s="229" t="s">
        <v>231</v>
      </c>
      <c r="L57" s="229" t="s">
        <v>2004</v>
      </c>
    </row>
    <row r="58" spans="2:12">
      <c r="B58" s="229" t="s">
        <v>2836</v>
      </c>
      <c r="C58" s="229" t="s">
        <v>229</v>
      </c>
      <c r="D58" s="229" t="s">
        <v>1623</v>
      </c>
      <c r="E58" s="201" t="s">
        <v>422</v>
      </c>
      <c r="F58" s="201"/>
      <c r="G58" s="200" t="s">
        <v>2019</v>
      </c>
      <c r="H58" s="229"/>
      <c r="I58" s="229" t="s">
        <v>749</v>
      </c>
      <c r="J58" s="201"/>
      <c r="K58" s="229" t="s">
        <v>231</v>
      </c>
      <c r="L58" s="229" t="s">
        <v>1626</v>
      </c>
    </row>
    <row r="59" spans="2:12">
      <c r="B59" s="229" t="s">
        <v>2837</v>
      </c>
      <c r="C59" s="229" t="s">
        <v>229</v>
      </c>
      <c r="D59" s="229" t="s">
        <v>1628</v>
      </c>
      <c r="E59" s="201" t="s">
        <v>422</v>
      </c>
      <c r="F59" s="201"/>
      <c r="G59" s="200" t="s">
        <v>2838</v>
      </c>
      <c r="H59" s="229"/>
      <c r="I59" s="229" t="s">
        <v>749</v>
      </c>
      <c r="J59" s="201"/>
      <c r="K59" s="229" t="s">
        <v>231</v>
      </c>
      <c r="L59" s="229" t="s">
        <v>1630</v>
      </c>
    </row>
    <row r="60" spans="2:12">
      <c r="B60" s="229" t="s">
        <v>1738</v>
      </c>
      <c r="C60" s="229" t="s">
        <v>229</v>
      </c>
      <c r="D60" s="229" t="s">
        <v>1739</v>
      </c>
      <c r="E60" s="201" t="s">
        <v>422</v>
      </c>
      <c r="F60" s="201"/>
      <c r="G60" s="200" t="s">
        <v>807</v>
      </c>
      <c r="H60" s="229"/>
      <c r="I60" s="229"/>
      <c r="J60" s="201"/>
      <c r="K60" s="229" t="s">
        <v>231</v>
      </c>
      <c r="L60" s="229" t="s">
        <v>1740</v>
      </c>
    </row>
    <row r="61" spans="2:12">
      <c r="B61" s="229" t="s">
        <v>1741</v>
      </c>
      <c r="C61" s="229" t="s">
        <v>229</v>
      </c>
      <c r="D61" s="229" t="s">
        <v>1742</v>
      </c>
      <c r="E61" s="201" t="s">
        <v>422</v>
      </c>
      <c r="F61" s="201"/>
      <c r="G61" s="200" t="s">
        <v>810</v>
      </c>
      <c r="H61" s="229"/>
      <c r="I61" s="229"/>
      <c r="J61" s="201"/>
      <c r="K61" s="229" t="s">
        <v>231</v>
      </c>
      <c r="L61" s="229" t="s">
        <v>1743</v>
      </c>
    </row>
    <row r="62" spans="2:12">
      <c r="B62" s="229" t="s">
        <v>1744</v>
      </c>
      <c r="C62" s="229" t="s">
        <v>229</v>
      </c>
      <c r="D62" s="229" t="s">
        <v>1745</v>
      </c>
      <c r="E62" s="201" t="s">
        <v>422</v>
      </c>
      <c r="F62" s="201"/>
      <c r="G62" s="200" t="s">
        <v>813</v>
      </c>
      <c r="H62" s="229"/>
      <c r="I62" s="229"/>
      <c r="J62" s="201"/>
      <c r="K62" s="229" t="s">
        <v>231</v>
      </c>
      <c r="L62" s="229" t="s">
        <v>1746</v>
      </c>
    </row>
    <row r="63" spans="2:12">
      <c r="B63" s="229" t="s">
        <v>1747</v>
      </c>
      <c r="C63" s="229" t="s">
        <v>229</v>
      </c>
      <c r="D63" s="229" t="s">
        <v>1748</v>
      </c>
      <c r="E63" s="201" t="s">
        <v>422</v>
      </c>
      <c r="F63" s="201"/>
      <c r="G63" s="200" t="s">
        <v>1749</v>
      </c>
      <c r="H63" s="229"/>
      <c r="I63" s="229"/>
      <c r="J63" s="201"/>
      <c r="K63" s="229" t="s">
        <v>231</v>
      </c>
      <c r="L63" s="229" t="s">
        <v>1750</v>
      </c>
    </row>
    <row r="64" spans="2:12">
      <c r="B64" s="229" t="s">
        <v>2839</v>
      </c>
      <c r="C64" s="229" t="s">
        <v>229</v>
      </c>
      <c r="D64" s="229" t="s">
        <v>1632</v>
      </c>
      <c r="E64" s="201" t="s">
        <v>422</v>
      </c>
      <c r="F64" s="201"/>
      <c r="G64" s="200" t="s">
        <v>2023</v>
      </c>
      <c r="H64" s="229"/>
      <c r="I64" s="229" t="s">
        <v>749</v>
      </c>
      <c r="J64" s="201"/>
      <c r="K64" s="229" t="s">
        <v>749</v>
      </c>
      <c r="L64" s="229" t="s">
        <v>1634</v>
      </c>
    </row>
    <row r="65" spans="2:12">
      <c r="B65" s="229" t="s">
        <v>2840</v>
      </c>
      <c r="C65" s="229" t="s">
        <v>229</v>
      </c>
      <c r="D65" s="229" t="s">
        <v>1636</v>
      </c>
      <c r="E65" s="201" t="s">
        <v>422</v>
      </c>
      <c r="F65" s="201"/>
      <c r="G65" s="200" t="s">
        <v>2025</v>
      </c>
      <c r="H65" s="229"/>
      <c r="I65" s="229" t="s">
        <v>749</v>
      </c>
      <c r="J65" s="201"/>
      <c r="K65" s="229" t="s">
        <v>749</v>
      </c>
      <c r="L65" s="229" t="s">
        <v>1638</v>
      </c>
    </row>
    <row r="66" spans="2:12">
      <c r="B66" s="229" t="s">
        <v>2841</v>
      </c>
      <c r="C66" s="229" t="s">
        <v>229</v>
      </c>
      <c r="D66" s="229" t="s">
        <v>2842</v>
      </c>
      <c r="E66" s="201" t="s">
        <v>422</v>
      </c>
      <c r="F66" s="201"/>
      <c r="G66" s="200" t="s">
        <v>2843</v>
      </c>
      <c r="H66" s="229"/>
      <c r="I66" s="229" t="s">
        <v>749</v>
      </c>
      <c r="J66" s="201"/>
      <c r="K66" s="229" t="s">
        <v>231</v>
      </c>
      <c r="L66" s="229" t="s">
        <v>2844</v>
      </c>
    </row>
    <row r="67" spans="2:12">
      <c r="B67" s="229" t="s">
        <v>2845</v>
      </c>
      <c r="C67" s="229" t="s">
        <v>229</v>
      </c>
      <c r="D67" s="229" t="s">
        <v>2846</v>
      </c>
      <c r="E67" s="201" t="s">
        <v>422</v>
      </c>
      <c r="F67" s="201"/>
      <c r="G67" s="200" t="s">
        <v>2847</v>
      </c>
      <c r="H67" s="229"/>
      <c r="I67" s="229"/>
      <c r="J67" s="201"/>
      <c r="K67" s="229" t="s">
        <v>1575</v>
      </c>
      <c r="L67" s="229" t="s">
        <v>2848</v>
      </c>
    </row>
    <row r="68" spans="2:12">
      <c r="B68" s="229" t="s">
        <v>2849</v>
      </c>
      <c r="C68" s="229" t="s">
        <v>229</v>
      </c>
      <c r="D68" s="229" t="s">
        <v>2850</v>
      </c>
      <c r="E68" s="201" t="s">
        <v>422</v>
      </c>
      <c r="F68" s="201"/>
      <c r="G68" s="200" t="s">
        <v>2851</v>
      </c>
      <c r="H68" s="229"/>
      <c r="I68" s="229" t="s">
        <v>749</v>
      </c>
      <c r="J68" s="201"/>
      <c r="K68" s="229" t="s">
        <v>231</v>
      </c>
      <c r="L68" s="229" t="s">
        <v>2852</v>
      </c>
    </row>
    <row r="69" spans="2:12">
      <c r="B69" s="229" t="s">
        <v>2853</v>
      </c>
      <c r="C69" s="229" t="s">
        <v>229</v>
      </c>
      <c r="D69" s="229" t="s">
        <v>2854</v>
      </c>
      <c r="E69" s="201" t="s">
        <v>422</v>
      </c>
      <c r="F69" s="201"/>
      <c r="G69" s="200" t="s">
        <v>2855</v>
      </c>
      <c r="H69" s="229"/>
      <c r="I69" s="229"/>
      <c r="J69" s="201"/>
      <c r="K69" s="229" t="s">
        <v>1575</v>
      </c>
      <c r="L69" s="229" t="s">
        <v>2856</v>
      </c>
    </row>
    <row r="70" spans="2:12">
      <c r="B70" s="229" t="s">
        <v>2857</v>
      </c>
      <c r="C70" s="229" t="s">
        <v>229</v>
      </c>
      <c r="D70" s="229" t="s">
        <v>2858</v>
      </c>
      <c r="E70" s="201" t="s">
        <v>422</v>
      </c>
      <c r="F70" s="201"/>
      <c r="G70" s="200" t="s">
        <v>2859</v>
      </c>
      <c r="H70" s="229"/>
      <c r="I70" s="229"/>
      <c r="J70" s="201"/>
      <c r="K70" s="229" t="s">
        <v>615</v>
      </c>
      <c r="L70" s="229" t="s">
        <v>2860</v>
      </c>
    </row>
    <row r="71" spans="2:12">
      <c r="B71" s="229" t="s">
        <v>1816</v>
      </c>
      <c r="C71" s="229" t="s">
        <v>229</v>
      </c>
      <c r="D71" s="229" t="s">
        <v>1817</v>
      </c>
      <c r="E71" s="201" t="s">
        <v>422</v>
      </c>
      <c r="F71" s="201"/>
      <c r="G71" s="200" t="s">
        <v>2861</v>
      </c>
      <c r="H71" s="229"/>
      <c r="I71" s="229"/>
      <c r="J71" s="201"/>
      <c r="K71" s="229" t="s">
        <v>868</v>
      </c>
      <c r="L71" s="229" t="s">
        <v>1819</v>
      </c>
    </row>
    <row r="72" spans="2:12">
      <c r="B72" s="229" t="s">
        <v>2862</v>
      </c>
      <c r="C72" s="229" t="s">
        <v>229</v>
      </c>
      <c r="D72" s="229" t="s">
        <v>2863</v>
      </c>
      <c r="E72" s="201" t="s">
        <v>422</v>
      </c>
      <c r="F72" s="201"/>
      <c r="G72" s="200" t="s">
        <v>2864</v>
      </c>
      <c r="H72" s="229"/>
      <c r="I72" s="229"/>
      <c r="J72" s="201"/>
      <c r="K72" s="229" t="s">
        <v>615</v>
      </c>
      <c r="L72" s="229" t="s">
        <v>2865</v>
      </c>
    </row>
    <row r="73" spans="2:12">
      <c r="B73" s="229" t="s">
        <v>1827</v>
      </c>
      <c r="C73" s="229" t="s">
        <v>229</v>
      </c>
      <c r="D73" s="229" t="s">
        <v>1828</v>
      </c>
      <c r="E73" s="201" t="s">
        <v>422</v>
      </c>
      <c r="F73" s="201"/>
      <c r="G73" s="200" t="s">
        <v>2161</v>
      </c>
      <c r="H73" s="229"/>
      <c r="I73" s="229"/>
      <c r="J73" s="201"/>
      <c r="K73" s="229" t="s">
        <v>868</v>
      </c>
      <c r="L73" s="229" t="s">
        <v>1830</v>
      </c>
    </row>
    <row r="74" spans="2:12">
      <c r="B74" s="229" t="s">
        <v>2866</v>
      </c>
      <c r="C74" s="229" t="s">
        <v>229</v>
      </c>
      <c r="D74" s="229" t="s">
        <v>2867</v>
      </c>
      <c r="E74" s="201" t="s">
        <v>422</v>
      </c>
      <c r="F74" s="201"/>
      <c r="G74" s="200" t="s">
        <v>2868</v>
      </c>
      <c r="H74" s="229"/>
      <c r="I74" s="229" t="s">
        <v>749</v>
      </c>
      <c r="J74" s="201"/>
      <c r="K74" s="229" t="s">
        <v>231</v>
      </c>
      <c r="L74" s="229" t="s">
        <v>2869</v>
      </c>
    </row>
    <row r="75" spans="2:12">
      <c r="B75" s="229" t="s">
        <v>2870</v>
      </c>
      <c r="C75" s="229" t="s">
        <v>229</v>
      </c>
      <c r="D75" s="229" t="s">
        <v>2871</v>
      </c>
      <c r="E75" s="201" t="s">
        <v>422</v>
      </c>
      <c r="F75" s="201"/>
      <c r="G75" s="200" t="s">
        <v>2872</v>
      </c>
      <c r="H75" s="229"/>
      <c r="I75" s="229" t="s">
        <v>749</v>
      </c>
      <c r="J75" s="201"/>
      <c r="K75" s="229" t="s">
        <v>231</v>
      </c>
      <c r="L75" s="229" t="s">
        <v>2873</v>
      </c>
    </row>
    <row r="76" spans="2:12">
      <c r="B76" s="229" t="s">
        <v>2874</v>
      </c>
      <c r="C76" s="229" t="s">
        <v>229</v>
      </c>
      <c r="D76" s="229" t="s">
        <v>2875</v>
      </c>
      <c r="E76" s="201" t="s">
        <v>422</v>
      </c>
      <c r="F76" s="201"/>
      <c r="G76" s="200" t="s">
        <v>2876</v>
      </c>
      <c r="H76" s="229"/>
      <c r="I76" s="229" t="s">
        <v>749</v>
      </c>
      <c r="J76" s="201"/>
      <c r="K76" s="229" t="s">
        <v>231</v>
      </c>
      <c r="L76" s="229" t="s">
        <v>2877</v>
      </c>
    </row>
    <row r="77" spans="2:12">
      <c r="B77" s="229" t="s">
        <v>2878</v>
      </c>
      <c r="C77" s="229" t="s">
        <v>229</v>
      </c>
      <c r="D77" s="229" t="s">
        <v>2879</v>
      </c>
      <c r="E77" s="201" t="s">
        <v>422</v>
      </c>
      <c r="F77" s="201"/>
      <c r="G77" s="200" t="s">
        <v>2880</v>
      </c>
      <c r="H77" s="229"/>
      <c r="I77" s="229" t="s">
        <v>749</v>
      </c>
      <c r="J77" s="201"/>
      <c r="K77" s="229" t="s">
        <v>231</v>
      </c>
      <c r="L77" s="229" t="s">
        <v>2881</v>
      </c>
    </row>
    <row r="78" spans="2:12">
      <c r="B78" s="229" t="s">
        <v>2882</v>
      </c>
      <c r="C78" s="229" t="s">
        <v>229</v>
      </c>
      <c r="D78" s="229" t="s">
        <v>2883</v>
      </c>
      <c r="E78" s="201" t="s">
        <v>422</v>
      </c>
      <c r="F78" s="201"/>
      <c r="G78" s="200" t="s">
        <v>2884</v>
      </c>
      <c r="H78" s="229"/>
      <c r="I78" s="229" t="s">
        <v>749</v>
      </c>
      <c r="J78" s="201"/>
      <c r="K78" s="229" t="s">
        <v>231</v>
      </c>
      <c r="L78" s="229" t="s">
        <v>2885</v>
      </c>
    </row>
    <row r="79" spans="2:12">
      <c r="B79" s="229" t="s">
        <v>2886</v>
      </c>
      <c r="C79" s="229" t="s">
        <v>229</v>
      </c>
      <c r="D79" s="229" t="s">
        <v>2887</v>
      </c>
      <c r="E79" s="201" t="s">
        <v>422</v>
      </c>
      <c r="F79" s="201"/>
      <c r="G79" s="200" t="s">
        <v>2888</v>
      </c>
      <c r="H79" s="229"/>
      <c r="I79" s="229" t="s">
        <v>749</v>
      </c>
      <c r="J79" s="201"/>
      <c r="K79" s="229" t="s">
        <v>231</v>
      </c>
      <c r="L79" s="229" t="s">
        <v>2889</v>
      </c>
    </row>
    <row r="80" spans="2:12">
      <c r="B80" s="229" t="s">
        <v>2890</v>
      </c>
      <c r="C80" s="229" t="s">
        <v>229</v>
      </c>
      <c r="D80" s="229" t="s">
        <v>2891</v>
      </c>
      <c r="E80" s="201" t="s">
        <v>422</v>
      </c>
      <c r="F80" s="201"/>
      <c r="G80" s="200" t="s">
        <v>2892</v>
      </c>
      <c r="H80" s="229"/>
      <c r="I80" s="229" t="s">
        <v>749</v>
      </c>
      <c r="J80" s="201"/>
      <c r="K80" s="229" t="s">
        <v>231</v>
      </c>
      <c r="L80" s="229" t="s">
        <v>2893</v>
      </c>
    </row>
    <row r="81" spans="2:12">
      <c r="B81" s="229" t="s">
        <v>2894</v>
      </c>
      <c r="C81" s="229" t="s">
        <v>229</v>
      </c>
      <c r="D81" s="229" t="s">
        <v>2895</v>
      </c>
      <c r="E81" s="201" t="s">
        <v>422</v>
      </c>
      <c r="F81" s="201"/>
      <c r="G81" s="200" t="s">
        <v>2896</v>
      </c>
      <c r="H81" s="229"/>
      <c r="I81" s="229" t="s">
        <v>749</v>
      </c>
      <c r="J81" s="201"/>
      <c r="K81" s="229" t="s">
        <v>231</v>
      </c>
      <c r="L81" s="229" t="s">
        <v>2897</v>
      </c>
    </row>
    <row r="82" spans="2:12">
      <c r="B82" s="229" t="s">
        <v>2898</v>
      </c>
      <c r="C82" s="229" t="s">
        <v>229</v>
      </c>
      <c r="D82" s="229" t="s">
        <v>2899</v>
      </c>
      <c r="E82" s="201" t="s">
        <v>422</v>
      </c>
      <c r="F82" s="201"/>
      <c r="G82" s="200" t="s">
        <v>2900</v>
      </c>
      <c r="H82" s="229"/>
      <c r="I82" s="229" t="s">
        <v>749</v>
      </c>
      <c r="J82" s="201"/>
      <c r="K82" s="229" t="s">
        <v>749</v>
      </c>
      <c r="L82" s="229" t="s">
        <v>2901</v>
      </c>
    </row>
    <row r="83" spans="2:12">
      <c r="B83" s="229" t="s">
        <v>2902</v>
      </c>
      <c r="C83" s="229" t="s">
        <v>229</v>
      </c>
      <c r="D83" s="229" t="s">
        <v>2903</v>
      </c>
      <c r="E83" s="201" t="s">
        <v>422</v>
      </c>
      <c r="F83" s="201"/>
      <c r="G83" s="200" t="s">
        <v>2904</v>
      </c>
      <c r="H83" s="229"/>
      <c r="I83" s="229" t="s">
        <v>749</v>
      </c>
      <c r="J83" s="201"/>
      <c r="K83" s="229" t="s">
        <v>749</v>
      </c>
      <c r="L83" s="229" t="s">
        <v>2905</v>
      </c>
    </row>
    <row r="84" spans="2:12">
      <c r="B84" s="229" t="s">
        <v>1639</v>
      </c>
      <c r="C84" s="229" t="s">
        <v>229</v>
      </c>
      <c r="D84" s="229" t="s">
        <v>1640</v>
      </c>
      <c r="E84" s="201" t="s">
        <v>422</v>
      </c>
      <c r="F84" s="201"/>
      <c r="G84" s="200" t="s">
        <v>2906</v>
      </c>
      <c r="H84" s="229"/>
      <c r="I84" s="229" t="s">
        <v>749</v>
      </c>
      <c r="J84" s="201"/>
      <c r="K84" s="229" t="s">
        <v>231</v>
      </c>
      <c r="L84" s="229" t="s">
        <v>1642</v>
      </c>
    </row>
    <row r="85" spans="2:12">
      <c r="B85" s="229" t="s">
        <v>1643</v>
      </c>
      <c r="C85" s="229" t="s">
        <v>229</v>
      </c>
      <c r="D85" s="229" t="s">
        <v>2907</v>
      </c>
      <c r="E85" s="201" t="s">
        <v>422</v>
      </c>
      <c r="F85" s="201"/>
      <c r="G85" s="200" t="s">
        <v>2908</v>
      </c>
      <c r="H85" s="229"/>
      <c r="I85" s="229" t="s">
        <v>749</v>
      </c>
      <c r="J85" s="201"/>
      <c r="K85" s="229" t="s">
        <v>231</v>
      </c>
      <c r="L85" s="229" t="s">
        <v>1646</v>
      </c>
    </row>
    <row r="86" spans="2:12">
      <c r="B86" s="229" t="s">
        <v>2909</v>
      </c>
      <c r="C86" s="229" t="s">
        <v>229</v>
      </c>
      <c r="D86" s="229" t="s">
        <v>2910</v>
      </c>
      <c r="E86" s="201" t="s">
        <v>422</v>
      </c>
      <c r="F86" s="201"/>
      <c r="G86" s="221" t="s">
        <v>831</v>
      </c>
      <c r="H86" s="229"/>
      <c r="I86" s="229" t="s">
        <v>749</v>
      </c>
      <c r="J86" s="201"/>
      <c r="K86" s="229" t="s">
        <v>231</v>
      </c>
      <c r="L86" s="229" t="s">
        <v>2911</v>
      </c>
    </row>
    <row r="87" spans="2:12">
      <c r="B87" s="229" t="s">
        <v>2912</v>
      </c>
      <c r="C87" s="229" t="s">
        <v>229</v>
      </c>
      <c r="D87" s="229" t="s">
        <v>2913</v>
      </c>
      <c r="E87" s="201" t="s">
        <v>422</v>
      </c>
      <c r="F87" s="201"/>
      <c r="G87" s="221" t="s">
        <v>834</v>
      </c>
      <c r="H87" s="229"/>
      <c r="I87" s="229" t="s">
        <v>749</v>
      </c>
      <c r="J87" s="201"/>
      <c r="K87" s="229" t="s">
        <v>231</v>
      </c>
      <c r="L87" s="229" t="s">
        <v>2914</v>
      </c>
    </row>
    <row r="88" spans="2:12">
      <c r="B88" s="229" t="s">
        <v>835</v>
      </c>
      <c r="C88" s="229" t="s">
        <v>229</v>
      </c>
      <c r="D88" s="229" t="s">
        <v>836</v>
      </c>
      <c r="E88" s="201" t="s">
        <v>422</v>
      </c>
      <c r="F88" s="201"/>
      <c r="G88" s="200" t="s">
        <v>837</v>
      </c>
      <c r="H88" s="229"/>
      <c r="I88" s="229"/>
      <c r="J88" s="201"/>
      <c r="K88" s="229" t="s">
        <v>231</v>
      </c>
      <c r="L88" s="229" t="s">
        <v>838</v>
      </c>
    </row>
    <row r="89" spans="2:12">
      <c r="B89" s="229" t="s">
        <v>2915</v>
      </c>
      <c r="C89" s="229" t="s">
        <v>203</v>
      </c>
      <c r="D89" s="229" t="s">
        <v>2916</v>
      </c>
      <c r="E89" s="201" t="s">
        <v>422</v>
      </c>
      <c r="F89" s="201"/>
      <c r="G89" s="200" t="s">
        <v>841</v>
      </c>
      <c r="H89" s="229"/>
      <c r="I89" s="229" t="s">
        <v>749</v>
      </c>
      <c r="J89" s="201"/>
      <c r="K89" s="229" t="s">
        <v>1718</v>
      </c>
      <c r="L89" s="229" t="s">
        <v>2324</v>
      </c>
    </row>
    <row r="90" spans="2:12">
      <c r="B90" s="229" t="s">
        <v>845</v>
      </c>
      <c r="C90" s="229" t="s">
        <v>229</v>
      </c>
      <c r="D90" s="229" t="s">
        <v>846</v>
      </c>
      <c r="E90" s="201" t="s">
        <v>422</v>
      </c>
      <c r="F90" s="201"/>
      <c r="G90" s="200" t="s">
        <v>847</v>
      </c>
      <c r="H90" s="229"/>
      <c r="I90" s="229"/>
      <c r="J90" s="201"/>
      <c r="K90" s="229" t="s">
        <v>231</v>
      </c>
      <c r="L90" s="229" t="s">
        <v>848</v>
      </c>
    </row>
    <row r="91" spans="2:12">
      <c r="B91" s="229" t="s">
        <v>849</v>
      </c>
      <c r="C91" s="229" t="s">
        <v>229</v>
      </c>
      <c r="D91" s="229" t="s">
        <v>850</v>
      </c>
      <c r="E91" s="201" t="s">
        <v>422</v>
      </c>
      <c r="F91" s="201"/>
      <c r="G91" s="200" t="s">
        <v>851</v>
      </c>
      <c r="H91" s="229"/>
      <c r="I91" s="229"/>
      <c r="J91" s="201"/>
      <c r="K91" s="229" t="s">
        <v>231</v>
      </c>
      <c r="L91" s="229" t="s">
        <v>852</v>
      </c>
    </row>
    <row r="92" spans="2:12">
      <c r="B92" s="229" t="s">
        <v>853</v>
      </c>
      <c r="C92" s="229" t="s">
        <v>229</v>
      </c>
      <c r="D92" s="229" t="s">
        <v>854</v>
      </c>
      <c r="E92" s="201" t="s">
        <v>422</v>
      </c>
      <c r="F92" s="201"/>
      <c r="G92" s="200" t="s">
        <v>855</v>
      </c>
      <c r="H92" s="229"/>
      <c r="I92" s="229"/>
      <c r="J92" s="201"/>
      <c r="K92" s="229" t="s">
        <v>231</v>
      </c>
      <c r="L92" s="229" t="s">
        <v>856</v>
      </c>
    </row>
    <row r="93" spans="2:12">
      <c r="B93" s="229" t="s">
        <v>857</v>
      </c>
      <c r="C93" s="229" t="s">
        <v>229</v>
      </c>
      <c r="D93" s="229" t="s">
        <v>858</v>
      </c>
      <c r="E93" s="201" t="s">
        <v>422</v>
      </c>
      <c r="F93" s="201"/>
      <c r="G93" s="200" t="s">
        <v>859</v>
      </c>
      <c r="H93" s="229"/>
      <c r="I93" s="229"/>
      <c r="J93" s="201"/>
      <c r="K93" s="229" t="s">
        <v>231</v>
      </c>
      <c r="L93" s="229" t="s">
        <v>860</v>
      </c>
    </row>
    <row r="94" spans="2:12">
      <c r="B94" s="229" t="s">
        <v>861</v>
      </c>
      <c r="C94" s="229" t="s">
        <v>229</v>
      </c>
      <c r="D94" s="229" t="s">
        <v>862</v>
      </c>
      <c r="E94" s="201" t="s">
        <v>422</v>
      </c>
      <c r="F94" s="201"/>
      <c r="G94" s="200" t="s">
        <v>863</v>
      </c>
      <c r="H94" s="229"/>
      <c r="I94" s="229"/>
      <c r="J94" s="201"/>
      <c r="K94" s="229" t="s">
        <v>231</v>
      </c>
      <c r="L94" s="229" t="s">
        <v>864</v>
      </c>
    </row>
    <row r="95" spans="2:12">
      <c r="B95" s="229" t="s">
        <v>865</v>
      </c>
      <c r="C95" s="229" t="s">
        <v>203</v>
      </c>
      <c r="D95" s="229" t="s">
        <v>866</v>
      </c>
      <c r="E95" s="201" t="s">
        <v>422</v>
      </c>
      <c r="F95" s="201"/>
      <c r="G95" s="200" t="s">
        <v>867</v>
      </c>
      <c r="H95" s="229"/>
      <c r="I95" s="229"/>
      <c r="J95" s="201"/>
      <c r="K95" s="229" t="s">
        <v>868</v>
      </c>
      <c r="L95" s="229" t="s">
        <v>869</v>
      </c>
    </row>
    <row r="96" spans="2:12">
      <c r="B96" s="229" t="s">
        <v>870</v>
      </c>
      <c r="C96" s="229" t="s">
        <v>203</v>
      </c>
      <c r="D96" s="229" t="s">
        <v>871</v>
      </c>
      <c r="E96" s="201" t="s">
        <v>422</v>
      </c>
      <c r="F96" s="201"/>
      <c r="G96" s="200" t="s">
        <v>872</v>
      </c>
      <c r="H96" s="229"/>
      <c r="I96" s="229"/>
      <c r="J96" s="201"/>
      <c r="K96" s="229" t="s">
        <v>749</v>
      </c>
      <c r="L96" s="229" t="s">
        <v>873</v>
      </c>
    </row>
    <row r="97" spans="2:12">
      <c r="B97" s="229" t="s">
        <v>2917</v>
      </c>
      <c r="C97" s="229" t="s">
        <v>229</v>
      </c>
      <c r="D97" s="229" t="s">
        <v>2918</v>
      </c>
      <c r="E97" s="201" t="s">
        <v>422</v>
      </c>
      <c r="F97" s="201"/>
      <c r="G97" s="200" t="s">
        <v>2919</v>
      </c>
      <c r="H97" s="229"/>
      <c r="I97" s="229" t="s">
        <v>749</v>
      </c>
      <c r="J97" s="201"/>
      <c r="K97" s="229" t="s">
        <v>749</v>
      </c>
      <c r="L97" s="229" t="s">
        <v>2920</v>
      </c>
    </row>
    <row r="98" spans="2:12">
      <c r="B98" s="229" t="s">
        <v>2921</v>
      </c>
      <c r="C98" s="229" t="s">
        <v>229</v>
      </c>
      <c r="D98" s="229" t="s">
        <v>2922</v>
      </c>
      <c r="E98" s="201" t="s">
        <v>422</v>
      </c>
      <c r="F98" s="201"/>
      <c r="G98" s="200" t="s">
        <v>2923</v>
      </c>
      <c r="H98" s="229"/>
      <c r="I98" s="229"/>
      <c r="J98" s="201"/>
      <c r="K98" s="229" t="s">
        <v>231</v>
      </c>
      <c r="L98" s="229" t="s">
        <v>2924</v>
      </c>
    </row>
    <row r="99" spans="2:12">
      <c r="B99" s="229" t="s">
        <v>2925</v>
      </c>
      <c r="C99" s="229" t="s">
        <v>229</v>
      </c>
      <c r="D99" s="229" t="s">
        <v>2926</v>
      </c>
      <c r="E99" s="201" t="s">
        <v>422</v>
      </c>
      <c r="F99" s="201"/>
      <c r="G99" s="200" t="s">
        <v>2927</v>
      </c>
      <c r="H99" s="229"/>
      <c r="I99" s="229">
        <v>500</v>
      </c>
      <c r="J99" s="201"/>
      <c r="K99" s="229" t="s">
        <v>231</v>
      </c>
      <c r="L99" s="229" t="s">
        <v>2928</v>
      </c>
    </row>
    <row r="100" spans="2:12">
      <c r="B100" s="229" t="s">
        <v>2929</v>
      </c>
      <c r="C100" s="229" t="s">
        <v>229</v>
      </c>
      <c r="D100" s="229" t="s">
        <v>2930</v>
      </c>
      <c r="E100" s="201" t="s">
        <v>422</v>
      </c>
      <c r="F100" s="201"/>
      <c r="G100" s="200" t="s">
        <v>2931</v>
      </c>
      <c r="H100" s="229"/>
      <c r="I100" s="229">
        <v>1500</v>
      </c>
      <c r="J100" s="201"/>
      <c r="K100" s="229" t="s">
        <v>231</v>
      </c>
      <c r="L100" s="229" t="s">
        <v>2932</v>
      </c>
    </row>
    <row r="101" spans="2:12">
      <c r="B101" s="229" t="s">
        <v>2933</v>
      </c>
      <c r="C101" s="229" t="s">
        <v>229</v>
      </c>
      <c r="D101" s="229" t="s">
        <v>2934</v>
      </c>
      <c r="E101" s="201" t="s">
        <v>422</v>
      </c>
      <c r="F101" s="201"/>
      <c r="G101" s="200" t="s">
        <v>2935</v>
      </c>
      <c r="H101" s="229"/>
      <c r="I101" s="229">
        <v>2500</v>
      </c>
      <c r="J101" s="201"/>
      <c r="K101" s="229" t="s">
        <v>231</v>
      </c>
      <c r="L101" s="229" t="s">
        <v>2936</v>
      </c>
    </row>
    <row r="102" spans="2:12">
      <c r="B102" s="229" t="s">
        <v>2937</v>
      </c>
      <c r="C102" s="229" t="s">
        <v>229</v>
      </c>
      <c r="D102" s="229" t="s">
        <v>2938</v>
      </c>
      <c r="E102" s="201" t="s">
        <v>422</v>
      </c>
      <c r="F102" s="201"/>
      <c r="G102" s="200" t="s">
        <v>2939</v>
      </c>
      <c r="H102" s="229"/>
      <c r="I102" s="229">
        <v>3000</v>
      </c>
      <c r="J102" s="201"/>
      <c r="K102" s="229" t="s">
        <v>231</v>
      </c>
      <c r="L102" s="229" t="s">
        <v>2940</v>
      </c>
    </row>
    <row r="103" spans="2:12">
      <c r="B103" s="229" t="s">
        <v>2941</v>
      </c>
      <c r="C103" s="229" t="s">
        <v>229</v>
      </c>
      <c r="D103" s="229" t="s">
        <v>1578</v>
      </c>
      <c r="E103" s="201" t="s">
        <v>422</v>
      </c>
      <c r="F103" s="201"/>
      <c r="G103" s="200" t="s">
        <v>894</v>
      </c>
      <c r="H103" s="229"/>
      <c r="I103" s="229" t="s">
        <v>749</v>
      </c>
      <c r="J103" s="201"/>
      <c r="K103" s="229" t="s">
        <v>1754</v>
      </c>
      <c r="L103" s="229" t="s">
        <v>1580</v>
      </c>
    </row>
    <row r="104" spans="2:12">
      <c r="B104" s="229" t="s">
        <v>2942</v>
      </c>
      <c r="C104" s="229" t="s">
        <v>229</v>
      </c>
      <c r="D104" s="229" t="s">
        <v>1648</v>
      </c>
      <c r="E104" s="201" t="s">
        <v>422</v>
      </c>
      <c r="F104" s="201"/>
      <c r="G104" s="200" t="s">
        <v>897</v>
      </c>
      <c r="H104" s="229"/>
      <c r="I104" s="229" t="s">
        <v>749</v>
      </c>
      <c r="J104" s="201"/>
      <c r="K104" s="229" t="s">
        <v>1754</v>
      </c>
      <c r="L104" s="229" t="s">
        <v>1650</v>
      </c>
    </row>
    <row r="105" spans="2:12">
      <c r="B105" s="229" t="s">
        <v>2943</v>
      </c>
      <c r="C105" s="229" t="s">
        <v>229</v>
      </c>
      <c r="D105" s="229" t="s">
        <v>1757</v>
      </c>
      <c r="E105" s="201" t="s">
        <v>422</v>
      </c>
      <c r="F105" s="201"/>
      <c r="G105" s="200" t="s">
        <v>2944</v>
      </c>
      <c r="H105" s="229"/>
      <c r="I105" s="229"/>
      <c r="J105" s="201"/>
      <c r="K105" s="229" t="s">
        <v>231</v>
      </c>
      <c r="L105" s="229" t="s">
        <v>1759</v>
      </c>
    </row>
    <row r="106" spans="2:12">
      <c r="B106" s="229" t="s">
        <v>2945</v>
      </c>
      <c r="C106" s="229" t="s">
        <v>229</v>
      </c>
      <c r="D106" s="229" t="s">
        <v>1761</v>
      </c>
      <c r="E106" s="201" t="s">
        <v>422</v>
      </c>
      <c r="F106" s="201"/>
      <c r="G106" s="200" t="s">
        <v>2946</v>
      </c>
      <c r="H106" s="229"/>
      <c r="I106" s="229">
        <v>50</v>
      </c>
      <c r="J106" s="201"/>
      <c r="K106" s="229" t="s">
        <v>231</v>
      </c>
      <c r="L106" s="229" t="s">
        <v>1763</v>
      </c>
    </row>
    <row r="107" spans="2:12">
      <c r="B107" s="229" t="s">
        <v>2947</v>
      </c>
      <c r="C107" s="229" t="s">
        <v>229</v>
      </c>
      <c r="D107" s="229" t="s">
        <v>1765</v>
      </c>
      <c r="E107" s="201" t="s">
        <v>422</v>
      </c>
      <c r="F107" s="201"/>
      <c r="G107" s="200" t="s">
        <v>2948</v>
      </c>
      <c r="H107" s="229"/>
      <c r="I107" s="229">
        <v>100</v>
      </c>
      <c r="J107" s="201"/>
      <c r="K107" s="229" t="s">
        <v>231</v>
      </c>
      <c r="L107" s="229" t="s">
        <v>1767</v>
      </c>
    </row>
    <row r="108" spans="2:12">
      <c r="B108" s="229" t="s">
        <v>2949</v>
      </c>
      <c r="C108" s="229" t="s">
        <v>229</v>
      </c>
      <c r="D108" s="229" t="s">
        <v>1769</v>
      </c>
      <c r="E108" s="201" t="s">
        <v>422</v>
      </c>
      <c r="F108" s="201"/>
      <c r="G108" s="200" t="s">
        <v>2950</v>
      </c>
      <c r="H108" s="229"/>
      <c r="I108" s="229">
        <v>150</v>
      </c>
      <c r="J108" s="201"/>
      <c r="K108" s="229" t="s">
        <v>231</v>
      </c>
      <c r="L108" s="229" t="s">
        <v>1771</v>
      </c>
    </row>
    <row r="109" spans="2:12">
      <c r="B109" s="229" t="s">
        <v>2951</v>
      </c>
      <c r="C109" s="229" t="s">
        <v>229</v>
      </c>
      <c r="D109" s="229" t="s">
        <v>1773</v>
      </c>
      <c r="E109" s="201" t="s">
        <v>422</v>
      </c>
      <c r="F109" s="201"/>
      <c r="G109" s="200" t="s">
        <v>2952</v>
      </c>
      <c r="H109" s="229"/>
      <c r="I109" s="229">
        <v>200</v>
      </c>
      <c r="J109" s="201"/>
      <c r="K109" s="229" t="s">
        <v>231</v>
      </c>
      <c r="L109" s="229" t="s">
        <v>1775</v>
      </c>
    </row>
    <row r="110" spans="2:12">
      <c r="B110" s="229" t="s">
        <v>2953</v>
      </c>
      <c r="C110" s="229" t="s">
        <v>229</v>
      </c>
      <c r="D110" s="229" t="s">
        <v>1582</v>
      </c>
      <c r="E110" s="201" t="s">
        <v>422</v>
      </c>
      <c r="F110" s="201"/>
      <c r="G110" s="200" t="s">
        <v>1583</v>
      </c>
      <c r="H110" s="229"/>
      <c r="I110" s="229"/>
      <c r="J110" s="201"/>
      <c r="K110" s="229" t="s">
        <v>1754</v>
      </c>
      <c r="L110" s="229" t="s">
        <v>1584</v>
      </c>
    </row>
    <row r="111" spans="2:12">
      <c r="B111" s="229" t="s">
        <v>2954</v>
      </c>
      <c r="C111" s="229" t="s">
        <v>229</v>
      </c>
      <c r="D111" s="229" t="s">
        <v>1652</v>
      </c>
      <c r="E111" s="201" t="s">
        <v>422</v>
      </c>
      <c r="F111" s="201"/>
      <c r="G111" s="200" t="s">
        <v>2206</v>
      </c>
      <c r="H111" s="229"/>
      <c r="I111" s="229" t="s">
        <v>749</v>
      </c>
      <c r="J111" s="201"/>
      <c r="K111" s="229" t="s">
        <v>1754</v>
      </c>
      <c r="L111" s="229" t="s">
        <v>1654</v>
      </c>
    </row>
    <row r="112" spans="2:12">
      <c r="B112" s="229" t="s">
        <v>2955</v>
      </c>
      <c r="C112" s="229" t="s">
        <v>229</v>
      </c>
      <c r="D112" s="229" t="s">
        <v>1777</v>
      </c>
      <c r="E112" s="201" t="s">
        <v>422</v>
      </c>
      <c r="F112" s="201"/>
      <c r="G112" s="200" t="s">
        <v>2207</v>
      </c>
      <c r="H112" s="229"/>
      <c r="I112" s="229"/>
      <c r="J112" s="201"/>
      <c r="K112" s="229" t="s">
        <v>231</v>
      </c>
      <c r="L112" s="229" t="s">
        <v>1779</v>
      </c>
    </row>
    <row r="113" spans="2:12">
      <c r="B113" s="229" t="s">
        <v>2956</v>
      </c>
      <c r="C113" s="229" t="s">
        <v>229</v>
      </c>
      <c r="D113" s="229" t="s">
        <v>1781</v>
      </c>
      <c r="E113" s="201" t="s">
        <v>422</v>
      </c>
      <c r="F113" s="201"/>
      <c r="G113" s="200" t="s">
        <v>2208</v>
      </c>
      <c r="H113" s="229"/>
      <c r="I113" s="229">
        <v>50</v>
      </c>
      <c r="J113" s="201"/>
      <c r="K113" s="229" t="s">
        <v>231</v>
      </c>
      <c r="L113" s="229" t="s">
        <v>1783</v>
      </c>
    </row>
    <row r="114" spans="2:12">
      <c r="B114" s="229" t="s">
        <v>2957</v>
      </c>
      <c r="C114" s="229" t="s">
        <v>229</v>
      </c>
      <c r="D114" s="229" t="s">
        <v>1785</v>
      </c>
      <c r="E114" s="201" t="s">
        <v>422</v>
      </c>
      <c r="F114" s="201"/>
      <c r="G114" s="200" t="s">
        <v>2209</v>
      </c>
      <c r="H114" s="229"/>
      <c r="I114" s="229">
        <v>100</v>
      </c>
      <c r="J114" s="201"/>
      <c r="K114" s="229" t="s">
        <v>231</v>
      </c>
      <c r="L114" s="229" t="s">
        <v>1787</v>
      </c>
    </row>
    <row r="115" spans="2:12">
      <c r="B115" s="229" t="s">
        <v>2958</v>
      </c>
      <c r="C115" s="229" t="s">
        <v>229</v>
      </c>
      <c r="D115" s="229" t="s">
        <v>1789</v>
      </c>
      <c r="E115" s="201" t="s">
        <v>422</v>
      </c>
      <c r="F115" s="201"/>
      <c r="G115" s="200" t="s">
        <v>2210</v>
      </c>
      <c r="H115" s="229"/>
      <c r="I115" s="229">
        <v>150</v>
      </c>
      <c r="J115" s="201"/>
      <c r="K115" s="229" t="s">
        <v>231</v>
      </c>
      <c r="L115" s="229" t="s">
        <v>1791</v>
      </c>
    </row>
    <row r="116" spans="2:12">
      <c r="B116" s="229" t="s">
        <v>2959</v>
      </c>
      <c r="C116" s="229" t="s">
        <v>229</v>
      </c>
      <c r="D116" s="229" t="s">
        <v>1793</v>
      </c>
      <c r="E116" s="201" t="s">
        <v>422</v>
      </c>
      <c r="F116" s="201"/>
      <c r="G116" s="200" t="s">
        <v>2211</v>
      </c>
      <c r="H116" s="229"/>
      <c r="I116" s="229">
        <v>200</v>
      </c>
      <c r="J116" s="201"/>
      <c r="K116" s="229" t="s">
        <v>231</v>
      </c>
      <c r="L116" s="229" t="s">
        <v>1795</v>
      </c>
    </row>
    <row r="117" spans="2:12">
      <c r="B117" s="229" t="s">
        <v>1751</v>
      </c>
      <c r="C117" s="229" t="s">
        <v>229</v>
      </c>
      <c r="D117" s="229" t="s">
        <v>2960</v>
      </c>
      <c r="E117" s="201" t="s">
        <v>422</v>
      </c>
      <c r="F117" s="201"/>
      <c r="G117" s="200" t="s">
        <v>2961</v>
      </c>
      <c r="H117" s="229"/>
      <c r="I117" s="229"/>
      <c r="J117" s="201"/>
      <c r="K117" s="229" t="s">
        <v>1754</v>
      </c>
      <c r="L117" s="229" t="s">
        <v>1755</v>
      </c>
    </row>
    <row r="118" spans="2:12">
      <c r="B118" s="229" t="s">
        <v>1655</v>
      </c>
      <c r="C118" s="229" t="s">
        <v>229</v>
      </c>
      <c r="D118" s="229" t="s">
        <v>1656</v>
      </c>
      <c r="E118" s="201" t="s">
        <v>422</v>
      </c>
      <c r="F118" s="201"/>
      <c r="G118" s="200" t="s">
        <v>2962</v>
      </c>
      <c r="H118" s="229"/>
      <c r="I118" s="229" t="s">
        <v>749</v>
      </c>
      <c r="J118" s="201"/>
      <c r="K118" s="229" t="s">
        <v>1754</v>
      </c>
      <c r="L118" s="229" t="s">
        <v>1658</v>
      </c>
    </row>
    <row r="119" spans="2:12">
      <c r="B119" s="229" t="s">
        <v>2214</v>
      </c>
      <c r="C119" s="229" t="s">
        <v>229</v>
      </c>
      <c r="D119" s="229" t="s">
        <v>2215</v>
      </c>
      <c r="E119" s="201" t="s">
        <v>422</v>
      </c>
      <c r="F119" s="201"/>
      <c r="G119" s="200" t="s">
        <v>2963</v>
      </c>
      <c r="H119" s="229"/>
      <c r="I119" s="229"/>
      <c r="J119" s="201"/>
      <c r="K119" s="229" t="s">
        <v>231</v>
      </c>
      <c r="L119" s="229" t="s">
        <v>2217</v>
      </c>
    </row>
    <row r="120" spans="2:12">
      <c r="B120" s="229" t="s">
        <v>2218</v>
      </c>
      <c r="C120" s="229" t="s">
        <v>229</v>
      </c>
      <c r="D120" s="229" t="s">
        <v>2219</v>
      </c>
      <c r="E120" s="201" t="s">
        <v>422</v>
      </c>
      <c r="F120" s="201"/>
      <c r="G120" s="200" t="s">
        <v>2964</v>
      </c>
      <c r="H120" s="229"/>
      <c r="I120" s="229">
        <v>50</v>
      </c>
      <c r="J120" s="201"/>
      <c r="K120" s="229" t="s">
        <v>231</v>
      </c>
      <c r="L120" s="229" t="s">
        <v>2221</v>
      </c>
    </row>
    <row r="121" spans="2:12">
      <c r="B121" s="229" t="s">
        <v>2222</v>
      </c>
      <c r="C121" s="229" t="s">
        <v>229</v>
      </c>
      <c r="D121" s="229" t="s">
        <v>2223</v>
      </c>
      <c r="E121" s="201" t="s">
        <v>422</v>
      </c>
      <c r="F121" s="201"/>
      <c r="G121" s="200" t="s">
        <v>2965</v>
      </c>
      <c r="H121" s="229"/>
      <c r="I121" s="229">
        <v>100</v>
      </c>
      <c r="J121" s="201"/>
      <c r="K121" s="229" t="s">
        <v>231</v>
      </c>
      <c r="L121" s="229" t="s">
        <v>2225</v>
      </c>
    </row>
    <row r="122" spans="2:12">
      <c r="B122" s="229" t="s">
        <v>2226</v>
      </c>
      <c r="C122" s="229" t="s">
        <v>229</v>
      </c>
      <c r="D122" s="229" t="s">
        <v>2227</v>
      </c>
      <c r="E122" s="201" t="s">
        <v>422</v>
      </c>
      <c r="F122" s="201"/>
      <c r="G122" s="200" t="s">
        <v>2966</v>
      </c>
      <c r="H122" s="229"/>
      <c r="I122" s="229">
        <v>150</v>
      </c>
      <c r="J122" s="201"/>
      <c r="K122" s="229" t="s">
        <v>231</v>
      </c>
      <c r="L122" s="229" t="s">
        <v>2229</v>
      </c>
    </row>
    <row r="123" spans="2:12">
      <c r="B123" s="229" t="s">
        <v>2230</v>
      </c>
      <c r="C123" s="229" t="s">
        <v>229</v>
      </c>
      <c r="D123" s="229" t="s">
        <v>2231</v>
      </c>
      <c r="E123" s="201" t="s">
        <v>422</v>
      </c>
      <c r="F123" s="201"/>
      <c r="G123" s="200" t="s">
        <v>2967</v>
      </c>
      <c r="H123" s="229"/>
      <c r="I123" s="229">
        <v>200</v>
      </c>
      <c r="J123" s="201"/>
      <c r="K123" s="229" t="s">
        <v>231</v>
      </c>
      <c r="L123" s="229" t="s">
        <v>2233</v>
      </c>
    </row>
    <row r="124" spans="2:12">
      <c r="B124" s="229" t="s">
        <v>1796</v>
      </c>
      <c r="C124" s="229" t="s">
        <v>229</v>
      </c>
      <c r="D124" s="229" t="s">
        <v>1797</v>
      </c>
      <c r="E124" s="201" t="s">
        <v>422</v>
      </c>
      <c r="F124" s="201"/>
      <c r="G124" s="200" t="s">
        <v>957</v>
      </c>
      <c r="H124" s="229"/>
      <c r="I124" s="229"/>
      <c r="J124" s="201"/>
      <c r="K124" s="229" t="s">
        <v>231</v>
      </c>
      <c r="L124" s="229" t="s">
        <v>1746</v>
      </c>
    </row>
    <row r="125" spans="2:12">
      <c r="B125" s="229" t="s">
        <v>1798</v>
      </c>
      <c r="C125" s="229" t="s">
        <v>229</v>
      </c>
      <c r="D125" s="229" t="s">
        <v>1799</v>
      </c>
      <c r="E125" s="201" t="s">
        <v>422</v>
      </c>
      <c r="F125" s="201"/>
      <c r="G125" s="200" t="s">
        <v>1800</v>
      </c>
      <c r="H125" s="229"/>
      <c r="I125" s="229"/>
      <c r="J125" s="201"/>
      <c r="K125" s="229" t="s">
        <v>231</v>
      </c>
      <c r="L125" s="229" t="s">
        <v>1801</v>
      </c>
    </row>
    <row r="126" spans="2:12">
      <c r="B126" s="229" t="s">
        <v>2968</v>
      </c>
      <c r="C126" s="229" t="s">
        <v>229</v>
      </c>
      <c r="D126" s="229" t="s">
        <v>1803</v>
      </c>
      <c r="E126" s="201" t="s">
        <v>422</v>
      </c>
      <c r="F126" s="201"/>
      <c r="G126" s="200" t="s">
        <v>963</v>
      </c>
      <c r="H126" s="229"/>
      <c r="I126" s="229"/>
      <c r="J126" s="201"/>
      <c r="K126" s="229" t="s">
        <v>1754</v>
      </c>
      <c r="L126" s="229" t="s">
        <v>1804</v>
      </c>
    </row>
    <row r="127" spans="2:12">
      <c r="B127" s="229" t="s">
        <v>1805</v>
      </c>
      <c r="C127" s="229" t="s">
        <v>229</v>
      </c>
      <c r="D127" s="229" t="s">
        <v>1806</v>
      </c>
      <c r="E127" s="201" t="s">
        <v>422</v>
      </c>
      <c r="F127" s="201"/>
      <c r="G127" s="200" t="s">
        <v>1807</v>
      </c>
      <c r="H127" s="229"/>
      <c r="I127" s="229"/>
      <c r="J127" s="201"/>
      <c r="K127" s="229" t="s">
        <v>231</v>
      </c>
      <c r="L127" s="229" t="s">
        <v>1808</v>
      </c>
    </row>
    <row r="128" spans="2:12">
      <c r="B128" s="229" t="s">
        <v>2969</v>
      </c>
      <c r="C128" s="229" t="s">
        <v>229</v>
      </c>
      <c r="D128" s="229" t="s">
        <v>1660</v>
      </c>
      <c r="E128" s="201" t="s">
        <v>422</v>
      </c>
      <c r="F128" s="201"/>
      <c r="G128" s="200" t="s">
        <v>2970</v>
      </c>
      <c r="H128" s="229"/>
      <c r="I128" s="229" t="s">
        <v>749</v>
      </c>
      <c r="J128" s="201"/>
      <c r="K128" s="229" t="s">
        <v>1754</v>
      </c>
      <c r="L128" s="229" t="s">
        <v>1662</v>
      </c>
    </row>
    <row r="129" spans="2:12">
      <c r="B129" s="229" t="s">
        <v>2971</v>
      </c>
      <c r="C129" s="229" t="s">
        <v>229</v>
      </c>
      <c r="D129" s="229" t="s">
        <v>2972</v>
      </c>
      <c r="E129" s="201" t="s">
        <v>422</v>
      </c>
      <c r="F129" s="201"/>
      <c r="G129" s="200" t="s">
        <v>2973</v>
      </c>
      <c r="H129" s="229"/>
      <c r="I129" s="229"/>
      <c r="J129" s="201"/>
      <c r="K129" s="229" t="s">
        <v>231</v>
      </c>
      <c r="L129" s="229" t="s">
        <v>2974</v>
      </c>
    </row>
    <row r="130" spans="2:12">
      <c r="B130" s="229" t="s">
        <v>2975</v>
      </c>
      <c r="C130" s="229" t="s">
        <v>229</v>
      </c>
      <c r="D130" s="229" t="s">
        <v>2976</v>
      </c>
      <c r="E130" s="201" t="s">
        <v>422</v>
      </c>
      <c r="F130" s="201"/>
      <c r="G130" s="200" t="s">
        <v>2977</v>
      </c>
      <c r="H130" s="229"/>
      <c r="I130" s="229">
        <v>100</v>
      </c>
      <c r="J130" s="201"/>
      <c r="K130" s="229" t="s">
        <v>231</v>
      </c>
      <c r="L130" s="229" t="s">
        <v>2978</v>
      </c>
    </row>
    <row r="131" spans="2:12">
      <c r="B131" s="229" t="s">
        <v>2979</v>
      </c>
      <c r="C131" s="229" t="s">
        <v>229</v>
      </c>
      <c r="D131" s="229" t="s">
        <v>2980</v>
      </c>
      <c r="E131" s="201" t="s">
        <v>422</v>
      </c>
      <c r="F131" s="201"/>
      <c r="G131" s="200" t="s">
        <v>2981</v>
      </c>
      <c r="H131" s="229"/>
      <c r="I131" s="229">
        <v>200</v>
      </c>
      <c r="J131" s="201"/>
      <c r="K131" s="229" t="s">
        <v>231</v>
      </c>
      <c r="L131" s="229" t="s">
        <v>2982</v>
      </c>
    </row>
    <row r="132" spans="2:12">
      <c r="B132" s="229" t="s">
        <v>2983</v>
      </c>
      <c r="C132" s="229" t="s">
        <v>229</v>
      </c>
      <c r="D132" s="229" t="s">
        <v>2984</v>
      </c>
      <c r="E132" s="201" t="s">
        <v>422</v>
      </c>
      <c r="F132" s="201"/>
      <c r="G132" s="200" t="s">
        <v>2985</v>
      </c>
      <c r="H132" s="229"/>
      <c r="I132" s="229">
        <v>300</v>
      </c>
      <c r="J132" s="201"/>
      <c r="K132" s="229" t="s">
        <v>231</v>
      </c>
      <c r="L132" s="229" t="s">
        <v>2986</v>
      </c>
    </row>
    <row r="133" spans="2:12">
      <c r="B133" s="229" t="s">
        <v>2987</v>
      </c>
      <c r="C133" s="229" t="s">
        <v>229</v>
      </c>
      <c r="D133" s="229" t="s">
        <v>2988</v>
      </c>
      <c r="E133" s="201" t="s">
        <v>422</v>
      </c>
      <c r="F133" s="201"/>
      <c r="G133" s="200" t="s">
        <v>2989</v>
      </c>
      <c r="H133" s="229"/>
      <c r="I133" s="229">
        <v>400</v>
      </c>
      <c r="J133" s="201"/>
      <c r="K133" s="229" t="s">
        <v>231</v>
      </c>
      <c r="L133" s="229" t="s">
        <v>2990</v>
      </c>
    </row>
    <row r="134" spans="2:12">
      <c r="B134" s="229" t="s">
        <v>2991</v>
      </c>
      <c r="C134" s="229" t="s">
        <v>229</v>
      </c>
      <c r="D134" s="229" t="s">
        <v>1810</v>
      </c>
      <c r="E134" s="201" t="s">
        <v>422</v>
      </c>
      <c r="F134" s="201"/>
      <c r="G134" s="200" t="s">
        <v>2017</v>
      </c>
      <c r="H134" s="229"/>
      <c r="I134" s="229"/>
      <c r="J134" s="201"/>
      <c r="K134" s="229" t="s">
        <v>1754</v>
      </c>
      <c r="L134" s="229" t="s">
        <v>1811</v>
      </c>
    </row>
    <row r="135" spans="2:12">
      <c r="B135" s="229" t="s">
        <v>1812</v>
      </c>
      <c r="C135" s="229" t="s">
        <v>229</v>
      </c>
      <c r="D135" s="229" t="s">
        <v>1813</v>
      </c>
      <c r="E135" s="201" t="s">
        <v>422</v>
      </c>
      <c r="F135" s="201"/>
      <c r="G135" s="200" t="s">
        <v>2159</v>
      </c>
      <c r="H135" s="229"/>
      <c r="I135" s="229"/>
      <c r="J135" s="201"/>
      <c r="K135" s="229" t="s">
        <v>231</v>
      </c>
      <c r="L135" s="229" t="s">
        <v>1815</v>
      </c>
    </row>
    <row r="136" spans="2:12">
      <c r="B136" s="229" t="s">
        <v>2992</v>
      </c>
      <c r="C136" s="229" t="s">
        <v>229</v>
      </c>
      <c r="D136" s="229" t="s">
        <v>1664</v>
      </c>
      <c r="E136" s="201" t="s">
        <v>422</v>
      </c>
      <c r="F136" s="201"/>
      <c r="G136" s="200" t="s">
        <v>2993</v>
      </c>
      <c r="H136" s="229"/>
      <c r="I136" s="229" t="s">
        <v>749</v>
      </c>
      <c r="J136" s="201"/>
      <c r="K136" s="229" t="s">
        <v>1754</v>
      </c>
      <c r="L136" s="229" t="s">
        <v>1666</v>
      </c>
    </row>
    <row r="137" spans="2:12">
      <c r="B137" s="229" t="s">
        <v>2994</v>
      </c>
      <c r="C137" s="229" t="s">
        <v>229</v>
      </c>
      <c r="D137" s="229" t="s">
        <v>2995</v>
      </c>
      <c r="E137" s="201" t="s">
        <v>422</v>
      </c>
      <c r="F137" s="201"/>
      <c r="G137" s="200" t="s">
        <v>2996</v>
      </c>
      <c r="H137" s="229"/>
      <c r="I137" s="229"/>
      <c r="J137" s="201"/>
      <c r="K137" s="229" t="s">
        <v>231</v>
      </c>
      <c r="L137" s="229" t="s">
        <v>2997</v>
      </c>
    </row>
    <row r="138" spans="2:12">
      <c r="B138" s="229" t="s">
        <v>2998</v>
      </c>
      <c r="C138" s="229" t="s">
        <v>229</v>
      </c>
      <c r="D138" s="229" t="s">
        <v>2999</v>
      </c>
      <c r="E138" s="201" t="s">
        <v>422</v>
      </c>
      <c r="F138" s="201"/>
      <c r="G138" s="200" t="s">
        <v>3000</v>
      </c>
      <c r="H138" s="229"/>
      <c r="I138" s="229">
        <v>100</v>
      </c>
      <c r="J138" s="201"/>
      <c r="K138" s="229" t="s">
        <v>231</v>
      </c>
      <c r="L138" s="229" t="s">
        <v>3001</v>
      </c>
    </row>
    <row r="139" spans="2:12">
      <c r="B139" s="229" t="s">
        <v>3002</v>
      </c>
      <c r="C139" s="229" t="s">
        <v>229</v>
      </c>
      <c r="D139" s="229" t="s">
        <v>3003</v>
      </c>
      <c r="E139" s="201" t="s">
        <v>422</v>
      </c>
      <c r="F139" s="201"/>
      <c r="G139" s="200" t="s">
        <v>3004</v>
      </c>
      <c r="H139" s="229"/>
      <c r="I139" s="229">
        <v>200</v>
      </c>
      <c r="J139" s="201"/>
      <c r="K139" s="229" t="s">
        <v>231</v>
      </c>
      <c r="L139" s="229" t="s">
        <v>3005</v>
      </c>
    </row>
    <row r="140" spans="2:12">
      <c r="B140" s="229" t="s">
        <v>3006</v>
      </c>
      <c r="C140" s="229" t="s">
        <v>229</v>
      </c>
      <c r="D140" s="229" t="s">
        <v>3007</v>
      </c>
      <c r="E140" s="201" t="s">
        <v>422</v>
      </c>
      <c r="F140" s="201"/>
      <c r="G140" s="200" t="s">
        <v>3008</v>
      </c>
      <c r="H140" s="229"/>
      <c r="I140" s="229">
        <v>300</v>
      </c>
      <c r="J140" s="201"/>
      <c r="K140" s="229" t="s">
        <v>231</v>
      </c>
      <c r="L140" s="229" t="s">
        <v>2901</v>
      </c>
    </row>
    <row r="141" spans="2:12">
      <c r="B141" s="229" t="s">
        <v>3009</v>
      </c>
      <c r="C141" s="229" t="s">
        <v>229</v>
      </c>
      <c r="D141" s="229" t="s">
        <v>3010</v>
      </c>
      <c r="E141" s="201" t="s">
        <v>422</v>
      </c>
      <c r="F141" s="201"/>
      <c r="G141" s="200" t="s">
        <v>3011</v>
      </c>
      <c r="H141" s="229"/>
      <c r="I141" s="229">
        <v>400</v>
      </c>
      <c r="J141" s="201"/>
      <c r="K141" s="229" t="s">
        <v>231</v>
      </c>
      <c r="L141" s="229" t="s">
        <v>3012</v>
      </c>
    </row>
    <row r="142" spans="2:12">
      <c r="B142" s="229" t="s">
        <v>3013</v>
      </c>
      <c r="C142" s="229" t="s">
        <v>229</v>
      </c>
      <c r="D142" s="229" t="s">
        <v>3014</v>
      </c>
      <c r="E142" s="201" t="s">
        <v>422</v>
      </c>
      <c r="F142" s="201"/>
      <c r="G142" s="200" t="s">
        <v>3015</v>
      </c>
      <c r="H142" s="229"/>
      <c r="I142" s="229" t="s">
        <v>749</v>
      </c>
      <c r="J142" s="201"/>
      <c r="K142" s="229" t="s">
        <v>1754</v>
      </c>
      <c r="L142" s="229" t="s">
        <v>3016</v>
      </c>
    </row>
    <row r="143" spans="2:12">
      <c r="B143" s="229" t="s">
        <v>1671</v>
      </c>
      <c r="C143" s="229" t="s">
        <v>229</v>
      </c>
      <c r="D143" s="229" t="s">
        <v>1672</v>
      </c>
      <c r="E143" s="201" t="s">
        <v>422</v>
      </c>
      <c r="F143" s="201"/>
      <c r="G143" s="200" t="s">
        <v>3017</v>
      </c>
      <c r="H143" s="229"/>
      <c r="I143" s="229" t="s">
        <v>749</v>
      </c>
      <c r="J143" s="201"/>
      <c r="K143" s="229" t="s">
        <v>1754</v>
      </c>
      <c r="L143" s="229" t="s">
        <v>1674</v>
      </c>
    </row>
    <row r="144" spans="2:12">
      <c r="B144" s="229" t="s">
        <v>3018</v>
      </c>
      <c r="C144" s="229" t="s">
        <v>229</v>
      </c>
      <c r="D144" s="229" t="s">
        <v>3019</v>
      </c>
      <c r="E144" s="201" t="s">
        <v>422</v>
      </c>
      <c r="F144" s="201"/>
      <c r="G144" s="200" t="s">
        <v>3020</v>
      </c>
      <c r="H144" s="229"/>
      <c r="I144" s="229"/>
      <c r="J144" s="201"/>
      <c r="K144" s="229" t="s">
        <v>231</v>
      </c>
      <c r="L144" s="229" t="s">
        <v>3021</v>
      </c>
    </row>
    <row r="145" spans="2:12">
      <c r="B145" s="229" t="s">
        <v>3022</v>
      </c>
      <c r="C145" s="229" t="s">
        <v>229</v>
      </c>
      <c r="D145" s="229" t="s">
        <v>3023</v>
      </c>
      <c r="E145" s="201" t="s">
        <v>422</v>
      </c>
      <c r="F145" s="201"/>
      <c r="G145" s="200" t="s">
        <v>3020</v>
      </c>
      <c r="H145" s="229"/>
      <c r="I145" s="229">
        <v>50</v>
      </c>
      <c r="J145" s="201"/>
      <c r="K145" s="229" t="s">
        <v>231</v>
      </c>
      <c r="L145" s="229" t="s">
        <v>3024</v>
      </c>
    </row>
    <row r="146" spans="2:12">
      <c r="B146" s="229" t="s">
        <v>3025</v>
      </c>
      <c r="C146" s="229" t="s">
        <v>229</v>
      </c>
      <c r="D146" s="229" t="s">
        <v>3026</v>
      </c>
      <c r="E146" s="201" t="s">
        <v>422</v>
      </c>
      <c r="F146" s="201"/>
      <c r="G146" s="200" t="s">
        <v>3020</v>
      </c>
      <c r="H146" s="229"/>
      <c r="I146" s="229">
        <v>100</v>
      </c>
      <c r="J146" s="201"/>
      <c r="K146" s="229" t="s">
        <v>231</v>
      </c>
      <c r="L146" s="229" t="s">
        <v>3027</v>
      </c>
    </row>
    <row r="147" spans="2:12">
      <c r="B147" s="229" t="s">
        <v>3028</v>
      </c>
      <c r="C147" s="229" t="s">
        <v>229</v>
      </c>
      <c r="D147" s="229" t="s">
        <v>3029</v>
      </c>
      <c r="E147" s="201" t="s">
        <v>422</v>
      </c>
      <c r="F147" s="201"/>
      <c r="G147" s="200" t="s">
        <v>3020</v>
      </c>
      <c r="H147" s="229"/>
      <c r="I147" s="229">
        <v>150</v>
      </c>
      <c r="J147" s="201"/>
      <c r="K147" s="229" t="s">
        <v>231</v>
      </c>
      <c r="L147" s="229" t="s">
        <v>3030</v>
      </c>
    </row>
    <row r="148" spans="2:12">
      <c r="B148" s="229" t="s">
        <v>3031</v>
      </c>
      <c r="C148" s="229" t="s">
        <v>229</v>
      </c>
      <c r="D148" s="229" t="s">
        <v>3032</v>
      </c>
      <c r="E148" s="201" t="s">
        <v>422</v>
      </c>
      <c r="F148" s="201"/>
      <c r="G148" s="200" t="s">
        <v>3020</v>
      </c>
      <c r="H148" s="229"/>
      <c r="I148" s="229">
        <v>200</v>
      </c>
      <c r="J148" s="201"/>
      <c r="K148" s="229" t="s">
        <v>231</v>
      </c>
      <c r="L148" s="229" t="s">
        <v>3033</v>
      </c>
    </row>
    <row r="149" spans="2:12">
      <c r="B149" s="229" t="s">
        <v>3034</v>
      </c>
      <c r="C149" s="229" t="s">
        <v>229</v>
      </c>
      <c r="D149" s="229" t="s">
        <v>3035</v>
      </c>
      <c r="E149" s="201" t="s">
        <v>422</v>
      </c>
      <c r="F149" s="201"/>
      <c r="G149" s="200" t="s">
        <v>3036</v>
      </c>
      <c r="H149" s="229"/>
      <c r="I149" s="229" t="s">
        <v>749</v>
      </c>
      <c r="J149" s="201"/>
      <c r="K149" s="229" t="s">
        <v>1754</v>
      </c>
      <c r="L149" s="229" t="s">
        <v>3037</v>
      </c>
    </row>
    <row r="150" spans="2:12">
      <c r="B150" s="229" t="s">
        <v>3038</v>
      </c>
      <c r="C150" s="229" t="s">
        <v>229</v>
      </c>
      <c r="D150" s="229" t="s">
        <v>1676</v>
      </c>
      <c r="E150" s="201" t="s">
        <v>422</v>
      </c>
      <c r="F150" s="201"/>
      <c r="G150" s="200" t="s">
        <v>3039</v>
      </c>
      <c r="H150" s="229"/>
      <c r="I150" s="229" t="s">
        <v>749</v>
      </c>
      <c r="J150" s="201"/>
      <c r="K150" s="229" t="s">
        <v>1754</v>
      </c>
      <c r="L150" s="229" t="s">
        <v>1678</v>
      </c>
    </row>
    <row r="151" spans="2:12">
      <c r="B151" s="229" t="s">
        <v>3040</v>
      </c>
      <c r="C151" s="229" t="s">
        <v>229</v>
      </c>
      <c r="D151" s="229" t="s">
        <v>3041</v>
      </c>
      <c r="E151" s="201" t="s">
        <v>422</v>
      </c>
      <c r="F151" s="201"/>
      <c r="G151" s="200" t="s">
        <v>3042</v>
      </c>
      <c r="H151" s="229"/>
      <c r="I151" s="229"/>
      <c r="J151" s="201"/>
      <c r="K151" s="229" t="s">
        <v>231</v>
      </c>
      <c r="L151" s="229" t="s">
        <v>3043</v>
      </c>
    </row>
    <row r="152" spans="2:12">
      <c r="B152" s="229" t="s">
        <v>3044</v>
      </c>
      <c r="C152" s="229" t="s">
        <v>229</v>
      </c>
      <c r="D152" s="229" t="s">
        <v>3045</v>
      </c>
      <c r="E152" s="201" t="s">
        <v>422</v>
      </c>
      <c r="F152" s="201"/>
      <c r="G152" s="200" t="s">
        <v>3046</v>
      </c>
      <c r="H152" s="229"/>
      <c r="I152" s="229">
        <v>50</v>
      </c>
      <c r="J152" s="201"/>
      <c r="K152" s="229" t="s">
        <v>231</v>
      </c>
      <c r="L152" s="229" t="s">
        <v>3047</v>
      </c>
    </row>
    <row r="153" spans="2:12">
      <c r="B153" s="229" t="s">
        <v>3048</v>
      </c>
      <c r="C153" s="229" t="s">
        <v>229</v>
      </c>
      <c r="D153" s="229" t="s">
        <v>3049</v>
      </c>
      <c r="E153" s="201" t="s">
        <v>422</v>
      </c>
      <c r="F153" s="201"/>
      <c r="G153" s="200" t="s">
        <v>3050</v>
      </c>
      <c r="H153" s="229"/>
      <c r="I153" s="229">
        <v>100</v>
      </c>
      <c r="J153" s="201"/>
      <c r="K153" s="229" t="s">
        <v>231</v>
      </c>
      <c r="L153" s="229" t="s">
        <v>3051</v>
      </c>
    </row>
    <row r="154" spans="2:12">
      <c r="B154" s="229" t="s">
        <v>3052</v>
      </c>
      <c r="C154" s="229" t="s">
        <v>229</v>
      </c>
      <c r="D154" s="229" t="s">
        <v>3053</v>
      </c>
      <c r="E154" s="201" t="s">
        <v>422</v>
      </c>
      <c r="F154" s="201"/>
      <c r="G154" s="200" t="s">
        <v>3054</v>
      </c>
      <c r="H154" s="229"/>
      <c r="I154" s="229">
        <v>150</v>
      </c>
      <c r="J154" s="201"/>
      <c r="K154" s="229" t="s">
        <v>231</v>
      </c>
      <c r="L154" s="229" t="s">
        <v>3055</v>
      </c>
    </row>
    <row r="155" spans="2:12">
      <c r="B155" s="229" t="s">
        <v>3056</v>
      </c>
      <c r="C155" s="229" t="s">
        <v>229</v>
      </c>
      <c r="D155" s="229" t="s">
        <v>3057</v>
      </c>
      <c r="E155" s="201" t="s">
        <v>422</v>
      </c>
      <c r="F155" s="201"/>
      <c r="G155" s="200" t="s">
        <v>3058</v>
      </c>
      <c r="H155" s="229"/>
      <c r="I155" s="229">
        <v>200</v>
      </c>
      <c r="J155" s="201"/>
      <c r="K155" s="229" t="s">
        <v>231</v>
      </c>
      <c r="L155" s="229" t="s">
        <v>3059</v>
      </c>
    </row>
    <row r="156" spans="2:12">
      <c r="B156" s="229" t="s">
        <v>1051</v>
      </c>
      <c r="C156" s="229" t="s">
        <v>229</v>
      </c>
      <c r="D156" s="229" t="s">
        <v>3060</v>
      </c>
      <c r="E156" s="201" t="s">
        <v>422</v>
      </c>
      <c r="F156" s="201"/>
      <c r="G156" s="200" t="s">
        <v>3061</v>
      </c>
      <c r="H156" s="229"/>
      <c r="I156" s="229" t="s">
        <v>749</v>
      </c>
      <c r="J156" s="201"/>
      <c r="K156" s="229" t="s">
        <v>1754</v>
      </c>
      <c r="L156" s="229" t="s">
        <v>3062</v>
      </c>
    </row>
    <row r="157" spans="2:12">
      <c r="B157" s="229" t="s">
        <v>1679</v>
      </c>
      <c r="C157" s="229" t="s">
        <v>229</v>
      </c>
      <c r="D157" s="229" t="s">
        <v>1680</v>
      </c>
      <c r="E157" s="201" t="s">
        <v>422</v>
      </c>
      <c r="F157" s="201"/>
      <c r="G157" s="200" t="s">
        <v>3063</v>
      </c>
      <c r="H157" s="229"/>
      <c r="I157" s="229" t="s">
        <v>749</v>
      </c>
      <c r="J157" s="201"/>
      <c r="K157" s="229" t="s">
        <v>1754</v>
      </c>
      <c r="L157" s="229" t="s">
        <v>1682</v>
      </c>
    </row>
    <row r="158" spans="2:12">
      <c r="B158" s="229" t="s">
        <v>3064</v>
      </c>
      <c r="C158" s="229" t="s">
        <v>229</v>
      </c>
      <c r="D158" s="229" t="s">
        <v>3065</v>
      </c>
      <c r="E158" s="201" t="s">
        <v>422</v>
      </c>
      <c r="F158" s="201"/>
      <c r="G158" s="200" t="s">
        <v>3066</v>
      </c>
      <c r="H158" s="229"/>
      <c r="I158" s="229"/>
      <c r="J158" s="201"/>
      <c r="K158" s="229" t="s">
        <v>231</v>
      </c>
      <c r="L158" s="229" t="s">
        <v>3067</v>
      </c>
    </row>
    <row r="159" spans="2:12">
      <c r="B159" s="229" t="s">
        <v>3068</v>
      </c>
      <c r="C159" s="229" t="s">
        <v>229</v>
      </c>
      <c r="D159" s="229" t="s">
        <v>3069</v>
      </c>
      <c r="E159" s="201" t="s">
        <v>422</v>
      </c>
      <c r="F159" s="201"/>
      <c r="G159" s="200" t="s">
        <v>3070</v>
      </c>
      <c r="H159" s="229"/>
      <c r="I159" s="229">
        <v>100</v>
      </c>
      <c r="J159" s="201"/>
      <c r="K159" s="229" t="s">
        <v>231</v>
      </c>
      <c r="L159" s="229" t="s">
        <v>3071</v>
      </c>
    </row>
    <row r="160" spans="2:12">
      <c r="B160" s="229" t="s">
        <v>3072</v>
      </c>
      <c r="C160" s="229" t="s">
        <v>229</v>
      </c>
      <c r="D160" s="229" t="s">
        <v>3073</v>
      </c>
      <c r="E160" s="201" t="s">
        <v>422</v>
      </c>
      <c r="F160" s="201"/>
      <c r="G160" s="200" t="s">
        <v>3074</v>
      </c>
      <c r="H160" s="229"/>
      <c r="I160" s="229">
        <v>200</v>
      </c>
      <c r="J160" s="201"/>
      <c r="K160" s="229" t="s">
        <v>231</v>
      </c>
      <c r="L160" s="229" t="s">
        <v>3075</v>
      </c>
    </row>
    <row r="161" spans="2:12">
      <c r="B161" s="229" t="s">
        <v>3076</v>
      </c>
      <c r="C161" s="229" t="s">
        <v>229</v>
      </c>
      <c r="D161" s="229" t="s">
        <v>3077</v>
      </c>
      <c r="E161" s="201" t="s">
        <v>422</v>
      </c>
      <c r="F161" s="201"/>
      <c r="G161" s="200" t="s">
        <v>3078</v>
      </c>
      <c r="H161" s="229"/>
      <c r="I161" s="229">
        <v>300</v>
      </c>
      <c r="J161" s="201"/>
      <c r="K161" s="229" t="s">
        <v>231</v>
      </c>
      <c r="L161" s="229" t="s">
        <v>3079</v>
      </c>
    </row>
    <row r="162" spans="2:12">
      <c r="B162" s="229" t="s">
        <v>3080</v>
      </c>
      <c r="C162" s="229" t="s">
        <v>229</v>
      </c>
      <c r="D162" s="229" t="s">
        <v>3081</v>
      </c>
      <c r="E162" s="201" t="s">
        <v>422</v>
      </c>
      <c r="F162" s="201"/>
      <c r="G162" s="200" t="s">
        <v>3082</v>
      </c>
      <c r="H162" s="229"/>
      <c r="I162" s="229">
        <v>400</v>
      </c>
      <c r="J162" s="201"/>
      <c r="K162" s="229" t="s">
        <v>231</v>
      </c>
      <c r="L162" s="229" t="s">
        <v>3083</v>
      </c>
    </row>
    <row r="163" spans="2:12">
      <c r="B163" s="229" t="s">
        <v>3084</v>
      </c>
      <c r="C163" s="229" t="s">
        <v>229</v>
      </c>
      <c r="D163" s="229" t="s">
        <v>3085</v>
      </c>
      <c r="E163" s="201" t="s">
        <v>422</v>
      </c>
      <c r="F163" s="201"/>
      <c r="G163" s="200" t="s">
        <v>3086</v>
      </c>
      <c r="H163" s="229"/>
      <c r="I163" s="229" t="s">
        <v>749</v>
      </c>
      <c r="J163" s="201"/>
      <c r="K163" s="229" t="s">
        <v>749</v>
      </c>
      <c r="L163" s="229" t="s">
        <v>3087</v>
      </c>
    </row>
    <row r="164" spans="2:12">
      <c r="B164" s="229" t="s">
        <v>1683</v>
      </c>
      <c r="C164" s="229" t="s">
        <v>229</v>
      </c>
      <c r="D164" s="229" t="s">
        <v>1684</v>
      </c>
      <c r="E164" s="201" t="s">
        <v>422</v>
      </c>
      <c r="F164" s="201"/>
      <c r="G164" s="200" t="s">
        <v>3088</v>
      </c>
      <c r="H164" s="229"/>
      <c r="I164" s="229" t="s">
        <v>749</v>
      </c>
      <c r="J164" s="201"/>
      <c r="K164" s="229" t="s">
        <v>749</v>
      </c>
      <c r="L164" s="229" t="s">
        <v>1686</v>
      </c>
    </row>
    <row r="165" spans="2:12">
      <c r="B165" s="229" t="s">
        <v>3089</v>
      </c>
      <c r="C165" s="229" t="s">
        <v>229</v>
      </c>
      <c r="D165" s="229" t="s">
        <v>3090</v>
      </c>
      <c r="E165" s="201" t="s">
        <v>422</v>
      </c>
      <c r="F165" s="201"/>
      <c r="G165" s="200" t="s">
        <v>3091</v>
      </c>
      <c r="H165" s="229"/>
      <c r="I165" s="229"/>
      <c r="J165" s="201"/>
      <c r="K165" s="229" t="s">
        <v>231</v>
      </c>
      <c r="L165" s="229" t="s">
        <v>3092</v>
      </c>
    </row>
    <row r="166" spans="2:12">
      <c r="B166" s="229" t="s">
        <v>3093</v>
      </c>
      <c r="C166" s="229" t="s">
        <v>229</v>
      </c>
      <c r="D166" s="229" t="s">
        <v>3094</v>
      </c>
      <c r="E166" s="201" t="s">
        <v>422</v>
      </c>
      <c r="F166" s="201"/>
      <c r="G166" s="200" t="s">
        <v>3095</v>
      </c>
      <c r="H166" s="229"/>
      <c r="I166" s="229">
        <v>500</v>
      </c>
      <c r="J166" s="201"/>
      <c r="K166" s="229" t="s">
        <v>231</v>
      </c>
      <c r="L166" s="229" t="s">
        <v>3096</v>
      </c>
    </row>
    <row r="167" spans="2:12">
      <c r="B167" s="229" t="s">
        <v>3097</v>
      </c>
      <c r="C167" s="229" t="s">
        <v>229</v>
      </c>
      <c r="D167" s="229" t="s">
        <v>3098</v>
      </c>
      <c r="E167" s="201" t="s">
        <v>422</v>
      </c>
      <c r="F167" s="201"/>
      <c r="G167" s="200" t="s">
        <v>3099</v>
      </c>
      <c r="H167" s="229"/>
      <c r="I167" s="229">
        <v>1000</v>
      </c>
      <c r="J167" s="201"/>
      <c r="K167" s="229" t="s">
        <v>231</v>
      </c>
      <c r="L167" s="229" t="s">
        <v>3100</v>
      </c>
    </row>
    <row r="168" spans="2:12">
      <c r="B168" s="229" t="s">
        <v>3101</v>
      </c>
      <c r="C168" s="229" t="s">
        <v>229</v>
      </c>
      <c r="D168" s="229" t="s">
        <v>3102</v>
      </c>
      <c r="E168" s="201" t="s">
        <v>422</v>
      </c>
      <c r="F168" s="201"/>
      <c r="G168" s="200" t="s">
        <v>3103</v>
      </c>
      <c r="H168" s="229"/>
      <c r="I168" s="229">
        <v>1500</v>
      </c>
      <c r="J168" s="201"/>
      <c r="K168" s="229" t="s">
        <v>231</v>
      </c>
      <c r="L168" s="229" t="s">
        <v>3104</v>
      </c>
    </row>
    <row r="169" spans="2:12">
      <c r="B169" s="229" t="s">
        <v>3105</v>
      </c>
      <c r="C169" s="229" t="s">
        <v>229</v>
      </c>
      <c r="D169" s="229" t="s">
        <v>3106</v>
      </c>
      <c r="E169" s="201" t="s">
        <v>422</v>
      </c>
      <c r="F169" s="201"/>
      <c r="G169" s="200" t="s">
        <v>3107</v>
      </c>
      <c r="H169" s="229"/>
      <c r="I169" s="229">
        <v>2000</v>
      </c>
      <c r="J169" s="201"/>
      <c r="K169" s="229" t="s">
        <v>231</v>
      </c>
      <c r="L169" s="229" t="s">
        <v>3108</v>
      </c>
    </row>
    <row r="170" spans="2:12">
      <c r="B170" s="229" t="s">
        <v>3109</v>
      </c>
      <c r="C170" s="229" t="s">
        <v>229</v>
      </c>
      <c r="D170" s="229" t="s">
        <v>3110</v>
      </c>
      <c r="E170" s="201" t="s">
        <v>422</v>
      </c>
      <c r="F170" s="201"/>
      <c r="G170" s="200" t="s">
        <v>3111</v>
      </c>
      <c r="H170" s="229"/>
      <c r="I170" s="229" t="s">
        <v>749</v>
      </c>
      <c r="J170" s="201"/>
      <c r="K170" s="229" t="s">
        <v>231</v>
      </c>
      <c r="L170" s="229" t="s">
        <v>1646</v>
      </c>
    </row>
    <row r="171" spans="2:12">
      <c r="B171" s="229" t="s">
        <v>3112</v>
      </c>
      <c r="C171" s="229" t="s">
        <v>229</v>
      </c>
      <c r="D171" s="229" t="s">
        <v>3113</v>
      </c>
      <c r="E171" s="201" t="s">
        <v>422</v>
      </c>
      <c r="F171" s="201"/>
      <c r="G171" s="200" t="s">
        <v>3114</v>
      </c>
      <c r="H171" s="229"/>
      <c r="I171" s="229" t="s">
        <v>749</v>
      </c>
      <c r="J171" s="201"/>
      <c r="K171" s="229" t="s">
        <v>1754</v>
      </c>
      <c r="L171" s="229" t="s">
        <v>3115</v>
      </c>
    </row>
    <row r="172" spans="2:12">
      <c r="B172" s="229" t="s">
        <v>1687</v>
      </c>
      <c r="C172" s="229" t="s">
        <v>229</v>
      </c>
      <c r="D172" s="229" t="s">
        <v>1688</v>
      </c>
      <c r="E172" s="201" t="s">
        <v>422</v>
      </c>
      <c r="F172" s="201"/>
      <c r="G172" s="200" t="s">
        <v>3116</v>
      </c>
      <c r="H172" s="229"/>
      <c r="I172" s="229" t="s">
        <v>749</v>
      </c>
      <c r="J172" s="201"/>
      <c r="K172" s="229" t="s">
        <v>1754</v>
      </c>
      <c r="L172" s="229" t="s">
        <v>1690</v>
      </c>
    </row>
    <row r="173" spans="2:12">
      <c r="B173" s="229" t="s">
        <v>3117</v>
      </c>
      <c r="C173" s="229" t="s">
        <v>229</v>
      </c>
      <c r="D173" s="229" t="s">
        <v>3118</v>
      </c>
      <c r="E173" s="201" t="s">
        <v>422</v>
      </c>
      <c r="F173" s="201"/>
      <c r="G173" s="200" t="s">
        <v>3119</v>
      </c>
      <c r="H173" s="229"/>
      <c r="I173" s="229"/>
      <c r="J173" s="201"/>
      <c r="K173" s="229" t="s">
        <v>231</v>
      </c>
      <c r="L173" s="229" t="s">
        <v>3120</v>
      </c>
    </row>
    <row r="174" spans="2:12">
      <c r="B174" s="229" t="s">
        <v>3121</v>
      </c>
      <c r="C174" s="229" t="s">
        <v>229</v>
      </c>
      <c r="D174" s="229" t="s">
        <v>3122</v>
      </c>
      <c r="E174" s="201" t="s">
        <v>422</v>
      </c>
      <c r="F174" s="201"/>
      <c r="G174" s="200" t="s">
        <v>3123</v>
      </c>
      <c r="H174" s="229"/>
      <c r="I174" s="229">
        <v>1000</v>
      </c>
      <c r="J174" s="201"/>
      <c r="K174" s="229" t="s">
        <v>231</v>
      </c>
      <c r="L174" s="229" t="s">
        <v>3124</v>
      </c>
    </row>
    <row r="175" spans="2:12">
      <c r="B175" s="229" t="s">
        <v>3125</v>
      </c>
      <c r="C175" s="229" t="s">
        <v>229</v>
      </c>
      <c r="D175" s="229" t="s">
        <v>3126</v>
      </c>
      <c r="E175" s="201" t="s">
        <v>422</v>
      </c>
      <c r="F175" s="201"/>
      <c r="G175" s="200" t="s">
        <v>3127</v>
      </c>
      <c r="H175" s="229"/>
      <c r="I175" s="229">
        <v>2000</v>
      </c>
      <c r="J175" s="201"/>
      <c r="K175" s="229" t="s">
        <v>231</v>
      </c>
      <c r="L175" s="229" t="s">
        <v>3128</v>
      </c>
    </row>
    <row r="176" spans="2:12">
      <c r="B176" s="229" t="s">
        <v>3129</v>
      </c>
      <c r="C176" s="229" t="s">
        <v>229</v>
      </c>
      <c r="D176" s="229" t="s">
        <v>3130</v>
      </c>
      <c r="E176" s="201" t="s">
        <v>422</v>
      </c>
      <c r="F176" s="201"/>
      <c r="G176" s="200" t="s">
        <v>3131</v>
      </c>
      <c r="H176" s="229"/>
      <c r="I176" s="229">
        <v>3000</v>
      </c>
      <c r="J176" s="201"/>
      <c r="K176" s="229" t="s">
        <v>231</v>
      </c>
      <c r="L176" s="229" t="s">
        <v>3132</v>
      </c>
    </row>
    <row r="177" spans="2:12">
      <c r="B177" s="229" t="s">
        <v>3133</v>
      </c>
      <c r="C177" s="229" t="s">
        <v>229</v>
      </c>
      <c r="D177" s="229" t="s">
        <v>3134</v>
      </c>
      <c r="E177" s="201" t="s">
        <v>422</v>
      </c>
      <c r="F177" s="201"/>
      <c r="G177" s="200" t="s">
        <v>3135</v>
      </c>
      <c r="H177" s="229"/>
      <c r="I177" s="229">
        <v>5000</v>
      </c>
      <c r="J177" s="201"/>
      <c r="K177" s="229" t="s">
        <v>231</v>
      </c>
      <c r="L177" s="229" t="s">
        <v>3136</v>
      </c>
    </row>
    <row r="178" spans="2:12">
      <c r="B178" s="229" t="s">
        <v>3137</v>
      </c>
      <c r="C178" s="229" t="s">
        <v>229</v>
      </c>
      <c r="D178" s="229" t="s">
        <v>3138</v>
      </c>
      <c r="E178" s="201" t="s">
        <v>422</v>
      </c>
      <c r="F178" s="201"/>
      <c r="G178" s="200" t="s">
        <v>3139</v>
      </c>
      <c r="H178" s="229"/>
      <c r="I178" s="229" t="s">
        <v>749</v>
      </c>
      <c r="J178" s="201"/>
      <c r="K178" s="229" t="s">
        <v>1754</v>
      </c>
      <c r="L178" s="229" t="s">
        <v>3140</v>
      </c>
    </row>
    <row r="179" spans="2:12">
      <c r="B179" s="229" t="s">
        <v>1691</v>
      </c>
      <c r="C179" s="229" t="s">
        <v>229</v>
      </c>
      <c r="D179" s="229" t="s">
        <v>1692</v>
      </c>
      <c r="E179" s="201" t="s">
        <v>422</v>
      </c>
      <c r="F179" s="201"/>
      <c r="G179" s="200" t="s">
        <v>3141</v>
      </c>
      <c r="H179" s="229"/>
      <c r="I179" s="229" t="s">
        <v>749</v>
      </c>
      <c r="J179" s="201"/>
      <c r="K179" s="229" t="s">
        <v>1754</v>
      </c>
      <c r="L179" s="229" t="s">
        <v>1694</v>
      </c>
    </row>
    <row r="180" spans="2:12">
      <c r="B180" s="229" t="s">
        <v>3142</v>
      </c>
      <c r="C180" s="229" t="s">
        <v>229</v>
      </c>
      <c r="D180" s="229" t="s">
        <v>3143</v>
      </c>
      <c r="E180" s="201" t="s">
        <v>422</v>
      </c>
      <c r="F180" s="201"/>
      <c r="G180" s="200" t="s">
        <v>3144</v>
      </c>
      <c r="H180" s="229"/>
      <c r="I180" s="229"/>
      <c r="J180" s="201"/>
      <c r="K180" s="229" t="s">
        <v>231</v>
      </c>
      <c r="L180" s="229" t="s">
        <v>3145</v>
      </c>
    </row>
    <row r="181" spans="2:12">
      <c r="B181" s="229" t="s">
        <v>3146</v>
      </c>
      <c r="C181" s="229" t="s">
        <v>229</v>
      </c>
      <c r="D181" s="229" t="s">
        <v>3147</v>
      </c>
      <c r="E181" s="201" t="s">
        <v>422</v>
      </c>
      <c r="F181" s="201"/>
      <c r="G181" s="200" t="s">
        <v>3148</v>
      </c>
      <c r="H181" s="229"/>
      <c r="I181" s="229">
        <v>50</v>
      </c>
      <c r="J181" s="201"/>
      <c r="K181" s="229" t="s">
        <v>231</v>
      </c>
      <c r="L181" s="229" t="s">
        <v>3149</v>
      </c>
    </row>
    <row r="182" spans="2:12">
      <c r="B182" s="229" t="s">
        <v>3150</v>
      </c>
      <c r="C182" s="229" t="s">
        <v>229</v>
      </c>
      <c r="D182" s="229" t="s">
        <v>3151</v>
      </c>
      <c r="E182" s="201" t="s">
        <v>422</v>
      </c>
      <c r="F182" s="201"/>
      <c r="G182" s="200" t="s">
        <v>3152</v>
      </c>
      <c r="H182" s="229"/>
      <c r="I182" s="229">
        <v>100</v>
      </c>
      <c r="J182" s="201"/>
      <c r="K182" s="229" t="s">
        <v>231</v>
      </c>
      <c r="L182" s="229" t="s">
        <v>3153</v>
      </c>
    </row>
    <row r="183" spans="2:12">
      <c r="B183" s="229" t="s">
        <v>3154</v>
      </c>
      <c r="C183" s="229" t="s">
        <v>229</v>
      </c>
      <c r="D183" s="229" t="s">
        <v>3155</v>
      </c>
      <c r="E183" s="201" t="s">
        <v>422</v>
      </c>
      <c r="F183" s="201"/>
      <c r="G183" s="200" t="s">
        <v>3156</v>
      </c>
      <c r="H183" s="229"/>
      <c r="I183" s="229">
        <v>150</v>
      </c>
      <c r="J183" s="201"/>
      <c r="K183" s="229" t="s">
        <v>231</v>
      </c>
      <c r="L183" s="229" t="s">
        <v>3157</v>
      </c>
    </row>
    <row r="184" spans="2:12">
      <c r="B184" s="229" t="s">
        <v>3158</v>
      </c>
      <c r="C184" s="229" t="s">
        <v>229</v>
      </c>
      <c r="D184" s="229" t="s">
        <v>3159</v>
      </c>
      <c r="E184" s="201" t="s">
        <v>422</v>
      </c>
      <c r="F184" s="201"/>
      <c r="G184" s="200" t="s">
        <v>3160</v>
      </c>
      <c r="H184" s="229"/>
      <c r="I184" s="229">
        <v>200</v>
      </c>
      <c r="J184" s="201"/>
      <c r="K184" s="229" t="s">
        <v>231</v>
      </c>
      <c r="L184" s="229" t="s">
        <v>2990</v>
      </c>
    </row>
    <row r="185" spans="2:12">
      <c r="B185" s="229" t="s">
        <v>3161</v>
      </c>
      <c r="C185" s="229" t="s">
        <v>229</v>
      </c>
      <c r="D185" s="229" t="s">
        <v>3162</v>
      </c>
      <c r="E185" s="201" t="s">
        <v>422</v>
      </c>
      <c r="F185" s="201"/>
      <c r="G185" s="200" t="s">
        <v>3163</v>
      </c>
      <c r="H185" s="229"/>
      <c r="I185" s="229" t="s">
        <v>749</v>
      </c>
      <c r="J185" s="201"/>
      <c r="K185" s="229" t="s">
        <v>231</v>
      </c>
      <c r="L185" s="229" t="s">
        <v>3164</v>
      </c>
    </row>
    <row r="186" spans="2:12">
      <c r="B186" s="229" t="s">
        <v>1695</v>
      </c>
      <c r="C186" s="229" t="s">
        <v>229</v>
      </c>
      <c r="D186" s="229" t="s">
        <v>1696</v>
      </c>
      <c r="E186" s="201" t="s">
        <v>422</v>
      </c>
      <c r="F186" s="201"/>
      <c r="G186" s="200" t="s">
        <v>3165</v>
      </c>
      <c r="H186" s="229"/>
      <c r="I186" s="229" t="s">
        <v>749</v>
      </c>
      <c r="J186" s="201"/>
      <c r="K186" s="229" t="s">
        <v>231</v>
      </c>
      <c r="L186" s="229" t="s">
        <v>1697</v>
      </c>
    </row>
    <row r="187" spans="2:12">
      <c r="B187" s="229" t="s">
        <v>3166</v>
      </c>
      <c r="C187" s="229" t="s">
        <v>229</v>
      </c>
      <c r="D187" s="229" t="s">
        <v>3167</v>
      </c>
      <c r="E187" s="201" t="s">
        <v>422</v>
      </c>
      <c r="F187" s="201"/>
      <c r="G187" s="200" t="s">
        <v>3168</v>
      </c>
      <c r="H187" s="229"/>
      <c r="I187" s="229"/>
      <c r="J187" s="201"/>
      <c r="K187" s="229" t="s">
        <v>231</v>
      </c>
      <c r="L187" s="229" t="s">
        <v>3169</v>
      </c>
    </row>
    <row r="188" spans="2:12">
      <c r="B188" s="229" t="s">
        <v>3170</v>
      </c>
      <c r="C188" s="229" t="s">
        <v>229</v>
      </c>
      <c r="D188" s="229" t="s">
        <v>3171</v>
      </c>
      <c r="E188" s="201" t="s">
        <v>422</v>
      </c>
      <c r="F188" s="201"/>
      <c r="G188" s="200" t="s">
        <v>3172</v>
      </c>
      <c r="H188" s="229"/>
      <c r="I188" s="229">
        <v>50</v>
      </c>
      <c r="J188" s="201"/>
      <c r="K188" s="229" t="s">
        <v>231</v>
      </c>
      <c r="L188" s="229" t="s">
        <v>3173</v>
      </c>
    </row>
    <row r="189" spans="2:12">
      <c r="B189" s="229" t="s">
        <v>3174</v>
      </c>
      <c r="C189" s="229" t="s">
        <v>229</v>
      </c>
      <c r="D189" s="229" t="s">
        <v>3175</v>
      </c>
      <c r="E189" s="201" t="s">
        <v>422</v>
      </c>
      <c r="F189" s="201"/>
      <c r="G189" s="200" t="s">
        <v>3176</v>
      </c>
      <c r="H189" s="229"/>
      <c r="I189" s="229">
        <v>100</v>
      </c>
      <c r="J189" s="201"/>
      <c r="K189" s="229" t="s">
        <v>231</v>
      </c>
      <c r="L189" s="229" t="s">
        <v>3177</v>
      </c>
    </row>
    <row r="190" spans="2:12">
      <c r="B190" s="229" t="s">
        <v>3178</v>
      </c>
      <c r="C190" s="229" t="s">
        <v>229</v>
      </c>
      <c r="D190" s="229" t="s">
        <v>3179</v>
      </c>
      <c r="E190" s="201" t="s">
        <v>422</v>
      </c>
      <c r="F190" s="201"/>
      <c r="G190" s="200" t="s">
        <v>3180</v>
      </c>
      <c r="H190" s="229"/>
      <c r="I190" s="229">
        <v>150</v>
      </c>
      <c r="J190" s="201"/>
      <c r="K190" s="229" t="s">
        <v>231</v>
      </c>
      <c r="L190" s="229" t="s">
        <v>3181</v>
      </c>
    </row>
    <row r="191" spans="2:12">
      <c r="B191" s="229" t="s">
        <v>3182</v>
      </c>
      <c r="C191" s="229" t="s">
        <v>229</v>
      </c>
      <c r="D191" s="229" t="s">
        <v>3183</v>
      </c>
      <c r="E191" s="201" t="s">
        <v>422</v>
      </c>
      <c r="F191" s="201"/>
      <c r="G191" s="200" t="s">
        <v>3184</v>
      </c>
      <c r="H191" s="229"/>
      <c r="I191" s="229">
        <v>200</v>
      </c>
      <c r="J191" s="201"/>
      <c r="K191" s="229" t="s">
        <v>231</v>
      </c>
      <c r="L191" s="229" t="s">
        <v>3185</v>
      </c>
    </row>
    <row r="192" spans="2:12">
      <c r="B192" s="229" t="s">
        <v>3186</v>
      </c>
      <c r="C192" s="229" t="s">
        <v>229</v>
      </c>
      <c r="D192" s="229" t="s">
        <v>3187</v>
      </c>
      <c r="E192" s="201" t="s">
        <v>422</v>
      </c>
      <c r="F192" s="201"/>
      <c r="G192" s="200" t="s">
        <v>3188</v>
      </c>
      <c r="H192" s="229"/>
      <c r="I192" s="229" t="s">
        <v>749</v>
      </c>
      <c r="J192" s="201"/>
      <c r="K192" s="229" t="s">
        <v>1754</v>
      </c>
      <c r="L192" s="229" t="s">
        <v>3189</v>
      </c>
    </row>
    <row r="193" spans="2:12">
      <c r="B193" s="229" t="s">
        <v>1698</v>
      </c>
      <c r="C193" s="229" t="s">
        <v>229</v>
      </c>
      <c r="D193" s="229" t="s">
        <v>1699</v>
      </c>
      <c r="E193" s="201" t="s">
        <v>422</v>
      </c>
      <c r="F193" s="201"/>
      <c r="G193" s="200" t="s">
        <v>3190</v>
      </c>
      <c r="H193" s="229"/>
      <c r="I193" s="229" t="s">
        <v>749</v>
      </c>
      <c r="J193" s="201"/>
      <c r="K193" s="229" t="s">
        <v>1754</v>
      </c>
      <c r="L193" s="229" t="s">
        <v>1700</v>
      </c>
    </row>
    <row r="194" spans="2:12">
      <c r="B194" s="229" t="s">
        <v>3191</v>
      </c>
      <c r="C194" s="229" t="s">
        <v>229</v>
      </c>
      <c r="D194" s="229" t="s">
        <v>3192</v>
      </c>
      <c r="E194" s="201" t="s">
        <v>422</v>
      </c>
      <c r="F194" s="201"/>
      <c r="G194" s="200" t="s">
        <v>3193</v>
      </c>
      <c r="H194" s="229"/>
      <c r="I194" s="229"/>
      <c r="J194" s="201"/>
      <c r="K194" s="229" t="s">
        <v>231</v>
      </c>
      <c r="L194" s="229" t="s">
        <v>1552</v>
      </c>
    </row>
    <row r="195" spans="2:12">
      <c r="B195" s="229" t="s">
        <v>3194</v>
      </c>
      <c r="C195" s="229" t="s">
        <v>229</v>
      </c>
      <c r="D195" s="229" t="s">
        <v>3195</v>
      </c>
      <c r="E195" s="201" t="s">
        <v>422</v>
      </c>
      <c r="F195" s="201"/>
      <c r="G195" s="200" t="s">
        <v>3196</v>
      </c>
      <c r="H195" s="229"/>
      <c r="I195" s="229">
        <v>50</v>
      </c>
      <c r="J195" s="201"/>
      <c r="K195" s="229" t="s">
        <v>231</v>
      </c>
      <c r="L195" s="229" t="s">
        <v>1552</v>
      </c>
    </row>
    <row r="196" spans="2:12">
      <c r="B196" s="229" t="s">
        <v>3197</v>
      </c>
      <c r="C196" s="229" t="s">
        <v>229</v>
      </c>
      <c r="D196" s="229" t="s">
        <v>3198</v>
      </c>
      <c r="E196" s="201" t="s">
        <v>422</v>
      </c>
      <c r="F196" s="201"/>
      <c r="G196" s="200" t="s">
        <v>3199</v>
      </c>
      <c r="H196" s="229"/>
      <c r="I196" s="229">
        <v>100</v>
      </c>
      <c r="J196" s="201"/>
      <c r="K196" s="229" t="s">
        <v>231</v>
      </c>
      <c r="L196" s="229" t="s">
        <v>1552</v>
      </c>
    </row>
    <row r="197" spans="2:12">
      <c r="B197" s="229" t="s">
        <v>3200</v>
      </c>
      <c r="C197" s="229" t="s">
        <v>229</v>
      </c>
      <c r="D197" s="229" t="s">
        <v>3201</v>
      </c>
      <c r="E197" s="201" t="s">
        <v>422</v>
      </c>
      <c r="F197" s="201"/>
      <c r="G197" s="200" t="s">
        <v>3202</v>
      </c>
      <c r="H197" s="229"/>
      <c r="I197" s="229">
        <v>150</v>
      </c>
      <c r="J197" s="201"/>
      <c r="K197" s="229" t="s">
        <v>231</v>
      </c>
      <c r="L197" s="229" t="s">
        <v>1552</v>
      </c>
    </row>
    <row r="198" spans="2:12">
      <c r="B198" s="229" t="s">
        <v>3203</v>
      </c>
      <c r="C198" s="229" t="s">
        <v>229</v>
      </c>
      <c r="D198" s="229" t="s">
        <v>3204</v>
      </c>
      <c r="E198" s="201" t="s">
        <v>422</v>
      </c>
      <c r="F198" s="201"/>
      <c r="G198" s="200" t="s">
        <v>3205</v>
      </c>
      <c r="H198" s="229"/>
      <c r="I198" s="229">
        <v>200</v>
      </c>
      <c r="J198" s="201"/>
      <c r="K198" s="229" t="s">
        <v>231</v>
      </c>
      <c r="L198" s="229" t="s">
        <v>1552</v>
      </c>
    </row>
    <row r="199" spans="2:12">
      <c r="B199" s="229" t="s">
        <v>3206</v>
      </c>
      <c r="C199" s="229" t="s">
        <v>229</v>
      </c>
      <c r="D199" s="229" t="s">
        <v>3207</v>
      </c>
      <c r="E199" s="201" t="s">
        <v>422</v>
      </c>
      <c r="F199" s="201"/>
      <c r="G199" s="200" t="s">
        <v>3208</v>
      </c>
      <c r="H199" s="229"/>
      <c r="I199" s="229" t="s">
        <v>749</v>
      </c>
      <c r="J199" s="201"/>
      <c r="K199" s="229" t="s">
        <v>231</v>
      </c>
      <c r="L199" s="229" t="s">
        <v>3209</v>
      </c>
    </row>
    <row r="200" spans="2:12">
      <c r="B200" s="229" t="s">
        <v>1701</v>
      </c>
      <c r="C200" s="229" t="s">
        <v>229</v>
      </c>
      <c r="D200" s="229" t="s">
        <v>1702</v>
      </c>
      <c r="E200" s="201" t="s">
        <v>422</v>
      </c>
      <c r="F200" s="201"/>
      <c r="G200" s="200" t="s">
        <v>3210</v>
      </c>
      <c r="H200" s="229"/>
      <c r="I200" s="229" t="s">
        <v>749</v>
      </c>
      <c r="J200" s="201"/>
      <c r="K200" s="229" t="s">
        <v>231</v>
      </c>
      <c r="L200" s="229" t="s">
        <v>1703</v>
      </c>
    </row>
    <row r="201" spans="2:12">
      <c r="B201" s="229" t="s">
        <v>3211</v>
      </c>
      <c r="C201" s="229" t="s">
        <v>229</v>
      </c>
      <c r="D201" s="229" t="s">
        <v>3212</v>
      </c>
      <c r="E201" s="201" t="s">
        <v>422</v>
      </c>
      <c r="F201" s="201"/>
      <c r="G201" s="200" t="s">
        <v>3213</v>
      </c>
      <c r="H201" s="229"/>
      <c r="I201" s="229"/>
      <c r="J201" s="201"/>
      <c r="K201" s="229" t="s">
        <v>231</v>
      </c>
      <c r="L201" s="229" t="s">
        <v>3214</v>
      </c>
    </row>
    <row r="202" spans="2:12">
      <c r="B202" s="229" t="s">
        <v>3215</v>
      </c>
      <c r="C202" s="229" t="s">
        <v>229</v>
      </c>
      <c r="D202" s="229" t="s">
        <v>3216</v>
      </c>
      <c r="E202" s="201" t="s">
        <v>422</v>
      </c>
      <c r="F202" s="201"/>
      <c r="G202" s="200" t="s">
        <v>3217</v>
      </c>
      <c r="H202" s="229"/>
      <c r="I202" s="229">
        <v>500</v>
      </c>
      <c r="J202" s="201"/>
      <c r="K202" s="229" t="s">
        <v>231</v>
      </c>
      <c r="L202" s="229" t="s">
        <v>3218</v>
      </c>
    </row>
    <row r="203" spans="2:12">
      <c r="B203" s="229" t="s">
        <v>3219</v>
      </c>
      <c r="C203" s="229" t="s">
        <v>229</v>
      </c>
      <c r="D203" s="229" t="s">
        <v>3220</v>
      </c>
      <c r="E203" s="201" t="s">
        <v>422</v>
      </c>
      <c r="F203" s="201"/>
      <c r="G203" s="200" t="s">
        <v>3221</v>
      </c>
      <c r="H203" s="229"/>
      <c r="I203" s="229">
        <v>1000</v>
      </c>
      <c r="J203" s="201"/>
      <c r="K203" s="229" t="s">
        <v>231</v>
      </c>
      <c r="L203" s="229" t="s">
        <v>3100</v>
      </c>
    </row>
    <row r="204" spans="2:12">
      <c r="B204" s="229" t="s">
        <v>3222</v>
      </c>
      <c r="C204" s="229" t="s">
        <v>229</v>
      </c>
      <c r="D204" s="229" t="s">
        <v>3223</v>
      </c>
      <c r="E204" s="201" t="s">
        <v>422</v>
      </c>
      <c r="F204" s="201"/>
      <c r="G204" s="200" t="s">
        <v>3224</v>
      </c>
      <c r="H204" s="229"/>
      <c r="I204" s="229">
        <v>1500</v>
      </c>
      <c r="J204" s="201"/>
      <c r="K204" s="229" t="s">
        <v>231</v>
      </c>
      <c r="L204" s="229" t="s">
        <v>3104</v>
      </c>
    </row>
    <row r="205" spans="2:12">
      <c r="B205" s="229" t="s">
        <v>3225</v>
      </c>
      <c r="C205" s="229" t="s">
        <v>229</v>
      </c>
      <c r="D205" s="229" t="s">
        <v>3226</v>
      </c>
      <c r="E205" s="201" t="s">
        <v>422</v>
      </c>
      <c r="F205" s="201"/>
      <c r="G205" s="200" t="s">
        <v>3227</v>
      </c>
      <c r="H205" s="229"/>
      <c r="I205" s="229">
        <v>2000</v>
      </c>
      <c r="J205" s="201"/>
      <c r="K205" s="229" t="s">
        <v>231</v>
      </c>
      <c r="L205" s="229" t="s">
        <v>3108</v>
      </c>
    </row>
    <row r="206" spans="2:12">
      <c r="B206" s="229" t="s">
        <v>3228</v>
      </c>
      <c r="C206" s="229" t="s">
        <v>229</v>
      </c>
      <c r="D206" s="229" t="s">
        <v>3229</v>
      </c>
      <c r="E206" s="201" t="s">
        <v>422</v>
      </c>
      <c r="F206" s="201"/>
      <c r="G206" s="200" t="s">
        <v>3230</v>
      </c>
      <c r="H206" s="229"/>
      <c r="I206" s="229" t="s">
        <v>749</v>
      </c>
      <c r="J206" s="201"/>
      <c r="K206" s="229" t="s">
        <v>231</v>
      </c>
      <c r="L206" s="229" t="s">
        <v>3231</v>
      </c>
    </row>
    <row r="207" spans="2:12">
      <c r="B207" s="229" t="s">
        <v>1704</v>
      </c>
      <c r="C207" s="229" t="s">
        <v>229</v>
      </c>
      <c r="D207" s="229" t="s">
        <v>1705</v>
      </c>
      <c r="E207" s="201" t="s">
        <v>422</v>
      </c>
      <c r="F207" s="201"/>
      <c r="G207" s="200" t="s">
        <v>3232</v>
      </c>
      <c r="H207" s="229"/>
      <c r="I207" s="229" t="s">
        <v>749</v>
      </c>
      <c r="J207" s="201"/>
      <c r="K207" s="229" t="s">
        <v>231</v>
      </c>
      <c r="L207" s="229" t="s">
        <v>1706</v>
      </c>
    </row>
    <row r="208" spans="2:12">
      <c r="B208" s="229" t="s">
        <v>3233</v>
      </c>
      <c r="C208" s="229" t="s">
        <v>229</v>
      </c>
      <c r="D208" s="229" t="s">
        <v>3234</v>
      </c>
      <c r="E208" s="201" t="s">
        <v>422</v>
      </c>
      <c r="F208" s="201"/>
      <c r="G208" s="200" t="s">
        <v>3235</v>
      </c>
      <c r="H208" s="229"/>
      <c r="I208" s="229"/>
      <c r="J208" s="201"/>
      <c r="K208" s="229" t="s">
        <v>231</v>
      </c>
      <c r="L208" s="229" t="s">
        <v>3236</v>
      </c>
    </row>
    <row r="209" spans="2:12">
      <c r="B209" s="229" t="s">
        <v>3237</v>
      </c>
      <c r="C209" s="229" t="s">
        <v>229</v>
      </c>
      <c r="D209" s="229" t="s">
        <v>3238</v>
      </c>
      <c r="E209" s="201" t="s">
        <v>422</v>
      </c>
      <c r="F209" s="201"/>
      <c r="G209" s="200" t="s">
        <v>3239</v>
      </c>
      <c r="H209" s="229"/>
      <c r="I209" s="229">
        <v>500</v>
      </c>
      <c r="J209" s="201"/>
      <c r="K209" s="229" t="s">
        <v>231</v>
      </c>
      <c r="L209" s="229" t="s">
        <v>3240</v>
      </c>
    </row>
    <row r="210" spans="2:12">
      <c r="B210" s="229" t="s">
        <v>3241</v>
      </c>
      <c r="C210" s="229" t="s">
        <v>229</v>
      </c>
      <c r="D210" s="229" t="s">
        <v>3242</v>
      </c>
      <c r="E210" s="201" t="s">
        <v>422</v>
      </c>
      <c r="F210" s="201"/>
      <c r="G210" s="200" t="s">
        <v>3243</v>
      </c>
      <c r="H210" s="229"/>
      <c r="I210" s="229">
        <v>1000</v>
      </c>
      <c r="J210" s="201"/>
      <c r="K210" s="229" t="s">
        <v>231</v>
      </c>
      <c r="L210" s="229" t="s">
        <v>3244</v>
      </c>
    </row>
    <row r="211" spans="2:12">
      <c r="B211" s="229" t="s">
        <v>3245</v>
      </c>
      <c r="C211" s="229" t="s">
        <v>229</v>
      </c>
      <c r="D211" s="229" t="s">
        <v>3246</v>
      </c>
      <c r="E211" s="201" t="s">
        <v>422</v>
      </c>
      <c r="F211" s="201"/>
      <c r="G211" s="200" t="s">
        <v>3247</v>
      </c>
      <c r="H211" s="229"/>
      <c r="I211" s="229">
        <v>1500</v>
      </c>
      <c r="J211" s="201"/>
      <c r="K211" s="229" t="s">
        <v>231</v>
      </c>
      <c r="L211" s="229" t="s">
        <v>3248</v>
      </c>
    </row>
    <row r="212" spans="2:12">
      <c r="B212" s="229" t="s">
        <v>3249</v>
      </c>
      <c r="C212" s="229" t="s">
        <v>229</v>
      </c>
      <c r="D212" s="229" t="s">
        <v>3250</v>
      </c>
      <c r="E212" s="201" t="s">
        <v>422</v>
      </c>
      <c r="F212" s="201"/>
      <c r="G212" s="200" t="s">
        <v>3251</v>
      </c>
      <c r="H212" s="229"/>
      <c r="I212" s="229">
        <v>2000</v>
      </c>
      <c r="J212" s="201"/>
      <c r="K212" s="229" t="s">
        <v>231</v>
      </c>
      <c r="L212" s="229" t="s">
        <v>3252</v>
      </c>
    </row>
    <row r="213" spans="2:12">
      <c r="B213" s="229" t="s">
        <v>3253</v>
      </c>
      <c r="C213" s="229" t="s">
        <v>229</v>
      </c>
      <c r="D213" s="229" t="s">
        <v>3254</v>
      </c>
      <c r="E213" s="201" t="s">
        <v>422</v>
      </c>
      <c r="F213" s="201"/>
      <c r="G213" s="200" t="s">
        <v>3255</v>
      </c>
      <c r="H213" s="229"/>
      <c r="I213" s="229" t="s">
        <v>749</v>
      </c>
      <c r="J213" s="201"/>
      <c r="K213" s="229" t="s">
        <v>231</v>
      </c>
      <c r="L213" s="229" t="s">
        <v>3256</v>
      </c>
    </row>
    <row r="214" spans="2:12">
      <c r="B214" s="229" t="s">
        <v>1707</v>
      </c>
      <c r="C214" s="229" t="s">
        <v>229</v>
      </c>
      <c r="D214" s="229" t="s">
        <v>1708</v>
      </c>
      <c r="E214" s="201" t="s">
        <v>422</v>
      </c>
      <c r="F214" s="201"/>
      <c r="G214" s="200" t="s">
        <v>3257</v>
      </c>
      <c r="H214" s="229"/>
      <c r="I214" s="229" t="s">
        <v>749</v>
      </c>
      <c r="J214" s="201"/>
      <c r="K214" s="229" t="s">
        <v>231</v>
      </c>
      <c r="L214" s="229" t="s">
        <v>1706</v>
      </c>
    </row>
    <row r="215" spans="2:12">
      <c r="B215" s="229" t="s">
        <v>3258</v>
      </c>
      <c r="C215" s="229" t="s">
        <v>229</v>
      </c>
      <c r="D215" s="229" t="s">
        <v>3259</v>
      </c>
      <c r="E215" s="201" t="s">
        <v>422</v>
      </c>
      <c r="F215" s="201"/>
      <c r="G215" s="200" t="s">
        <v>3260</v>
      </c>
      <c r="H215" s="229"/>
      <c r="I215" s="229"/>
      <c r="J215" s="201"/>
      <c r="K215" s="229" t="s">
        <v>231</v>
      </c>
      <c r="L215" s="229" t="s">
        <v>3261</v>
      </c>
    </row>
    <row r="216" spans="2:12">
      <c r="B216" s="229" t="s">
        <v>3262</v>
      </c>
      <c r="C216" s="229" t="s">
        <v>229</v>
      </c>
      <c r="D216" s="229" t="s">
        <v>3263</v>
      </c>
      <c r="E216" s="201" t="s">
        <v>422</v>
      </c>
      <c r="F216" s="201"/>
      <c r="G216" s="200" t="s">
        <v>3264</v>
      </c>
      <c r="H216" s="229"/>
      <c r="I216" s="229">
        <v>500</v>
      </c>
      <c r="J216" s="201"/>
      <c r="K216" s="229" t="s">
        <v>231</v>
      </c>
      <c r="L216" s="229" t="s">
        <v>3265</v>
      </c>
    </row>
    <row r="217" spans="2:12">
      <c r="B217" s="229" t="s">
        <v>3266</v>
      </c>
      <c r="C217" s="229" t="s">
        <v>229</v>
      </c>
      <c r="D217" s="229" t="s">
        <v>3267</v>
      </c>
      <c r="E217" s="201" t="s">
        <v>422</v>
      </c>
      <c r="F217" s="201"/>
      <c r="G217" s="200" t="s">
        <v>3268</v>
      </c>
      <c r="H217" s="229"/>
      <c r="I217" s="229">
        <v>1000</v>
      </c>
      <c r="J217" s="201"/>
      <c r="K217" s="229" t="s">
        <v>231</v>
      </c>
      <c r="L217" s="229" t="s">
        <v>3269</v>
      </c>
    </row>
    <row r="218" spans="2:12">
      <c r="B218" s="229" t="s">
        <v>3270</v>
      </c>
      <c r="C218" s="229" t="s">
        <v>229</v>
      </c>
      <c r="D218" s="229" t="s">
        <v>3271</v>
      </c>
      <c r="E218" s="201" t="s">
        <v>422</v>
      </c>
      <c r="F218" s="201"/>
      <c r="G218" s="200" t="s">
        <v>3272</v>
      </c>
      <c r="H218" s="229"/>
      <c r="I218" s="229">
        <v>1500</v>
      </c>
      <c r="J218" s="201"/>
      <c r="K218" s="229" t="s">
        <v>231</v>
      </c>
      <c r="L218" s="229" t="s">
        <v>3273</v>
      </c>
    </row>
    <row r="219" spans="2:12">
      <c r="B219" s="229" t="s">
        <v>3274</v>
      </c>
      <c r="C219" s="229" t="s">
        <v>229</v>
      </c>
      <c r="D219" s="229" t="s">
        <v>3275</v>
      </c>
      <c r="E219" s="201" t="s">
        <v>422</v>
      </c>
      <c r="F219" s="201"/>
      <c r="G219" s="200" t="s">
        <v>3276</v>
      </c>
      <c r="H219" s="229"/>
      <c r="I219" s="229">
        <v>2000</v>
      </c>
      <c r="J219" s="201"/>
      <c r="K219" s="229" t="s">
        <v>231</v>
      </c>
      <c r="L219" s="229" t="s">
        <v>3277</v>
      </c>
    </row>
    <row r="220" spans="2:12">
      <c r="B220" s="229" t="s">
        <v>3278</v>
      </c>
      <c r="C220" s="229" t="s">
        <v>229</v>
      </c>
      <c r="D220" s="229" t="s">
        <v>3279</v>
      </c>
      <c r="E220" s="201" t="s">
        <v>422</v>
      </c>
      <c r="F220" s="201"/>
      <c r="G220" s="200" t="s">
        <v>3280</v>
      </c>
      <c r="H220" s="229"/>
      <c r="I220" s="229" t="s">
        <v>749</v>
      </c>
      <c r="J220" s="201"/>
      <c r="K220" s="229" t="s">
        <v>231</v>
      </c>
      <c r="L220" s="229" t="s">
        <v>3281</v>
      </c>
    </row>
    <row r="221" spans="2:12">
      <c r="B221" s="229" t="s">
        <v>1709</v>
      </c>
      <c r="C221" s="229" t="s">
        <v>229</v>
      </c>
      <c r="D221" s="229" t="s">
        <v>1710</v>
      </c>
      <c r="E221" s="201" t="s">
        <v>422</v>
      </c>
      <c r="F221" s="201"/>
      <c r="G221" s="200" t="s">
        <v>3282</v>
      </c>
      <c r="H221" s="229"/>
      <c r="I221" s="229" t="s">
        <v>749</v>
      </c>
      <c r="J221" s="201"/>
      <c r="K221" s="229" t="s">
        <v>231</v>
      </c>
      <c r="L221" s="229" t="s">
        <v>1711</v>
      </c>
    </row>
    <row r="222" spans="2:12">
      <c r="B222" s="229" t="s">
        <v>3283</v>
      </c>
      <c r="C222" s="229" t="s">
        <v>229</v>
      </c>
      <c r="D222" s="229" t="s">
        <v>3284</v>
      </c>
      <c r="E222" s="201" t="s">
        <v>422</v>
      </c>
      <c r="F222" s="201"/>
      <c r="G222" s="200" t="s">
        <v>3285</v>
      </c>
      <c r="H222" s="229"/>
      <c r="I222" s="229"/>
      <c r="J222" s="201"/>
      <c r="K222" s="229" t="s">
        <v>231</v>
      </c>
      <c r="L222" s="229" t="s">
        <v>3286</v>
      </c>
    </row>
    <row r="223" spans="2:12">
      <c r="B223" s="229" t="s">
        <v>3287</v>
      </c>
      <c r="C223" s="229" t="s">
        <v>229</v>
      </c>
      <c r="D223" s="229" t="s">
        <v>3288</v>
      </c>
      <c r="E223" s="201" t="s">
        <v>422</v>
      </c>
      <c r="F223" s="201"/>
      <c r="G223" s="200" t="s">
        <v>3289</v>
      </c>
      <c r="H223" s="229"/>
      <c r="I223" s="229">
        <v>50</v>
      </c>
      <c r="J223" s="201"/>
      <c r="K223" s="229" t="s">
        <v>231</v>
      </c>
      <c r="L223" s="229" t="s">
        <v>3290</v>
      </c>
    </row>
    <row r="224" spans="2:12">
      <c r="B224" s="229" t="s">
        <v>3291</v>
      </c>
      <c r="C224" s="229" t="s">
        <v>229</v>
      </c>
      <c r="D224" s="229" t="s">
        <v>3292</v>
      </c>
      <c r="E224" s="201" t="s">
        <v>422</v>
      </c>
      <c r="F224" s="201"/>
      <c r="G224" s="200" t="s">
        <v>3293</v>
      </c>
      <c r="H224" s="229"/>
      <c r="I224" s="229">
        <v>100</v>
      </c>
      <c r="J224" s="201"/>
      <c r="K224" s="229" t="s">
        <v>231</v>
      </c>
      <c r="L224" s="229" t="s">
        <v>3294</v>
      </c>
    </row>
    <row r="225" spans="2:12">
      <c r="B225" s="229" t="s">
        <v>3295</v>
      </c>
      <c r="C225" s="229" t="s">
        <v>229</v>
      </c>
      <c r="D225" s="229" t="s">
        <v>3296</v>
      </c>
      <c r="E225" s="201" t="s">
        <v>422</v>
      </c>
      <c r="F225" s="201"/>
      <c r="G225" s="200" t="s">
        <v>3297</v>
      </c>
      <c r="H225" s="229"/>
      <c r="I225" s="229">
        <v>150</v>
      </c>
      <c r="J225" s="201"/>
      <c r="K225" s="229" t="s">
        <v>231</v>
      </c>
      <c r="L225" s="229" t="s">
        <v>3298</v>
      </c>
    </row>
    <row r="226" spans="2:12">
      <c r="B226" s="229" t="s">
        <v>3299</v>
      </c>
      <c r="C226" s="229" t="s">
        <v>229</v>
      </c>
      <c r="D226" s="229" t="s">
        <v>3300</v>
      </c>
      <c r="E226" s="201" t="s">
        <v>422</v>
      </c>
      <c r="F226" s="201"/>
      <c r="G226" s="200" t="s">
        <v>3301</v>
      </c>
      <c r="H226" s="229"/>
      <c r="I226" s="229">
        <v>200</v>
      </c>
      <c r="J226" s="201"/>
      <c r="K226" s="229" t="s">
        <v>231</v>
      </c>
      <c r="L226" s="229" t="s">
        <v>3302</v>
      </c>
    </row>
    <row r="227" spans="2:12">
      <c r="B227" s="229" t="s">
        <v>3303</v>
      </c>
      <c r="C227" s="229" t="s">
        <v>229</v>
      </c>
      <c r="D227" s="229" t="s">
        <v>3304</v>
      </c>
      <c r="E227" s="201" t="s">
        <v>422</v>
      </c>
      <c r="F227" s="201"/>
      <c r="G227" s="200" t="s">
        <v>3305</v>
      </c>
      <c r="H227" s="229"/>
      <c r="I227" s="229" t="s">
        <v>749</v>
      </c>
      <c r="J227" s="201"/>
      <c r="K227" s="229" t="s">
        <v>1754</v>
      </c>
      <c r="L227" s="229" t="s">
        <v>3306</v>
      </c>
    </row>
    <row r="228" spans="2:12">
      <c r="B228" s="229" t="s">
        <v>3307</v>
      </c>
      <c r="C228" s="229" t="s">
        <v>229</v>
      </c>
      <c r="D228" s="229" t="s">
        <v>1713</v>
      </c>
      <c r="E228" s="201" t="s">
        <v>422</v>
      </c>
      <c r="F228" s="201"/>
      <c r="G228" s="200" t="s">
        <v>3308</v>
      </c>
      <c r="H228" s="229"/>
      <c r="I228" s="229" t="s">
        <v>749</v>
      </c>
      <c r="J228" s="201"/>
      <c r="K228" s="229" t="s">
        <v>1754</v>
      </c>
      <c r="L228" s="229" t="s">
        <v>1714</v>
      </c>
    </row>
    <row r="229" spans="2:12">
      <c r="B229" s="229" t="s">
        <v>3309</v>
      </c>
      <c r="C229" s="229" t="s">
        <v>229</v>
      </c>
      <c r="D229" s="229" t="s">
        <v>3310</v>
      </c>
      <c r="E229" s="201" t="s">
        <v>422</v>
      </c>
      <c r="F229" s="201"/>
      <c r="G229" s="200" t="s">
        <v>3311</v>
      </c>
      <c r="H229" s="229"/>
      <c r="I229" s="229"/>
      <c r="J229" s="201"/>
      <c r="K229" s="229" t="s">
        <v>231</v>
      </c>
      <c r="L229" s="229" t="s">
        <v>1826</v>
      </c>
    </row>
    <row r="230" spans="2:12">
      <c r="B230" s="229" t="s">
        <v>3312</v>
      </c>
      <c r="C230" s="229" t="s">
        <v>229</v>
      </c>
      <c r="D230" s="229" t="s">
        <v>3313</v>
      </c>
      <c r="E230" s="201" t="s">
        <v>422</v>
      </c>
      <c r="F230" s="201"/>
      <c r="G230" s="200" t="s">
        <v>3311</v>
      </c>
      <c r="H230" s="229"/>
      <c r="I230" s="229">
        <v>50</v>
      </c>
      <c r="J230" s="201"/>
      <c r="K230" s="229" t="s">
        <v>231</v>
      </c>
      <c r="L230" s="229" t="s">
        <v>2811</v>
      </c>
    </row>
    <row r="231" spans="2:12">
      <c r="B231" s="229" t="s">
        <v>3314</v>
      </c>
      <c r="C231" s="229" t="s">
        <v>229</v>
      </c>
      <c r="D231" s="229" t="s">
        <v>3315</v>
      </c>
      <c r="E231" s="201" t="s">
        <v>422</v>
      </c>
      <c r="F231" s="201"/>
      <c r="G231" s="200" t="s">
        <v>3311</v>
      </c>
      <c r="H231" s="229"/>
      <c r="I231" s="229">
        <v>100</v>
      </c>
      <c r="J231" s="201"/>
      <c r="K231" s="229" t="s">
        <v>231</v>
      </c>
      <c r="L231" s="229" t="s">
        <v>3316</v>
      </c>
    </row>
    <row r="232" spans="2:12">
      <c r="B232" s="229" t="s">
        <v>3317</v>
      </c>
      <c r="C232" s="229" t="s">
        <v>229</v>
      </c>
      <c r="D232" s="229" t="s">
        <v>3318</v>
      </c>
      <c r="E232" s="201" t="s">
        <v>422</v>
      </c>
      <c r="F232" s="201"/>
      <c r="G232" s="200" t="s">
        <v>3311</v>
      </c>
      <c r="H232" s="229"/>
      <c r="I232" s="229">
        <v>150</v>
      </c>
      <c r="J232" s="201"/>
      <c r="K232" s="229" t="s">
        <v>231</v>
      </c>
      <c r="L232" s="229" t="s">
        <v>3319</v>
      </c>
    </row>
    <row r="233" spans="2:12">
      <c r="B233" s="229" t="s">
        <v>3320</v>
      </c>
      <c r="C233" s="229" t="s">
        <v>229</v>
      </c>
      <c r="D233" s="229" t="s">
        <v>3321</v>
      </c>
      <c r="E233" s="201" t="s">
        <v>422</v>
      </c>
      <c r="F233" s="201"/>
      <c r="G233" s="200" t="s">
        <v>3311</v>
      </c>
      <c r="H233" s="229"/>
      <c r="I233" s="229">
        <v>200</v>
      </c>
      <c r="J233" s="201"/>
      <c r="K233" s="229" t="s">
        <v>231</v>
      </c>
      <c r="L233" s="229" t="s">
        <v>3322</v>
      </c>
    </row>
    <row r="234" spans="2:12">
      <c r="B234" s="229" t="s">
        <v>3323</v>
      </c>
      <c r="C234" s="229" t="s">
        <v>229</v>
      </c>
      <c r="D234" s="229" t="s">
        <v>3324</v>
      </c>
      <c r="E234" s="201" t="s">
        <v>422</v>
      </c>
      <c r="F234" s="201"/>
      <c r="G234" s="200" t="s">
        <v>3325</v>
      </c>
      <c r="H234" s="229"/>
      <c r="I234" s="229" t="s">
        <v>749</v>
      </c>
      <c r="J234" s="201"/>
      <c r="K234" s="229" t="s">
        <v>1754</v>
      </c>
      <c r="L234" s="229" t="s">
        <v>3326</v>
      </c>
    </row>
    <row r="235" spans="2:12">
      <c r="B235" s="229" t="s">
        <v>3327</v>
      </c>
      <c r="C235" s="229" t="s">
        <v>229</v>
      </c>
      <c r="D235" s="229" t="s">
        <v>3328</v>
      </c>
      <c r="E235" s="201" t="s">
        <v>422</v>
      </c>
      <c r="F235" s="201"/>
      <c r="G235" s="200" t="s">
        <v>1953</v>
      </c>
      <c r="H235" s="229"/>
      <c r="I235" s="229" t="s">
        <v>749</v>
      </c>
      <c r="J235" s="201"/>
      <c r="K235" s="229" t="s">
        <v>1754</v>
      </c>
      <c r="L235" s="229" t="s">
        <v>3329</v>
      </c>
    </row>
    <row r="236" spans="2:12">
      <c r="B236" s="229" t="s">
        <v>3330</v>
      </c>
      <c r="C236" s="229" t="s">
        <v>229</v>
      </c>
      <c r="D236" s="229" t="s">
        <v>3331</v>
      </c>
      <c r="E236" s="201" t="s">
        <v>422</v>
      </c>
      <c r="F236" s="201"/>
      <c r="G236" s="200" t="s">
        <v>3332</v>
      </c>
      <c r="H236" s="229"/>
      <c r="I236" s="229"/>
      <c r="J236" s="201"/>
      <c r="K236" s="229" t="s">
        <v>231</v>
      </c>
      <c r="L236" s="229" t="s">
        <v>3333</v>
      </c>
    </row>
    <row r="237" spans="2:12">
      <c r="B237" s="229" t="s">
        <v>3334</v>
      </c>
      <c r="C237" s="229" t="s">
        <v>229</v>
      </c>
      <c r="D237" s="229" t="s">
        <v>3335</v>
      </c>
      <c r="E237" s="201" t="s">
        <v>422</v>
      </c>
      <c r="F237" s="201"/>
      <c r="G237" s="200" t="s">
        <v>3332</v>
      </c>
      <c r="H237" s="229"/>
      <c r="I237" s="229">
        <v>100</v>
      </c>
      <c r="J237" s="201"/>
      <c r="K237" s="229" t="s">
        <v>231</v>
      </c>
      <c r="L237" s="229" t="s">
        <v>3336</v>
      </c>
    </row>
    <row r="238" spans="2:12">
      <c r="B238" s="229" t="s">
        <v>3337</v>
      </c>
      <c r="C238" s="229" t="s">
        <v>229</v>
      </c>
      <c r="D238" s="229" t="s">
        <v>3338</v>
      </c>
      <c r="E238" s="201" t="s">
        <v>422</v>
      </c>
      <c r="F238" s="201"/>
      <c r="G238" s="200" t="s">
        <v>3332</v>
      </c>
      <c r="H238" s="229"/>
      <c r="I238" s="229">
        <v>200</v>
      </c>
      <c r="J238" s="201"/>
      <c r="K238" s="229" t="s">
        <v>231</v>
      </c>
      <c r="L238" s="229" t="s">
        <v>3339</v>
      </c>
    </row>
    <row r="239" spans="2:12">
      <c r="B239" s="229" t="s">
        <v>3340</v>
      </c>
      <c r="C239" s="229" t="s">
        <v>229</v>
      </c>
      <c r="D239" s="229" t="s">
        <v>3341</v>
      </c>
      <c r="E239" s="201" t="s">
        <v>422</v>
      </c>
      <c r="F239" s="201"/>
      <c r="G239" s="200" t="s">
        <v>3332</v>
      </c>
      <c r="H239" s="229"/>
      <c r="I239" s="229">
        <v>200</v>
      </c>
      <c r="J239" s="201"/>
      <c r="K239" s="229" t="s">
        <v>231</v>
      </c>
      <c r="L239" s="229" t="s">
        <v>3342</v>
      </c>
    </row>
    <row r="240" spans="2:12">
      <c r="B240" s="229" t="s">
        <v>3343</v>
      </c>
      <c r="C240" s="229" t="s">
        <v>229</v>
      </c>
      <c r="D240" s="229" t="s">
        <v>3344</v>
      </c>
      <c r="E240" s="201" t="s">
        <v>422</v>
      </c>
      <c r="F240" s="201"/>
      <c r="G240" s="200" t="s">
        <v>3332</v>
      </c>
      <c r="H240" s="229"/>
      <c r="I240" s="229">
        <v>400</v>
      </c>
      <c r="J240" s="201"/>
      <c r="K240" s="229" t="s">
        <v>231</v>
      </c>
      <c r="L240" s="229" t="s">
        <v>3345</v>
      </c>
    </row>
    <row r="241" spans="2:12">
      <c r="B241" s="229" t="s">
        <v>2397</v>
      </c>
      <c r="C241" s="229" t="s">
        <v>203</v>
      </c>
      <c r="D241" s="229" t="s">
        <v>1716</v>
      </c>
      <c r="E241" s="201" t="s">
        <v>422</v>
      </c>
      <c r="F241" s="201"/>
      <c r="G241" s="200" t="s">
        <v>1351</v>
      </c>
      <c r="H241" s="229"/>
      <c r="I241" s="229" t="s">
        <v>749</v>
      </c>
      <c r="J241" s="201"/>
      <c r="K241" s="229" t="s">
        <v>1718</v>
      </c>
      <c r="L241" s="229" t="s">
        <v>1719</v>
      </c>
    </row>
    <row r="242" spans="2:12">
      <c r="B242" s="229" t="s">
        <v>2400</v>
      </c>
      <c r="C242" s="229" t="s">
        <v>229</v>
      </c>
      <c r="D242" s="229" t="s">
        <v>2401</v>
      </c>
      <c r="E242" s="201" t="s">
        <v>422</v>
      </c>
      <c r="F242" s="201"/>
      <c r="G242" s="200" t="s">
        <v>3346</v>
      </c>
      <c r="H242" s="229"/>
      <c r="I242" s="229"/>
      <c r="J242" s="201"/>
      <c r="K242" s="229" t="s">
        <v>231</v>
      </c>
      <c r="L242" s="229" t="s">
        <v>2403</v>
      </c>
    </row>
    <row r="243" spans="2:12">
      <c r="B243" s="229" t="s">
        <v>2404</v>
      </c>
      <c r="C243" s="229" t="s">
        <v>229</v>
      </c>
      <c r="D243" s="229" t="s">
        <v>2405</v>
      </c>
      <c r="E243" s="201" t="s">
        <v>422</v>
      </c>
      <c r="F243" s="201"/>
      <c r="G243" s="200" t="s">
        <v>3346</v>
      </c>
      <c r="H243" s="229"/>
      <c r="I243" s="229">
        <v>0.05</v>
      </c>
      <c r="J243" s="201"/>
      <c r="K243" s="229" t="s">
        <v>231</v>
      </c>
      <c r="L243" s="229" t="s">
        <v>2407</v>
      </c>
    </row>
    <row r="244" spans="2:12">
      <c r="B244" s="229" t="s">
        <v>2408</v>
      </c>
      <c r="C244" s="229" t="s">
        <v>229</v>
      </c>
      <c r="D244" s="229" t="s">
        <v>2409</v>
      </c>
      <c r="E244" s="201" t="s">
        <v>422</v>
      </c>
      <c r="F244" s="201"/>
      <c r="G244" s="200" t="s">
        <v>3346</v>
      </c>
      <c r="H244" s="229"/>
      <c r="I244" s="229">
        <v>0.1</v>
      </c>
      <c r="J244" s="201"/>
      <c r="K244" s="229" t="s">
        <v>231</v>
      </c>
      <c r="L244" s="229" t="s">
        <v>2411</v>
      </c>
    </row>
    <row r="245" spans="2:12">
      <c r="B245" s="229" t="s">
        <v>2412</v>
      </c>
      <c r="C245" s="229" t="s">
        <v>229</v>
      </c>
      <c r="D245" s="229" t="s">
        <v>2413</v>
      </c>
      <c r="E245" s="201" t="s">
        <v>422</v>
      </c>
      <c r="F245" s="201"/>
      <c r="G245" s="200" t="s">
        <v>3346</v>
      </c>
      <c r="H245" s="229"/>
      <c r="I245" s="229">
        <v>0.2</v>
      </c>
      <c r="J245" s="201"/>
      <c r="K245" s="229" t="s">
        <v>231</v>
      </c>
      <c r="L245" s="229" t="s">
        <v>2415</v>
      </c>
    </row>
    <row r="246" spans="2:12">
      <c r="B246" s="229" t="s">
        <v>2416</v>
      </c>
      <c r="C246" s="229" t="s">
        <v>229</v>
      </c>
      <c r="D246" s="229" t="s">
        <v>2417</v>
      </c>
      <c r="E246" s="201" t="s">
        <v>422</v>
      </c>
      <c r="F246" s="201"/>
      <c r="G246" s="200" t="s">
        <v>3346</v>
      </c>
      <c r="H246" s="229"/>
      <c r="I246" s="229">
        <v>0.4</v>
      </c>
      <c r="J246" s="201"/>
      <c r="K246" s="229" t="s">
        <v>231</v>
      </c>
      <c r="L246" s="229" t="s">
        <v>2419</v>
      </c>
    </row>
    <row r="247" spans="2:12">
      <c r="B247" s="229" t="s">
        <v>2420</v>
      </c>
      <c r="C247" s="229" t="s">
        <v>203</v>
      </c>
      <c r="D247" s="229" t="s">
        <v>1721</v>
      </c>
      <c r="E247" s="201" t="s">
        <v>422</v>
      </c>
      <c r="F247" s="201"/>
      <c r="G247" s="200" t="s">
        <v>1959</v>
      </c>
      <c r="H247" s="229"/>
      <c r="I247" s="229" t="s">
        <v>749</v>
      </c>
      <c r="J247" s="201"/>
      <c r="K247" s="229" t="s">
        <v>1718</v>
      </c>
      <c r="L247" s="229" t="s">
        <v>1554</v>
      </c>
    </row>
    <row r="248" spans="2:12">
      <c r="B248" s="229" t="s">
        <v>2422</v>
      </c>
      <c r="C248" s="229" t="s">
        <v>229</v>
      </c>
      <c r="D248" s="229" t="s">
        <v>2423</v>
      </c>
      <c r="E248" s="201" t="s">
        <v>422</v>
      </c>
      <c r="F248" s="201"/>
      <c r="G248" s="200" t="s">
        <v>3347</v>
      </c>
      <c r="H248" s="229"/>
      <c r="I248" s="229"/>
      <c r="J248" s="201"/>
      <c r="K248" s="229" t="s">
        <v>231</v>
      </c>
      <c r="L248" s="229" t="s">
        <v>2425</v>
      </c>
    </row>
    <row r="249" spans="2:12">
      <c r="B249" s="229" t="s">
        <v>2426</v>
      </c>
      <c r="C249" s="229" t="s">
        <v>229</v>
      </c>
      <c r="D249" s="229" t="s">
        <v>2427</v>
      </c>
      <c r="E249" s="201" t="s">
        <v>422</v>
      </c>
      <c r="F249" s="201"/>
      <c r="G249" s="200" t="s">
        <v>3347</v>
      </c>
      <c r="H249" s="229"/>
      <c r="I249" s="229">
        <v>0.05</v>
      </c>
      <c r="J249" s="201"/>
      <c r="K249" s="229" t="s">
        <v>231</v>
      </c>
      <c r="L249" s="229" t="s">
        <v>2429</v>
      </c>
    </row>
    <row r="250" spans="2:12">
      <c r="B250" s="229" t="s">
        <v>2430</v>
      </c>
      <c r="C250" s="229" t="s">
        <v>229</v>
      </c>
      <c r="D250" s="229" t="s">
        <v>2431</v>
      </c>
      <c r="E250" s="201" t="s">
        <v>422</v>
      </c>
      <c r="F250" s="201"/>
      <c r="G250" s="200" t="s">
        <v>3347</v>
      </c>
      <c r="H250" s="229"/>
      <c r="I250" s="229">
        <v>0.1</v>
      </c>
      <c r="J250" s="201"/>
      <c r="K250" s="229" t="s">
        <v>231</v>
      </c>
      <c r="L250" s="229" t="s">
        <v>2433</v>
      </c>
    </row>
    <row r="251" spans="2:12">
      <c r="B251" s="229" t="s">
        <v>2434</v>
      </c>
      <c r="C251" s="229" t="s">
        <v>229</v>
      </c>
      <c r="D251" s="229" t="s">
        <v>2435</v>
      </c>
      <c r="E251" s="201" t="s">
        <v>422</v>
      </c>
      <c r="F251" s="201"/>
      <c r="G251" s="200" t="s">
        <v>3347</v>
      </c>
      <c r="H251" s="229"/>
      <c r="I251" s="229">
        <v>0.2</v>
      </c>
      <c r="J251" s="201"/>
      <c r="K251" s="229" t="s">
        <v>231</v>
      </c>
      <c r="L251" s="229" t="s">
        <v>2437</v>
      </c>
    </row>
    <row r="252" spans="2:12">
      <c r="B252" s="229" t="s">
        <v>2438</v>
      </c>
      <c r="C252" s="229" t="s">
        <v>229</v>
      </c>
      <c r="D252" s="229" t="s">
        <v>2439</v>
      </c>
      <c r="E252" s="201" t="s">
        <v>422</v>
      </c>
      <c r="F252" s="201"/>
      <c r="G252" s="200" t="s">
        <v>3347</v>
      </c>
      <c r="H252" s="229"/>
      <c r="I252" s="229">
        <v>0.4</v>
      </c>
      <c r="J252" s="201"/>
      <c r="K252" s="229" t="s">
        <v>231</v>
      </c>
      <c r="L252" s="229" t="s">
        <v>2441</v>
      </c>
    </row>
    <row r="253" spans="2:12">
      <c r="B253" s="229" t="s">
        <v>2442</v>
      </c>
      <c r="C253" s="229" t="s">
        <v>203</v>
      </c>
      <c r="D253" s="229" t="s">
        <v>1724</v>
      </c>
      <c r="E253" s="201" t="s">
        <v>422</v>
      </c>
      <c r="F253" s="201"/>
      <c r="G253" s="200" t="s">
        <v>1387</v>
      </c>
      <c r="H253" s="229"/>
      <c r="I253" s="229" t="s">
        <v>749</v>
      </c>
      <c r="J253" s="201"/>
      <c r="K253" s="229" t="s">
        <v>1718</v>
      </c>
      <c r="L253" s="229" t="s">
        <v>1719</v>
      </c>
    </row>
    <row r="254" spans="2:12">
      <c r="B254" s="229" t="s">
        <v>2444</v>
      </c>
      <c r="C254" s="229" t="s">
        <v>229</v>
      </c>
      <c r="D254" s="229" t="s">
        <v>2445</v>
      </c>
      <c r="E254" s="201" t="s">
        <v>422</v>
      </c>
      <c r="F254" s="201"/>
      <c r="G254" s="200" t="s">
        <v>3348</v>
      </c>
      <c r="H254" s="229"/>
      <c r="I254" s="229"/>
      <c r="J254" s="201"/>
      <c r="K254" s="229" t="s">
        <v>231</v>
      </c>
      <c r="L254" s="229" t="s">
        <v>2447</v>
      </c>
    </row>
    <row r="255" spans="2:12">
      <c r="B255" s="229" t="s">
        <v>2448</v>
      </c>
      <c r="C255" s="229" t="s">
        <v>229</v>
      </c>
      <c r="D255" s="229" t="s">
        <v>2449</v>
      </c>
      <c r="E255" s="201" t="s">
        <v>422</v>
      </c>
      <c r="F255" s="201"/>
      <c r="G255" s="200" t="s">
        <v>3348</v>
      </c>
      <c r="H255" s="229"/>
      <c r="I255" s="229">
        <v>0.05</v>
      </c>
      <c r="J255" s="201"/>
      <c r="K255" s="229" t="s">
        <v>231</v>
      </c>
      <c r="L255" s="229" t="s">
        <v>2451</v>
      </c>
    </row>
    <row r="256" spans="2:12">
      <c r="B256" s="229" t="s">
        <v>2452</v>
      </c>
      <c r="C256" s="229" t="s">
        <v>229</v>
      </c>
      <c r="D256" s="229" t="s">
        <v>2453</v>
      </c>
      <c r="E256" s="201" t="s">
        <v>422</v>
      </c>
      <c r="F256" s="201"/>
      <c r="G256" s="200" t="s">
        <v>3348</v>
      </c>
      <c r="H256" s="229"/>
      <c r="I256" s="229">
        <v>0.1</v>
      </c>
      <c r="J256" s="201"/>
      <c r="K256" s="229" t="s">
        <v>231</v>
      </c>
      <c r="L256" s="229" t="s">
        <v>2455</v>
      </c>
    </row>
    <row r="257" spans="2:12">
      <c r="B257" s="229" t="s">
        <v>2456</v>
      </c>
      <c r="C257" s="229" t="s">
        <v>229</v>
      </c>
      <c r="D257" s="229" t="s">
        <v>2457</v>
      </c>
      <c r="E257" s="201" t="s">
        <v>422</v>
      </c>
      <c r="F257" s="201"/>
      <c r="G257" s="200" t="s">
        <v>3348</v>
      </c>
      <c r="H257" s="229"/>
      <c r="I257" s="229">
        <v>0.2</v>
      </c>
      <c r="J257" s="201"/>
      <c r="K257" s="229" t="s">
        <v>231</v>
      </c>
      <c r="L257" s="229" t="s">
        <v>2459</v>
      </c>
    </row>
    <row r="258" spans="2:12">
      <c r="B258" s="229" t="s">
        <v>2460</v>
      </c>
      <c r="C258" s="229" t="s">
        <v>229</v>
      </c>
      <c r="D258" s="229" t="s">
        <v>2461</v>
      </c>
      <c r="E258" s="201" t="s">
        <v>422</v>
      </c>
      <c r="F258" s="201"/>
      <c r="G258" s="200" t="s">
        <v>3348</v>
      </c>
      <c r="H258" s="229"/>
      <c r="I258" s="229">
        <v>0.4</v>
      </c>
      <c r="J258" s="201"/>
      <c r="K258" s="229" t="s">
        <v>231</v>
      </c>
      <c r="L258" s="229" t="s">
        <v>2463</v>
      </c>
    </row>
    <row r="259" spans="2:12">
      <c r="B259" s="229" t="s">
        <v>3349</v>
      </c>
      <c r="C259" s="229" t="s">
        <v>203</v>
      </c>
      <c r="D259" s="229" t="s">
        <v>1727</v>
      </c>
      <c r="E259" s="201" t="s">
        <v>422</v>
      </c>
      <c r="F259" s="201"/>
      <c r="G259" s="200" t="s">
        <v>1405</v>
      </c>
      <c r="H259" s="229"/>
      <c r="I259" s="229" t="s">
        <v>749</v>
      </c>
      <c r="J259" s="201"/>
      <c r="K259" s="229" t="s">
        <v>1718</v>
      </c>
      <c r="L259" s="229" t="s">
        <v>1729</v>
      </c>
    </row>
    <row r="260" spans="2:12">
      <c r="B260" s="229" t="s">
        <v>3350</v>
      </c>
      <c r="C260" s="229" t="s">
        <v>229</v>
      </c>
      <c r="D260" s="229" t="s">
        <v>2468</v>
      </c>
      <c r="E260" s="201" t="s">
        <v>422</v>
      </c>
      <c r="F260" s="201"/>
      <c r="G260" s="200" t="s">
        <v>3351</v>
      </c>
      <c r="H260" s="229"/>
      <c r="I260" s="229"/>
      <c r="J260" s="201"/>
      <c r="K260" s="229" t="s">
        <v>231</v>
      </c>
      <c r="L260" s="229" t="s">
        <v>3352</v>
      </c>
    </row>
    <row r="261" spans="2:12">
      <c r="B261" s="229" t="s">
        <v>3353</v>
      </c>
      <c r="C261" s="229" t="s">
        <v>229</v>
      </c>
      <c r="D261" s="229" t="s">
        <v>2472</v>
      </c>
      <c r="E261" s="201" t="s">
        <v>422</v>
      </c>
      <c r="F261" s="201"/>
      <c r="G261" s="200" t="s">
        <v>3351</v>
      </c>
      <c r="H261" s="229"/>
      <c r="I261" s="229">
        <v>0.05</v>
      </c>
      <c r="J261" s="201"/>
      <c r="K261" s="229" t="s">
        <v>231</v>
      </c>
      <c r="L261" s="229" t="s">
        <v>3354</v>
      </c>
    </row>
    <row r="262" spans="2:12">
      <c r="B262" s="229" t="s">
        <v>3355</v>
      </c>
      <c r="C262" s="229" t="s">
        <v>229</v>
      </c>
      <c r="D262" s="229" t="s">
        <v>2476</v>
      </c>
      <c r="E262" s="201" t="s">
        <v>422</v>
      </c>
      <c r="F262" s="201"/>
      <c r="G262" s="200" t="s">
        <v>3351</v>
      </c>
      <c r="H262" s="229"/>
      <c r="I262" s="229">
        <v>0.1</v>
      </c>
      <c r="J262" s="201"/>
      <c r="K262" s="229" t="s">
        <v>231</v>
      </c>
      <c r="L262" s="229" t="s">
        <v>3356</v>
      </c>
    </row>
    <row r="263" spans="2:12">
      <c r="B263" s="229" t="s">
        <v>3357</v>
      </c>
      <c r="C263" s="229" t="s">
        <v>229</v>
      </c>
      <c r="D263" s="229" t="s">
        <v>2480</v>
      </c>
      <c r="E263" s="201" t="s">
        <v>422</v>
      </c>
      <c r="F263" s="201"/>
      <c r="G263" s="200" t="s">
        <v>3351</v>
      </c>
      <c r="H263" s="229"/>
      <c r="I263" s="229">
        <v>0.2</v>
      </c>
      <c r="J263" s="201"/>
      <c r="K263" s="229" t="s">
        <v>231</v>
      </c>
      <c r="L263" s="229" t="s">
        <v>3358</v>
      </c>
    </row>
    <row r="264" spans="2:12">
      <c r="B264" s="229" t="s">
        <v>3359</v>
      </c>
      <c r="C264" s="229" t="s">
        <v>229</v>
      </c>
      <c r="D264" s="229" t="s">
        <v>2484</v>
      </c>
      <c r="E264" s="201" t="s">
        <v>422</v>
      </c>
      <c r="F264" s="201"/>
      <c r="G264" s="200" t="s">
        <v>3351</v>
      </c>
      <c r="H264" s="229"/>
      <c r="I264" s="229">
        <v>0.4</v>
      </c>
      <c r="J264" s="201"/>
      <c r="K264" s="229" t="s">
        <v>231</v>
      </c>
      <c r="L264" s="229" t="s">
        <v>3360</v>
      </c>
    </row>
    <row r="265" spans="2:12">
      <c r="B265" s="229" t="s">
        <v>3361</v>
      </c>
      <c r="C265" s="229" t="s">
        <v>203</v>
      </c>
      <c r="D265" s="229" t="s">
        <v>1731</v>
      </c>
      <c r="E265" s="201" t="s">
        <v>422</v>
      </c>
      <c r="F265" s="201"/>
      <c r="G265" s="200" t="s">
        <v>3362</v>
      </c>
      <c r="H265" s="229"/>
      <c r="I265" s="229" t="s">
        <v>749</v>
      </c>
      <c r="J265" s="201"/>
      <c r="K265" s="229" t="s">
        <v>1718</v>
      </c>
      <c r="L265" s="229" t="s">
        <v>1733</v>
      </c>
    </row>
    <row r="266" spans="2:12">
      <c r="B266" s="229" t="s">
        <v>3363</v>
      </c>
      <c r="C266" s="229" t="s">
        <v>229</v>
      </c>
      <c r="D266" s="229" t="s">
        <v>2491</v>
      </c>
      <c r="E266" s="201" t="s">
        <v>422</v>
      </c>
      <c r="F266" s="201"/>
      <c r="G266" s="200" t="s">
        <v>3364</v>
      </c>
      <c r="H266" s="229"/>
      <c r="I266" s="229"/>
      <c r="J266" s="201"/>
      <c r="K266" s="229" t="s">
        <v>231</v>
      </c>
      <c r="L266" s="229" t="s">
        <v>3365</v>
      </c>
    </row>
    <row r="267" spans="2:12">
      <c r="B267" s="229" t="s">
        <v>3366</v>
      </c>
      <c r="C267" s="229" t="s">
        <v>229</v>
      </c>
      <c r="D267" s="229" t="s">
        <v>2495</v>
      </c>
      <c r="E267" s="201" t="s">
        <v>422</v>
      </c>
      <c r="F267" s="201"/>
      <c r="G267" s="200" t="s">
        <v>3364</v>
      </c>
      <c r="H267" s="229"/>
      <c r="I267" s="229">
        <v>0.05</v>
      </c>
      <c r="J267" s="201"/>
      <c r="K267" s="229" t="s">
        <v>231</v>
      </c>
      <c r="L267" s="229" t="s">
        <v>3367</v>
      </c>
    </row>
    <row r="268" spans="2:12">
      <c r="B268" s="229" t="s">
        <v>3368</v>
      </c>
      <c r="C268" s="229" t="s">
        <v>229</v>
      </c>
      <c r="D268" s="229" t="s">
        <v>2499</v>
      </c>
      <c r="E268" s="201" t="s">
        <v>422</v>
      </c>
      <c r="F268" s="201"/>
      <c r="G268" s="200" t="s">
        <v>3364</v>
      </c>
      <c r="H268" s="229"/>
      <c r="I268" s="229">
        <v>0.1</v>
      </c>
      <c r="J268" s="201"/>
      <c r="K268" s="229" t="s">
        <v>231</v>
      </c>
      <c r="L268" s="229" t="s">
        <v>3369</v>
      </c>
    </row>
    <row r="269" spans="2:12">
      <c r="B269" s="229" t="s">
        <v>3370</v>
      </c>
      <c r="C269" s="229" t="s">
        <v>229</v>
      </c>
      <c r="D269" s="229" t="s">
        <v>2503</v>
      </c>
      <c r="E269" s="201" t="s">
        <v>422</v>
      </c>
      <c r="F269" s="201"/>
      <c r="G269" s="200" t="s">
        <v>3364</v>
      </c>
      <c r="H269" s="229"/>
      <c r="I269" s="229">
        <v>0.2</v>
      </c>
      <c r="J269" s="201"/>
      <c r="K269" s="229" t="s">
        <v>231</v>
      </c>
      <c r="L269" s="229" t="s">
        <v>3371</v>
      </c>
    </row>
    <row r="270" spans="2:12">
      <c r="B270" s="229" t="s">
        <v>3372</v>
      </c>
      <c r="C270" s="229" t="s">
        <v>229</v>
      </c>
      <c r="D270" s="229" t="s">
        <v>2507</v>
      </c>
      <c r="E270" s="201" t="s">
        <v>422</v>
      </c>
      <c r="F270" s="201"/>
      <c r="G270" s="200" t="s">
        <v>3364</v>
      </c>
      <c r="H270" s="229"/>
      <c r="I270" s="229">
        <v>0.4</v>
      </c>
      <c r="J270" s="201"/>
      <c r="K270" s="229" t="s">
        <v>231</v>
      </c>
      <c r="L270" s="229" t="s">
        <v>3373</v>
      </c>
    </row>
    <row r="271" spans="2:12">
      <c r="B271" s="229" t="s">
        <v>3374</v>
      </c>
      <c r="C271" s="229" t="s">
        <v>203</v>
      </c>
      <c r="D271" s="229" t="s">
        <v>1735</v>
      </c>
      <c r="E271" s="201" t="s">
        <v>422</v>
      </c>
      <c r="F271" s="201"/>
      <c r="G271" s="200" t="s">
        <v>3375</v>
      </c>
      <c r="H271" s="229"/>
      <c r="I271" s="229" t="s">
        <v>749</v>
      </c>
      <c r="J271" s="201"/>
      <c r="K271" s="229" t="s">
        <v>1718</v>
      </c>
      <c r="L271" s="229" t="s">
        <v>1737</v>
      </c>
    </row>
    <row r="272" spans="2:12">
      <c r="B272" s="229" t="s">
        <v>3376</v>
      </c>
      <c r="C272" s="229" t="s">
        <v>229</v>
      </c>
      <c r="D272" s="229" t="s">
        <v>2514</v>
      </c>
      <c r="E272" s="201" t="s">
        <v>422</v>
      </c>
      <c r="F272" s="201"/>
      <c r="G272" s="200" t="s">
        <v>3377</v>
      </c>
      <c r="H272" s="229"/>
      <c r="I272" s="229"/>
      <c r="J272" s="201"/>
      <c r="K272" s="229" t="s">
        <v>231</v>
      </c>
      <c r="L272" s="229" t="s">
        <v>3378</v>
      </c>
    </row>
    <row r="273" spans="2:12">
      <c r="B273" s="229" t="s">
        <v>3379</v>
      </c>
      <c r="C273" s="229" t="s">
        <v>229</v>
      </c>
      <c r="D273" s="229" t="s">
        <v>2518</v>
      </c>
      <c r="E273" s="201" t="s">
        <v>422</v>
      </c>
      <c r="F273" s="201"/>
      <c r="G273" s="200" t="s">
        <v>3377</v>
      </c>
      <c r="H273" s="229"/>
      <c r="I273" s="229">
        <v>0.05</v>
      </c>
      <c r="J273" s="201"/>
      <c r="K273" s="229" t="s">
        <v>231</v>
      </c>
      <c r="L273" s="229" t="s">
        <v>3380</v>
      </c>
    </row>
    <row r="274" spans="2:12">
      <c r="B274" s="229" t="s">
        <v>3381</v>
      </c>
      <c r="C274" s="229" t="s">
        <v>229</v>
      </c>
      <c r="D274" s="229" t="s">
        <v>2522</v>
      </c>
      <c r="E274" s="201" t="s">
        <v>422</v>
      </c>
      <c r="F274" s="201"/>
      <c r="G274" s="200" t="s">
        <v>3377</v>
      </c>
      <c r="H274" s="229"/>
      <c r="I274" s="229">
        <v>0.1</v>
      </c>
      <c r="J274" s="201"/>
      <c r="K274" s="229" t="s">
        <v>231</v>
      </c>
      <c r="L274" s="229" t="s">
        <v>3382</v>
      </c>
    </row>
    <row r="275" spans="2:12">
      <c r="B275" s="229" t="s">
        <v>3383</v>
      </c>
      <c r="C275" s="229" t="s">
        <v>229</v>
      </c>
      <c r="D275" s="229" t="s">
        <v>2526</v>
      </c>
      <c r="E275" s="201" t="s">
        <v>422</v>
      </c>
      <c r="F275" s="201"/>
      <c r="G275" s="200" t="s">
        <v>3377</v>
      </c>
      <c r="H275" s="229"/>
      <c r="I275" s="229">
        <v>0.2</v>
      </c>
      <c r="J275" s="201"/>
      <c r="K275" s="229" t="s">
        <v>231</v>
      </c>
      <c r="L275" s="229" t="s">
        <v>3384</v>
      </c>
    </row>
    <row r="276" spans="2:12">
      <c r="B276" s="229" t="s">
        <v>3385</v>
      </c>
      <c r="C276" s="229" t="s">
        <v>229</v>
      </c>
      <c r="D276" s="229" t="s">
        <v>2530</v>
      </c>
      <c r="E276" s="201" t="s">
        <v>422</v>
      </c>
      <c r="F276" s="201"/>
      <c r="G276" s="200" t="s">
        <v>3377</v>
      </c>
      <c r="H276" s="229"/>
      <c r="I276" s="229">
        <v>0.4</v>
      </c>
      <c r="J276" s="201"/>
      <c r="K276" s="229" t="s">
        <v>231</v>
      </c>
      <c r="L276" s="229" t="s">
        <v>3386</v>
      </c>
    </row>
    <row r="277" spans="2:12">
      <c r="B277" s="229" t="s">
        <v>3387</v>
      </c>
      <c r="C277" s="229" t="s">
        <v>203</v>
      </c>
      <c r="D277" s="229" t="s">
        <v>3388</v>
      </c>
      <c r="E277" s="201" t="s">
        <v>422</v>
      </c>
      <c r="F277" s="201"/>
      <c r="G277" s="200" t="s">
        <v>3389</v>
      </c>
      <c r="H277" s="229"/>
      <c r="I277" s="229"/>
      <c r="J277" s="201"/>
      <c r="K277" s="229" t="s">
        <v>868</v>
      </c>
      <c r="L277" s="229" t="s">
        <v>3390</v>
      </c>
    </row>
    <row r="278" spans="2:12">
      <c r="B278" s="229" t="s">
        <v>3391</v>
      </c>
      <c r="C278" s="229" t="s">
        <v>203</v>
      </c>
      <c r="D278" s="229" t="s">
        <v>3392</v>
      </c>
      <c r="E278" s="201" t="s">
        <v>422</v>
      </c>
      <c r="F278" s="201"/>
      <c r="G278" s="200" t="s">
        <v>3393</v>
      </c>
      <c r="H278" s="229"/>
      <c r="I278" s="229"/>
      <c r="J278" s="201"/>
      <c r="K278" s="229" t="s">
        <v>868</v>
      </c>
      <c r="L278" s="229" t="s">
        <v>3394</v>
      </c>
    </row>
    <row r="279" spans="2:12">
      <c r="B279" s="229" t="s">
        <v>3395</v>
      </c>
      <c r="C279" s="229" t="s">
        <v>203</v>
      </c>
      <c r="D279" s="229" t="s">
        <v>3396</v>
      </c>
      <c r="E279" s="201" t="s">
        <v>422</v>
      </c>
      <c r="F279" s="201"/>
      <c r="G279" s="200" t="s">
        <v>3397</v>
      </c>
      <c r="H279" s="229"/>
      <c r="I279" s="229"/>
      <c r="J279" s="201"/>
      <c r="K279" s="229" t="s">
        <v>868</v>
      </c>
      <c r="L279" s="229" t="s">
        <v>3398</v>
      </c>
    </row>
    <row r="280" spans="2:12">
      <c r="B280" s="229" t="s">
        <v>3399</v>
      </c>
      <c r="C280" s="229" t="s">
        <v>229</v>
      </c>
      <c r="D280" s="229" t="s">
        <v>3400</v>
      </c>
      <c r="E280" s="201" t="s">
        <v>422</v>
      </c>
      <c r="F280" s="201"/>
      <c r="G280" s="200" t="s">
        <v>3401</v>
      </c>
      <c r="H280" s="229"/>
      <c r="I280" s="229"/>
      <c r="J280" s="201"/>
      <c r="K280" s="229" t="s">
        <v>231</v>
      </c>
      <c r="L280" s="229" t="s">
        <v>3402</v>
      </c>
    </row>
    <row r="281" spans="2:12">
      <c r="B281" s="229" t="s">
        <v>3403</v>
      </c>
      <c r="C281" s="229" t="s">
        <v>229</v>
      </c>
      <c r="D281" s="229" t="s">
        <v>3404</v>
      </c>
      <c r="E281" s="201" t="s">
        <v>422</v>
      </c>
      <c r="F281" s="201"/>
      <c r="G281" s="200" t="s">
        <v>3405</v>
      </c>
      <c r="H281" s="229"/>
      <c r="I281" s="229">
        <v>5000</v>
      </c>
      <c r="J281" s="201"/>
      <c r="K281" s="229" t="s">
        <v>231</v>
      </c>
      <c r="L281" s="229" t="s">
        <v>3406</v>
      </c>
    </row>
    <row r="282" spans="2:12">
      <c r="B282" s="229" t="s">
        <v>3407</v>
      </c>
      <c r="C282" s="229" t="s">
        <v>229</v>
      </c>
      <c r="D282" s="229" t="s">
        <v>3408</v>
      </c>
      <c r="E282" s="201" t="s">
        <v>422</v>
      </c>
      <c r="F282" s="201"/>
      <c r="G282" s="200" t="s">
        <v>3409</v>
      </c>
      <c r="H282" s="229"/>
      <c r="I282" s="229">
        <v>1000</v>
      </c>
      <c r="J282" s="201"/>
      <c r="K282" s="229" t="s">
        <v>231</v>
      </c>
      <c r="L282" s="229" t="s">
        <v>3410</v>
      </c>
    </row>
    <row r="283" spans="2:12">
      <c r="B283" s="229" t="s">
        <v>3411</v>
      </c>
      <c r="C283" s="229" t="s">
        <v>229</v>
      </c>
      <c r="D283" s="229" t="s">
        <v>3412</v>
      </c>
      <c r="E283" s="201" t="s">
        <v>422</v>
      </c>
      <c r="F283" s="201"/>
      <c r="G283" s="200" t="s">
        <v>3413</v>
      </c>
      <c r="H283" s="229"/>
      <c r="I283" s="229"/>
      <c r="J283" s="201"/>
      <c r="K283" s="229" t="s">
        <v>231</v>
      </c>
      <c r="L283" s="229" t="s">
        <v>3092</v>
      </c>
    </row>
    <row r="284" spans="2:12">
      <c r="B284" s="229" t="s">
        <v>3414</v>
      </c>
      <c r="C284" s="229" t="s">
        <v>229</v>
      </c>
      <c r="D284" s="229" t="s">
        <v>3415</v>
      </c>
      <c r="E284" s="201" t="s">
        <v>422</v>
      </c>
      <c r="F284" s="201"/>
      <c r="G284" s="200" t="s">
        <v>3416</v>
      </c>
      <c r="H284" s="229"/>
      <c r="I284" s="229">
        <v>1200</v>
      </c>
      <c r="J284" s="201"/>
      <c r="K284" s="229" t="s">
        <v>231</v>
      </c>
      <c r="L284" s="229" t="s">
        <v>3417</v>
      </c>
    </row>
    <row r="285" spans="2:12">
      <c r="B285" s="229" t="s">
        <v>3418</v>
      </c>
      <c r="C285" s="229" t="s">
        <v>229</v>
      </c>
      <c r="D285" s="229" t="s">
        <v>3419</v>
      </c>
      <c r="E285" s="201" t="s">
        <v>422</v>
      </c>
      <c r="F285" s="201"/>
      <c r="G285" s="200" t="s">
        <v>3420</v>
      </c>
      <c r="H285" s="229"/>
      <c r="I285" s="229">
        <v>400</v>
      </c>
      <c r="J285" s="201"/>
      <c r="K285" s="229" t="s">
        <v>231</v>
      </c>
      <c r="L285" s="229" t="s">
        <v>3421</v>
      </c>
    </row>
    <row r="286" spans="2:12">
      <c r="B286" s="229" t="s">
        <v>3422</v>
      </c>
      <c r="C286" s="229" t="s">
        <v>229</v>
      </c>
      <c r="D286" s="229" t="s">
        <v>3423</v>
      </c>
      <c r="E286" s="201" t="s">
        <v>422</v>
      </c>
      <c r="G286" s="221" t="s">
        <v>834</v>
      </c>
      <c r="H286" s="229"/>
      <c r="I286" s="229" t="s">
        <v>749</v>
      </c>
      <c r="J286" s="201"/>
      <c r="K286" s="229" t="s">
        <v>231</v>
      </c>
      <c r="L286" s="229" t="s">
        <v>2425</v>
      </c>
    </row>
    <row r="287" spans="2:12">
      <c r="B287" s="229" t="s">
        <v>3424</v>
      </c>
      <c r="C287" s="229" t="s">
        <v>229</v>
      </c>
      <c r="D287" s="229" t="s">
        <v>3425</v>
      </c>
      <c r="E287" s="201" t="s">
        <v>422</v>
      </c>
      <c r="G287" s="221" t="s">
        <v>1488</v>
      </c>
      <c r="H287" s="229"/>
      <c r="I287" s="229" t="s">
        <v>749</v>
      </c>
      <c r="J287" s="201"/>
      <c r="K287" s="229" t="s">
        <v>231</v>
      </c>
      <c r="L287" s="229" t="s">
        <v>3426</v>
      </c>
    </row>
    <row r="288" spans="2:12">
      <c r="B288" s="229" t="s">
        <v>3427</v>
      </c>
      <c r="C288" s="229" t="s">
        <v>229</v>
      </c>
      <c r="D288" s="229" t="s">
        <v>3428</v>
      </c>
      <c r="E288" s="201" t="s">
        <v>422</v>
      </c>
      <c r="F288" s="201"/>
      <c r="G288" s="200" t="s">
        <v>3429</v>
      </c>
      <c r="H288" s="229"/>
      <c r="I288" s="229"/>
      <c r="J288" s="201"/>
      <c r="K288" s="229" t="s">
        <v>231</v>
      </c>
      <c r="L288" s="229" t="s">
        <v>3430</v>
      </c>
    </row>
    <row r="289" spans="2:12">
      <c r="B289" s="229" t="s">
        <v>3431</v>
      </c>
      <c r="C289" s="229" t="s">
        <v>229</v>
      </c>
      <c r="D289" s="229" t="s">
        <v>3432</v>
      </c>
      <c r="E289" s="201" t="s">
        <v>422</v>
      </c>
      <c r="F289" s="201"/>
      <c r="G289" s="200" t="s">
        <v>3433</v>
      </c>
      <c r="H289" s="229"/>
      <c r="I289" s="229">
        <v>250</v>
      </c>
      <c r="J289" s="201"/>
      <c r="K289" s="229" t="s">
        <v>231</v>
      </c>
      <c r="L289" s="229" t="s">
        <v>3434</v>
      </c>
    </row>
    <row r="290" spans="2:12">
      <c r="B290" s="229" t="s">
        <v>3435</v>
      </c>
      <c r="C290" s="229" t="s">
        <v>229</v>
      </c>
      <c r="D290" s="229" t="s">
        <v>3436</v>
      </c>
      <c r="E290" s="201" t="s">
        <v>422</v>
      </c>
      <c r="F290" s="201"/>
      <c r="G290" s="200" t="s">
        <v>3437</v>
      </c>
      <c r="H290" s="229"/>
      <c r="I290" s="229">
        <v>100</v>
      </c>
      <c r="J290" s="201"/>
      <c r="K290" s="229" t="s">
        <v>231</v>
      </c>
      <c r="L290" s="229" t="s">
        <v>3438</v>
      </c>
    </row>
    <row r="291" spans="2:12">
      <c r="B291" s="229" t="s">
        <v>1845</v>
      </c>
      <c r="C291" s="229" t="s">
        <v>229</v>
      </c>
      <c r="D291" s="229" t="s">
        <v>1846</v>
      </c>
      <c r="E291" s="201" t="s">
        <v>422</v>
      </c>
      <c r="F291" s="201"/>
      <c r="G291" s="200" t="s">
        <v>1500</v>
      </c>
      <c r="H291" s="229"/>
      <c r="I291" s="229"/>
      <c r="J291" s="201"/>
      <c r="K291" s="229" t="s">
        <v>231</v>
      </c>
      <c r="L291" s="229" t="s">
        <v>1646</v>
      </c>
    </row>
    <row r="292" spans="2:12">
      <c r="B292" s="229" t="s">
        <v>3439</v>
      </c>
      <c r="C292" s="229" t="s">
        <v>175</v>
      </c>
      <c r="D292" s="229" t="s">
        <v>3440</v>
      </c>
      <c r="E292" s="201" t="s">
        <v>422</v>
      </c>
      <c r="F292" s="201"/>
      <c r="G292" s="221" t="s">
        <v>753</v>
      </c>
      <c r="H292" s="229"/>
      <c r="I292" s="229"/>
      <c r="J292" s="201"/>
      <c r="K292" s="229" t="s">
        <v>749</v>
      </c>
      <c r="L292" s="229" t="s">
        <v>749</v>
      </c>
    </row>
    <row r="293" spans="2:12">
      <c r="B293" s="229" t="s">
        <v>3441</v>
      </c>
      <c r="C293" s="229" t="s">
        <v>229</v>
      </c>
      <c r="D293" s="229" t="s">
        <v>3442</v>
      </c>
      <c r="E293" s="201" t="s">
        <v>422</v>
      </c>
      <c r="F293" s="201"/>
      <c r="G293" s="221" t="s">
        <v>3443</v>
      </c>
      <c r="H293" s="229"/>
      <c r="I293" s="229"/>
      <c r="J293" s="201"/>
      <c r="K293" s="229" t="s">
        <v>231</v>
      </c>
      <c r="L293" s="229" t="s">
        <v>3444</v>
      </c>
    </row>
    <row r="294" spans="2:12">
      <c r="B294" s="229" t="s">
        <v>3445</v>
      </c>
      <c r="C294" s="229" t="s">
        <v>229</v>
      </c>
      <c r="D294" s="229" t="s">
        <v>3446</v>
      </c>
      <c r="E294" s="201" t="s">
        <v>422</v>
      </c>
      <c r="F294" s="201"/>
      <c r="G294" s="221" t="s">
        <v>1503</v>
      </c>
      <c r="H294" s="229"/>
      <c r="I294" s="229" t="s">
        <v>749</v>
      </c>
      <c r="J294" s="201"/>
      <c r="K294" s="229" t="s">
        <v>231</v>
      </c>
      <c r="L294" s="229" t="s">
        <v>2914</v>
      </c>
    </row>
    <row r="295" spans="2:12">
      <c r="B295" s="229" t="s">
        <v>746</v>
      </c>
      <c r="C295" s="229" t="s">
        <v>175</v>
      </c>
      <c r="D295" s="229" t="s">
        <v>747</v>
      </c>
      <c r="E295" s="201" t="s">
        <v>422</v>
      </c>
      <c r="F295" s="201"/>
      <c r="G295" s="200" t="s">
        <v>748</v>
      </c>
      <c r="H295" s="229"/>
      <c r="I295" s="229"/>
      <c r="J295" s="201"/>
      <c r="K295" s="229" t="s">
        <v>749</v>
      </c>
      <c r="L295" s="229" t="s">
        <v>750</v>
      </c>
    </row>
    <row r="296" spans="2:12">
      <c r="B296" s="200" t="s">
        <v>471</v>
      </c>
      <c r="C296" s="200" t="s">
        <v>175</v>
      </c>
      <c r="D296" s="200" t="s">
        <v>472</v>
      </c>
      <c r="E296" s="241" t="s">
        <v>422</v>
      </c>
      <c r="F296" s="201"/>
      <c r="G296" s="200" t="s">
        <v>471</v>
      </c>
      <c r="H296" s="241"/>
      <c r="I296" s="241"/>
      <c r="J296" s="241"/>
      <c r="K296" s="241"/>
      <c r="L296" s="241"/>
    </row>
    <row r="297" spans="2:12">
      <c r="B297" s="200" t="s">
        <v>3447</v>
      </c>
      <c r="C297" s="200" t="s">
        <v>170</v>
      </c>
      <c r="D297" s="200" t="s">
        <v>3447</v>
      </c>
      <c r="E297" s="241"/>
      <c r="F297" s="201"/>
      <c r="G297" s="200" t="s">
        <v>1693</v>
      </c>
      <c r="H297" s="241"/>
      <c r="I297" s="241"/>
      <c r="J297" s="200"/>
      <c r="K297" s="200"/>
      <c r="L297" s="241"/>
    </row>
    <row r="298" spans="2:12">
      <c r="B298" s="200" t="s">
        <v>3448</v>
      </c>
      <c r="C298" s="200" t="s">
        <v>170</v>
      </c>
      <c r="D298" s="200" t="s">
        <v>3449</v>
      </c>
      <c r="E298" s="241"/>
      <c r="F298" s="201"/>
      <c r="G298" s="200" t="s">
        <v>1693</v>
      </c>
      <c r="H298" s="241"/>
      <c r="I298" s="241"/>
      <c r="J298" s="200"/>
      <c r="K298" s="200"/>
      <c r="L298" s="241"/>
    </row>
    <row r="299" spans="2:12">
      <c r="B299" s="200" t="s">
        <v>3450</v>
      </c>
      <c r="C299" s="200" t="s">
        <v>170</v>
      </c>
      <c r="D299" s="200" t="s">
        <v>3451</v>
      </c>
      <c r="E299" s="241"/>
      <c r="F299" s="201"/>
      <c r="G299" s="200" t="s">
        <v>1693</v>
      </c>
      <c r="H299" s="241"/>
      <c r="I299" s="241"/>
      <c r="J299" s="200"/>
      <c r="K299" s="200"/>
      <c r="L299" s="241"/>
    </row>
    <row r="300" spans="2:12">
      <c r="B300" s="200" t="s">
        <v>3452</v>
      </c>
      <c r="C300" s="200" t="s">
        <v>170</v>
      </c>
      <c r="D300" s="200" t="s">
        <v>388</v>
      </c>
      <c r="E300" s="241" t="s">
        <v>422</v>
      </c>
      <c r="F300" s="201"/>
      <c r="G300" s="200" t="s">
        <v>3453</v>
      </c>
      <c r="H300" s="241"/>
      <c r="I300" s="241"/>
      <c r="J300" s="200"/>
      <c r="K300" s="200"/>
      <c r="L300" s="241"/>
    </row>
    <row r="301" spans="2:12">
      <c r="B301" s="200" t="s">
        <v>3454</v>
      </c>
      <c r="C301" s="200" t="s">
        <v>170</v>
      </c>
      <c r="D301" s="200" t="s">
        <v>1570</v>
      </c>
      <c r="E301" s="241" t="s">
        <v>422</v>
      </c>
      <c r="F301" s="201"/>
      <c r="G301" s="200" t="s">
        <v>3455</v>
      </c>
      <c r="H301" s="241"/>
      <c r="I301" s="241"/>
      <c r="J301" s="200"/>
      <c r="K301" s="200"/>
      <c r="L301" s="241"/>
    </row>
    <row r="302" spans="2:12">
      <c r="B302" s="200" t="s">
        <v>228</v>
      </c>
      <c r="C302" s="200" t="s">
        <v>229</v>
      </c>
      <c r="D302" s="200" t="s">
        <v>3456</v>
      </c>
      <c r="E302" s="241"/>
      <c r="F302" s="201"/>
      <c r="G302" s="200" t="s">
        <v>3457</v>
      </c>
      <c r="H302" s="241"/>
      <c r="I302" s="241"/>
      <c r="J302" s="241"/>
      <c r="K302" s="241"/>
      <c r="L302" s="241"/>
    </row>
    <row r="303" spans="2:12">
      <c r="B303" s="200" t="s">
        <v>3458</v>
      </c>
      <c r="C303" s="200" t="s">
        <v>203</v>
      </c>
      <c r="D303" s="200" t="s">
        <v>3459</v>
      </c>
      <c r="E303" s="241"/>
      <c r="F303" s="201"/>
      <c r="G303" s="200" t="s">
        <v>3457</v>
      </c>
      <c r="H303" s="241"/>
      <c r="I303" s="241"/>
      <c r="J303" s="241"/>
      <c r="K303" s="241"/>
      <c r="L303" s="241"/>
    </row>
    <row r="304" spans="2:12">
      <c r="B304" s="200" t="s">
        <v>3460</v>
      </c>
      <c r="C304" s="200" t="s">
        <v>203</v>
      </c>
      <c r="D304" s="200" t="s">
        <v>3461</v>
      </c>
      <c r="E304" s="241"/>
      <c r="F304" s="201"/>
      <c r="G304" s="200" t="s">
        <v>3457</v>
      </c>
      <c r="H304" s="241"/>
      <c r="I304" s="241"/>
      <c r="J304" s="241"/>
      <c r="K304" s="241"/>
      <c r="L304" s="241"/>
    </row>
    <row r="305" spans="2:12">
      <c r="B305" s="200" t="s">
        <v>3462</v>
      </c>
      <c r="C305" s="200" t="s">
        <v>203</v>
      </c>
      <c r="D305" s="200" t="s">
        <v>3463</v>
      </c>
      <c r="E305" s="241"/>
      <c r="F305" s="201"/>
      <c r="G305" s="200" t="s">
        <v>3457</v>
      </c>
      <c r="H305" s="241"/>
      <c r="I305" s="241"/>
      <c r="J305" s="241"/>
      <c r="K305" s="241"/>
      <c r="L305" s="241"/>
    </row>
    <row r="306" spans="2:12">
      <c r="B306" s="200" t="s">
        <v>3464</v>
      </c>
      <c r="C306" s="200" t="s">
        <v>229</v>
      </c>
      <c r="D306" s="200" t="s">
        <v>3465</v>
      </c>
      <c r="E306" s="241"/>
      <c r="F306" s="201"/>
      <c r="G306" s="200" t="s">
        <v>3457</v>
      </c>
      <c r="H306" s="241"/>
      <c r="I306" s="241"/>
      <c r="J306" s="241"/>
      <c r="K306" s="241"/>
      <c r="L306" s="241"/>
    </row>
    <row r="307" spans="2:12">
      <c r="B307" s="200" t="s">
        <v>3466</v>
      </c>
      <c r="C307" s="200" t="s">
        <v>229</v>
      </c>
      <c r="D307" s="200" t="s">
        <v>3467</v>
      </c>
      <c r="E307" s="241"/>
      <c r="F307" s="201"/>
      <c r="G307" s="200" t="s">
        <v>3457</v>
      </c>
      <c r="H307" s="241"/>
      <c r="I307" s="241"/>
      <c r="J307" s="241"/>
      <c r="K307" s="241"/>
      <c r="L307" s="241"/>
    </row>
    <row r="308" spans="2:12">
      <c r="B308" s="200" t="s">
        <v>3468</v>
      </c>
      <c r="C308" s="200" t="s">
        <v>229</v>
      </c>
      <c r="D308" s="200" t="s">
        <v>3469</v>
      </c>
      <c r="E308" s="241"/>
      <c r="F308" s="201"/>
      <c r="G308" s="200" t="s">
        <v>3457</v>
      </c>
      <c r="H308" s="241"/>
      <c r="I308" s="241"/>
      <c r="J308" s="241"/>
      <c r="K308" s="241"/>
      <c r="L308" s="241"/>
    </row>
    <row r="309" spans="2:12">
      <c r="B309" s="200" t="s">
        <v>3470</v>
      </c>
      <c r="C309" s="200" t="s">
        <v>229</v>
      </c>
      <c r="D309" s="200" t="s">
        <v>3471</v>
      </c>
      <c r="E309" s="241"/>
      <c r="F309" s="201"/>
      <c r="G309" s="200" t="s">
        <v>3457</v>
      </c>
      <c r="H309" s="241"/>
      <c r="I309" s="241"/>
      <c r="J309" s="241"/>
      <c r="K309" s="241"/>
      <c r="L309" s="241"/>
    </row>
    <row r="310" spans="2:12">
      <c r="B310" s="200" t="s">
        <v>3472</v>
      </c>
      <c r="C310" s="200" t="s">
        <v>229</v>
      </c>
      <c r="D310" s="200" t="s">
        <v>3473</v>
      </c>
      <c r="E310" s="241"/>
      <c r="F310" s="201"/>
      <c r="G310" s="200" t="s">
        <v>3457</v>
      </c>
      <c r="H310" s="241"/>
      <c r="I310" s="241"/>
      <c r="J310" s="241"/>
      <c r="K310" s="241"/>
      <c r="L310" s="241"/>
    </row>
    <row r="311" spans="2:12">
      <c r="B311" s="200" t="s">
        <v>3474</v>
      </c>
      <c r="C311" s="200" t="s">
        <v>229</v>
      </c>
      <c r="D311" s="200" t="s">
        <v>3475</v>
      </c>
      <c r="E311" s="241"/>
      <c r="F311" s="201"/>
      <c r="G311" s="200" t="s">
        <v>3457</v>
      </c>
      <c r="H311" s="241"/>
      <c r="I311" s="241"/>
      <c r="J311" s="241"/>
      <c r="K311" s="241"/>
      <c r="L311" s="241"/>
    </row>
    <row r="312" spans="2:12">
      <c r="B312" s="200" t="s">
        <v>3476</v>
      </c>
      <c r="C312" s="200" t="s">
        <v>229</v>
      </c>
      <c r="D312" s="200" t="s">
        <v>3477</v>
      </c>
      <c r="E312" s="241"/>
      <c r="F312" s="201"/>
      <c r="G312" s="200" t="s">
        <v>3457</v>
      </c>
      <c r="H312" s="241"/>
      <c r="I312" s="241"/>
      <c r="J312" s="241"/>
      <c r="K312" s="241"/>
      <c r="L312" s="241"/>
    </row>
    <row r="313" spans="2:12">
      <c r="B313" s="200" t="s">
        <v>3478</v>
      </c>
      <c r="C313" s="200" t="s">
        <v>229</v>
      </c>
      <c r="D313" s="200" t="s">
        <v>3479</v>
      </c>
      <c r="E313" s="241"/>
      <c r="F313" s="201"/>
      <c r="G313" s="200" t="s">
        <v>3457</v>
      </c>
      <c r="H313" s="241"/>
      <c r="I313" s="241"/>
      <c r="J313" s="241"/>
      <c r="K313" s="241"/>
      <c r="L313" s="241"/>
    </row>
    <row r="314" spans="2:12">
      <c r="B314" s="200" t="s">
        <v>3480</v>
      </c>
      <c r="C314" s="200" t="s">
        <v>229</v>
      </c>
      <c r="D314" s="200" t="s">
        <v>3481</v>
      </c>
      <c r="E314" s="241"/>
      <c r="F314" s="201"/>
      <c r="G314" s="200" t="s">
        <v>3457</v>
      </c>
      <c r="H314" s="241"/>
      <c r="I314" s="241"/>
      <c r="J314" s="241"/>
      <c r="K314" s="241"/>
      <c r="L314" s="241"/>
    </row>
    <row r="315" spans="2:12">
      <c r="B315" s="200" t="s">
        <v>3482</v>
      </c>
      <c r="C315" s="200" t="s">
        <v>229</v>
      </c>
      <c r="D315" s="200" t="s">
        <v>3483</v>
      </c>
      <c r="E315" s="241"/>
      <c r="F315" s="201"/>
      <c r="G315" s="200" t="s">
        <v>3457</v>
      </c>
      <c r="H315" s="241"/>
      <c r="I315" s="241"/>
      <c r="J315" s="241"/>
      <c r="K315" s="241"/>
      <c r="L315" s="241"/>
    </row>
    <row r="316" spans="2:12">
      <c r="B316" s="200" t="s">
        <v>3484</v>
      </c>
      <c r="C316" s="200" t="s">
        <v>229</v>
      </c>
      <c r="D316" s="200" t="s">
        <v>3484</v>
      </c>
      <c r="E316" s="241"/>
      <c r="F316" s="201"/>
      <c r="G316" s="200" t="s">
        <v>3457</v>
      </c>
      <c r="H316" s="241"/>
      <c r="I316" s="241"/>
      <c r="J316" s="241"/>
      <c r="K316" s="241"/>
      <c r="L316" s="241"/>
    </row>
    <row r="317" spans="2:12">
      <c r="B317" s="200" t="s">
        <v>3485</v>
      </c>
      <c r="C317" s="200" t="s">
        <v>229</v>
      </c>
      <c r="D317" s="200" t="s">
        <v>3485</v>
      </c>
      <c r="E317" s="241"/>
      <c r="F317" s="201"/>
      <c r="G317" s="200" t="s">
        <v>3457</v>
      </c>
      <c r="H317" s="241"/>
      <c r="I317" s="241"/>
      <c r="J317" s="241"/>
      <c r="K317" s="241"/>
      <c r="L317" s="241"/>
    </row>
    <row r="318" spans="2:12">
      <c r="B318" s="200" t="s">
        <v>3486</v>
      </c>
      <c r="C318" s="200" t="s">
        <v>229</v>
      </c>
      <c r="D318" s="200" t="s">
        <v>3486</v>
      </c>
      <c r="E318" s="241"/>
      <c r="F318" s="201"/>
      <c r="G318" s="200" t="s">
        <v>3457</v>
      </c>
      <c r="H318" s="241"/>
      <c r="I318" s="241"/>
      <c r="J318" s="241"/>
      <c r="K318" s="241"/>
      <c r="L318" s="241"/>
    </row>
    <row r="319" spans="2:12">
      <c r="B319" s="200" t="s">
        <v>3487</v>
      </c>
      <c r="C319" s="200" t="s">
        <v>229</v>
      </c>
      <c r="D319" s="200" t="s">
        <v>3487</v>
      </c>
      <c r="E319" s="241"/>
      <c r="F319" s="201"/>
      <c r="G319" s="200" t="s">
        <v>3457</v>
      </c>
      <c r="H319" s="241"/>
      <c r="I319" s="241"/>
      <c r="J319" s="241"/>
      <c r="K319" s="256"/>
      <c r="L319" s="241"/>
    </row>
    <row r="320" spans="2:12">
      <c r="B320" s="200" t="s">
        <v>3488</v>
      </c>
      <c r="C320" s="200" t="s">
        <v>229</v>
      </c>
      <c r="D320" s="200" t="s">
        <v>3488</v>
      </c>
      <c r="E320" s="241"/>
      <c r="F320" s="201"/>
      <c r="G320" s="200" t="s">
        <v>3457</v>
      </c>
      <c r="H320" s="241"/>
      <c r="I320" s="241"/>
      <c r="J320" s="241"/>
      <c r="K320" s="257"/>
      <c r="L320" s="241"/>
    </row>
    <row r="321" spans="2:12">
      <c r="B321" s="200" t="s">
        <v>3489</v>
      </c>
      <c r="C321" s="200" t="s">
        <v>229</v>
      </c>
      <c r="D321" s="200" t="s">
        <v>3489</v>
      </c>
      <c r="E321" s="241"/>
      <c r="F321" s="201"/>
      <c r="G321" s="200" t="s">
        <v>3457</v>
      </c>
      <c r="H321" s="241"/>
      <c r="I321" s="241"/>
      <c r="J321" s="241"/>
      <c r="K321" s="241"/>
      <c r="L321" s="241"/>
    </row>
    <row r="322" spans="2:12">
      <c r="B322" s="200" t="s">
        <v>3490</v>
      </c>
      <c r="C322" s="200" t="s">
        <v>229</v>
      </c>
      <c r="D322" s="200" t="s">
        <v>3490</v>
      </c>
      <c r="E322" s="241"/>
      <c r="F322" s="201"/>
      <c r="G322" s="200" t="s">
        <v>3457</v>
      </c>
      <c r="H322" s="241"/>
      <c r="I322" s="241"/>
      <c r="J322" s="241"/>
      <c r="K322" s="241"/>
      <c r="L322" s="241"/>
    </row>
    <row r="323" spans="2:12">
      <c r="B323" s="200" t="s">
        <v>3491</v>
      </c>
      <c r="C323" s="200" t="s">
        <v>229</v>
      </c>
      <c r="D323" s="200" t="s">
        <v>3491</v>
      </c>
      <c r="E323" s="241"/>
      <c r="F323" s="201"/>
      <c r="G323" s="200" t="s">
        <v>3457</v>
      </c>
      <c r="H323" s="241"/>
      <c r="I323" s="241"/>
      <c r="J323" s="241"/>
      <c r="K323" s="241"/>
      <c r="L323" s="241"/>
    </row>
    <row r="324" spans="2:12">
      <c r="B324" s="200" t="s">
        <v>3492</v>
      </c>
      <c r="C324" s="200" t="s">
        <v>229</v>
      </c>
      <c r="D324" s="200" t="s">
        <v>3492</v>
      </c>
      <c r="E324" s="241"/>
      <c r="F324" s="201"/>
      <c r="G324" s="200" t="s">
        <v>3457</v>
      </c>
      <c r="H324" s="241"/>
      <c r="I324" s="241"/>
      <c r="J324" s="241"/>
      <c r="K324" s="241"/>
      <c r="L324" s="241"/>
    </row>
    <row r="325" spans="2:12">
      <c r="B325" s="200" t="s">
        <v>3493</v>
      </c>
      <c r="C325" s="200" t="s">
        <v>229</v>
      </c>
      <c r="D325" s="200" t="s">
        <v>3493</v>
      </c>
      <c r="E325" s="241"/>
      <c r="F325" s="201"/>
      <c r="G325" s="200" t="s">
        <v>3457</v>
      </c>
      <c r="H325" s="241"/>
      <c r="I325" s="241"/>
      <c r="J325" s="241"/>
      <c r="K325" s="241"/>
      <c r="L325" s="241"/>
    </row>
    <row r="326" spans="2:12">
      <c r="B326" s="200" t="s">
        <v>3494</v>
      </c>
      <c r="C326" s="200" t="s">
        <v>229</v>
      </c>
      <c r="D326" s="200" t="s">
        <v>3495</v>
      </c>
      <c r="E326" s="241" t="s">
        <v>422</v>
      </c>
      <c r="F326" s="201"/>
      <c r="G326" s="200" t="s">
        <v>3496</v>
      </c>
      <c r="H326" s="241"/>
      <c r="I326" s="241"/>
      <c r="J326" s="241"/>
      <c r="K326" s="200" t="s">
        <v>231</v>
      </c>
      <c r="L326" s="241"/>
    </row>
    <row r="327" spans="2:12">
      <c r="B327" s="200" t="s">
        <v>3497</v>
      </c>
      <c r="C327" s="200" t="s">
        <v>229</v>
      </c>
      <c r="D327" s="200" t="s">
        <v>3498</v>
      </c>
      <c r="E327" s="241" t="s">
        <v>422</v>
      </c>
      <c r="F327" s="201"/>
      <c r="G327" s="200" t="s">
        <v>3499</v>
      </c>
      <c r="H327" s="241"/>
      <c r="I327" s="241"/>
      <c r="J327" s="241"/>
      <c r="K327" s="200" t="s">
        <v>231</v>
      </c>
      <c r="L327" s="241"/>
    </row>
    <row r="328" spans="2:12">
      <c r="B328" s="200" t="s">
        <v>3500</v>
      </c>
      <c r="C328" s="200" t="s">
        <v>229</v>
      </c>
      <c r="D328" s="200" t="s">
        <v>3501</v>
      </c>
      <c r="E328" s="241" t="s">
        <v>422</v>
      </c>
      <c r="F328" s="201"/>
      <c r="G328" s="200" t="s">
        <v>3502</v>
      </c>
      <c r="H328" s="241"/>
      <c r="I328" s="241"/>
      <c r="J328" s="241"/>
      <c r="K328" s="200" t="s">
        <v>1575</v>
      </c>
      <c r="L328" s="241"/>
    </row>
    <row r="329" spans="2:12">
      <c r="B329" s="200" t="s">
        <v>3503</v>
      </c>
      <c r="C329" s="200" t="s">
        <v>229</v>
      </c>
      <c r="D329" s="200" t="s">
        <v>3504</v>
      </c>
      <c r="E329" s="241" t="s">
        <v>422</v>
      </c>
      <c r="F329" s="201"/>
      <c r="G329" s="200" t="s">
        <v>3505</v>
      </c>
      <c r="H329" s="241"/>
      <c r="I329" s="241"/>
      <c r="J329" s="241"/>
      <c r="K329" s="200" t="s">
        <v>231</v>
      </c>
      <c r="L329" s="241"/>
    </row>
    <row r="330" spans="2:12">
      <c r="B330" s="200" t="s">
        <v>3506</v>
      </c>
      <c r="C330" s="200" t="s">
        <v>229</v>
      </c>
      <c r="D330" s="200" t="s">
        <v>3507</v>
      </c>
      <c r="E330" s="241" t="s">
        <v>422</v>
      </c>
      <c r="F330" s="201"/>
      <c r="G330" s="200" t="s">
        <v>3508</v>
      </c>
      <c r="H330" s="241"/>
      <c r="I330" s="241"/>
      <c r="J330" s="241"/>
      <c r="K330" s="200" t="s">
        <v>231</v>
      </c>
      <c r="L330" s="241"/>
    </row>
    <row r="331" spans="2:12">
      <c r="B331" s="200" t="s">
        <v>3509</v>
      </c>
      <c r="C331" s="200" t="s">
        <v>229</v>
      </c>
      <c r="D331" s="200" t="s">
        <v>3510</v>
      </c>
      <c r="E331" s="241" t="s">
        <v>422</v>
      </c>
      <c r="F331" s="201"/>
      <c r="G331" s="200" t="s">
        <v>3511</v>
      </c>
      <c r="H331" s="241"/>
      <c r="I331" s="241"/>
      <c r="J331" s="241"/>
      <c r="K331" s="200" t="s">
        <v>1575</v>
      </c>
      <c r="L331" s="241"/>
    </row>
    <row r="332" spans="2:12">
      <c r="B332" s="200" t="s">
        <v>3512</v>
      </c>
      <c r="C332" s="200" t="s">
        <v>229</v>
      </c>
      <c r="D332" s="200" t="s">
        <v>3513</v>
      </c>
      <c r="E332" s="241"/>
      <c r="F332" s="201"/>
      <c r="G332" s="200" t="s">
        <v>3457</v>
      </c>
      <c r="H332" s="241"/>
      <c r="I332" s="241"/>
      <c r="J332" s="241"/>
      <c r="K332" s="241"/>
      <c r="L332" s="241"/>
    </row>
    <row r="333" spans="2:12">
      <c r="B333" s="200" t="s">
        <v>1854</v>
      </c>
      <c r="C333" s="200" t="s">
        <v>170</v>
      </c>
      <c r="D333" s="200" t="s">
        <v>2554</v>
      </c>
      <c r="E333" s="241" t="s">
        <v>422</v>
      </c>
      <c r="F333" s="201"/>
      <c r="G333" s="258" t="s">
        <v>1519</v>
      </c>
      <c r="H333" s="259"/>
      <c r="I333" s="241"/>
      <c r="J333" s="241"/>
      <c r="K333" s="241"/>
      <c r="L333" s="241"/>
    </row>
    <row r="334" spans="2:12">
      <c r="B334" s="200" t="s">
        <v>1856</v>
      </c>
      <c r="C334" s="200" t="s">
        <v>170</v>
      </c>
      <c r="D334" s="200" t="s">
        <v>2556</v>
      </c>
      <c r="E334" s="241" t="s">
        <v>422</v>
      </c>
      <c r="F334" s="201"/>
      <c r="G334" s="258" t="s">
        <v>1522</v>
      </c>
      <c r="H334" s="259"/>
      <c r="I334" s="241"/>
      <c r="J334" s="241"/>
      <c r="K334" s="241"/>
      <c r="L334" s="241"/>
    </row>
    <row r="335" spans="2:12">
      <c r="B335" s="200" t="s">
        <v>1504</v>
      </c>
      <c r="C335" s="200" t="s">
        <v>170</v>
      </c>
      <c r="D335" s="200" t="s">
        <v>2558</v>
      </c>
      <c r="E335" s="241" t="s">
        <v>422</v>
      </c>
      <c r="F335" s="201"/>
      <c r="G335" s="243" t="s">
        <v>1506</v>
      </c>
      <c r="H335" s="259"/>
      <c r="I335" s="241"/>
      <c r="J335" s="241"/>
      <c r="K335" s="241"/>
      <c r="L335" s="241"/>
    </row>
    <row r="336" spans="2:12">
      <c r="B336" s="200" t="s">
        <v>1848</v>
      </c>
      <c r="C336" s="200" t="s">
        <v>170</v>
      </c>
      <c r="D336" s="200" t="s">
        <v>2560</v>
      </c>
      <c r="E336" s="241" t="s">
        <v>422</v>
      </c>
      <c r="F336" s="201"/>
      <c r="G336" s="244" t="s">
        <v>1510</v>
      </c>
      <c r="H336" s="259"/>
      <c r="I336" s="241"/>
      <c r="J336" s="241"/>
      <c r="K336" s="241"/>
      <c r="L336" s="241"/>
    </row>
    <row r="337" spans="2:12">
      <c r="B337" s="200" t="s">
        <v>1850</v>
      </c>
      <c r="C337" s="200" t="s">
        <v>170</v>
      </c>
      <c r="D337" s="200" t="s">
        <v>2562</v>
      </c>
      <c r="E337" s="241" t="s">
        <v>422</v>
      </c>
      <c r="F337" s="201"/>
      <c r="G337" s="244" t="s">
        <v>1513</v>
      </c>
      <c r="H337" s="259"/>
      <c r="I337" s="241"/>
      <c r="J337" s="241"/>
      <c r="K337" s="241"/>
      <c r="L337" s="241"/>
    </row>
    <row r="338" spans="2:12">
      <c r="B338" s="200" t="s">
        <v>1852</v>
      </c>
      <c r="C338" s="200" t="s">
        <v>170</v>
      </c>
      <c r="D338" s="200" t="s">
        <v>2564</v>
      </c>
      <c r="E338" s="241" t="s">
        <v>422</v>
      </c>
      <c r="F338" s="201"/>
      <c r="G338" s="244" t="s">
        <v>1516</v>
      </c>
      <c r="H338" s="259"/>
      <c r="I338" s="241"/>
      <c r="J338" s="241"/>
      <c r="K338" s="241"/>
      <c r="L338" s="241"/>
    </row>
    <row r="339" spans="2:12">
      <c r="B339" s="200" t="s">
        <v>1523</v>
      </c>
      <c r="C339" s="200" t="s">
        <v>229</v>
      </c>
      <c r="D339" s="200" t="s">
        <v>1524</v>
      </c>
      <c r="E339" s="241" t="s">
        <v>422</v>
      </c>
      <c r="F339" s="201"/>
      <c r="G339" s="200" t="s">
        <v>1525</v>
      </c>
      <c r="H339" s="241"/>
      <c r="I339" s="241"/>
      <c r="J339" s="241"/>
      <c r="K339" s="241"/>
      <c r="L339" s="241"/>
    </row>
    <row r="340" spans="2:12">
      <c r="B340" s="200" t="s">
        <v>1858</v>
      </c>
      <c r="C340" s="200" t="s">
        <v>229</v>
      </c>
      <c r="D340" s="200" t="s">
        <v>618</v>
      </c>
      <c r="E340" s="241" t="s">
        <v>422</v>
      </c>
      <c r="F340" s="201"/>
      <c r="G340" s="245" t="s">
        <v>3514</v>
      </c>
      <c r="H340" s="241"/>
      <c r="I340" s="241"/>
      <c r="J340" s="241"/>
      <c r="K340" s="241"/>
      <c r="L340" s="241"/>
    </row>
    <row r="341" spans="2:12">
      <c r="B341" s="229" t="s">
        <v>239</v>
      </c>
      <c r="C341" s="229" t="s">
        <v>170</v>
      </c>
      <c r="D341" s="229" t="s">
        <v>240</v>
      </c>
      <c r="E341" s="201"/>
      <c r="F341" s="201"/>
      <c r="G341" s="201"/>
      <c r="H341" s="201"/>
      <c r="I341" s="229"/>
      <c r="J341" s="201"/>
      <c r="K341" s="229" t="s">
        <v>749</v>
      </c>
      <c r="L341" s="229" t="s">
        <v>1544</v>
      </c>
    </row>
    <row r="342" spans="2:12">
      <c r="B342" s="229" t="s">
        <v>177</v>
      </c>
      <c r="C342" s="229" t="s">
        <v>175</v>
      </c>
      <c r="D342" s="229" t="s">
        <v>599</v>
      </c>
      <c r="E342" s="201"/>
      <c r="F342" s="201"/>
      <c r="G342" s="201"/>
      <c r="H342" s="201"/>
      <c r="I342" s="229"/>
      <c r="J342" s="201"/>
      <c r="K342" s="229" t="s">
        <v>749</v>
      </c>
      <c r="L342" s="229" t="s">
        <v>749</v>
      </c>
    </row>
    <row r="343" spans="2:12">
      <c r="B343" s="229" t="s">
        <v>693</v>
      </c>
      <c r="C343" s="229" t="s">
        <v>170</v>
      </c>
      <c r="D343" s="229" t="s">
        <v>1859</v>
      </c>
      <c r="E343" s="201"/>
      <c r="F343" s="201"/>
      <c r="G343" s="201"/>
      <c r="H343" s="201"/>
      <c r="I343" s="229"/>
      <c r="J343" s="201"/>
      <c r="K343" s="229" t="s">
        <v>749</v>
      </c>
      <c r="L343" s="229" t="s">
        <v>1860</v>
      </c>
    </row>
    <row r="344" s="209" customFormat="1" spans="2:12">
      <c r="B344" s="229" t="s">
        <v>696</v>
      </c>
      <c r="C344" s="229" t="s">
        <v>170</v>
      </c>
      <c r="D344" s="229" t="s">
        <v>1534</v>
      </c>
      <c r="E344" s="201"/>
      <c r="F344" s="201"/>
      <c r="G344" s="201"/>
      <c r="H344" s="201"/>
      <c r="I344" s="201"/>
      <c r="J344" s="201"/>
      <c r="K344" s="229"/>
      <c r="L344" s="229"/>
    </row>
  </sheetData>
  <autoFilter xmlns:etc="http://www.wps.cn/officeDocument/2017/etCustomData" ref="A11:N344" etc:filterBottomFollowUsedRange="0">
    <extLst/>
  </autoFilter>
  <mergeCells count="3">
    <mergeCell ref="B2:H2"/>
    <mergeCell ref="B6:H6"/>
    <mergeCell ref="B10:L10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321"/>
  <sheetViews>
    <sheetView workbookViewId="0">
      <selection activeCell="J27" sqref="J27"/>
    </sheetView>
  </sheetViews>
  <sheetFormatPr defaultColWidth="9" defaultRowHeight="15.6"/>
  <cols>
    <col min="1" max="1" width="6.75" style="191" customWidth="1"/>
    <col min="2" max="2" width="28.5" style="191" customWidth="1"/>
    <col min="3" max="3" width="20.3796296296296" style="191" customWidth="1"/>
    <col min="4" max="4" width="37.75" style="191" customWidth="1"/>
    <col min="5" max="5" width="16.25" style="191" customWidth="1"/>
    <col min="6" max="6" width="30.8796296296296" style="191" customWidth="1"/>
    <col min="7" max="7" width="20.3796296296296" style="191" customWidth="1"/>
    <col min="8" max="8" width="12" style="191" customWidth="1"/>
    <col min="9" max="9" width="10.8796296296296" style="191" customWidth="1"/>
    <col min="10" max="10" width="12.5" style="191" customWidth="1"/>
    <col min="11" max="11" width="14.1296296296296" style="191" customWidth="1"/>
    <col min="12" max="12" width="12.3796296296296" style="192" customWidth="1"/>
    <col min="13" max="16384" width="9" style="192"/>
  </cols>
  <sheetData>
    <row r="1" spans="2:8">
      <c r="B1" s="193" t="str">
        <f>HYPERLINK("#"&amp;"导航应用"&amp;"!B1","返回")</f>
        <v>返回</v>
      </c>
      <c r="C1" s="194"/>
      <c r="D1" s="194"/>
      <c r="E1" s="194"/>
      <c r="F1" s="194"/>
      <c r="G1" s="194"/>
      <c r="H1" s="194"/>
    </row>
    <row r="2" ht="17.4" spans="2:8">
      <c r="B2" s="195" t="s">
        <v>132</v>
      </c>
      <c r="C2" s="195"/>
      <c r="D2" s="195"/>
      <c r="E2" s="195"/>
      <c r="F2" s="195"/>
      <c r="G2" s="195"/>
      <c r="H2" s="195"/>
    </row>
    <row r="3" spans="2:8">
      <c r="B3" s="196" t="s">
        <v>133</v>
      </c>
      <c r="C3" s="196" t="s">
        <v>134</v>
      </c>
      <c r="D3" s="196" t="s">
        <v>135</v>
      </c>
      <c r="E3" s="196" t="s">
        <v>136</v>
      </c>
      <c r="F3" s="196" t="s">
        <v>137</v>
      </c>
      <c r="G3" s="196" t="s">
        <v>138</v>
      </c>
      <c r="H3" s="196" t="s">
        <v>139</v>
      </c>
    </row>
    <row r="4" spans="2:14">
      <c r="B4" s="84"/>
      <c r="C4" s="246" t="s">
        <v>84</v>
      </c>
      <c r="D4" s="228" t="s">
        <v>3515</v>
      </c>
      <c r="E4" s="84" t="s">
        <v>661</v>
      </c>
      <c r="F4" s="197"/>
      <c r="G4" s="231"/>
      <c r="H4" s="231"/>
      <c r="N4" s="191"/>
    </row>
    <row r="5" spans="2:8">
      <c r="B5" s="198"/>
      <c r="C5" s="198"/>
      <c r="D5" s="198"/>
      <c r="E5" s="198"/>
      <c r="F5" s="198"/>
      <c r="G5" s="198"/>
      <c r="H5" s="198"/>
    </row>
    <row r="6" ht="17.4" spans="2:8">
      <c r="B6" s="195" t="s">
        <v>142</v>
      </c>
      <c r="C6" s="195"/>
      <c r="D6" s="195"/>
      <c r="E6" s="195"/>
      <c r="F6" s="195"/>
      <c r="G6" s="195"/>
      <c r="H6" s="195"/>
    </row>
    <row r="7" spans="2:8">
      <c r="B7" s="199" t="s">
        <v>143</v>
      </c>
      <c r="C7" s="199" t="s">
        <v>144</v>
      </c>
      <c r="D7" s="199" t="s">
        <v>145</v>
      </c>
      <c r="E7" s="199" t="s">
        <v>146</v>
      </c>
      <c r="F7" s="199" t="s">
        <v>147</v>
      </c>
      <c r="G7" s="199" t="s">
        <v>13</v>
      </c>
      <c r="H7" s="199" t="s">
        <v>148</v>
      </c>
    </row>
    <row r="8" spans="2:8">
      <c r="B8" s="84"/>
      <c r="C8" s="200" t="s">
        <v>670</v>
      </c>
      <c r="D8" s="206"/>
      <c r="E8" s="84" t="s">
        <v>422</v>
      </c>
      <c r="F8" s="84"/>
      <c r="G8" s="54"/>
      <c r="H8" s="16" t="s">
        <v>21</v>
      </c>
    </row>
    <row r="9" spans="2:8">
      <c r="B9" s="84"/>
      <c r="C9" s="84"/>
      <c r="D9" s="206"/>
      <c r="E9" s="84" t="s">
        <v>1536</v>
      </c>
      <c r="F9" s="84"/>
      <c r="G9" s="54"/>
      <c r="H9" s="16"/>
    </row>
    <row r="11" spans="2:12">
      <c r="B11" s="202" t="s">
        <v>158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7"/>
    </row>
    <row r="12" ht="24" spans="2:12">
      <c r="B12" s="204" t="s">
        <v>159</v>
      </c>
      <c r="C12" s="204" t="s">
        <v>160</v>
      </c>
      <c r="D12" s="204" t="s">
        <v>161</v>
      </c>
      <c r="E12" s="204" t="s">
        <v>162</v>
      </c>
      <c r="F12" s="204" t="s">
        <v>163</v>
      </c>
      <c r="G12" s="204" t="s">
        <v>164</v>
      </c>
      <c r="H12" s="204" t="s">
        <v>165</v>
      </c>
      <c r="I12" s="204" t="s">
        <v>13</v>
      </c>
      <c r="J12" s="204" t="s">
        <v>166</v>
      </c>
      <c r="K12" s="204" t="s">
        <v>167</v>
      </c>
      <c r="L12" s="204" t="s">
        <v>168</v>
      </c>
    </row>
    <row r="13" spans="2:12">
      <c r="B13" s="229" t="s">
        <v>174</v>
      </c>
      <c r="C13" s="229" t="s">
        <v>175</v>
      </c>
      <c r="D13" s="229" t="s">
        <v>1538</v>
      </c>
      <c r="E13" s="229" t="s">
        <v>422</v>
      </c>
      <c r="F13" s="246" t="s">
        <v>177</v>
      </c>
      <c r="G13" s="200" t="s">
        <v>748</v>
      </c>
      <c r="H13" s="201"/>
      <c r="I13" s="201"/>
      <c r="J13" s="229" t="s">
        <v>173</v>
      </c>
      <c r="K13" s="229" t="s">
        <v>749</v>
      </c>
      <c r="L13" s="229" t="s">
        <v>749</v>
      </c>
    </row>
    <row r="14" spans="2:12">
      <c r="B14" s="229" t="s">
        <v>1539</v>
      </c>
      <c r="C14" s="229" t="s">
        <v>170</v>
      </c>
      <c r="D14" s="229" t="s">
        <v>1540</v>
      </c>
      <c r="E14" s="229" t="s">
        <v>422</v>
      </c>
      <c r="F14" s="246" t="s">
        <v>3516</v>
      </c>
      <c r="G14" s="200" t="s">
        <v>748</v>
      </c>
      <c r="H14" s="201"/>
      <c r="I14" s="201"/>
      <c r="J14" s="229" t="s">
        <v>173</v>
      </c>
      <c r="K14" s="229" t="s">
        <v>749</v>
      </c>
      <c r="L14" s="229" t="s">
        <v>1541</v>
      </c>
    </row>
    <row r="15" spans="2:12">
      <c r="B15" s="229" t="s">
        <v>169</v>
      </c>
      <c r="C15" s="229" t="s">
        <v>170</v>
      </c>
      <c r="D15" s="229" t="s">
        <v>525</v>
      </c>
      <c r="E15" s="229" t="s">
        <v>422</v>
      </c>
      <c r="F15" s="229" t="s">
        <v>239</v>
      </c>
      <c r="G15" s="200" t="s">
        <v>748</v>
      </c>
      <c r="H15" s="201"/>
      <c r="I15" s="201"/>
      <c r="J15" s="229" t="s">
        <v>173</v>
      </c>
      <c r="K15" s="229" t="s">
        <v>749</v>
      </c>
      <c r="L15" s="229" t="s">
        <v>1544</v>
      </c>
    </row>
    <row r="16" spans="2:12">
      <c r="B16" s="229" t="s">
        <v>178</v>
      </c>
      <c r="C16" s="229" t="s">
        <v>170</v>
      </c>
      <c r="D16" s="229" t="s">
        <v>3517</v>
      </c>
      <c r="E16" s="229" t="s">
        <v>422</v>
      </c>
      <c r="F16" s="229" t="s">
        <v>178</v>
      </c>
      <c r="G16" s="200" t="s">
        <v>748</v>
      </c>
      <c r="H16" s="201"/>
      <c r="I16" s="201"/>
      <c r="J16" s="229" t="s">
        <v>173</v>
      </c>
      <c r="K16" s="229" t="s">
        <v>749</v>
      </c>
      <c r="L16" s="229" t="s">
        <v>1546</v>
      </c>
    </row>
    <row r="17" spans="2:12">
      <c r="B17" s="229" t="s">
        <v>180</v>
      </c>
      <c r="C17" s="229" t="s">
        <v>170</v>
      </c>
      <c r="D17" s="229" t="s">
        <v>181</v>
      </c>
      <c r="E17" s="229" t="s">
        <v>422</v>
      </c>
      <c r="F17" s="229" t="s">
        <v>180</v>
      </c>
      <c r="G17" s="200" t="s">
        <v>748</v>
      </c>
      <c r="H17" s="201"/>
      <c r="I17" s="201"/>
      <c r="J17" s="229" t="s">
        <v>173</v>
      </c>
      <c r="K17" s="229" t="s">
        <v>749</v>
      </c>
      <c r="L17" s="229" t="s">
        <v>1548</v>
      </c>
    </row>
    <row r="18" spans="2:12">
      <c r="B18" s="229" t="s">
        <v>1973</v>
      </c>
      <c r="C18" s="229" t="s">
        <v>170</v>
      </c>
      <c r="D18" s="229" t="s">
        <v>1974</v>
      </c>
      <c r="E18" s="229" t="s">
        <v>422</v>
      </c>
      <c r="F18" s="229" t="s">
        <v>1973</v>
      </c>
      <c r="G18" s="200" t="s">
        <v>748</v>
      </c>
      <c r="H18" s="201"/>
      <c r="I18" s="201"/>
      <c r="J18" s="229" t="s">
        <v>173</v>
      </c>
      <c r="K18" s="229" t="s">
        <v>749</v>
      </c>
      <c r="L18" s="229" t="s">
        <v>1975</v>
      </c>
    </row>
    <row r="19" spans="2:12">
      <c r="B19" s="229" t="s">
        <v>746</v>
      </c>
      <c r="C19" s="229" t="s">
        <v>175</v>
      </c>
      <c r="D19" s="229" t="s">
        <v>747</v>
      </c>
      <c r="E19" s="229" t="s">
        <v>422</v>
      </c>
      <c r="F19" s="229" t="s">
        <v>746</v>
      </c>
      <c r="G19" s="200" t="s">
        <v>748</v>
      </c>
      <c r="H19" s="201"/>
      <c r="I19" s="201"/>
      <c r="J19" s="229" t="s">
        <v>173</v>
      </c>
      <c r="K19" s="229" t="s">
        <v>749</v>
      </c>
      <c r="L19" s="229" t="s">
        <v>750</v>
      </c>
    </row>
    <row r="20" spans="2:12">
      <c r="B20" s="229" t="s">
        <v>1550</v>
      </c>
      <c r="C20" s="229" t="s">
        <v>175</v>
      </c>
      <c r="D20" s="229" t="s">
        <v>1551</v>
      </c>
      <c r="E20" s="229" t="s">
        <v>422</v>
      </c>
      <c r="F20" s="229" t="s">
        <v>1550</v>
      </c>
      <c r="G20" s="200" t="s">
        <v>748</v>
      </c>
      <c r="H20" s="201"/>
      <c r="I20" s="201"/>
      <c r="J20" s="229" t="s">
        <v>173</v>
      </c>
      <c r="K20" s="229" t="s">
        <v>749</v>
      </c>
      <c r="L20" s="229" t="s">
        <v>1552</v>
      </c>
    </row>
    <row r="21" spans="2:12">
      <c r="B21" s="229" t="s">
        <v>207</v>
      </c>
      <c r="C21" s="229" t="s">
        <v>170</v>
      </c>
      <c r="D21" s="229" t="s">
        <v>1553</v>
      </c>
      <c r="E21" s="229" t="s">
        <v>422</v>
      </c>
      <c r="F21" s="229" t="s">
        <v>207</v>
      </c>
      <c r="G21" s="200" t="s">
        <v>748</v>
      </c>
      <c r="H21" s="201"/>
      <c r="I21" s="201"/>
      <c r="J21" s="229" t="s">
        <v>173</v>
      </c>
      <c r="K21" s="229" t="s">
        <v>749</v>
      </c>
      <c r="L21" s="229" t="s">
        <v>1554</v>
      </c>
    </row>
    <row r="22" spans="2:12">
      <c r="B22" s="229" t="s">
        <v>3518</v>
      </c>
      <c r="C22" s="229" t="s">
        <v>175</v>
      </c>
      <c r="D22" s="229" t="s">
        <v>3519</v>
      </c>
      <c r="E22" s="229" t="s">
        <v>422</v>
      </c>
      <c r="F22" s="229" t="s">
        <v>3518</v>
      </c>
      <c r="G22" s="200" t="s">
        <v>748</v>
      </c>
      <c r="H22" s="201"/>
      <c r="I22" s="201"/>
      <c r="J22" s="229" t="s">
        <v>173</v>
      </c>
      <c r="K22" s="229" t="s">
        <v>749</v>
      </c>
      <c r="L22" s="229" t="s">
        <v>2788</v>
      </c>
    </row>
    <row r="23" spans="2:12">
      <c r="B23" s="229" t="s">
        <v>3520</v>
      </c>
      <c r="C23" s="229" t="s">
        <v>175</v>
      </c>
      <c r="D23" s="229" t="s">
        <v>3521</v>
      </c>
      <c r="E23" s="229" t="s">
        <v>422</v>
      </c>
      <c r="F23" s="229" t="s">
        <v>3520</v>
      </c>
      <c r="G23" s="200" t="s">
        <v>748</v>
      </c>
      <c r="H23" s="201"/>
      <c r="I23" s="201"/>
      <c r="J23" s="229" t="s">
        <v>173</v>
      </c>
      <c r="K23" s="229" t="s">
        <v>749</v>
      </c>
      <c r="L23" s="229" t="s">
        <v>2791</v>
      </c>
    </row>
    <row r="24" spans="2:12">
      <c r="B24" s="229" t="s">
        <v>1555</v>
      </c>
      <c r="C24" s="229" t="s">
        <v>229</v>
      </c>
      <c r="D24" s="229" t="s">
        <v>1977</v>
      </c>
      <c r="E24" s="229" t="s">
        <v>422</v>
      </c>
      <c r="F24" s="229" t="s">
        <v>1863</v>
      </c>
      <c r="G24" s="200" t="s">
        <v>2779</v>
      </c>
      <c r="H24" s="201"/>
      <c r="I24" s="201"/>
      <c r="J24" s="229" t="s">
        <v>173</v>
      </c>
      <c r="K24" s="229" t="s">
        <v>749</v>
      </c>
      <c r="L24" s="229" t="s">
        <v>1557</v>
      </c>
    </row>
    <row r="25" spans="2:12">
      <c r="B25" s="229" t="s">
        <v>1558</v>
      </c>
      <c r="C25" s="229" t="s">
        <v>229</v>
      </c>
      <c r="D25" s="229" t="s">
        <v>1559</v>
      </c>
      <c r="E25" s="229" t="s">
        <v>422</v>
      </c>
      <c r="F25" s="229" t="s">
        <v>1863</v>
      </c>
      <c r="G25" s="200" t="s">
        <v>2780</v>
      </c>
      <c r="H25" s="201"/>
      <c r="I25" s="201"/>
      <c r="J25" s="229" t="s">
        <v>173</v>
      </c>
      <c r="K25" s="229" t="s">
        <v>749</v>
      </c>
      <c r="L25" s="229" t="s">
        <v>1560</v>
      </c>
    </row>
    <row r="26" spans="2:12">
      <c r="B26" s="229" t="s">
        <v>211</v>
      </c>
      <c r="C26" s="229" t="s">
        <v>175</v>
      </c>
      <c r="D26" s="229" t="s">
        <v>211</v>
      </c>
      <c r="E26" s="229" t="s">
        <v>422</v>
      </c>
      <c r="F26" s="229" t="s">
        <v>1863</v>
      </c>
      <c r="G26" s="200" t="s">
        <v>2782</v>
      </c>
      <c r="H26" s="201"/>
      <c r="I26" s="201"/>
      <c r="J26" s="229" t="s">
        <v>173</v>
      </c>
      <c r="K26" s="229" t="s">
        <v>749</v>
      </c>
      <c r="L26" s="229" t="s">
        <v>749</v>
      </c>
    </row>
    <row r="27" spans="2:12">
      <c r="B27" s="229" t="s">
        <v>2783</v>
      </c>
      <c r="C27" s="229" t="s">
        <v>175</v>
      </c>
      <c r="D27" s="229" t="s">
        <v>1979</v>
      </c>
      <c r="E27" s="229" t="s">
        <v>422</v>
      </c>
      <c r="F27" s="229" t="s">
        <v>191</v>
      </c>
      <c r="G27" s="200" t="s">
        <v>748</v>
      </c>
      <c r="H27" s="201"/>
      <c r="I27" s="201"/>
      <c r="J27" s="229" t="s">
        <v>173</v>
      </c>
      <c r="K27" s="229" t="s">
        <v>749</v>
      </c>
      <c r="L27" s="229" t="s">
        <v>749</v>
      </c>
    </row>
    <row r="28" spans="2:12">
      <c r="B28" s="229" t="s">
        <v>188</v>
      </c>
      <c r="C28" s="229" t="s">
        <v>175</v>
      </c>
      <c r="D28" s="229" t="s">
        <v>2784</v>
      </c>
      <c r="E28" s="229" t="s">
        <v>422</v>
      </c>
      <c r="F28" s="229" t="s">
        <v>188</v>
      </c>
      <c r="G28" s="200" t="s">
        <v>748</v>
      </c>
      <c r="H28" s="201"/>
      <c r="I28" s="201"/>
      <c r="J28" s="229" t="s">
        <v>173</v>
      </c>
      <c r="K28" s="229" t="s">
        <v>749</v>
      </c>
      <c r="L28" s="229" t="s">
        <v>1563</v>
      </c>
    </row>
    <row r="29" spans="2:12">
      <c r="B29" s="229" t="s">
        <v>1865</v>
      </c>
      <c r="C29" s="229" t="s">
        <v>175</v>
      </c>
      <c r="D29" s="229" t="s">
        <v>2785</v>
      </c>
      <c r="E29" s="229" t="s">
        <v>422</v>
      </c>
      <c r="F29" s="229" t="s">
        <v>1865</v>
      </c>
      <c r="G29" s="200" t="s">
        <v>748</v>
      </c>
      <c r="H29" s="201"/>
      <c r="I29" s="201"/>
      <c r="J29" s="229" t="s">
        <v>173</v>
      </c>
      <c r="K29" s="229" t="s">
        <v>749</v>
      </c>
      <c r="L29" s="229" t="s">
        <v>749</v>
      </c>
    </row>
    <row r="30" spans="2:12">
      <c r="B30" s="229" t="s">
        <v>1867</v>
      </c>
      <c r="C30" s="229" t="s">
        <v>175</v>
      </c>
      <c r="D30" s="229" t="s">
        <v>2795</v>
      </c>
      <c r="E30" s="229" t="s">
        <v>422</v>
      </c>
      <c r="F30" s="229" t="s">
        <v>1867</v>
      </c>
      <c r="G30" s="200" t="s">
        <v>748</v>
      </c>
      <c r="H30" s="201"/>
      <c r="I30" s="201"/>
      <c r="J30" s="229" t="s">
        <v>173</v>
      </c>
      <c r="K30" s="229" t="s">
        <v>749</v>
      </c>
      <c r="L30" s="229" t="s">
        <v>749</v>
      </c>
    </row>
    <row r="31" spans="2:12">
      <c r="B31" s="229" t="s">
        <v>1868</v>
      </c>
      <c r="C31" s="229" t="s">
        <v>175</v>
      </c>
      <c r="D31" s="229" t="s">
        <v>2796</v>
      </c>
      <c r="E31" s="229" t="s">
        <v>422</v>
      </c>
      <c r="F31" s="229" t="s">
        <v>1868</v>
      </c>
      <c r="G31" s="200" t="s">
        <v>748</v>
      </c>
      <c r="H31" s="201"/>
      <c r="I31" s="201"/>
      <c r="J31" s="229" t="s">
        <v>173</v>
      </c>
      <c r="K31" s="229" t="s">
        <v>749</v>
      </c>
      <c r="L31" s="229" t="s">
        <v>749</v>
      </c>
    </row>
    <row r="32" spans="2:12">
      <c r="B32" s="229" t="s">
        <v>1869</v>
      </c>
      <c r="C32" s="229" t="s">
        <v>175</v>
      </c>
      <c r="D32" s="229" t="s">
        <v>2792</v>
      </c>
      <c r="E32" s="229" t="s">
        <v>422</v>
      </c>
      <c r="F32" s="229" t="s">
        <v>1869</v>
      </c>
      <c r="G32" s="200" t="s">
        <v>748</v>
      </c>
      <c r="H32" s="201"/>
      <c r="I32" s="201"/>
      <c r="J32" s="229" t="s">
        <v>173</v>
      </c>
      <c r="K32" s="229" t="s">
        <v>749</v>
      </c>
      <c r="L32" s="229" t="s">
        <v>749</v>
      </c>
    </row>
    <row r="33" spans="2:12">
      <c r="B33" s="229" t="s">
        <v>1567</v>
      </c>
      <c r="C33" s="229" t="s">
        <v>175</v>
      </c>
      <c r="D33" s="229" t="s">
        <v>1568</v>
      </c>
      <c r="E33" s="229" t="s">
        <v>422</v>
      </c>
      <c r="F33" s="229" t="s">
        <v>1567</v>
      </c>
      <c r="G33" s="200" t="s">
        <v>748</v>
      </c>
      <c r="H33" s="201"/>
      <c r="I33" s="201"/>
      <c r="J33" s="229" t="s">
        <v>173</v>
      </c>
      <c r="K33" s="229" t="s">
        <v>749</v>
      </c>
      <c r="L33" s="229" t="s">
        <v>1569</v>
      </c>
    </row>
    <row r="34" spans="2:12">
      <c r="B34" s="229" t="s">
        <v>246</v>
      </c>
      <c r="C34" s="229" t="s">
        <v>175</v>
      </c>
      <c r="D34" s="229" t="s">
        <v>1570</v>
      </c>
      <c r="E34" s="229" t="s">
        <v>422</v>
      </c>
      <c r="F34" s="229" t="s">
        <v>246</v>
      </c>
      <c r="G34" s="200" t="s">
        <v>748</v>
      </c>
      <c r="H34" s="201"/>
      <c r="I34" s="201"/>
      <c r="J34" s="229" t="s">
        <v>173</v>
      </c>
      <c r="K34" s="229" t="s">
        <v>749</v>
      </c>
      <c r="L34" s="229" t="s">
        <v>1571</v>
      </c>
    </row>
    <row r="35" spans="2:12">
      <c r="B35" s="229" t="s">
        <v>1572</v>
      </c>
      <c r="C35" s="229" t="s">
        <v>229</v>
      </c>
      <c r="D35" s="229" t="s">
        <v>1573</v>
      </c>
      <c r="E35" s="229" t="s">
        <v>422</v>
      </c>
      <c r="F35" s="229" t="s">
        <v>459</v>
      </c>
      <c r="G35" s="200" t="s">
        <v>1574</v>
      </c>
      <c r="H35" s="201"/>
      <c r="I35" s="201"/>
      <c r="J35" s="229" t="s">
        <v>222</v>
      </c>
      <c r="K35" s="229" t="s">
        <v>1575</v>
      </c>
      <c r="L35" s="229" t="s">
        <v>1576</v>
      </c>
    </row>
    <row r="36" spans="2:12">
      <c r="B36" s="229" t="s">
        <v>3522</v>
      </c>
      <c r="C36" s="229" t="s">
        <v>229</v>
      </c>
      <c r="D36" s="229" t="s">
        <v>3523</v>
      </c>
      <c r="E36" s="229" t="s">
        <v>422</v>
      </c>
      <c r="F36" s="229"/>
      <c r="G36" s="200" t="s">
        <v>831</v>
      </c>
      <c r="H36" s="201"/>
      <c r="I36" s="201"/>
      <c r="J36" s="229" t="s">
        <v>222</v>
      </c>
      <c r="K36" s="229" t="s">
        <v>1625</v>
      </c>
      <c r="L36" s="229" t="s">
        <v>3524</v>
      </c>
    </row>
    <row r="37" spans="2:12">
      <c r="B37" s="229" t="s">
        <v>1577</v>
      </c>
      <c r="C37" s="229" t="s">
        <v>229</v>
      </c>
      <c r="D37" s="229" t="s">
        <v>1578</v>
      </c>
      <c r="E37" s="229" t="s">
        <v>422</v>
      </c>
      <c r="F37" s="229" t="s">
        <v>2006</v>
      </c>
      <c r="G37" s="200" t="s">
        <v>894</v>
      </c>
      <c r="H37" s="201"/>
      <c r="I37" s="201"/>
      <c r="J37" s="229" t="s">
        <v>222</v>
      </c>
      <c r="K37" s="229" t="s">
        <v>615</v>
      </c>
      <c r="L37" s="229" t="s">
        <v>1580</v>
      </c>
    </row>
    <row r="38" spans="2:12">
      <c r="B38" s="229" t="s">
        <v>1581</v>
      </c>
      <c r="C38" s="229" t="s">
        <v>229</v>
      </c>
      <c r="D38" s="229" t="s">
        <v>1582</v>
      </c>
      <c r="E38" s="229" t="s">
        <v>422</v>
      </c>
      <c r="F38" s="229" t="s">
        <v>2008</v>
      </c>
      <c r="G38" s="200" t="s">
        <v>2009</v>
      </c>
      <c r="H38" s="201"/>
      <c r="I38" s="201"/>
      <c r="J38" s="229" t="s">
        <v>222</v>
      </c>
      <c r="K38" s="229" t="s">
        <v>615</v>
      </c>
      <c r="L38" s="229" t="s">
        <v>1584</v>
      </c>
    </row>
    <row r="39" spans="2:12">
      <c r="B39" s="229" t="s">
        <v>1585</v>
      </c>
      <c r="C39" s="229" t="s">
        <v>229</v>
      </c>
      <c r="D39" s="229" t="s">
        <v>1586</v>
      </c>
      <c r="E39" s="229" t="s">
        <v>422</v>
      </c>
      <c r="F39" s="229" t="s">
        <v>1987</v>
      </c>
      <c r="G39" s="200" t="s">
        <v>759</v>
      </c>
      <c r="H39" s="201"/>
      <c r="I39" s="201"/>
      <c r="J39" s="229" t="s">
        <v>222</v>
      </c>
      <c r="K39" s="229" t="s">
        <v>1588</v>
      </c>
      <c r="L39" s="229" t="s">
        <v>1589</v>
      </c>
    </row>
    <row r="40" spans="2:12">
      <c r="B40" s="229" t="s">
        <v>1590</v>
      </c>
      <c r="C40" s="229" t="s">
        <v>229</v>
      </c>
      <c r="D40" s="229" t="s">
        <v>1591</v>
      </c>
      <c r="E40" s="229" t="s">
        <v>422</v>
      </c>
      <c r="F40" s="229" t="s">
        <v>2160</v>
      </c>
      <c r="G40" s="200" t="s">
        <v>1988</v>
      </c>
      <c r="H40" s="201"/>
      <c r="I40" s="201"/>
      <c r="J40" s="229" t="s">
        <v>222</v>
      </c>
      <c r="K40" s="229" t="s">
        <v>1588</v>
      </c>
      <c r="L40" s="229" t="s">
        <v>1593</v>
      </c>
    </row>
    <row r="41" spans="2:12">
      <c r="B41" s="229" t="s">
        <v>1594</v>
      </c>
      <c r="C41" s="229" t="s">
        <v>229</v>
      </c>
      <c r="D41" s="229" t="s">
        <v>1595</v>
      </c>
      <c r="E41" s="229" t="s">
        <v>422</v>
      </c>
      <c r="F41" s="229" t="s">
        <v>1991</v>
      </c>
      <c r="G41" s="200" t="s">
        <v>1992</v>
      </c>
      <c r="H41" s="201"/>
      <c r="I41" s="201"/>
      <c r="J41" s="229" t="s">
        <v>222</v>
      </c>
      <c r="K41" s="229" t="s">
        <v>231</v>
      </c>
      <c r="L41" s="229" t="s">
        <v>1597</v>
      </c>
    </row>
    <row r="42" spans="2:12">
      <c r="B42" s="229" t="s">
        <v>1598</v>
      </c>
      <c r="C42" s="229" t="s">
        <v>229</v>
      </c>
      <c r="D42" s="229" t="s">
        <v>1599</v>
      </c>
      <c r="E42" s="229" t="s">
        <v>422</v>
      </c>
      <c r="F42" s="229" t="s">
        <v>1989</v>
      </c>
      <c r="G42" s="200" t="s">
        <v>1990</v>
      </c>
      <c r="H42" s="201"/>
      <c r="I42" s="201"/>
      <c r="J42" s="229" t="s">
        <v>222</v>
      </c>
      <c r="K42" s="229" t="s">
        <v>231</v>
      </c>
      <c r="L42" s="229" t="s">
        <v>1601</v>
      </c>
    </row>
    <row r="43" spans="2:12">
      <c r="B43" s="229" t="s">
        <v>1606</v>
      </c>
      <c r="C43" s="229" t="s">
        <v>229</v>
      </c>
      <c r="D43" s="229" t="s">
        <v>1607</v>
      </c>
      <c r="E43" s="229" t="s">
        <v>422</v>
      </c>
      <c r="F43" s="229" t="s">
        <v>1993</v>
      </c>
      <c r="G43" s="200" t="s">
        <v>1994</v>
      </c>
      <c r="H43" s="201"/>
      <c r="I43" s="201"/>
      <c r="J43" s="229" t="s">
        <v>222</v>
      </c>
      <c r="K43" s="229" t="s">
        <v>231</v>
      </c>
      <c r="L43" s="229" t="s">
        <v>1609</v>
      </c>
    </row>
    <row r="44" spans="2:12">
      <c r="B44" s="229" t="s">
        <v>1610</v>
      </c>
      <c r="C44" s="229" t="s">
        <v>229</v>
      </c>
      <c r="D44" s="229" t="s">
        <v>1611</v>
      </c>
      <c r="E44" s="229" t="s">
        <v>422</v>
      </c>
      <c r="F44" s="229" t="s">
        <v>1995</v>
      </c>
      <c r="G44" s="200" t="s">
        <v>1996</v>
      </c>
      <c r="H44" s="201"/>
      <c r="I44" s="201"/>
      <c r="J44" s="229" t="s">
        <v>222</v>
      </c>
      <c r="K44" s="229" t="s">
        <v>231</v>
      </c>
      <c r="L44" s="229" t="s">
        <v>1613</v>
      </c>
    </row>
    <row r="45" spans="2:12">
      <c r="B45" s="229" t="s">
        <v>1997</v>
      </c>
      <c r="C45" s="229" t="s">
        <v>229</v>
      </c>
      <c r="D45" s="229" t="s">
        <v>1615</v>
      </c>
      <c r="E45" s="229" t="s">
        <v>422</v>
      </c>
      <c r="F45" s="229" t="s">
        <v>1998</v>
      </c>
      <c r="G45" s="200" t="s">
        <v>1999</v>
      </c>
      <c r="H45" s="201"/>
      <c r="I45" s="201"/>
      <c r="J45" s="229" t="s">
        <v>222</v>
      </c>
      <c r="K45" s="229" t="s">
        <v>231</v>
      </c>
      <c r="L45" s="229" t="s">
        <v>2000</v>
      </c>
    </row>
    <row r="46" spans="2:12">
      <c r="B46" s="229" t="s">
        <v>2001</v>
      </c>
      <c r="C46" s="229" t="s">
        <v>229</v>
      </c>
      <c r="D46" s="229" t="s">
        <v>1619</v>
      </c>
      <c r="E46" s="229" t="s">
        <v>422</v>
      </c>
      <c r="F46" s="229" t="s">
        <v>2002</v>
      </c>
      <c r="G46" s="200" t="s">
        <v>2003</v>
      </c>
      <c r="H46" s="201"/>
      <c r="I46" s="201"/>
      <c r="J46" s="229" t="s">
        <v>222</v>
      </c>
      <c r="K46" s="229" t="s">
        <v>231</v>
      </c>
      <c r="L46" s="229" t="s">
        <v>2004</v>
      </c>
    </row>
    <row r="47" spans="2:12">
      <c r="B47" s="229" t="s">
        <v>1622</v>
      </c>
      <c r="C47" s="229" t="s">
        <v>229</v>
      </c>
      <c r="D47" s="229" t="s">
        <v>1623</v>
      </c>
      <c r="E47" s="229" t="s">
        <v>422</v>
      </c>
      <c r="F47" s="229" t="s">
        <v>2018</v>
      </c>
      <c r="G47" s="200" t="s">
        <v>2019</v>
      </c>
      <c r="H47" s="201"/>
      <c r="I47" s="201"/>
      <c r="J47" s="229" t="s">
        <v>222</v>
      </c>
      <c r="K47" s="229" t="s">
        <v>1625</v>
      </c>
      <c r="L47" s="229" t="s">
        <v>1626</v>
      </c>
    </row>
    <row r="48" spans="2:12">
      <c r="B48" s="229" t="s">
        <v>1627</v>
      </c>
      <c r="C48" s="229" t="s">
        <v>229</v>
      </c>
      <c r="D48" s="229" t="s">
        <v>1628</v>
      </c>
      <c r="E48" s="229" t="s">
        <v>422</v>
      </c>
      <c r="F48" s="229" t="s">
        <v>3525</v>
      </c>
      <c r="G48" s="200" t="s">
        <v>3526</v>
      </c>
      <c r="H48" s="201"/>
      <c r="I48" s="201"/>
      <c r="J48" s="229" t="s">
        <v>222</v>
      </c>
      <c r="K48" s="229" t="s">
        <v>1625</v>
      </c>
      <c r="L48" s="229" t="s">
        <v>1630</v>
      </c>
    </row>
    <row r="49" spans="2:12">
      <c r="B49" s="229" t="s">
        <v>1631</v>
      </c>
      <c r="C49" s="229" t="s">
        <v>229</v>
      </c>
      <c r="D49" s="229" t="s">
        <v>1632</v>
      </c>
      <c r="E49" s="229" t="s">
        <v>422</v>
      </c>
      <c r="F49" s="229" t="s">
        <v>2022</v>
      </c>
      <c r="G49" s="200" t="s">
        <v>2023</v>
      </c>
      <c r="H49" s="201"/>
      <c r="I49" s="201"/>
      <c r="J49" s="229" t="s">
        <v>222</v>
      </c>
      <c r="K49" s="229" t="s">
        <v>231</v>
      </c>
      <c r="L49" s="229" t="s">
        <v>1634</v>
      </c>
    </row>
    <row r="50" spans="2:12">
      <c r="B50" s="229" t="s">
        <v>1635</v>
      </c>
      <c r="C50" s="229" t="s">
        <v>229</v>
      </c>
      <c r="D50" s="229" t="s">
        <v>1636</v>
      </c>
      <c r="E50" s="229" t="s">
        <v>422</v>
      </c>
      <c r="F50" s="229" t="s">
        <v>2024</v>
      </c>
      <c r="G50" s="200" t="s">
        <v>2025</v>
      </c>
      <c r="H50" s="201"/>
      <c r="I50" s="201"/>
      <c r="J50" s="229" t="s">
        <v>222</v>
      </c>
      <c r="K50" s="229" t="s">
        <v>231</v>
      </c>
      <c r="L50" s="229" t="s">
        <v>1638</v>
      </c>
    </row>
    <row r="51" spans="2:12">
      <c r="B51" s="229" t="s">
        <v>3527</v>
      </c>
      <c r="C51" s="229" t="s">
        <v>229</v>
      </c>
      <c r="D51" s="229" t="s">
        <v>2842</v>
      </c>
      <c r="E51" s="229" t="s">
        <v>422</v>
      </c>
      <c r="F51" s="229" t="s">
        <v>3528</v>
      </c>
      <c r="G51" s="200" t="s">
        <v>3529</v>
      </c>
      <c r="H51" s="201"/>
      <c r="I51" s="201"/>
      <c r="J51" s="229" t="s">
        <v>222</v>
      </c>
      <c r="K51" s="229" t="s">
        <v>1575</v>
      </c>
      <c r="L51" s="229" t="s">
        <v>2844</v>
      </c>
    </row>
    <row r="52" spans="2:12">
      <c r="B52" s="229" t="s">
        <v>3530</v>
      </c>
      <c r="C52" s="229" t="s">
        <v>229</v>
      </c>
      <c r="D52" s="229" t="s">
        <v>2850</v>
      </c>
      <c r="E52" s="229" t="s">
        <v>422</v>
      </c>
      <c r="F52" s="229" t="s">
        <v>3531</v>
      </c>
      <c r="G52" s="200" t="s">
        <v>3532</v>
      </c>
      <c r="H52" s="201"/>
      <c r="I52" s="201"/>
      <c r="J52" s="229" t="s">
        <v>222</v>
      </c>
      <c r="K52" s="229" t="s">
        <v>1575</v>
      </c>
      <c r="L52" s="229" t="s">
        <v>3533</v>
      </c>
    </row>
    <row r="53" spans="2:12">
      <c r="B53" s="229" t="s">
        <v>3534</v>
      </c>
      <c r="C53" s="229" t="s">
        <v>229</v>
      </c>
      <c r="D53" s="229" t="s">
        <v>2867</v>
      </c>
      <c r="E53" s="229" t="s">
        <v>422</v>
      </c>
      <c r="F53" s="229" t="s">
        <v>3535</v>
      </c>
      <c r="G53" s="200" t="s">
        <v>3536</v>
      </c>
      <c r="H53" s="201"/>
      <c r="I53" s="201"/>
      <c r="J53" s="229" t="s">
        <v>222</v>
      </c>
      <c r="K53" s="229" t="s">
        <v>231</v>
      </c>
      <c r="L53" s="229" t="s">
        <v>2869</v>
      </c>
    </row>
    <row r="54" spans="2:12">
      <c r="B54" s="229" t="s">
        <v>3537</v>
      </c>
      <c r="C54" s="229" t="s">
        <v>229</v>
      </c>
      <c r="D54" s="229" t="s">
        <v>2871</v>
      </c>
      <c r="E54" s="229" t="s">
        <v>422</v>
      </c>
      <c r="F54" s="229" t="s">
        <v>3538</v>
      </c>
      <c r="G54" s="200" t="s">
        <v>3539</v>
      </c>
      <c r="H54" s="201"/>
      <c r="I54" s="201"/>
      <c r="J54" s="229" t="s">
        <v>222</v>
      </c>
      <c r="K54" s="229" t="s">
        <v>231</v>
      </c>
      <c r="L54" s="229" t="s">
        <v>2873</v>
      </c>
    </row>
    <row r="55" spans="2:12">
      <c r="B55" s="229" t="s">
        <v>3540</v>
      </c>
      <c r="C55" s="229" t="s">
        <v>229</v>
      </c>
      <c r="D55" s="229" t="s">
        <v>2875</v>
      </c>
      <c r="E55" s="229" t="s">
        <v>422</v>
      </c>
      <c r="F55" s="229" t="s">
        <v>3541</v>
      </c>
      <c r="G55" s="200" t="s">
        <v>3542</v>
      </c>
      <c r="H55" s="201"/>
      <c r="I55" s="201"/>
      <c r="J55" s="229" t="s">
        <v>222</v>
      </c>
      <c r="K55" s="229" t="s">
        <v>231</v>
      </c>
      <c r="L55" s="229" t="s">
        <v>2877</v>
      </c>
    </row>
    <row r="56" spans="2:12">
      <c r="B56" s="229" t="s">
        <v>3543</v>
      </c>
      <c r="C56" s="229" t="s">
        <v>229</v>
      </c>
      <c r="D56" s="229" t="s">
        <v>2879</v>
      </c>
      <c r="E56" s="229" t="s">
        <v>422</v>
      </c>
      <c r="F56" s="229" t="s">
        <v>3544</v>
      </c>
      <c r="G56" s="200" t="s">
        <v>3545</v>
      </c>
      <c r="H56" s="201"/>
      <c r="I56" s="201"/>
      <c r="J56" s="229" t="s">
        <v>222</v>
      </c>
      <c r="K56" s="229" t="s">
        <v>231</v>
      </c>
      <c r="L56" s="229" t="s">
        <v>2881</v>
      </c>
    </row>
    <row r="57" spans="2:12">
      <c r="B57" s="229" t="s">
        <v>3546</v>
      </c>
      <c r="C57" s="229" t="s">
        <v>229</v>
      </c>
      <c r="D57" s="229" t="s">
        <v>2883</v>
      </c>
      <c r="E57" s="229" t="s">
        <v>422</v>
      </c>
      <c r="F57" s="229" t="s">
        <v>3547</v>
      </c>
      <c r="G57" s="200" t="s">
        <v>3548</v>
      </c>
      <c r="H57" s="201"/>
      <c r="I57" s="201"/>
      <c r="J57" s="229" t="s">
        <v>222</v>
      </c>
      <c r="K57" s="229" t="s">
        <v>231</v>
      </c>
      <c r="L57" s="229" t="s">
        <v>2885</v>
      </c>
    </row>
    <row r="58" spans="2:12">
      <c r="B58" s="229" t="s">
        <v>3549</v>
      </c>
      <c r="C58" s="229" t="s">
        <v>229</v>
      </c>
      <c r="D58" s="229" t="s">
        <v>2887</v>
      </c>
      <c r="E58" s="229" t="s">
        <v>422</v>
      </c>
      <c r="F58" s="229" t="s">
        <v>3550</v>
      </c>
      <c r="G58" s="200" t="s">
        <v>3551</v>
      </c>
      <c r="H58" s="201"/>
      <c r="I58" s="201"/>
      <c r="J58" s="229" t="s">
        <v>222</v>
      </c>
      <c r="K58" s="229" t="s">
        <v>231</v>
      </c>
      <c r="L58" s="229" t="s">
        <v>2889</v>
      </c>
    </row>
    <row r="59" spans="2:12">
      <c r="B59" s="229" t="s">
        <v>3552</v>
      </c>
      <c r="C59" s="229" t="s">
        <v>229</v>
      </c>
      <c r="D59" s="229" t="s">
        <v>2891</v>
      </c>
      <c r="E59" s="229" t="s">
        <v>422</v>
      </c>
      <c r="F59" s="229" t="s">
        <v>3553</v>
      </c>
      <c r="G59" s="200" t="s">
        <v>3554</v>
      </c>
      <c r="H59" s="201"/>
      <c r="I59" s="201"/>
      <c r="J59" s="229" t="s">
        <v>222</v>
      </c>
      <c r="K59" s="229" t="s">
        <v>231</v>
      </c>
      <c r="L59" s="229" t="s">
        <v>2893</v>
      </c>
    </row>
    <row r="60" spans="2:12">
      <c r="B60" s="229" t="s">
        <v>3555</v>
      </c>
      <c r="C60" s="229" t="s">
        <v>229</v>
      </c>
      <c r="D60" s="229" t="s">
        <v>2895</v>
      </c>
      <c r="E60" s="229" t="s">
        <v>422</v>
      </c>
      <c r="F60" s="229" t="s">
        <v>3556</v>
      </c>
      <c r="G60" s="200" t="s">
        <v>3557</v>
      </c>
      <c r="H60" s="201"/>
      <c r="I60" s="201"/>
      <c r="J60" s="229" t="s">
        <v>222</v>
      </c>
      <c r="K60" s="229" t="s">
        <v>231</v>
      </c>
      <c r="L60" s="229" t="s">
        <v>2897</v>
      </c>
    </row>
    <row r="61" spans="2:12">
      <c r="B61" s="229" t="s">
        <v>3558</v>
      </c>
      <c r="C61" s="229" t="s">
        <v>229</v>
      </c>
      <c r="D61" s="229" t="s">
        <v>2899</v>
      </c>
      <c r="E61" s="229" t="s">
        <v>422</v>
      </c>
      <c r="F61" s="229" t="s">
        <v>3559</v>
      </c>
      <c r="G61" s="200" t="s">
        <v>3560</v>
      </c>
      <c r="H61" s="201"/>
      <c r="I61" s="201"/>
      <c r="J61" s="229" t="s">
        <v>222</v>
      </c>
      <c r="K61" s="229" t="s">
        <v>1588</v>
      </c>
      <c r="L61" s="229" t="s">
        <v>2901</v>
      </c>
    </row>
    <row r="62" spans="2:12">
      <c r="B62" s="229" t="s">
        <v>3561</v>
      </c>
      <c r="C62" s="229" t="s">
        <v>229</v>
      </c>
      <c r="D62" s="229" t="s">
        <v>2903</v>
      </c>
      <c r="E62" s="229" t="s">
        <v>422</v>
      </c>
      <c r="F62" s="229" t="s">
        <v>3562</v>
      </c>
      <c r="G62" s="200" t="s">
        <v>3563</v>
      </c>
      <c r="H62" s="201"/>
      <c r="I62" s="201"/>
      <c r="J62" s="229" t="s">
        <v>222</v>
      </c>
      <c r="K62" s="229" t="s">
        <v>1588</v>
      </c>
      <c r="L62" s="229" t="s">
        <v>2905</v>
      </c>
    </row>
    <row r="63" spans="2:12">
      <c r="B63" s="229" t="s">
        <v>1639</v>
      </c>
      <c r="C63" s="229" t="s">
        <v>229</v>
      </c>
      <c r="D63" s="229" t="s">
        <v>1640</v>
      </c>
      <c r="E63" s="229" t="s">
        <v>422</v>
      </c>
      <c r="F63" s="229" t="s">
        <v>3564</v>
      </c>
      <c r="G63" s="200" t="s">
        <v>3565</v>
      </c>
      <c r="H63" s="201"/>
      <c r="I63" s="201"/>
      <c r="J63" s="229" t="s">
        <v>222</v>
      </c>
      <c r="K63" s="229" t="s">
        <v>1625</v>
      </c>
      <c r="L63" s="229" t="s">
        <v>1642</v>
      </c>
    </row>
    <row r="64" spans="2:12">
      <c r="B64" s="229" t="s">
        <v>1643</v>
      </c>
      <c r="C64" s="229" t="s">
        <v>229</v>
      </c>
      <c r="D64" s="229" t="s">
        <v>1644</v>
      </c>
      <c r="E64" s="229" t="s">
        <v>422</v>
      </c>
      <c r="F64" s="229" t="s">
        <v>3566</v>
      </c>
      <c r="G64" s="200" t="s">
        <v>3567</v>
      </c>
      <c r="H64" s="201"/>
      <c r="I64" s="201"/>
      <c r="J64" s="229" t="s">
        <v>222</v>
      </c>
      <c r="K64" s="229" t="s">
        <v>1625</v>
      </c>
      <c r="L64" s="229" t="s">
        <v>1646</v>
      </c>
    </row>
    <row r="65" spans="2:12">
      <c r="B65" s="229" t="s">
        <v>1647</v>
      </c>
      <c r="C65" s="229" t="s">
        <v>229</v>
      </c>
      <c r="D65" s="229" t="s">
        <v>1648</v>
      </c>
      <c r="E65" s="229" t="s">
        <v>422</v>
      </c>
      <c r="F65" s="229" t="s">
        <v>2006</v>
      </c>
      <c r="G65" s="200" t="s">
        <v>897</v>
      </c>
      <c r="H65" s="201"/>
      <c r="I65" s="201"/>
      <c r="J65" s="229" t="s">
        <v>222</v>
      </c>
      <c r="K65" s="229" t="s">
        <v>1575</v>
      </c>
      <c r="L65" s="229" t="s">
        <v>1650</v>
      </c>
    </row>
    <row r="66" spans="2:12">
      <c r="B66" s="229" t="s">
        <v>1651</v>
      </c>
      <c r="C66" s="229" t="s">
        <v>229</v>
      </c>
      <c r="D66" s="229" t="s">
        <v>1652</v>
      </c>
      <c r="E66" s="229" t="s">
        <v>422</v>
      </c>
      <c r="F66" s="229" t="s">
        <v>2008</v>
      </c>
      <c r="G66" s="200" t="s">
        <v>2206</v>
      </c>
      <c r="H66" s="201"/>
      <c r="I66" s="201"/>
      <c r="J66" s="229" t="s">
        <v>222</v>
      </c>
      <c r="K66" s="229" t="s">
        <v>1575</v>
      </c>
      <c r="L66" s="229" t="s">
        <v>1654</v>
      </c>
    </row>
    <row r="67" spans="2:12">
      <c r="B67" s="229" t="s">
        <v>1655</v>
      </c>
      <c r="C67" s="229" t="s">
        <v>229</v>
      </c>
      <c r="D67" s="229" t="s">
        <v>1656</v>
      </c>
      <c r="E67" s="229" t="s">
        <v>422</v>
      </c>
      <c r="F67" s="229" t="s">
        <v>2212</v>
      </c>
      <c r="G67" s="200" t="s">
        <v>1657</v>
      </c>
      <c r="H67" s="201"/>
      <c r="I67" s="201"/>
      <c r="J67" s="229" t="s">
        <v>222</v>
      </c>
      <c r="K67" s="229" t="s">
        <v>1575</v>
      </c>
      <c r="L67" s="229" t="s">
        <v>1658</v>
      </c>
    </row>
    <row r="68" spans="2:12">
      <c r="B68" s="229" t="s">
        <v>1659</v>
      </c>
      <c r="C68" s="229" t="s">
        <v>229</v>
      </c>
      <c r="D68" s="229" t="s">
        <v>1660</v>
      </c>
      <c r="E68" s="229" t="s">
        <v>422</v>
      </c>
      <c r="F68" s="229" t="s">
        <v>2013</v>
      </c>
      <c r="G68" s="200" t="s">
        <v>2970</v>
      </c>
      <c r="H68" s="201"/>
      <c r="I68" s="201"/>
      <c r="J68" s="229" t="s">
        <v>222</v>
      </c>
      <c r="K68" s="229" t="s">
        <v>1575</v>
      </c>
      <c r="L68" s="229" t="s">
        <v>1662</v>
      </c>
    </row>
    <row r="69" spans="2:12">
      <c r="B69" s="229" t="s">
        <v>1663</v>
      </c>
      <c r="C69" s="229" t="s">
        <v>229</v>
      </c>
      <c r="D69" s="229" t="s">
        <v>1664</v>
      </c>
      <c r="E69" s="229" t="s">
        <v>422</v>
      </c>
      <c r="F69" s="229" t="s">
        <v>2016</v>
      </c>
      <c r="G69" s="200" t="s">
        <v>2993</v>
      </c>
      <c r="H69" s="201"/>
      <c r="I69" s="201"/>
      <c r="J69" s="229" t="s">
        <v>222</v>
      </c>
      <c r="K69" s="229" t="s">
        <v>1575</v>
      </c>
      <c r="L69" s="229" t="s">
        <v>1666</v>
      </c>
    </row>
    <row r="70" spans="2:12">
      <c r="B70" s="229" t="s">
        <v>1667</v>
      </c>
      <c r="C70" s="229" t="s">
        <v>229</v>
      </c>
      <c r="D70" s="229" t="s">
        <v>1668</v>
      </c>
      <c r="E70" s="229" t="s">
        <v>422</v>
      </c>
      <c r="F70" s="229" t="s">
        <v>2018</v>
      </c>
      <c r="G70" s="200" t="s">
        <v>3568</v>
      </c>
      <c r="H70" s="201"/>
      <c r="I70" s="201"/>
      <c r="J70" s="229" t="s">
        <v>222</v>
      </c>
      <c r="K70" s="229" t="s">
        <v>1625</v>
      </c>
      <c r="L70" s="229" t="s">
        <v>1670</v>
      </c>
    </row>
    <row r="71" spans="2:12">
      <c r="B71" s="229" t="s">
        <v>3569</v>
      </c>
      <c r="C71" s="229" t="s">
        <v>229</v>
      </c>
      <c r="D71" s="229" t="s">
        <v>3570</v>
      </c>
      <c r="E71" s="229" t="s">
        <v>422</v>
      </c>
      <c r="F71" s="229" t="s">
        <v>3571</v>
      </c>
      <c r="G71" s="200" t="s">
        <v>3572</v>
      </c>
      <c r="H71" s="201"/>
      <c r="I71" s="201"/>
      <c r="J71" s="229" t="s">
        <v>222</v>
      </c>
      <c r="K71" s="229" t="s">
        <v>3573</v>
      </c>
      <c r="L71" s="229" t="s">
        <v>3574</v>
      </c>
    </row>
    <row r="72" spans="2:12">
      <c r="B72" s="229" t="s">
        <v>3575</v>
      </c>
      <c r="C72" s="229" t="s">
        <v>229</v>
      </c>
      <c r="D72" s="229" t="s">
        <v>3576</v>
      </c>
      <c r="E72" s="229" t="s">
        <v>422</v>
      </c>
      <c r="F72" s="229" t="s">
        <v>3577</v>
      </c>
      <c r="G72" s="200" t="s">
        <v>3578</v>
      </c>
      <c r="H72" s="201"/>
      <c r="I72" s="201"/>
      <c r="J72" s="229" t="s">
        <v>222</v>
      </c>
      <c r="K72" s="229" t="s">
        <v>3573</v>
      </c>
      <c r="L72" s="229" t="s">
        <v>3579</v>
      </c>
    </row>
    <row r="73" spans="2:12">
      <c r="B73" s="229" t="s">
        <v>3580</v>
      </c>
      <c r="C73" s="229" t="s">
        <v>229</v>
      </c>
      <c r="D73" s="229" t="s">
        <v>3581</v>
      </c>
      <c r="E73" s="229" t="s">
        <v>422</v>
      </c>
      <c r="F73" s="229" t="s">
        <v>3582</v>
      </c>
      <c r="G73" s="200" t="s">
        <v>3583</v>
      </c>
      <c r="H73" s="201"/>
      <c r="I73" s="201"/>
      <c r="J73" s="229" t="s">
        <v>222</v>
      </c>
      <c r="K73" s="229" t="s">
        <v>3573</v>
      </c>
      <c r="L73" s="229" t="s">
        <v>3584</v>
      </c>
    </row>
    <row r="74" spans="2:12">
      <c r="B74" s="229" t="s">
        <v>3585</v>
      </c>
      <c r="C74" s="229" t="s">
        <v>229</v>
      </c>
      <c r="D74" s="229" t="s">
        <v>3586</v>
      </c>
      <c r="E74" s="229" t="s">
        <v>422</v>
      </c>
      <c r="F74" s="229" t="s">
        <v>3587</v>
      </c>
      <c r="G74" s="200" t="s">
        <v>3588</v>
      </c>
      <c r="H74" s="201"/>
      <c r="I74" s="201"/>
      <c r="J74" s="229" t="s">
        <v>222</v>
      </c>
      <c r="K74" s="229" t="s">
        <v>3573</v>
      </c>
      <c r="L74" s="229" t="s">
        <v>3589</v>
      </c>
    </row>
    <row r="75" spans="2:12">
      <c r="B75" s="229" t="s">
        <v>1671</v>
      </c>
      <c r="C75" s="229" t="s">
        <v>229</v>
      </c>
      <c r="D75" s="229" t="s">
        <v>1672</v>
      </c>
      <c r="E75" s="229" t="s">
        <v>422</v>
      </c>
      <c r="F75" s="229" t="s">
        <v>3590</v>
      </c>
      <c r="G75" s="200" t="s">
        <v>1673</v>
      </c>
      <c r="H75" s="201"/>
      <c r="I75" s="201"/>
      <c r="J75" s="229" t="s">
        <v>222</v>
      </c>
      <c r="K75" s="229" t="s">
        <v>1575</v>
      </c>
      <c r="L75" s="229" t="s">
        <v>1674</v>
      </c>
    </row>
    <row r="76" spans="2:12">
      <c r="B76" s="229" t="s">
        <v>1675</v>
      </c>
      <c r="C76" s="229" t="s">
        <v>229</v>
      </c>
      <c r="D76" s="229" t="s">
        <v>1676</v>
      </c>
      <c r="E76" s="229" t="s">
        <v>422</v>
      </c>
      <c r="F76" s="229" t="s">
        <v>3591</v>
      </c>
      <c r="G76" s="200" t="s">
        <v>3592</v>
      </c>
      <c r="H76" s="201"/>
      <c r="I76" s="201"/>
      <c r="J76" s="229" t="s">
        <v>222</v>
      </c>
      <c r="K76" s="229" t="s">
        <v>1575</v>
      </c>
      <c r="L76" s="229" t="s">
        <v>1678</v>
      </c>
    </row>
    <row r="77" spans="2:12">
      <c r="B77" s="229" t="s">
        <v>1679</v>
      </c>
      <c r="C77" s="229" t="s">
        <v>229</v>
      </c>
      <c r="D77" s="229" t="s">
        <v>1680</v>
      </c>
      <c r="E77" s="229" t="s">
        <v>422</v>
      </c>
      <c r="F77" s="229" t="s">
        <v>3593</v>
      </c>
      <c r="G77" s="200" t="s">
        <v>1681</v>
      </c>
      <c r="H77" s="201"/>
      <c r="I77" s="201"/>
      <c r="J77" s="229" t="s">
        <v>222</v>
      </c>
      <c r="K77" s="229" t="s">
        <v>1575</v>
      </c>
      <c r="L77" s="229" t="s">
        <v>1682</v>
      </c>
    </row>
    <row r="78" spans="2:12">
      <c r="B78" s="229" t="s">
        <v>1683</v>
      </c>
      <c r="C78" s="229" t="s">
        <v>229</v>
      </c>
      <c r="D78" s="229" t="s">
        <v>1684</v>
      </c>
      <c r="E78" s="229" t="s">
        <v>422</v>
      </c>
      <c r="F78" s="229" t="s">
        <v>3594</v>
      </c>
      <c r="G78" s="200" t="s">
        <v>1685</v>
      </c>
      <c r="H78" s="201"/>
      <c r="I78" s="201"/>
      <c r="J78" s="229" t="s">
        <v>222</v>
      </c>
      <c r="K78" s="229" t="s">
        <v>1575</v>
      </c>
      <c r="L78" s="229" t="s">
        <v>1686</v>
      </c>
    </row>
    <row r="79" spans="2:12">
      <c r="B79" s="229" t="s">
        <v>1687</v>
      </c>
      <c r="C79" s="229" t="s">
        <v>229</v>
      </c>
      <c r="D79" s="229" t="s">
        <v>1688</v>
      </c>
      <c r="E79" s="229" t="s">
        <v>422</v>
      </c>
      <c r="F79" s="229" t="s">
        <v>3595</v>
      </c>
      <c r="G79" s="200" t="s">
        <v>1689</v>
      </c>
      <c r="H79" s="201"/>
      <c r="I79" s="201"/>
      <c r="J79" s="229" t="s">
        <v>222</v>
      </c>
      <c r="K79" s="229" t="s">
        <v>1575</v>
      </c>
      <c r="L79" s="229" t="s">
        <v>1690</v>
      </c>
    </row>
    <row r="80" spans="2:12">
      <c r="B80" s="229" t="s">
        <v>1691</v>
      </c>
      <c r="C80" s="229" t="s">
        <v>229</v>
      </c>
      <c r="D80" s="229" t="s">
        <v>1692</v>
      </c>
      <c r="E80" s="229" t="s">
        <v>422</v>
      </c>
      <c r="F80" s="229" t="s">
        <v>3596</v>
      </c>
      <c r="G80" s="200" t="s">
        <v>1693</v>
      </c>
      <c r="H80" s="201"/>
      <c r="I80" s="201"/>
      <c r="J80" s="229" t="s">
        <v>222</v>
      </c>
      <c r="K80" s="229" t="s">
        <v>1575</v>
      </c>
      <c r="L80" s="229" t="s">
        <v>1694</v>
      </c>
    </row>
    <row r="81" spans="2:12">
      <c r="B81" s="229" t="s">
        <v>1698</v>
      </c>
      <c r="C81" s="229" t="s">
        <v>229</v>
      </c>
      <c r="D81" s="229" t="s">
        <v>1699</v>
      </c>
      <c r="E81" s="229" t="s">
        <v>422</v>
      </c>
      <c r="F81" s="229" t="s">
        <v>3597</v>
      </c>
      <c r="G81" s="200" t="s">
        <v>1693</v>
      </c>
      <c r="H81" s="201"/>
      <c r="I81" s="201"/>
      <c r="J81" s="229" t="s">
        <v>222</v>
      </c>
      <c r="K81" s="229" t="s">
        <v>1575</v>
      </c>
      <c r="L81" s="229" t="s">
        <v>1700</v>
      </c>
    </row>
    <row r="82" spans="2:12">
      <c r="B82" s="229" t="s">
        <v>1701</v>
      </c>
      <c r="C82" s="229" t="s">
        <v>229</v>
      </c>
      <c r="D82" s="229" t="s">
        <v>1702</v>
      </c>
      <c r="E82" s="229" t="s">
        <v>422</v>
      </c>
      <c r="F82" s="229" t="s">
        <v>3598</v>
      </c>
      <c r="G82" s="200" t="s">
        <v>1693</v>
      </c>
      <c r="H82" s="201"/>
      <c r="I82" s="201"/>
      <c r="J82" s="229" t="s">
        <v>222</v>
      </c>
      <c r="K82" s="229" t="s">
        <v>1575</v>
      </c>
      <c r="L82" s="229" t="s">
        <v>1703</v>
      </c>
    </row>
    <row r="83" spans="2:12">
      <c r="B83" s="229" t="s">
        <v>1704</v>
      </c>
      <c r="C83" s="229" t="s">
        <v>229</v>
      </c>
      <c r="D83" s="229" t="s">
        <v>1705</v>
      </c>
      <c r="E83" s="229" t="s">
        <v>422</v>
      </c>
      <c r="F83" s="229" t="s">
        <v>3599</v>
      </c>
      <c r="G83" s="200" t="s">
        <v>1693</v>
      </c>
      <c r="H83" s="201"/>
      <c r="I83" s="201"/>
      <c r="J83" s="229" t="s">
        <v>222</v>
      </c>
      <c r="K83" s="229" t="s">
        <v>1575</v>
      </c>
      <c r="L83" s="229" t="s">
        <v>1706</v>
      </c>
    </row>
    <row r="84" spans="2:12">
      <c r="B84" s="229" t="s">
        <v>1709</v>
      </c>
      <c r="C84" s="229" t="s">
        <v>229</v>
      </c>
      <c r="D84" s="229" t="s">
        <v>1710</v>
      </c>
      <c r="E84" s="229" t="s">
        <v>422</v>
      </c>
      <c r="F84" s="229" t="s">
        <v>3600</v>
      </c>
      <c r="G84" s="200" t="s">
        <v>1693</v>
      </c>
      <c r="H84" s="201"/>
      <c r="I84" s="201"/>
      <c r="J84" s="229" t="s">
        <v>222</v>
      </c>
      <c r="K84" s="229" t="s">
        <v>1575</v>
      </c>
      <c r="L84" s="229" t="s">
        <v>1711</v>
      </c>
    </row>
    <row r="85" spans="2:12">
      <c r="B85" s="229" t="s">
        <v>1712</v>
      </c>
      <c r="C85" s="229" t="s">
        <v>229</v>
      </c>
      <c r="D85" s="229" t="s">
        <v>1713</v>
      </c>
      <c r="E85" s="229" t="s">
        <v>422</v>
      </c>
      <c r="F85" s="229" t="s">
        <v>3601</v>
      </c>
      <c r="G85" s="200" t="s">
        <v>1693</v>
      </c>
      <c r="H85" s="201"/>
      <c r="I85" s="201"/>
      <c r="J85" s="229" t="s">
        <v>222</v>
      </c>
      <c r="K85" s="229" t="s">
        <v>1575</v>
      </c>
      <c r="L85" s="229" t="s">
        <v>1714</v>
      </c>
    </row>
    <row r="86" spans="2:12">
      <c r="B86" s="229" t="s">
        <v>3602</v>
      </c>
      <c r="C86" s="229" t="s">
        <v>229</v>
      </c>
      <c r="D86" s="229" t="s">
        <v>3328</v>
      </c>
      <c r="E86" s="229"/>
      <c r="F86" s="229"/>
      <c r="G86" s="200" t="s">
        <v>1693</v>
      </c>
      <c r="H86" s="201"/>
      <c r="I86" s="201"/>
      <c r="J86" s="229" t="s">
        <v>222</v>
      </c>
      <c r="K86" s="229" t="s">
        <v>1575</v>
      </c>
      <c r="L86" s="229" t="s">
        <v>3329</v>
      </c>
    </row>
    <row r="87" spans="2:12">
      <c r="B87" s="229" t="s">
        <v>1715</v>
      </c>
      <c r="C87" s="229" t="s">
        <v>229</v>
      </c>
      <c r="D87" s="229" t="s">
        <v>1716</v>
      </c>
      <c r="E87" s="229" t="s">
        <v>422</v>
      </c>
      <c r="F87" s="229" t="s">
        <v>3603</v>
      </c>
      <c r="G87" s="200" t="s">
        <v>2399</v>
      </c>
      <c r="H87" s="201"/>
      <c r="I87" s="201"/>
      <c r="J87" s="229" t="s">
        <v>222</v>
      </c>
      <c r="K87" s="229" t="s">
        <v>1718</v>
      </c>
      <c r="L87" s="229" t="s">
        <v>1719</v>
      </c>
    </row>
    <row r="88" spans="2:12">
      <c r="B88" s="229" t="s">
        <v>1720</v>
      </c>
      <c r="C88" s="229" t="s">
        <v>229</v>
      </c>
      <c r="D88" s="229" t="s">
        <v>1721</v>
      </c>
      <c r="E88" s="229" t="s">
        <v>422</v>
      </c>
      <c r="F88" s="229" t="s">
        <v>2421</v>
      </c>
      <c r="G88" s="200" t="s">
        <v>1959</v>
      </c>
      <c r="H88" s="201"/>
      <c r="I88" s="201"/>
      <c r="J88" s="229" t="s">
        <v>222</v>
      </c>
      <c r="K88" s="229" t="s">
        <v>1718</v>
      </c>
      <c r="L88" s="229" t="s">
        <v>1554</v>
      </c>
    </row>
    <row r="89" spans="2:12">
      <c r="B89" s="229" t="s">
        <v>1723</v>
      </c>
      <c r="C89" s="229" t="s">
        <v>229</v>
      </c>
      <c r="D89" s="229" t="s">
        <v>1724</v>
      </c>
      <c r="E89" s="229" t="s">
        <v>422</v>
      </c>
      <c r="F89" s="229" t="s">
        <v>2443</v>
      </c>
      <c r="G89" s="200" t="s">
        <v>1387</v>
      </c>
      <c r="H89" s="201"/>
      <c r="I89" s="201"/>
      <c r="J89" s="229" t="s">
        <v>222</v>
      </c>
      <c r="K89" s="229" t="s">
        <v>1718</v>
      </c>
      <c r="L89" s="229" t="s">
        <v>1719</v>
      </c>
    </row>
    <row r="90" spans="2:12">
      <c r="B90" s="229" t="s">
        <v>1726</v>
      </c>
      <c r="C90" s="229" t="s">
        <v>229</v>
      </c>
      <c r="D90" s="229" t="s">
        <v>1727</v>
      </c>
      <c r="E90" s="229" t="s">
        <v>422</v>
      </c>
      <c r="F90" s="229" t="s">
        <v>3604</v>
      </c>
      <c r="G90" s="200" t="s">
        <v>3605</v>
      </c>
      <c r="H90" s="201"/>
      <c r="I90" s="201"/>
      <c r="J90" s="229" t="s">
        <v>222</v>
      </c>
      <c r="K90" s="229" t="s">
        <v>1718</v>
      </c>
      <c r="L90" s="229" t="s">
        <v>1729</v>
      </c>
    </row>
    <row r="91" spans="2:12">
      <c r="B91" s="229" t="s">
        <v>1730</v>
      </c>
      <c r="C91" s="229" t="s">
        <v>229</v>
      </c>
      <c r="D91" s="229" t="s">
        <v>1731</v>
      </c>
      <c r="E91" s="229" t="s">
        <v>422</v>
      </c>
      <c r="F91" s="229" t="s">
        <v>3606</v>
      </c>
      <c r="G91" s="200" t="s">
        <v>3362</v>
      </c>
      <c r="H91" s="201"/>
      <c r="I91" s="201"/>
      <c r="J91" s="229" t="s">
        <v>222</v>
      </c>
      <c r="K91" s="229" t="s">
        <v>1718</v>
      </c>
      <c r="L91" s="229" t="s">
        <v>1733</v>
      </c>
    </row>
    <row r="92" spans="2:12">
      <c r="B92" s="229" t="s">
        <v>1734</v>
      </c>
      <c r="C92" s="229" t="s">
        <v>229</v>
      </c>
      <c r="D92" s="229" t="s">
        <v>1735</v>
      </c>
      <c r="E92" s="229" t="s">
        <v>422</v>
      </c>
      <c r="F92" s="229" t="s">
        <v>3607</v>
      </c>
      <c r="G92" s="200" t="s">
        <v>3375</v>
      </c>
      <c r="H92" s="201"/>
      <c r="I92" s="201"/>
      <c r="J92" s="229" t="s">
        <v>222</v>
      </c>
      <c r="K92" s="229" t="s">
        <v>1718</v>
      </c>
      <c r="L92" s="229" t="s">
        <v>1737</v>
      </c>
    </row>
    <row r="93" spans="2:12">
      <c r="B93" s="229" t="s">
        <v>1738</v>
      </c>
      <c r="C93" s="229" t="s">
        <v>229</v>
      </c>
      <c r="D93" s="229" t="s">
        <v>1739</v>
      </c>
      <c r="E93" s="229" t="s">
        <v>422</v>
      </c>
      <c r="F93" s="229" t="s">
        <v>2020</v>
      </c>
      <c r="G93" s="200" t="s">
        <v>2153</v>
      </c>
      <c r="H93" s="201"/>
      <c r="I93" s="201"/>
      <c r="J93" s="229" t="s">
        <v>222</v>
      </c>
      <c r="K93" s="229" t="s">
        <v>231</v>
      </c>
      <c r="L93" s="229" t="s">
        <v>1740</v>
      </c>
    </row>
    <row r="94" spans="2:12">
      <c r="B94" s="229" t="s">
        <v>1741</v>
      </c>
      <c r="C94" s="229" t="s">
        <v>229</v>
      </c>
      <c r="D94" s="229" t="s">
        <v>1742</v>
      </c>
      <c r="E94" s="229" t="s">
        <v>422</v>
      </c>
      <c r="F94" s="229" t="s">
        <v>2018</v>
      </c>
      <c r="G94" s="200" t="s">
        <v>2154</v>
      </c>
      <c r="H94" s="201"/>
      <c r="I94" s="201"/>
      <c r="J94" s="229" t="s">
        <v>222</v>
      </c>
      <c r="K94" s="229" t="s">
        <v>231</v>
      </c>
      <c r="L94" s="229" t="s">
        <v>1743</v>
      </c>
    </row>
    <row r="95" spans="2:12">
      <c r="B95" s="229" t="s">
        <v>1744</v>
      </c>
      <c r="C95" s="229" t="s">
        <v>229</v>
      </c>
      <c r="D95" s="229" t="s">
        <v>1745</v>
      </c>
      <c r="E95" s="229" t="s">
        <v>422</v>
      </c>
      <c r="F95" s="229" t="s">
        <v>2006</v>
      </c>
      <c r="G95" s="200" t="s">
        <v>3608</v>
      </c>
      <c r="H95" s="201"/>
      <c r="I95" s="201"/>
      <c r="J95" s="229" t="s">
        <v>222</v>
      </c>
      <c r="K95" s="229" t="s">
        <v>231</v>
      </c>
      <c r="L95" s="229" t="s">
        <v>1746</v>
      </c>
    </row>
    <row r="96" spans="2:12">
      <c r="B96" s="229" t="s">
        <v>1747</v>
      </c>
      <c r="C96" s="229" t="s">
        <v>229</v>
      </c>
      <c r="D96" s="229" t="s">
        <v>1748</v>
      </c>
      <c r="E96" s="229" t="s">
        <v>422</v>
      </c>
      <c r="F96" s="229" t="s">
        <v>2010</v>
      </c>
      <c r="G96" s="200" t="s">
        <v>2156</v>
      </c>
      <c r="H96" s="201"/>
      <c r="I96" s="201"/>
      <c r="J96" s="229" t="s">
        <v>222</v>
      </c>
      <c r="K96" s="229" t="s">
        <v>231</v>
      </c>
      <c r="L96" s="229" t="s">
        <v>1750</v>
      </c>
    </row>
    <row r="97" spans="2:12">
      <c r="B97" s="229" t="s">
        <v>1751</v>
      </c>
      <c r="C97" s="229" t="s">
        <v>229</v>
      </c>
      <c r="D97" s="229" t="s">
        <v>2960</v>
      </c>
      <c r="E97" s="229" t="s">
        <v>422</v>
      </c>
      <c r="F97" s="229" t="s">
        <v>2010</v>
      </c>
      <c r="G97" s="200" t="s">
        <v>2011</v>
      </c>
      <c r="H97" s="201"/>
      <c r="I97" s="201"/>
      <c r="J97" s="229" t="s">
        <v>222</v>
      </c>
      <c r="K97" s="229" t="s">
        <v>1754</v>
      </c>
      <c r="L97" s="229" t="s">
        <v>1755</v>
      </c>
    </row>
    <row r="98" spans="2:12">
      <c r="B98" s="229" t="s">
        <v>1796</v>
      </c>
      <c r="C98" s="229" t="s">
        <v>229</v>
      </c>
      <c r="D98" s="229" t="s">
        <v>1797</v>
      </c>
      <c r="E98" s="229" t="s">
        <v>422</v>
      </c>
      <c r="F98" s="229" t="s">
        <v>2006</v>
      </c>
      <c r="G98" s="200" t="s">
        <v>3609</v>
      </c>
      <c r="H98" s="201"/>
      <c r="I98" s="201"/>
      <c r="J98" s="229" t="s">
        <v>222</v>
      </c>
      <c r="K98" s="229" t="s">
        <v>231</v>
      </c>
      <c r="L98" s="229" t="s">
        <v>1746</v>
      </c>
    </row>
    <row r="99" spans="2:12">
      <c r="B99" s="229" t="s">
        <v>1798</v>
      </c>
      <c r="C99" s="229" t="s">
        <v>229</v>
      </c>
      <c r="D99" s="229" t="s">
        <v>1799</v>
      </c>
      <c r="E99" s="229" t="s">
        <v>422</v>
      </c>
      <c r="F99" s="229" t="s">
        <v>2008</v>
      </c>
      <c r="G99" s="200" t="s">
        <v>1800</v>
      </c>
      <c r="H99" s="201"/>
      <c r="I99" s="201"/>
      <c r="J99" s="229" t="s">
        <v>222</v>
      </c>
      <c r="K99" s="229" t="s">
        <v>231</v>
      </c>
      <c r="L99" s="229" t="s">
        <v>1801</v>
      </c>
    </row>
    <row r="100" spans="2:12">
      <c r="B100" s="229" t="s">
        <v>1756</v>
      </c>
      <c r="C100" s="229" t="s">
        <v>229</v>
      </c>
      <c r="D100" s="229" t="s">
        <v>1757</v>
      </c>
      <c r="E100" s="229" t="s">
        <v>422</v>
      </c>
      <c r="F100" s="229" t="s">
        <v>3610</v>
      </c>
      <c r="G100" s="200" t="s">
        <v>3611</v>
      </c>
      <c r="H100" s="201"/>
      <c r="I100" s="201"/>
      <c r="J100" s="229" t="s">
        <v>222</v>
      </c>
      <c r="K100" s="229" t="s">
        <v>1625</v>
      </c>
      <c r="L100" s="229" t="s">
        <v>1759</v>
      </c>
    </row>
    <row r="101" spans="2:12">
      <c r="B101" s="229" t="s">
        <v>1760</v>
      </c>
      <c r="C101" s="229" t="s">
        <v>229</v>
      </c>
      <c r="D101" s="229" t="s">
        <v>1761</v>
      </c>
      <c r="E101" s="229" t="s">
        <v>422</v>
      </c>
      <c r="F101" s="229" t="s">
        <v>3612</v>
      </c>
      <c r="G101" s="200" t="s">
        <v>3613</v>
      </c>
      <c r="H101" s="201"/>
      <c r="I101" s="201"/>
      <c r="J101" s="229" t="s">
        <v>222</v>
      </c>
      <c r="K101" s="229" t="s">
        <v>1625</v>
      </c>
      <c r="L101" s="229" t="s">
        <v>1763</v>
      </c>
    </row>
    <row r="102" spans="2:12">
      <c r="B102" s="229" t="s">
        <v>1764</v>
      </c>
      <c r="C102" s="229" t="s">
        <v>229</v>
      </c>
      <c r="D102" s="229" t="s">
        <v>1765</v>
      </c>
      <c r="E102" s="229" t="s">
        <v>422</v>
      </c>
      <c r="F102" s="229" t="s">
        <v>3614</v>
      </c>
      <c r="G102" s="200" t="s">
        <v>3615</v>
      </c>
      <c r="H102" s="201"/>
      <c r="I102" s="201"/>
      <c r="J102" s="229" t="s">
        <v>222</v>
      </c>
      <c r="K102" s="229" t="s">
        <v>1625</v>
      </c>
      <c r="L102" s="229" t="s">
        <v>1767</v>
      </c>
    </row>
    <row r="103" spans="2:12">
      <c r="B103" s="229" t="s">
        <v>1768</v>
      </c>
      <c r="C103" s="229" t="s">
        <v>229</v>
      </c>
      <c r="D103" s="229" t="s">
        <v>1769</v>
      </c>
      <c r="E103" s="229" t="s">
        <v>422</v>
      </c>
      <c r="F103" s="229" t="s">
        <v>3616</v>
      </c>
      <c r="G103" s="200" t="s">
        <v>3617</v>
      </c>
      <c r="H103" s="201"/>
      <c r="I103" s="201"/>
      <c r="J103" s="229" t="s">
        <v>222</v>
      </c>
      <c r="K103" s="229" t="s">
        <v>1625</v>
      </c>
      <c r="L103" s="229" t="s">
        <v>1771</v>
      </c>
    </row>
    <row r="104" spans="2:12">
      <c r="B104" s="229" t="s">
        <v>1772</v>
      </c>
      <c r="C104" s="229" t="s">
        <v>229</v>
      </c>
      <c r="D104" s="229" t="s">
        <v>1773</v>
      </c>
      <c r="E104" s="229" t="s">
        <v>422</v>
      </c>
      <c r="F104" s="229" t="s">
        <v>3618</v>
      </c>
      <c r="G104" s="200" t="s">
        <v>3619</v>
      </c>
      <c r="H104" s="201"/>
      <c r="I104" s="201"/>
      <c r="J104" s="229" t="s">
        <v>222</v>
      </c>
      <c r="K104" s="229" t="s">
        <v>1625</v>
      </c>
      <c r="L104" s="229" t="s">
        <v>1775</v>
      </c>
    </row>
    <row r="105" spans="2:12">
      <c r="B105" s="229" t="s">
        <v>1776</v>
      </c>
      <c r="C105" s="229" t="s">
        <v>229</v>
      </c>
      <c r="D105" s="229" t="s">
        <v>1777</v>
      </c>
      <c r="E105" s="229" t="s">
        <v>422</v>
      </c>
      <c r="F105" s="229" t="s">
        <v>3610</v>
      </c>
      <c r="G105" s="200" t="s">
        <v>1778</v>
      </c>
      <c r="H105" s="201"/>
      <c r="I105" s="201"/>
      <c r="J105" s="229" t="s">
        <v>222</v>
      </c>
      <c r="K105" s="229" t="s">
        <v>1625</v>
      </c>
      <c r="L105" s="229" t="s">
        <v>1779</v>
      </c>
    </row>
    <row r="106" spans="2:12">
      <c r="B106" s="229" t="s">
        <v>1780</v>
      </c>
      <c r="C106" s="229" t="s">
        <v>229</v>
      </c>
      <c r="D106" s="229" t="s">
        <v>1781</v>
      </c>
      <c r="E106" s="229" t="s">
        <v>422</v>
      </c>
      <c r="F106" s="229" t="s">
        <v>3612</v>
      </c>
      <c r="G106" s="200" t="s">
        <v>1782</v>
      </c>
      <c r="H106" s="201"/>
      <c r="I106" s="201"/>
      <c r="J106" s="229" t="s">
        <v>222</v>
      </c>
      <c r="K106" s="229" t="s">
        <v>1625</v>
      </c>
      <c r="L106" s="229" t="s">
        <v>1783</v>
      </c>
    </row>
    <row r="107" spans="2:12">
      <c r="B107" s="229" t="s">
        <v>1784</v>
      </c>
      <c r="C107" s="229" t="s">
        <v>229</v>
      </c>
      <c r="D107" s="229" t="s">
        <v>1785</v>
      </c>
      <c r="E107" s="229" t="s">
        <v>422</v>
      </c>
      <c r="F107" s="229" t="s">
        <v>3614</v>
      </c>
      <c r="G107" s="200" t="s">
        <v>1786</v>
      </c>
      <c r="H107" s="201"/>
      <c r="I107" s="201"/>
      <c r="J107" s="229" t="s">
        <v>222</v>
      </c>
      <c r="K107" s="229" t="s">
        <v>1625</v>
      </c>
      <c r="L107" s="229" t="s">
        <v>1787</v>
      </c>
    </row>
    <row r="108" spans="2:12">
      <c r="B108" s="229" t="s">
        <v>1788</v>
      </c>
      <c r="C108" s="229" t="s">
        <v>229</v>
      </c>
      <c r="D108" s="229" t="s">
        <v>1789</v>
      </c>
      <c r="E108" s="229" t="s">
        <v>422</v>
      </c>
      <c r="F108" s="229" t="s">
        <v>3616</v>
      </c>
      <c r="G108" s="200" t="s">
        <v>1790</v>
      </c>
      <c r="H108" s="201"/>
      <c r="I108" s="201"/>
      <c r="J108" s="229" t="s">
        <v>222</v>
      </c>
      <c r="K108" s="229" t="s">
        <v>1625</v>
      </c>
      <c r="L108" s="229" t="s">
        <v>1791</v>
      </c>
    </row>
    <row r="109" spans="2:12">
      <c r="B109" s="229" t="s">
        <v>1792</v>
      </c>
      <c r="C109" s="229" t="s">
        <v>229</v>
      </c>
      <c r="D109" s="229" t="s">
        <v>1793</v>
      </c>
      <c r="E109" s="229" t="s">
        <v>422</v>
      </c>
      <c r="F109" s="229" t="s">
        <v>3618</v>
      </c>
      <c r="G109" s="200" t="s">
        <v>1794</v>
      </c>
      <c r="H109" s="201"/>
      <c r="I109" s="201"/>
      <c r="J109" s="229" t="s">
        <v>222</v>
      </c>
      <c r="K109" s="229" t="s">
        <v>1625</v>
      </c>
      <c r="L109" s="229" t="s">
        <v>1795</v>
      </c>
    </row>
    <row r="110" spans="2:12">
      <c r="B110" s="229" t="s">
        <v>3620</v>
      </c>
      <c r="C110" s="229" t="s">
        <v>229</v>
      </c>
      <c r="D110" s="229" t="s">
        <v>2846</v>
      </c>
      <c r="E110" s="229" t="s">
        <v>422</v>
      </c>
      <c r="F110" s="229" t="s">
        <v>3528</v>
      </c>
      <c r="G110" s="200" t="s">
        <v>2847</v>
      </c>
      <c r="H110" s="201"/>
      <c r="I110" s="201"/>
      <c r="J110" s="229" t="s">
        <v>222</v>
      </c>
      <c r="K110" s="229" t="s">
        <v>1575</v>
      </c>
      <c r="L110" s="229" t="s">
        <v>2848</v>
      </c>
    </row>
    <row r="111" spans="2:12">
      <c r="B111" s="229" t="s">
        <v>3621</v>
      </c>
      <c r="C111" s="229" t="s">
        <v>229</v>
      </c>
      <c r="D111" s="229" t="s">
        <v>2854</v>
      </c>
      <c r="E111" s="229" t="s">
        <v>422</v>
      </c>
      <c r="F111" s="229" t="s">
        <v>3531</v>
      </c>
      <c r="G111" s="200" t="s">
        <v>2855</v>
      </c>
      <c r="H111" s="201"/>
      <c r="I111" s="201"/>
      <c r="J111" s="229" t="s">
        <v>222</v>
      </c>
      <c r="K111" s="229" t="s">
        <v>1575</v>
      </c>
      <c r="L111" s="229" t="s">
        <v>2856</v>
      </c>
    </row>
    <row r="112" spans="2:12">
      <c r="B112" s="229" t="s">
        <v>1802</v>
      </c>
      <c r="C112" s="229" t="s">
        <v>229</v>
      </c>
      <c r="D112" s="229" t="s">
        <v>1803</v>
      </c>
      <c r="E112" s="229" t="s">
        <v>422</v>
      </c>
      <c r="F112" s="229" t="s">
        <v>2013</v>
      </c>
      <c r="G112" s="200" t="s">
        <v>2014</v>
      </c>
      <c r="H112" s="201"/>
      <c r="I112" s="201"/>
      <c r="J112" s="229" t="s">
        <v>222</v>
      </c>
      <c r="K112" s="229" t="s">
        <v>1754</v>
      </c>
      <c r="L112" s="229" t="s">
        <v>1804</v>
      </c>
    </row>
    <row r="113" spans="2:12">
      <c r="B113" s="229" t="s">
        <v>3622</v>
      </c>
      <c r="C113" s="229" t="s">
        <v>229</v>
      </c>
      <c r="D113" s="229" t="s">
        <v>3623</v>
      </c>
      <c r="E113" s="229" t="s">
        <v>422</v>
      </c>
      <c r="F113" s="229" t="s">
        <v>2013</v>
      </c>
      <c r="G113" s="200" t="s">
        <v>2158</v>
      </c>
      <c r="H113" s="201"/>
      <c r="I113" s="201"/>
      <c r="J113" s="229" t="s">
        <v>222</v>
      </c>
      <c r="K113" s="229" t="s">
        <v>231</v>
      </c>
      <c r="L113" s="229" t="s">
        <v>3624</v>
      </c>
    </row>
    <row r="114" spans="2:12">
      <c r="B114" s="229" t="s">
        <v>1809</v>
      </c>
      <c r="C114" s="229" t="s">
        <v>229</v>
      </c>
      <c r="D114" s="229" t="s">
        <v>1810</v>
      </c>
      <c r="E114" s="229" t="s">
        <v>422</v>
      </c>
      <c r="F114" s="229" t="s">
        <v>2016</v>
      </c>
      <c r="G114" s="200" t="s">
        <v>2017</v>
      </c>
      <c r="H114" s="201"/>
      <c r="I114" s="201"/>
      <c r="J114" s="229" t="s">
        <v>222</v>
      </c>
      <c r="K114" s="229" t="s">
        <v>1754</v>
      </c>
      <c r="L114" s="229" t="s">
        <v>1811</v>
      </c>
    </row>
    <row r="115" spans="2:12">
      <c r="B115" s="229" t="s">
        <v>3625</v>
      </c>
      <c r="C115" s="229" t="s">
        <v>229</v>
      </c>
      <c r="D115" s="229" t="s">
        <v>3626</v>
      </c>
      <c r="E115" s="229" t="s">
        <v>422</v>
      </c>
      <c r="F115" s="229" t="s">
        <v>2016</v>
      </c>
      <c r="G115" s="200" t="s">
        <v>2159</v>
      </c>
      <c r="H115" s="201"/>
      <c r="I115" s="201"/>
      <c r="J115" s="229" t="s">
        <v>222</v>
      </c>
      <c r="K115" s="229" t="s">
        <v>231</v>
      </c>
      <c r="L115" s="229" t="s">
        <v>3627</v>
      </c>
    </row>
    <row r="116" spans="2:12">
      <c r="B116" s="229" t="s">
        <v>1816</v>
      </c>
      <c r="C116" s="229" t="s">
        <v>229</v>
      </c>
      <c r="D116" s="229" t="s">
        <v>1817</v>
      </c>
      <c r="E116" s="229" t="s">
        <v>422</v>
      </c>
      <c r="F116" s="229" t="s">
        <v>1987</v>
      </c>
      <c r="G116" s="200" t="s">
        <v>2861</v>
      </c>
      <c r="H116" s="201"/>
      <c r="I116" s="201"/>
      <c r="J116" s="229" t="s">
        <v>222</v>
      </c>
      <c r="K116" s="229" t="s">
        <v>868</v>
      </c>
      <c r="L116" s="229" t="s">
        <v>1819</v>
      </c>
    </row>
    <row r="117" spans="2:12">
      <c r="B117" s="229" t="s">
        <v>2857</v>
      </c>
      <c r="C117" s="229" t="s">
        <v>229</v>
      </c>
      <c r="D117" s="229" t="s">
        <v>2858</v>
      </c>
      <c r="E117" s="229" t="s">
        <v>422</v>
      </c>
      <c r="F117" s="229" t="s">
        <v>3628</v>
      </c>
      <c r="G117" s="200" t="s">
        <v>3629</v>
      </c>
      <c r="H117" s="201"/>
      <c r="I117" s="201"/>
      <c r="J117" s="229" t="s">
        <v>222</v>
      </c>
      <c r="K117" s="229" t="s">
        <v>615</v>
      </c>
      <c r="L117" s="229" t="s">
        <v>2860</v>
      </c>
    </row>
    <row r="118" spans="2:12">
      <c r="B118" s="229" t="s">
        <v>1827</v>
      </c>
      <c r="C118" s="229" t="s">
        <v>229</v>
      </c>
      <c r="D118" s="229" t="s">
        <v>1828</v>
      </c>
      <c r="E118" s="229" t="s">
        <v>422</v>
      </c>
      <c r="F118" s="229" t="s">
        <v>2160</v>
      </c>
      <c r="G118" s="200" t="s">
        <v>2161</v>
      </c>
      <c r="H118" s="201"/>
      <c r="I118" s="201"/>
      <c r="J118" s="229" t="s">
        <v>222</v>
      </c>
      <c r="K118" s="229" t="s">
        <v>868</v>
      </c>
      <c r="L118" s="229" t="s">
        <v>1830</v>
      </c>
    </row>
    <row r="119" spans="2:12">
      <c r="B119" s="229" t="s">
        <v>2862</v>
      </c>
      <c r="C119" s="229" t="s">
        <v>229</v>
      </c>
      <c r="D119" s="229" t="s">
        <v>2863</v>
      </c>
      <c r="E119" s="229" t="s">
        <v>422</v>
      </c>
      <c r="F119" s="229" t="s">
        <v>3630</v>
      </c>
      <c r="G119" s="200" t="s">
        <v>2864</v>
      </c>
      <c r="H119" s="201"/>
      <c r="I119" s="201"/>
      <c r="J119" s="229" t="s">
        <v>222</v>
      </c>
      <c r="K119" s="229" t="s">
        <v>615</v>
      </c>
      <c r="L119" s="229" t="s">
        <v>2865</v>
      </c>
    </row>
    <row r="120" spans="2:12">
      <c r="B120" s="229" t="s">
        <v>3631</v>
      </c>
      <c r="C120" s="229" t="s">
        <v>229</v>
      </c>
      <c r="D120" s="229" t="s">
        <v>1821</v>
      </c>
      <c r="E120" s="229" t="s">
        <v>422</v>
      </c>
      <c r="F120" s="229" t="s">
        <v>1987</v>
      </c>
      <c r="G120" s="200" t="s">
        <v>1822</v>
      </c>
      <c r="H120" s="201"/>
      <c r="I120" s="201"/>
      <c r="J120" s="229" t="s">
        <v>222</v>
      </c>
      <c r="K120" s="229" t="s">
        <v>231</v>
      </c>
      <c r="L120" s="229" t="s">
        <v>3632</v>
      </c>
    </row>
    <row r="121" spans="2:12">
      <c r="B121" s="229" t="s">
        <v>2812</v>
      </c>
      <c r="C121" s="229" t="s">
        <v>229</v>
      </c>
      <c r="D121" s="229" t="s">
        <v>2813</v>
      </c>
      <c r="E121" s="229" t="s">
        <v>422</v>
      </c>
      <c r="F121" s="229" t="s">
        <v>3628</v>
      </c>
      <c r="G121" s="200" t="s">
        <v>2814</v>
      </c>
      <c r="H121" s="201"/>
      <c r="I121" s="201"/>
      <c r="J121" s="229" t="s">
        <v>222</v>
      </c>
      <c r="K121" s="229" t="s">
        <v>231</v>
      </c>
      <c r="L121" s="229" t="s">
        <v>2816</v>
      </c>
    </row>
    <row r="122" spans="2:12">
      <c r="B122" s="229" t="s">
        <v>3633</v>
      </c>
      <c r="C122" s="229" t="s">
        <v>229</v>
      </c>
      <c r="D122" s="229" t="s">
        <v>1825</v>
      </c>
      <c r="E122" s="229" t="s">
        <v>422</v>
      </c>
      <c r="F122" s="229" t="s">
        <v>3634</v>
      </c>
      <c r="G122" s="200" t="s">
        <v>771</v>
      </c>
      <c r="H122" s="201"/>
      <c r="I122" s="201"/>
      <c r="J122" s="229" t="s">
        <v>222</v>
      </c>
      <c r="K122" s="229" t="s">
        <v>231</v>
      </c>
      <c r="L122" s="229" t="s">
        <v>3635</v>
      </c>
    </row>
    <row r="123" spans="2:12">
      <c r="B123" s="229" t="s">
        <v>3636</v>
      </c>
      <c r="C123" s="229" t="s">
        <v>229</v>
      </c>
      <c r="D123" s="229" t="s">
        <v>1832</v>
      </c>
      <c r="E123" s="229" t="s">
        <v>422</v>
      </c>
      <c r="F123" s="229" t="s">
        <v>2160</v>
      </c>
      <c r="G123" s="200" t="s">
        <v>1833</v>
      </c>
      <c r="H123" s="201"/>
      <c r="I123" s="201"/>
      <c r="J123" s="229" t="s">
        <v>222</v>
      </c>
      <c r="K123" s="229" t="s">
        <v>231</v>
      </c>
      <c r="L123" s="229" t="s">
        <v>3637</v>
      </c>
    </row>
    <row r="124" spans="2:12">
      <c r="B124" s="229" t="s">
        <v>2820</v>
      </c>
      <c r="C124" s="229" t="s">
        <v>229</v>
      </c>
      <c r="D124" s="229" t="s">
        <v>2821</v>
      </c>
      <c r="E124" s="229" t="s">
        <v>422</v>
      </c>
      <c r="F124" s="229" t="s">
        <v>3638</v>
      </c>
      <c r="G124" s="200" t="s">
        <v>3639</v>
      </c>
      <c r="H124" s="201"/>
      <c r="I124" s="201"/>
      <c r="J124" s="229" t="s">
        <v>222</v>
      </c>
      <c r="K124" s="229" t="s">
        <v>231</v>
      </c>
      <c r="L124" s="229" t="s">
        <v>2824</v>
      </c>
    </row>
    <row r="125" spans="2:12">
      <c r="B125" s="229" t="s">
        <v>3640</v>
      </c>
      <c r="C125" s="229" t="s">
        <v>229</v>
      </c>
      <c r="D125" s="229" t="s">
        <v>1836</v>
      </c>
      <c r="E125" s="229" t="s">
        <v>422</v>
      </c>
      <c r="F125" s="229" t="s">
        <v>3641</v>
      </c>
      <c r="G125" s="200" t="s">
        <v>3642</v>
      </c>
      <c r="H125" s="201"/>
      <c r="I125" s="201"/>
      <c r="J125" s="229" t="s">
        <v>222</v>
      </c>
      <c r="K125" s="229" t="s">
        <v>231</v>
      </c>
      <c r="L125" s="229" t="s">
        <v>3643</v>
      </c>
    </row>
    <row r="126" spans="2:12">
      <c r="B126" s="229" t="s">
        <v>2825</v>
      </c>
      <c r="C126" s="229" t="s">
        <v>229</v>
      </c>
      <c r="D126" s="229" t="s">
        <v>2826</v>
      </c>
      <c r="E126" s="229" t="s">
        <v>422</v>
      </c>
      <c r="F126" s="229" t="s">
        <v>3638</v>
      </c>
      <c r="G126" s="200" t="s">
        <v>3644</v>
      </c>
      <c r="H126" s="201"/>
      <c r="I126" s="201"/>
      <c r="J126" s="229" t="s">
        <v>222</v>
      </c>
      <c r="K126" s="229" t="s">
        <v>231</v>
      </c>
      <c r="L126" s="229" t="s">
        <v>2829</v>
      </c>
    </row>
    <row r="127" spans="2:12">
      <c r="B127" s="229" t="s">
        <v>3645</v>
      </c>
      <c r="C127" s="229" t="s">
        <v>229</v>
      </c>
      <c r="D127" s="229" t="s">
        <v>1839</v>
      </c>
      <c r="E127" s="229" t="s">
        <v>422</v>
      </c>
      <c r="F127" s="229" t="s">
        <v>3646</v>
      </c>
      <c r="G127" s="200" t="s">
        <v>3647</v>
      </c>
      <c r="H127" s="201"/>
      <c r="I127" s="201"/>
      <c r="J127" s="229" t="s">
        <v>222</v>
      </c>
      <c r="K127" s="229" t="s">
        <v>231</v>
      </c>
      <c r="L127" s="229" t="s">
        <v>3648</v>
      </c>
    </row>
    <row r="128" spans="2:12">
      <c r="B128" s="229" t="s">
        <v>1841</v>
      </c>
      <c r="C128" s="229" t="s">
        <v>229</v>
      </c>
      <c r="D128" s="229" t="s">
        <v>1842</v>
      </c>
      <c r="E128" s="229" t="s">
        <v>422</v>
      </c>
      <c r="F128" s="229" t="s">
        <v>3646</v>
      </c>
      <c r="G128" s="200" t="s">
        <v>3649</v>
      </c>
      <c r="H128" s="201"/>
      <c r="I128" s="201"/>
      <c r="J128" s="229" t="s">
        <v>222</v>
      </c>
      <c r="K128" s="229" t="s">
        <v>1754</v>
      </c>
      <c r="L128" s="229" t="s">
        <v>1844</v>
      </c>
    </row>
    <row r="129" spans="2:12">
      <c r="B129" s="229" t="s">
        <v>1845</v>
      </c>
      <c r="C129" s="229" t="s">
        <v>229</v>
      </c>
      <c r="D129" s="229" t="s">
        <v>1846</v>
      </c>
      <c r="E129" s="229" t="s">
        <v>422</v>
      </c>
      <c r="F129" s="229" t="s">
        <v>3650</v>
      </c>
      <c r="G129" s="200" t="s">
        <v>1500</v>
      </c>
      <c r="H129" s="201"/>
      <c r="I129" s="201"/>
      <c r="J129" s="229" t="s">
        <v>222</v>
      </c>
      <c r="K129" s="229" t="s">
        <v>231</v>
      </c>
      <c r="L129" s="229" t="s">
        <v>1646</v>
      </c>
    </row>
    <row r="130" spans="1:12">
      <c r="A130" s="247"/>
      <c r="B130" s="157" t="s">
        <v>661</v>
      </c>
      <c r="C130" s="157" t="s">
        <v>170</v>
      </c>
      <c r="D130" s="157" t="s">
        <v>1542</v>
      </c>
      <c r="E130" s="234" t="s">
        <v>422</v>
      </c>
      <c r="F130" s="234"/>
      <c r="G130" s="243" t="s">
        <v>3651</v>
      </c>
      <c r="H130" s="234"/>
      <c r="I130" s="239"/>
      <c r="J130" s="157" t="s">
        <v>173</v>
      </c>
      <c r="K130" s="157" t="s">
        <v>749</v>
      </c>
      <c r="L130" s="239"/>
    </row>
    <row r="131" spans="1:12">
      <c r="A131" s="247"/>
      <c r="B131" s="157" t="s">
        <v>1564</v>
      </c>
      <c r="C131" s="157" t="s">
        <v>170</v>
      </c>
      <c r="D131" s="157" t="s">
        <v>1565</v>
      </c>
      <c r="E131" s="234" t="s">
        <v>422</v>
      </c>
      <c r="F131" s="234"/>
      <c r="G131" s="157" t="s">
        <v>1866</v>
      </c>
      <c r="H131" s="234"/>
      <c r="I131" s="239"/>
      <c r="J131" s="157" t="s">
        <v>173</v>
      </c>
      <c r="K131" s="157" t="s">
        <v>749</v>
      </c>
      <c r="L131" s="239"/>
    </row>
    <row r="132" spans="1:12">
      <c r="A132" s="247"/>
      <c r="B132" s="157" t="s">
        <v>2793</v>
      </c>
      <c r="C132" s="157" t="s">
        <v>170</v>
      </c>
      <c r="D132" s="157" t="s">
        <v>2793</v>
      </c>
      <c r="E132" s="234" t="s">
        <v>422</v>
      </c>
      <c r="F132" s="234"/>
      <c r="G132" s="157" t="s">
        <v>2793</v>
      </c>
      <c r="H132" s="234"/>
      <c r="I132" s="239"/>
      <c r="J132" s="157" t="s">
        <v>173</v>
      </c>
      <c r="K132" s="157" t="s">
        <v>749</v>
      </c>
      <c r="L132" s="239"/>
    </row>
    <row r="133" spans="1:12">
      <c r="A133" s="247"/>
      <c r="B133" s="157" t="s">
        <v>3652</v>
      </c>
      <c r="C133" s="157" t="s">
        <v>175</v>
      </c>
      <c r="D133" s="157" t="s">
        <v>3653</v>
      </c>
      <c r="E133" s="234" t="s">
        <v>422</v>
      </c>
      <c r="F133" s="234"/>
      <c r="G133" s="248" t="s">
        <v>471</v>
      </c>
      <c r="H133" s="234"/>
      <c r="I133" s="239"/>
      <c r="J133" s="157" t="s">
        <v>173</v>
      </c>
      <c r="K133" s="157" t="s">
        <v>749</v>
      </c>
      <c r="L133" s="239"/>
    </row>
    <row r="134" spans="1:12">
      <c r="A134" s="247"/>
      <c r="B134" s="157" t="s">
        <v>738</v>
      </c>
      <c r="C134" s="157" t="s">
        <v>170</v>
      </c>
      <c r="D134" s="157" t="s">
        <v>738</v>
      </c>
      <c r="E134" s="234"/>
      <c r="F134" s="234"/>
      <c r="G134" s="157" t="s">
        <v>3654</v>
      </c>
      <c r="H134" s="234"/>
      <c r="I134" s="239"/>
      <c r="J134" s="157" t="s">
        <v>173</v>
      </c>
      <c r="K134" s="157" t="s">
        <v>749</v>
      </c>
      <c r="L134" s="239"/>
    </row>
    <row r="135" spans="1:12">
      <c r="A135" s="247"/>
      <c r="B135" s="157" t="s">
        <v>2798</v>
      </c>
      <c r="C135" s="157" t="s">
        <v>170</v>
      </c>
      <c r="D135" s="157" t="s">
        <v>3655</v>
      </c>
      <c r="E135" s="234"/>
      <c r="F135" s="234"/>
      <c r="G135" s="157" t="s">
        <v>3656</v>
      </c>
      <c r="H135" s="234"/>
      <c r="I135" s="239"/>
      <c r="J135" s="157" t="s">
        <v>173</v>
      </c>
      <c r="K135" s="157" t="s">
        <v>749</v>
      </c>
      <c r="L135" s="239"/>
    </row>
    <row r="136" spans="1:12">
      <c r="A136" s="247"/>
      <c r="B136" s="157" t="s">
        <v>3447</v>
      </c>
      <c r="C136" s="157" t="s">
        <v>170</v>
      </c>
      <c r="D136" s="157" t="s">
        <v>3447</v>
      </c>
      <c r="E136" s="234"/>
      <c r="F136" s="234"/>
      <c r="G136" s="157" t="s">
        <v>3654</v>
      </c>
      <c r="H136" s="234"/>
      <c r="I136" s="239"/>
      <c r="J136" s="157" t="s">
        <v>173</v>
      </c>
      <c r="K136" s="157" t="s">
        <v>749</v>
      </c>
      <c r="L136" s="239"/>
    </row>
    <row r="137" spans="1:12">
      <c r="A137" s="247"/>
      <c r="B137" s="157" t="s">
        <v>3448</v>
      </c>
      <c r="C137" s="157" t="s">
        <v>170</v>
      </c>
      <c r="D137" s="157" t="s">
        <v>3449</v>
      </c>
      <c r="E137" s="234"/>
      <c r="F137" s="234"/>
      <c r="G137" s="157" t="s">
        <v>3654</v>
      </c>
      <c r="H137" s="234"/>
      <c r="I137" s="239"/>
      <c r="J137" s="157" t="s">
        <v>173</v>
      </c>
      <c r="K137" s="157" t="s">
        <v>749</v>
      </c>
      <c r="L137" s="239"/>
    </row>
    <row r="138" spans="1:12">
      <c r="A138" s="247"/>
      <c r="B138" s="157" t="s">
        <v>3448</v>
      </c>
      <c r="C138" s="157" t="s">
        <v>170</v>
      </c>
      <c r="D138" s="157" t="s">
        <v>3451</v>
      </c>
      <c r="E138" s="234"/>
      <c r="F138" s="234"/>
      <c r="G138" s="157" t="s">
        <v>3654</v>
      </c>
      <c r="H138" s="234"/>
      <c r="I138" s="239"/>
      <c r="J138" s="157" t="s">
        <v>173</v>
      </c>
      <c r="K138" s="157" t="s">
        <v>749</v>
      </c>
      <c r="L138" s="239"/>
    </row>
    <row r="139" spans="1:12">
      <c r="A139" s="247"/>
      <c r="B139" s="157" t="s">
        <v>3452</v>
      </c>
      <c r="C139" s="157" t="s">
        <v>170</v>
      </c>
      <c r="D139" s="157" t="s">
        <v>388</v>
      </c>
      <c r="E139" s="234" t="s">
        <v>422</v>
      </c>
      <c r="F139" s="234"/>
      <c r="G139" s="157" t="s">
        <v>3657</v>
      </c>
      <c r="H139" s="234"/>
      <c r="I139" s="239"/>
      <c r="J139" s="157" t="s">
        <v>173</v>
      </c>
      <c r="K139" s="157" t="s">
        <v>749</v>
      </c>
      <c r="L139" s="239"/>
    </row>
    <row r="140" spans="1:12">
      <c r="A140" s="247"/>
      <c r="B140" s="157" t="s">
        <v>3658</v>
      </c>
      <c r="C140" s="157" t="s">
        <v>170</v>
      </c>
      <c r="D140" s="157" t="s">
        <v>3659</v>
      </c>
      <c r="E140" s="234" t="s">
        <v>422</v>
      </c>
      <c r="F140" s="234"/>
      <c r="G140" s="157" t="s">
        <v>3660</v>
      </c>
      <c r="H140" s="234"/>
      <c r="I140" s="239"/>
      <c r="J140" s="157" t="s">
        <v>173</v>
      </c>
      <c r="K140" s="157" t="s">
        <v>749</v>
      </c>
      <c r="L140" s="239"/>
    </row>
    <row r="141" spans="1:12">
      <c r="A141" s="247"/>
      <c r="B141" s="157" t="s">
        <v>2909</v>
      </c>
      <c r="C141" s="157" t="s">
        <v>229</v>
      </c>
      <c r="D141" s="157" t="s">
        <v>2910</v>
      </c>
      <c r="E141" s="234" t="s">
        <v>422</v>
      </c>
      <c r="F141" s="234"/>
      <c r="G141" s="157" t="s">
        <v>831</v>
      </c>
      <c r="H141" s="234"/>
      <c r="I141" s="239"/>
      <c r="J141" s="157" t="s">
        <v>3661</v>
      </c>
      <c r="K141" s="157" t="s">
        <v>1625</v>
      </c>
      <c r="L141" s="239"/>
    </row>
    <row r="142" spans="1:12">
      <c r="A142" s="247"/>
      <c r="B142" s="157" t="s">
        <v>2912</v>
      </c>
      <c r="C142" s="157" t="s">
        <v>229</v>
      </c>
      <c r="D142" s="157" t="s">
        <v>2913</v>
      </c>
      <c r="E142" s="234" t="s">
        <v>422</v>
      </c>
      <c r="F142" s="234"/>
      <c r="G142" s="157" t="s">
        <v>3654</v>
      </c>
      <c r="H142" s="234"/>
      <c r="I142" s="239"/>
      <c r="J142" s="157" t="s">
        <v>3661</v>
      </c>
      <c r="K142" s="157" t="s">
        <v>1625</v>
      </c>
      <c r="L142" s="239"/>
    </row>
    <row r="143" spans="1:12">
      <c r="A143" s="247"/>
      <c r="B143" s="157" t="s">
        <v>2915</v>
      </c>
      <c r="C143" s="157" t="s">
        <v>203</v>
      </c>
      <c r="D143" s="157" t="s">
        <v>2916</v>
      </c>
      <c r="E143" s="234" t="s">
        <v>422</v>
      </c>
      <c r="F143" s="234"/>
      <c r="G143" s="157" t="s">
        <v>3654</v>
      </c>
      <c r="H143" s="234"/>
      <c r="I143" s="239"/>
      <c r="J143" s="157" t="s">
        <v>3661</v>
      </c>
      <c r="K143" s="157" t="s">
        <v>3662</v>
      </c>
      <c r="L143" s="239"/>
    </row>
    <row r="144" spans="1:12">
      <c r="A144" s="247"/>
      <c r="B144" s="157" t="s">
        <v>3445</v>
      </c>
      <c r="C144" s="157" t="s">
        <v>229</v>
      </c>
      <c r="D144" s="157" t="s">
        <v>3663</v>
      </c>
      <c r="E144" s="234" t="s">
        <v>422</v>
      </c>
      <c r="F144" s="234"/>
      <c r="G144" s="157" t="s">
        <v>3654</v>
      </c>
      <c r="H144" s="234"/>
      <c r="I144" s="239"/>
      <c r="J144" s="157" t="s">
        <v>3661</v>
      </c>
      <c r="K144" s="157" t="s">
        <v>1625</v>
      </c>
      <c r="L144" s="239"/>
    </row>
    <row r="145" spans="1:12">
      <c r="A145" s="247"/>
      <c r="B145" s="157" t="s">
        <v>2917</v>
      </c>
      <c r="C145" s="157" t="s">
        <v>229</v>
      </c>
      <c r="D145" s="157" t="s">
        <v>2918</v>
      </c>
      <c r="E145" s="234" t="s">
        <v>422</v>
      </c>
      <c r="F145" s="234"/>
      <c r="G145" s="157" t="s">
        <v>3664</v>
      </c>
      <c r="H145" s="234"/>
      <c r="I145" s="239"/>
      <c r="J145" s="157" t="s">
        <v>3665</v>
      </c>
      <c r="K145" s="157" t="s">
        <v>3666</v>
      </c>
      <c r="L145" s="239"/>
    </row>
    <row r="146" spans="1:12">
      <c r="A146" s="247"/>
      <c r="B146" s="157" t="s">
        <v>2921</v>
      </c>
      <c r="C146" s="157" t="s">
        <v>229</v>
      </c>
      <c r="D146" s="157" t="s">
        <v>2922</v>
      </c>
      <c r="E146" s="234" t="s">
        <v>422</v>
      </c>
      <c r="F146" s="234"/>
      <c r="G146" s="243" t="s">
        <v>3667</v>
      </c>
      <c r="H146" s="234"/>
      <c r="I146" s="239"/>
      <c r="J146" s="157" t="s">
        <v>3665</v>
      </c>
      <c r="K146" s="157" t="s">
        <v>1625</v>
      </c>
      <c r="L146" s="239"/>
    </row>
    <row r="147" spans="1:12">
      <c r="A147" s="247"/>
      <c r="B147" s="157" t="s">
        <v>2925</v>
      </c>
      <c r="C147" s="157" t="s">
        <v>229</v>
      </c>
      <c r="D147" s="157" t="s">
        <v>2926</v>
      </c>
      <c r="E147" s="234" t="s">
        <v>422</v>
      </c>
      <c r="F147" s="234"/>
      <c r="G147" s="243" t="s">
        <v>3668</v>
      </c>
      <c r="H147" s="234"/>
      <c r="I147" s="239"/>
      <c r="J147" s="157" t="s">
        <v>3665</v>
      </c>
      <c r="K147" s="157" t="s">
        <v>1625</v>
      </c>
      <c r="L147" s="239"/>
    </row>
    <row r="148" spans="1:12">
      <c r="A148" s="247"/>
      <c r="B148" s="157" t="s">
        <v>2929</v>
      </c>
      <c r="C148" s="157" t="s">
        <v>229</v>
      </c>
      <c r="D148" s="157" t="s">
        <v>2930</v>
      </c>
      <c r="E148" s="234" t="s">
        <v>422</v>
      </c>
      <c r="F148" s="234"/>
      <c r="G148" s="243" t="s">
        <v>3669</v>
      </c>
      <c r="H148" s="234"/>
      <c r="I148" s="239"/>
      <c r="J148" s="157" t="s">
        <v>3665</v>
      </c>
      <c r="K148" s="157" t="s">
        <v>1625</v>
      </c>
      <c r="L148" s="239"/>
    </row>
    <row r="149" spans="1:12">
      <c r="A149" s="247"/>
      <c r="B149" s="157" t="s">
        <v>2933</v>
      </c>
      <c r="C149" s="157" t="s">
        <v>229</v>
      </c>
      <c r="D149" s="157" t="s">
        <v>2934</v>
      </c>
      <c r="E149" s="234" t="s">
        <v>422</v>
      </c>
      <c r="F149" s="234"/>
      <c r="G149" s="243" t="s">
        <v>3670</v>
      </c>
      <c r="H149" s="234"/>
      <c r="I149" s="239"/>
      <c r="J149" s="157" t="s">
        <v>3665</v>
      </c>
      <c r="K149" s="157" t="s">
        <v>1625</v>
      </c>
      <c r="L149" s="239"/>
    </row>
    <row r="150" spans="1:12">
      <c r="A150" s="247"/>
      <c r="B150" s="157" t="s">
        <v>2937</v>
      </c>
      <c r="C150" s="157" t="s">
        <v>229</v>
      </c>
      <c r="D150" s="157" t="s">
        <v>2938</v>
      </c>
      <c r="E150" s="234" t="s">
        <v>422</v>
      </c>
      <c r="F150" s="234"/>
      <c r="G150" s="243" t="s">
        <v>3671</v>
      </c>
      <c r="H150" s="234"/>
      <c r="I150" s="239"/>
      <c r="J150" s="157" t="s">
        <v>3665</v>
      </c>
      <c r="K150" s="157" t="s">
        <v>1625</v>
      </c>
      <c r="L150" s="239"/>
    </row>
    <row r="151" spans="1:12">
      <c r="A151" s="247"/>
      <c r="B151" s="157" t="s">
        <v>2214</v>
      </c>
      <c r="C151" s="157" t="s">
        <v>229</v>
      </c>
      <c r="D151" s="157" t="s">
        <v>2215</v>
      </c>
      <c r="E151" s="234" t="s">
        <v>422</v>
      </c>
      <c r="F151" s="234"/>
      <c r="G151" s="243" t="s">
        <v>3672</v>
      </c>
      <c r="H151" s="234"/>
      <c r="I151" s="239"/>
      <c r="J151" s="157" t="s">
        <v>3665</v>
      </c>
      <c r="K151" s="157" t="s">
        <v>1625</v>
      </c>
      <c r="L151" s="239"/>
    </row>
    <row r="152" spans="1:12">
      <c r="A152" s="247"/>
      <c r="B152" s="157" t="s">
        <v>2218</v>
      </c>
      <c r="C152" s="157" t="s">
        <v>229</v>
      </c>
      <c r="D152" s="157" t="s">
        <v>2219</v>
      </c>
      <c r="E152" s="234" t="s">
        <v>422</v>
      </c>
      <c r="F152" s="234"/>
      <c r="G152" s="243" t="s">
        <v>3673</v>
      </c>
      <c r="H152" s="234"/>
      <c r="I152" s="239"/>
      <c r="J152" s="157" t="s">
        <v>3665</v>
      </c>
      <c r="K152" s="157" t="s">
        <v>1625</v>
      </c>
      <c r="L152" s="239"/>
    </row>
    <row r="153" spans="1:12">
      <c r="A153" s="247"/>
      <c r="B153" s="157" t="s">
        <v>2222</v>
      </c>
      <c r="C153" s="157" t="s">
        <v>229</v>
      </c>
      <c r="D153" s="157" t="s">
        <v>2223</v>
      </c>
      <c r="E153" s="234" t="s">
        <v>422</v>
      </c>
      <c r="F153" s="234"/>
      <c r="G153" s="243" t="s">
        <v>3674</v>
      </c>
      <c r="H153" s="234"/>
      <c r="I153" s="239"/>
      <c r="J153" s="157" t="s">
        <v>3665</v>
      </c>
      <c r="K153" s="157" t="s">
        <v>1625</v>
      </c>
      <c r="L153" s="239"/>
    </row>
    <row r="154" spans="1:12">
      <c r="A154" s="247"/>
      <c r="B154" s="157" t="s">
        <v>2226</v>
      </c>
      <c r="C154" s="157" t="s">
        <v>229</v>
      </c>
      <c r="D154" s="157" t="s">
        <v>2227</v>
      </c>
      <c r="E154" s="234" t="s">
        <v>422</v>
      </c>
      <c r="F154" s="234"/>
      <c r="G154" s="243" t="s">
        <v>3675</v>
      </c>
      <c r="H154" s="234"/>
      <c r="I154" s="239"/>
      <c r="J154" s="157" t="s">
        <v>3665</v>
      </c>
      <c r="K154" s="157" t="s">
        <v>1625</v>
      </c>
      <c r="L154" s="239"/>
    </row>
    <row r="155" spans="1:12">
      <c r="A155" s="247"/>
      <c r="B155" s="157" t="s">
        <v>2230</v>
      </c>
      <c r="C155" s="157" t="s">
        <v>229</v>
      </c>
      <c r="D155" s="157" t="s">
        <v>2231</v>
      </c>
      <c r="E155" s="234" t="s">
        <v>422</v>
      </c>
      <c r="F155" s="234"/>
      <c r="G155" s="243" t="s">
        <v>3676</v>
      </c>
      <c r="H155" s="234"/>
      <c r="I155" s="239"/>
      <c r="J155" s="157" t="s">
        <v>3665</v>
      </c>
      <c r="K155" s="157" t="s">
        <v>1625</v>
      </c>
      <c r="L155" s="239"/>
    </row>
    <row r="156" spans="1:12">
      <c r="A156" s="247"/>
      <c r="B156" s="157" t="s">
        <v>2971</v>
      </c>
      <c r="C156" s="157" t="s">
        <v>229</v>
      </c>
      <c r="D156" s="157" t="s">
        <v>2972</v>
      </c>
      <c r="E156" s="234" t="s">
        <v>422</v>
      </c>
      <c r="F156" s="234"/>
      <c r="G156" s="243" t="s">
        <v>3677</v>
      </c>
      <c r="H156" s="234"/>
      <c r="I156" s="239"/>
      <c r="J156" s="157" t="s">
        <v>3665</v>
      </c>
      <c r="K156" s="157" t="s">
        <v>1625</v>
      </c>
      <c r="L156" s="239"/>
    </row>
    <row r="157" spans="1:12">
      <c r="A157" s="247"/>
      <c r="B157" s="157" t="s">
        <v>2975</v>
      </c>
      <c r="C157" s="157" t="s">
        <v>229</v>
      </c>
      <c r="D157" s="157" t="s">
        <v>2976</v>
      </c>
      <c r="E157" s="234" t="s">
        <v>422</v>
      </c>
      <c r="F157" s="234"/>
      <c r="G157" s="243" t="s">
        <v>3678</v>
      </c>
      <c r="H157" s="234"/>
      <c r="I157" s="239"/>
      <c r="J157" s="157" t="s">
        <v>3665</v>
      </c>
      <c r="K157" s="157" t="s">
        <v>1625</v>
      </c>
      <c r="L157" s="239"/>
    </row>
    <row r="158" spans="1:12">
      <c r="A158" s="247"/>
      <c r="B158" s="157" t="s">
        <v>2979</v>
      </c>
      <c r="C158" s="157" t="s">
        <v>229</v>
      </c>
      <c r="D158" s="157" t="s">
        <v>2980</v>
      </c>
      <c r="E158" s="234" t="s">
        <v>422</v>
      </c>
      <c r="F158" s="234"/>
      <c r="G158" s="243" t="s">
        <v>3679</v>
      </c>
      <c r="H158" s="234"/>
      <c r="I158" s="239"/>
      <c r="J158" s="157" t="s">
        <v>3665</v>
      </c>
      <c r="K158" s="157" t="s">
        <v>1625</v>
      </c>
      <c r="L158" s="239"/>
    </row>
    <row r="159" spans="1:12">
      <c r="A159" s="247"/>
      <c r="B159" s="157" t="s">
        <v>2983</v>
      </c>
      <c r="C159" s="157" t="s">
        <v>229</v>
      </c>
      <c r="D159" s="157" t="s">
        <v>2984</v>
      </c>
      <c r="E159" s="234" t="s">
        <v>422</v>
      </c>
      <c r="F159" s="234"/>
      <c r="G159" s="243" t="s">
        <v>3680</v>
      </c>
      <c r="H159" s="234"/>
      <c r="I159" s="239"/>
      <c r="J159" s="157" t="s">
        <v>3665</v>
      </c>
      <c r="K159" s="157" t="s">
        <v>1625</v>
      </c>
      <c r="L159" s="239"/>
    </row>
    <row r="160" spans="1:12">
      <c r="A160" s="247"/>
      <c r="B160" s="157" t="s">
        <v>2987</v>
      </c>
      <c r="C160" s="157" t="s">
        <v>229</v>
      </c>
      <c r="D160" s="157" t="s">
        <v>2988</v>
      </c>
      <c r="E160" s="234" t="s">
        <v>422</v>
      </c>
      <c r="F160" s="234"/>
      <c r="G160" s="243" t="s">
        <v>3681</v>
      </c>
      <c r="H160" s="234"/>
      <c r="I160" s="239"/>
      <c r="J160" s="157" t="s">
        <v>3665</v>
      </c>
      <c r="K160" s="157" t="s">
        <v>1625</v>
      </c>
      <c r="L160" s="239"/>
    </row>
    <row r="161" spans="1:12">
      <c r="A161" s="247"/>
      <c r="B161" s="157" t="s">
        <v>2994</v>
      </c>
      <c r="C161" s="157" t="s">
        <v>229</v>
      </c>
      <c r="D161" s="157" t="s">
        <v>2995</v>
      </c>
      <c r="E161" s="234" t="s">
        <v>422</v>
      </c>
      <c r="F161" s="234"/>
      <c r="G161" s="243" t="s">
        <v>3682</v>
      </c>
      <c r="H161" s="234"/>
      <c r="I161" s="239"/>
      <c r="J161" s="157" t="s">
        <v>3665</v>
      </c>
      <c r="K161" s="157" t="s">
        <v>1625</v>
      </c>
      <c r="L161" s="239"/>
    </row>
    <row r="162" spans="1:12">
      <c r="A162" s="247"/>
      <c r="B162" s="157" t="s">
        <v>2998</v>
      </c>
      <c r="C162" s="157" t="s">
        <v>229</v>
      </c>
      <c r="D162" s="157" t="s">
        <v>2999</v>
      </c>
      <c r="E162" s="234" t="s">
        <v>422</v>
      </c>
      <c r="F162" s="234"/>
      <c r="G162" s="243" t="s">
        <v>3683</v>
      </c>
      <c r="H162" s="234"/>
      <c r="I162" s="239"/>
      <c r="J162" s="157" t="s">
        <v>3665</v>
      </c>
      <c r="K162" s="157" t="s">
        <v>1625</v>
      </c>
      <c r="L162" s="239"/>
    </row>
    <row r="163" spans="1:12">
      <c r="A163" s="247"/>
      <c r="B163" s="157" t="s">
        <v>3002</v>
      </c>
      <c r="C163" s="157" t="s">
        <v>229</v>
      </c>
      <c r="D163" s="157" t="s">
        <v>3003</v>
      </c>
      <c r="E163" s="234" t="s">
        <v>422</v>
      </c>
      <c r="F163" s="234"/>
      <c r="G163" s="243" t="s">
        <v>3684</v>
      </c>
      <c r="H163" s="234"/>
      <c r="I163" s="239"/>
      <c r="J163" s="157" t="s">
        <v>3665</v>
      </c>
      <c r="K163" s="157" t="s">
        <v>1625</v>
      </c>
      <c r="L163" s="239"/>
    </row>
    <row r="164" spans="1:12">
      <c r="A164" s="247"/>
      <c r="B164" s="157" t="s">
        <v>3006</v>
      </c>
      <c r="C164" s="157" t="s">
        <v>229</v>
      </c>
      <c r="D164" s="157" t="s">
        <v>3007</v>
      </c>
      <c r="E164" s="234" t="s">
        <v>422</v>
      </c>
      <c r="F164" s="234"/>
      <c r="G164" s="243" t="s">
        <v>3685</v>
      </c>
      <c r="H164" s="234"/>
      <c r="I164" s="239"/>
      <c r="J164" s="157" t="s">
        <v>3665</v>
      </c>
      <c r="K164" s="157" t="s">
        <v>1625</v>
      </c>
      <c r="L164" s="239"/>
    </row>
    <row r="165" spans="1:12">
      <c r="A165" s="247"/>
      <c r="B165" s="157" t="s">
        <v>3009</v>
      </c>
      <c r="C165" s="157" t="s">
        <v>229</v>
      </c>
      <c r="D165" s="157" t="s">
        <v>3010</v>
      </c>
      <c r="E165" s="234" t="s">
        <v>422</v>
      </c>
      <c r="F165" s="234"/>
      <c r="G165" s="243" t="s">
        <v>3686</v>
      </c>
      <c r="H165" s="234"/>
      <c r="I165" s="239"/>
      <c r="J165" s="157" t="s">
        <v>3665</v>
      </c>
      <c r="K165" s="157" t="s">
        <v>1625</v>
      </c>
      <c r="L165" s="239"/>
    </row>
    <row r="166" spans="1:12">
      <c r="A166" s="247"/>
      <c r="B166" s="157" t="s">
        <v>3018</v>
      </c>
      <c r="C166" s="157" t="s">
        <v>229</v>
      </c>
      <c r="D166" s="157" t="s">
        <v>3019</v>
      </c>
      <c r="E166" s="234" t="s">
        <v>422</v>
      </c>
      <c r="F166" s="234"/>
      <c r="G166" s="243" t="s">
        <v>3687</v>
      </c>
      <c r="H166" s="234"/>
      <c r="I166" s="239"/>
      <c r="J166" s="157" t="s">
        <v>3661</v>
      </c>
      <c r="K166" s="157" t="s">
        <v>1625</v>
      </c>
      <c r="L166" s="239"/>
    </row>
    <row r="167" spans="1:12">
      <c r="A167" s="247"/>
      <c r="B167" s="157" t="s">
        <v>3022</v>
      </c>
      <c r="C167" s="157" t="s">
        <v>229</v>
      </c>
      <c r="D167" s="157" t="s">
        <v>3023</v>
      </c>
      <c r="E167" s="234" t="s">
        <v>422</v>
      </c>
      <c r="F167" s="234"/>
      <c r="G167" s="243" t="s">
        <v>3688</v>
      </c>
      <c r="H167" s="234"/>
      <c r="I167" s="239"/>
      <c r="J167" s="157" t="s">
        <v>3661</v>
      </c>
      <c r="K167" s="157" t="s">
        <v>1625</v>
      </c>
      <c r="L167" s="239"/>
    </row>
    <row r="168" spans="1:12">
      <c r="A168" s="247"/>
      <c r="B168" s="157" t="s">
        <v>3025</v>
      </c>
      <c r="C168" s="157" t="s">
        <v>229</v>
      </c>
      <c r="D168" s="157" t="s">
        <v>3026</v>
      </c>
      <c r="E168" s="234" t="s">
        <v>422</v>
      </c>
      <c r="F168" s="234"/>
      <c r="G168" s="243" t="s">
        <v>3689</v>
      </c>
      <c r="H168" s="234"/>
      <c r="I168" s="239"/>
      <c r="J168" s="157" t="s">
        <v>3661</v>
      </c>
      <c r="K168" s="157" t="s">
        <v>1625</v>
      </c>
      <c r="L168" s="239"/>
    </row>
    <row r="169" spans="1:12">
      <c r="A169" s="247"/>
      <c r="B169" s="157" t="s">
        <v>3028</v>
      </c>
      <c r="C169" s="157" t="s">
        <v>229</v>
      </c>
      <c r="D169" s="157" t="s">
        <v>3029</v>
      </c>
      <c r="E169" s="234" t="s">
        <v>422</v>
      </c>
      <c r="F169" s="234"/>
      <c r="G169" s="243" t="s">
        <v>3690</v>
      </c>
      <c r="H169" s="234"/>
      <c r="I169" s="239"/>
      <c r="J169" s="157" t="s">
        <v>3661</v>
      </c>
      <c r="K169" s="157" t="s">
        <v>1625</v>
      </c>
      <c r="L169" s="239"/>
    </row>
    <row r="170" spans="1:12">
      <c r="A170" s="247"/>
      <c r="B170" s="157" t="s">
        <v>3031</v>
      </c>
      <c r="C170" s="157" t="s">
        <v>229</v>
      </c>
      <c r="D170" s="157" t="s">
        <v>3032</v>
      </c>
      <c r="E170" s="234" t="s">
        <v>422</v>
      </c>
      <c r="F170" s="234"/>
      <c r="G170" s="243" t="s">
        <v>3691</v>
      </c>
      <c r="H170" s="234"/>
      <c r="I170" s="239"/>
      <c r="J170" s="157" t="s">
        <v>3661</v>
      </c>
      <c r="K170" s="157" t="s">
        <v>1625</v>
      </c>
      <c r="L170" s="239"/>
    </row>
    <row r="171" spans="1:12">
      <c r="A171" s="247"/>
      <c r="B171" s="157" t="s">
        <v>3040</v>
      </c>
      <c r="C171" s="157" t="s">
        <v>229</v>
      </c>
      <c r="D171" s="157" t="s">
        <v>3041</v>
      </c>
      <c r="E171" s="234" t="s">
        <v>422</v>
      </c>
      <c r="F171" s="234"/>
      <c r="G171" s="243" t="s">
        <v>3692</v>
      </c>
      <c r="H171" s="234"/>
      <c r="I171" s="239"/>
      <c r="J171" s="157" t="s">
        <v>3661</v>
      </c>
      <c r="K171" s="157" t="s">
        <v>1625</v>
      </c>
      <c r="L171" s="239"/>
    </row>
    <row r="172" spans="1:12">
      <c r="A172" s="247"/>
      <c r="B172" s="157" t="s">
        <v>3044</v>
      </c>
      <c r="C172" s="157" t="s">
        <v>229</v>
      </c>
      <c r="D172" s="157" t="s">
        <v>3045</v>
      </c>
      <c r="E172" s="234" t="s">
        <v>422</v>
      </c>
      <c r="F172" s="234"/>
      <c r="G172" s="243" t="s">
        <v>3693</v>
      </c>
      <c r="H172" s="234"/>
      <c r="I172" s="239"/>
      <c r="J172" s="157" t="s">
        <v>3661</v>
      </c>
      <c r="K172" s="157" t="s">
        <v>1625</v>
      </c>
      <c r="L172" s="239"/>
    </row>
    <row r="173" spans="1:12">
      <c r="A173" s="247"/>
      <c r="B173" s="157" t="s">
        <v>3048</v>
      </c>
      <c r="C173" s="157" t="s">
        <v>229</v>
      </c>
      <c r="D173" s="157" t="s">
        <v>3049</v>
      </c>
      <c r="E173" s="234" t="s">
        <v>422</v>
      </c>
      <c r="F173" s="234"/>
      <c r="G173" s="243" t="s">
        <v>3694</v>
      </c>
      <c r="H173" s="234"/>
      <c r="I173" s="239"/>
      <c r="J173" s="157" t="s">
        <v>3661</v>
      </c>
      <c r="K173" s="157" t="s">
        <v>1625</v>
      </c>
      <c r="L173" s="239"/>
    </row>
    <row r="174" spans="1:12">
      <c r="A174" s="247"/>
      <c r="B174" s="157" t="s">
        <v>3052</v>
      </c>
      <c r="C174" s="157" t="s">
        <v>229</v>
      </c>
      <c r="D174" s="157" t="s">
        <v>3053</v>
      </c>
      <c r="E174" s="234" t="s">
        <v>422</v>
      </c>
      <c r="F174" s="234"/>
      <c r="G174" s="243" t="s">
        <v>3695</v>
      </c>
      <c r="H174" s="234"/>
      <c r="I174" s="239"/>
      <c r="J174" s="157" t="s">
        <v>3661</v>
      </c>
      <c r="K174" s="157" t="s">
        <v>1625</v>
      </c>
      <c r="L174" s="239"/>
    </row>
    <row r="175" spans="1:12">
      <c r="A175" s="247"/>
      <c r="B175" s="157" t="s">
        <v>3056</v>
      </c>
      <c r="C175" s="157" t="s">
        <v>229</v>
      </c>
      <c r="D175" s="157" t="s">
        <v>3057</v>
      </c>
      <c r="E175" s="234" t="s">
        <v>422</v>
      </c>
      <c r="F175" s="234"/>
      <c r="G175" s="243" t="s">
        <v>3696</v>
      </c>
      <c r="H175" s="234"/>
      <c r="I175" s="239"/>
      <c r="J175" s="157" t="s">
        <v>3661</v>
      </c>
      <c r="K175" s="157" t="s">
        <v>1625</v>
      </c>
      <c r="L175" s="239"/>
    </row>
    <row r="176" spans="1:12">
      <c r="A176" s="247"/>
      <c r="B176" s="157" t="s">
        <v>3064</v>
      </c>
      <c r="C176" s="157" t="s">
        <v>229</v>
      </c>
      <c r="D176" s="157" t="s">
        <v>3065</v>
      </c>
      <c r="E176" s="234" t="s">
        <v>422</v>
      </c>
      <c r="F176" s="234"/>
      <c r="G176" s="243" t="s">
        <v>3697</v>
      </c>
      <c r="H176" s="234"/>
      <c r="I176" s="239"/>
      <c r="J176" s="157" t="s">
        <v>3661</v>
      </c>
      <c r="K176" s="157" t="s">
        <v>1625</v>
      </c>
      <c r="L176" s="239"/>
    </row>
    <row r="177" spans="1:12">
      <c r="A177" s="247"/>
      <c r="B177" s="157" t="s">
        <v>3068</v>
      </c>
      <c r="C177" s="157" t="s">
        <v>229</v>
      </c>
      <c r="D177" s="157" t="s">
        <v>3069</v>
      </c>
      <c r="E177" s="234" t="s">
        <v>422</v>
      </c>
      <c r="F177" s="234"/>
      <c r="G177" s="243" t="s">
        <v>3698</v>
      </c>
      <c r="H177" s="234"/>
      <c r="I177" s="239"/>
      <c r="J177" s="157" t="s">
        <v>3661</v>
      </c>
      <c r="K177" s="157" t="s">
        <v>1625</v>
      </c>
      <c r="L177" s="239"/>
    </row>
    <row r="178" spans="1:12">
      <c r="A178" s="247"/>
      <c r="B178" s="157" t="s">
        <v>3072</v>
      </c>
      <c r="C178" s="157" t="s">
        <v>229</v>
      </c>
      <c r="D178" s="157" t="s">
        <v>3073</v>
      </c>
      <c r="E178" s="234" t="s">
        <v>422</v>
      </c>
      <c r="F178" s="234"/>
      <c r="G178" s="243" t="s">
        <v>3699</v>
      </c>
      <c r="H178" s="234"/>
      <c r="I178" s="239"/>
      <c r="J178" s="157" t="s">
        <v>3661</v>
      </c>
      <c r="K178" s="157" t="s">
        <v>1625</v>
      </c>
      <c r="L178" s="239"/>
    </row>
    <row r="179" spans="1:12">
      <c r="A179" s="247"/>
      <c r="B179" s="157" t="s">
        <v>3076</v>
      </c>
      <c r="C179" s="157" t="s">
        <v>229</v>
      </c>
      <c r="D179" s="157" t="s">
        <v>3077</v>
      </c>
      <c r="E179" s="234" t="s">
        <v>422</v>
      </c>
      <c r="F179" s="234"/>
      <c r="G179" s="243" t="s">
        <v>3700</v>
      </c>
      <c r="H179" s="234"/>
      <c r="I179" s="239"/>
      <c r="J179" s="157" t="s">
        <v>3661</v>
      </c>
      <c r="K179" s="157" t="s">
        <v>1625</v>
      </c>
      <c r="L179" s="239"/>
    </row>
    <row r="180" spans="1:12">
      <c r="A180" s="247"/>
      <c r="B180" s="157" t="s">
        <v>3080</v>
      </c>
      <c r="C180" s="157" t="s">
        <v>229</v>
      </c>
      <c r="D180" s="157" t="s">
        <v>3081</v>
      </c>
      <c r="E180" s="234" t="s">
        <v>422</v>
      </c>
      <c r="F180" s="234"/>
      <c r="G180" s="243" t="s">
        <v>3701</v>
      </c>
      <c r="H180" s="234"/>
      <c r="I180" s="239"/>
      <c r="J180" s="157" t="s">
        <v>3661</v>
      </c>
      <c r="K180" s="157" t="s">
        <v>1625</v>
      </c>
      <c r="L180" s="239"/>
    </row>
    <row r="181" spans="1:12">
      <c r="A181" s="247"/>
      <c r="B181" s="157" t="s">
        <v>3089</v>
      </c>
      <c r="C181" s="157" t="s">
        <v>229</v>
      </c>
      <c r="D181" s="157" t="s">
        <v>3090</v>
      </c>
      <c r="E181" s="234" t="s">
        <v>422</v>
      </c>
      <c r="F181" s="234"/>
      <c r="G181" s="243" t="s">
        <v>3702</v>
      </c>
      <c r="H181" s="234"/>
      <c r="I181" s="239"/>
      <c r="J181" s="157" t="s">
        <v>3661</v>
      </c>
      <c r="K181" s="157" t="s">
        <v>1625</v>
      </c>
      <c r="L181" s="239"/>
    </row>
    <row r="182" spans="1:12">
      <c r="A182" s="247"/>
      <c r="B182" s="157" t="s">
        <v>3093</v>
      </c>
      <c r="C182" s="157" t="s">
        <v>229</v>
      </c>
      <c r="D182" s="157" t="s">
        <v>3094</v>
      </c>
      <c r="E182" s="234" t="s">
        <v>422</v>
      </c>
      <c r="F182" s="234"/>
      <c r="G182" s="243" t="s">
        <v>3703</v>
      </c>
      <c r="H182" s="234"/>
      <c r="I182" s="239"/>
      <c r="J182" s="157" t="s">
        <v>3661</v>
      </c>
      <c r="K182" s="157" t="s">
        <v>1625</v>
      </c>
      <c r="L182" s="239"/>
    </row>
    <row r="183" spans="1:12">
      <c r="A183" s="247"/>
      <c r="B183" s="157" t="s">
        <v>3097</v>
      </c>
      <c r="C183" s="157" t="s">
        <v>229</v>
      </c>
      <c r="D183" s="157" t="s">
        <v>3098</v>
      </c>
      <c r="E183" s="234" t="s">
        <v>422</v>
      </c>
      <c r="F183" s="234"/>
      <c r="G183" s="243" t="s">
        <v>3704</v>
      </c>
      <c r="H183" s="234"/>
      <c r="I183" s="239"/>
      <c r="J183" s="157" t="s">
        <v>3661</v>
      </c>
      <c r="K183" s="157" t="s">
        <v>1625</v>
      </c>
      <c r="L183" s="239"/>
    </row>
    <row r="184" spans="1:12">
      <c r="A184" s="247"/>
      <c r="B184" s="157" t="s">
        <v>3101</v>
      </c>
      <c r="C184" s="157" t="s">
        <v>229</v>
      </c>
      <c r="D184" s="157" t="s">
        <v>3102</v>
      </c>
      <c r="E184" s="234" t="s">
        <v>422</v>
      </c>
      <c r="F184" s="234"/>
      <c r="G184" s="243" t="s">
        <v>3705</v>
      </c>
      <c r="H184" s="234"/>
      <c r="I184" s="239"/>
      <c r="J184" s="157" t="s">
        <v>3661</v>
      </c>
      <c r="K184" s="157" t="s">
        <v>1625</v>
      </c>
      <c r="L184" s="239"/>
    </row>
    <row r="185" spans="1:12">
      <c r="A185" s="247"/>
      <c r="B185" s="157" t="s">
        <v>3105</v>
      </c>
      <c r="C185" s="157" t="s">
        <v>229</v>
      </c>
      <c r="D185" s="157" t="s">
        <v>3106</v>
      </c>
      <c r="E185" s="234" t="s">
        <v>422</v>
      </c>
      <c r="F185" s="234"/>
      <c r="G185" s="243" t="s">
        <v>3706</v>
      </c>
      <c r="H185" s="234"/>
      <c r="I185" s="239"/>
      <c r="J185" s="157" t="s">
        <v>3661</v>
      </c>
      <c r="K185" s="157" t="s">
        <v>1625</v>
      </c>
      <c r="L185" s="239"/>
    </row>
    <row r="186" spans="1:12">
      <c r="A186" s="247"/>
      <c r="B186" s="157" t="s">
        <v>3117</v>
      </c>
      <c r="C186" s="157" t="s">
        <v>229</v>
      </c>
      <c r="D186" s="157" t="s">
        <v>3118</v>
      </c>
      <c r="E186" s="234" t="s">
        <v>422</v>
      </c>
      <c r="F186" s="234"/>
      <c r="G186" s="243" t="s">
        <v>3707</v>
      </c>
      <c r="H186" s="234"/>
      <c r="I186" s="239"/>
      <c r="J186" s="157" t="s">
        <v>3661</v>
      </c>
      <c r="K186" s="157" t="s">
        <v>1625</v>
      </c>
      <c r="L186" s="239"/>
    </row>
    <row r="187" spans="1:12">
      <c r="A187" s="247"/>
      <c r="B187" s="157" t="s">
        <v>3121</v>
      </c>
      <c r="C187" s="157" t="s">
        <v>229</v>
      </c>
      <c r="D187" s="157" t="s">
        <v>3122</v>
      </c>
      <c r="E187" s="234" t="s">
        <v>422</v>
      </c>
      <c r="F187" s="234"/>
      <c r="G187" s="243" t="s">
        <v>3708</v>
      </c>
      <c r="H187" s="234"/>
      <c r="I187" s="239"/>
      <c r="J187" s="157" t="s">
        <v>3661</v>
      </c>
      <c r="K187" s="157" t="s">
        <v>1625</v>
      </c>
      <c r="L187" s="239"/>
    </row>
    <row r="188" spans="1:12">
      <c r="A188" s="247"/>
      <c r="B188" s="157" t="s">
        <v>3125</v>
      </c>
      <c r="C188" s="157" t="s">
        <v>229</v>
      </c>
      <c r="D188" s="157" t="s">
        <v>3126</v>
      </c>
      <c r="E188" s="234" t="s">
        <v>422</v>
      </c>
      <c r="F188" s="234"/>
      <c r="G188" s="243" t="s">
        <v>3709</v>
      </c>
      <c r="H188" s="234"/>
      <c r="I188" s="239"/>
      <c r="J188" s="157" t="s">
        <v>3661</v>
      </c>
      <c r="K188" s="157" t="s">
        <v>1625</v>
      </c>
      <c r="L188" s="239"/>
    </row>
    <row r="189" spans="1:12">
      <c r="A189" s="247"/>
      <c r="B189" s="157" t="s">
        <v>3129</v>
      </c>
      <c r="C189" s="157" t="s">
        <v>229</v>
      </c>
      <c r="D189" s="157" t="s">
        <v>3130</v>
      </c>
      <c r="E189" s="234" t="s">
        <v>422</v>
      </c>
      <c r="F189" s="234"/>
      <c r="G189" s="243" t="s">
        <v>3710</v>
      </c>
      <c r="H189" s="234"/>
      <c r="I189" s="239"/>
      <c r="J189" s="157" t="s">
        <v>3661</v>
      </c>
      <c r="K189" s="157" t="s">
        <v>1625</v>
      </c>
      <c r="L189" s="239"/>
    </row>
    <row r="190" spans="1:12">
      <c r="A190" s="247"/>
      <c r="B190" s="157" t="s">
        <v>3133</v>
      </c>
      <c r="C190" s="157" t="s">
        <v>229</v>
      </c>
      <c r="D190" s="157" t="s">
        <v>3134</v>
      </c>
      <c r="E190" s="234" t="s">
        <v>422</v>
      </c>
      <c r="F190" s="234"/>
      <c r="G190" s="243" t="s">
        <v>3711</v>
      </c>
      <c r="H190" s="234"/>
      <c r="I190" s="239"/>
      <c r="J190" s="157" t="s">
        <v>3661</v>
      </c>
      <c r="K190" s="157" t="s">
        <v>1625</v>
      </c>
      <c r="L190" s="239"/>
    </row>
    <row r="191" spans="1:12">
      <c r="A191" s="247"/>
      <c r="B191" s="157" t="s">
        <v>3142</v>
      </c>
      <c r="C191" s="157" t="s">
        <v>229</v>
      </c>
      <c r="D191" s="157" t="s">
        <v>3143</v>
      </c>
      <c r="E191" s="234" t="s">
        <v>422</v>
      </c>
      <c r="F191" s="234"/>
      <c r="G191" s="243" t="s">
        <v>3712</v>
      </c>
      <c r="H191" s="234"/>
      <c r="I191" s="239"/>
      <c r="J191" s="157" t="s">
        <v>3661</v>
      </c>
      <c r="K191" s="157" t="s">
        <v>1625</v>
      </c>
      <c r="L191" s="239"/>
    </row>
    <row r="192" spans="1:12">
      <c r="A192" s="247"/>
      <c r="B192" s="157" t="s">
        <v>3146</v>
      </c>
      <c r="C192" s="157" t="s">
        <v>229</v>
      </c>
      <c r="D192" s="157" t="s">
        <v>3147</v>
      </c>
      <c r="E192" s="234" t="s">
        <v>422</v>
      </c>
      <c r="F192" s="234"/>
      <c r="G192" s="243" t="s">
        <v>3713</v>
      </c>
      <c r="H192" s="234"/>
      <c r="I192" s="239"/>
      <c r="J192" s="157" t="s">
        <v>3661</v>
      </c>
      <c r="K192" s="157" t="s">
        <v>1625</v>
      </c>
      <c r="L192" s="239"/>
    </row>
    <row r="193" spans="1:12">
      <c r="A193" s="247"/>
      <c r="B193" s="157" t="s">
        <v>3150</v>
      </c>
      <c r="C193" s="157" t="s">
        <v>229</v>
      </c>
      <c r="D193" s="157" t="s">
        <v>3151</v>
      </c>
      <c r="E193" s="234" t="s">
        <v>422</v>
      </c>
      <c r="F193" s="234"/>
      <c r="G193" s="243" t="s">
        <v>3714</v>
      </c>
      <c r="H193" s="234"/>
      <c r="I193" s="239"/>
      <c r="J193" s="157" t="s">
        <v>3661</v>
      </c>
      <c r="K193" s="157" t="s">
        <v>1625</v>
      </c>
      <c r="L193" s="239"/>
    </row>
    <row r="194" spans="1:12">
      <c r="A194" s="247"/>
      <c r="B194" s="157" t="s">
        <v>3154</v>
      </c>
      <c r="C194" s="157" t="s">
        <v>229</v>
      </c>
      <c r="D194" s="157" t="s">
        <v>3155</v>
      </c>
      <c r="E194" s="234" t="s">
        <v>422</v>
      </c>
      <c r="F194" s="234"/>
      <c r="G194" s="243" t="s">
        <v>3715</v>
      </c>
      <c r="H194" s="234"/>
      <c r="I194" s="239"/>
      <c r="J194" s="157" t="s">
        <v>3661</v>
      </c>
      <c r="K194" s="157" t="s">
        <v>1625</v>
      </c>
      <c r="L194" s="239"/>
    </row>
    <row r="195" spans="1:12">
      <c r="A195" s="247"/>
      <c r="B195" s="157" t="s">
        <v>3158</v>
      </c>
      <c r="C195" s="157" t="s">
        <v>229</v>
      </c>
      <c r="D195" s="157" t="s">
        <v>3159</v>
      </c>
      <c r="E195" s="234" t="s">
        <v>422</v>
      </c>
      <c r="F195" s="234"/>
      <c r="G195" s="243" t="s">
        <v>3716</v>
      </c>
      <c r="H195" s="234"/>
      <c r="I195" s="239"/>
      <c r="J195" s="157" t="s">
        <v>3661</v>
      </c>
      <c r="K195" s="157" t="s">
        <v>1625</v>
      </c>
      <c r="L195" s="239"/>
    </row>
    <row r="196" spans="1:12">
      <c r="A196" s="247"/>
      <c r="B196" s="157" t="s">
        <v>1695</v>
      </c>
      <c r="C196" s="157" t="s">
        <v>229</v>
      </c>
      <c r="D196" s="157" t="s">
        <v>1696</v>
      </c>
      <c r="E196" s="234" t="s">
        <v>422</v>
      </c>
      <c r="F196" s="234"/>
      <c r="G196" s="243" t="s">
        <v>3717</v>
      </c>
      <c r="H196" s="234"/>
      <c r="I196" s="239"/>
      <c r="J196" s="157" t="s">
        <v>3661</v>
      </c>
      <c r="K196" s="157" t="s">
        <v>1575</v>
      </c>
      <c r="L196" s="239"/>
    </row>
    <row r="197" spans="1:12">
      <c r="A197" s="247"/>
      <c r="B197" s="157" t="s">
        <v>3166</v>
      </c>
      <c r="C197" s="157" t="s">
        <v>229</v>
      </c>
      <c r="D197" s="157" t="s">
        <v>3167</v>
      </c>
      <c r="E197" s="234" t="s">
        <v>422</v>
      </c>
      <c r="F197" s="234"/>
      <c r="G197" s="243" t="s">
        <v>3718</v>
      </c>
      <c r="H197" s="234"/>
      <c r="I197" s="239"/>
      <c r="J197" s="157" t="s">
        <v>3661</v>
      </c>
      <c r="K197" s="157" t="s">
        <v>1625</v>
      </c>
      <c r="L197" s="239"/>
    </row>
    <row r="198" spans="1:12">
      <c r="A198" s="247"/>
      <c r="B198" s="157" t="s">
        <v>3170</v>
      </c>
      <c r="C198" s="157" t="s">
        <v>229</v>
      </c>
      <c r="D198" s="157" t="s">
        <v>3171</v>
      </c>
      <c r="E198" s="234" t="s">
        <v>422</v>
      </c>
      <c r="F198" s="234"/>
      <c r="G198" s="243" t="s">
        <v>3719</v>
      </c>
      <c r="H198" s="234"/>
      <c r="I198" s="239"/>
      <c r="J198" s="157" t="s">
        <v>3661</v>
      </c>
      <c r="K198" s="157" t="s">
        <v>1625</v>
      </c>
      <c r="L198" s="239"/>
    </row>
    <row r="199" spans="1:12">
      <c r="A199" s="247"/>
      <c r="B199" s="157" t="s">
        <v>3174</v>
      </c>
      <c r="C199" s="157" t="s">
        <v>229</v>
      </c>
      <c r="D199" s="157" t="s">
        <v>3175</v>
      </c>
      <c r="E199" s="234" t="s">
        <v>422</v>
      </c>
      <c r="F199" s="234"/>
      <c r="G199" s="243" t="s">
        <v>3720</v>
      </c>
      <c r="H199" s="234"/>
      <c r="I199" s="239"/>
      <c r="J199" s="157" t="s">
        <v>3661</v>
      </c>
      <c r="K199" s="157" t="s">
        <v>1625</v>
      </c>
      <c r="L199" s="239"/>
    </row>
    <row r="200" spans="1:12">
      <c r="A200" s="247"/>
      <c r="B200" s="157" t="s">
        <v>3178</v>
      </c>
      <c r="C200" s="157" t="s">
        <v>229</v>
      </c>
      <c r="D200" s="157" t="s">
        <v>3179</v>
      </c>
      <c r="E200" s="234" t="s">
        <v>422</v>
      </c>
      <c r="F200" s="234"/>
      <c r="G200" s="243" t="s">
        <v>3721</v>
      </c>
      <c r="H200" s="234"/>
      <c r="I200" s="239"/>
      <c r="J200" s="157" t="s">
        <v>3661</v>
      </c>
      <c r="K200" s="157" t="s">
        <v>1625</v>
      </c>
      <c r="L200" s="239"/>
    </row>
    <row r="201" spans="1:12">
      <c r="A201" s="247"/>
      <c r="B201" s="157" t="s">
        <v>3182</v>
      </c>
      <c r="C201" s="157" t="s">
        <v>229</v>
      </c>
      <c r="D201" s="157" t="s">
        <v>3183</v>
      </c>
      <c r="E201" s="234" t="s">
        <v>422</v>
      </c>
      <c r="F201" s="234"/>
      <c r="G201" s="243" t="s">
        <v>3722</v>
      </c>
      <c r="H201" s="234"/>
      <c r="I201" s="239"/>
      <c r="J201" s="157" t="s">
        <v>3661</v>
      </c>
      <c r="K201" s="157" t="s">
        <v>1625</v>
      </c>
      <c r="L201" s="239"/>
    </row>
    <row r="202" spans="1:12">
      <c r="A202" s="247"/>
      <c r="B202" s="157" t="s">
        <v>3191</v>
      </c>
      <c r="C202" s="157" t="s">
        <v>229</v>
      </c>
      <c r="D202" s="157" t="s">
        <v>3192</v>
      </c>
      <c r="E202" s="234" t="s">
        <v>422</v>
      </c>
      <c r="F202" s="234"/>
      <c r="G202" s="243" t="s">
        <v>3723</v>
      </c>
      <c r="H202" s="234"/>
      <c r="I202" s="239"/>
      <c r="J202" s="157" t="s">
        <v>3661</v>
      </c>
      <c r="K202" s="157" t="s">
        <v>1625</v>
      </c>
      <c r="L202" s="239"/>
    </row>
    <row r="203" spans="1:12">
      <c r="A203" s="247"/>
      <c r="B203" s="157" t="s">
        <v>3194</v>
      </c>
      <c r="C203" s="157" t="s">
        <v>229</v>
      </c>
      <c r="D203" s="157" t="s">
        <v>3195</v>
      </c>
      <c r="E203" s="234" t="s">
        <v>422</v>
      </c>
      <c r="F203" s="234"/>
      <c r="G203" s="243" t="s">
        <v>3724</v>
      </c>
      <c r="H203" s="234"/>
      <c r="I203" s="239"/>
      <c r="J203" s="157" t="s">
        <v>3661</v>
      </c>
      <c r="K203" s="157" t="s">
        <v>1625</v>
      </c>
      <c r="L203" s="239"/>
    </row>
    <row r="204" spans="1:12">
      <c r="A204" s="247"/>
      <c r="B204" s="157" t="s">
        <v>3197</v>
      </c>
      <c r="C204" s="157" t="s">
        <v>229</v>
      </c>
      <c r="D204" s="157" t="s">
        <v>3198</v>
      </c>
      <c r="E204" s="234" t="s">
        <v>422</v>
      </c>
      <c r="F204" s="234"/>
      <c r="G204" s="243" t="s">
        <v>3725</v>
      </c>
      <c r="H204" s="234"/>
      <c r="I204" s="239"/>
      <c r="J204" s="157" t="s">
        <v>3661</v>
      </c>
      <c r="K204" s="157" t="s">
        <v>1625</v>
      </c>
      <c r="L204" s="239"/>
    </row>
    <row r="205" spans="1:12">
      <c r="A205" s="247"/>
      <c r="B205" s="157" t="s">
        <v>3200</v>
      </c>
      <c r="C205" s="157" t="s">
        <v>229</v>
      </c>
      <c r="D205" s="157" t="s">
        <v>3201</v>
      </c>
      <c r="E205" s="234" t="s">
        <v>422</v>
      </c>
      <c r="F205" s="234"/>
      <c r="G205" s="243" t="s">
        <v>3726</v>
      </c>
      <c r="H205" s="234"/>
      <c r="I205" s="239"/>
      <c r="J205" s="157" t="s">
        <v>3661</v>
      </c>
      <c r="K205" s="157" t="s">
        <v>1625</v>
      </c>
      <c r="L205" s="239"/>
    </row>
    <row r="206" spans="1:12">
      <c r="A206" s="247"/>
      <c r="B206" s="157" t="s">
        <v>3203</v>
      </c>
      <c r="C206" s="157" t="s">
        <v>229</v>
      </c>
      <c r="D206" s="157" t="s">
        <v>3204</v>
      </c>
      <c r="E206" s="234" t="s">
        <v>422</v>
      </c>
      <c r="F206" s="234"/>
      <c r="G206" s="243" t="s">
        <v>3727</v>
      </c>
      <c r="H206" s="234"/>
      <c r="I206" s="239"/>
      <c r="J206" s="157" t="s">
        <v>3661</v>
      </c>
      <c r="K206" s="157" t="s">
        <v>1625</v>
      </c>
      <c r="L206" s="239"/>
    </row>
    <row r="207" spans="1:12">
      <c r="A207" s="247"/>
      <c r="B207" s="157" t="s">
        <v>3211</v>
      </c>
      <c r="C207" s="157" t="s">
        <v>229</v>
      </c>
      <c r="D207" s="157" t="s">
        <v>3212</v>
      </c>
      <c r="E207" s="234" t="s">
        <v>422</v>
      </c>
      <c r="F207" s="234"/>
      <c r="G207" s="243" t="s">
        <v>3728</v>
      </c>
      <c r="H207" s="234"/>
      <c r="I207" s="239"/>
      <c r="J207" s="157" t="s">
        <v>3661</v>
      </c>
      <c r="K207" s="157" t="s">
        <v>1625</v>
      </c>
      <c r="L207" s="239"/>
    </row>
    <row r="208" spans="1:12">
      <c r="A208" s="247"/>
      <c r="B208" s="157" t="s">
        <v>3215</v>
      </c>
      <c r="C208" s="157" t="s">
        <v>229</v>
      </c>
      <c r="D208" s="157" t="s">
        <v>3216</v>
      </c>
      <c r="E208" s="234" t="s">
        <v>422</v>
      </c>
      <c r="F208" s="234"/>
      <c r="G208" s="243" t="s">
        <v>3729</v>
      </c>
      <c r="H208" s="234"/>
      <c r="I208" s="239"/>
      <c r="J208" s="157" t="s">
        <v>3661</v>
      </c>
      <c r="K208" s="157" t="s">
        <v>1625</v>
      </c>
      <c r="L208" s="239"/>
    </row>
    <row r="209" spans="1:12">
      <c r="A209" s="247"/>
      <c r="B209" s="157" t="s">
        <v>3219</v>
      </c>
      <c r="C209" s="157" t="s">
        <v>229</v>
      </c>
      <c r="D209" s="157" t="s">
        <v>3220</v>
      </c>
      <c r="E209" s="234" t="s">
        <v>422</v>
      </c>
      <c r="F209" s="234"/>
      <c r="G209" s="243" t="s">
        <v>3730</v>
      </c>
      <c r="H209" s="234"/>
      <c r="I209" s="239"/>
      <c r="J209" s="157" t="s">
        <v>3661</v>
      </c>
      <c r="K209" s="157" t="s">
        <v>1625</v>
      </c>
      <c r="L209" s="239"/>
    </row>
    <row r="210" spans="1:12">
      <c r="A210" s="247"/>
      <c r="B210" s="157" t="s">
        <v>3222</v>
      </c>
      <c r="C210" s="157" t="s">
        <v>229</v>
      </c>
      <c r="D210" s="157" t="s">
        <v>3223</v>
      </c>
      <c r="E210" s="234" t="s">
        <v>422</v>
      </c>
      <c r="F210" s="234"/>
      <c r="G210" s="243" t="s">
        <v>3731</v>
      </c>
      <c r="H210" s="234"/>
      <c r="I210" s="239"/>
      <c r="J210" s="157" t="s">
        <v>3661</v>
      </c>
      <c r="K210" s="157" t="s">
        <v>1625</v>
      </c>
      <c r="L210" s="239"/>
    </row>
    <row r="211" spans="1:12">
      <c r="A211" s="247"/>
      <c r="B211" s="157" t="s">
        <v>3225</v>
      </c>
      <c r="C211" s="157" t="s">
        <v>229</v>
      </c>
      <c r="D211" s="157" t="s">
        <v>3226</v>
      </c>
      <c r="E211" s="234" t="s">
        <v>422</v>
      </c>
      <c r="F211" s="234"/>
      <c r="G211" s="243" t="s">
        <v>3732</v>
      </c>
      <c r="H211" s="234"/>
      <c r="I211" s="239"/>
      <c r="J211" s="157" t="s">
        <v>3661</v>
      </c>
      <c r="K211" s="157" t="s">
        <v>1625</v>
      </c>
      <c r="L211" s="239"/>
    </row>
    <row r="212" spans="1:12">
      <c r="A212" s="247"/>
      <c r="B212" s="157" t="s">
        <v>3233</v>
      </c>
      <c r="C212" s="157" t="s">
        <v>229</v>
      </c>
      <c r="D212" s="157" t="s">
        <v>3234</v>
      </c>
      <c r="E212" s="234" t="s">
        <v>422</v>
      </c>
      <c r="F212" s="234"/>
      <c r="G212" s="243" t="s">
        <v>3733</v>
      </c>
      <c r="H212" s="234"/>
      <c r="I212" s="239"/>
      <c r="J212" s="157" t="s">
        <v>3661</v>
      </c>
      <c r="K212" s="157" t="s">
        <v>1625</v>
      </c>
      <c r="L212" s="239"/>
    </row>
    <row r="213" spans="1:12">
      <c r="A213" s="247"/>
      <c r="B213" s="157" t="s">
        <v>3237</v>
      </c>
      <c r="C213" s="157" t="s">
        <v>229</v>
      </c>
      <c r="D213" s="157" t="s">
        <v>3238</v>
      </c>
      <c r="E213" s="234" t="s">
        <v>422</v>
      </c>
      <c r="F213" s="234"/>
      <c r="G213" s="243" t="s">
        <v>3734</v>
      </c>
      <c r="H213" s="234"/>
      <c r="I213" s="239"/>
      <c r="J213" s="157" t="s">
        <v>3661</v>
      </c>
      <c r="K213" s="157" t="s">
        <v>1625</v>
      </c>
      <c r="L213" s="239"/>
    </row>
    <row r="214" spans="1:12">
      <c r="A214" s="247"/>
      <c r="B214" s="157" t="s">
        <v>3241</v>
      </c>
      <c r="C214" s="157" t="s">
        <v>229</v>
      </c>
      <c r="D214" s="157" t="s">
        <v>3242</v>
      </c>
      <c r="E214" s="234" t="s">
        <v>422</v>
      </c>
      <c r="F214" s="234"/>
      <c r="G214" s="243" t="s">
        <v>3735</v>
      </c>
      <c r="H214" s="234"/>
      <c r="I214" s="239"/>
      <c r="J214" s="157" t="s">
        <v>3661</v>
      </c>
      <c r="K214" s="157" t="s">
        <v>1625</v>
      </c>
      <c r="L214" s="239"/>
    </row>
    <row r="215" spans="1:12">
      <c r="A215" s="247"/>
      <c r="B215" s="157" t="s">
        <v>3245</v>
      </c>
      <c r="C215" s="157" t="s">
        <v>229</v>
      </c>
      <c r="D215" s="157" t="s">
        <v>3246</v>
      </c>
      <c r="E215" s="234" t="s">
        <v>422</v>
      </c>
      <c r="F215" s="234"/>
      <c r="G215" s="243" t="s">
        <v>3736</v>
      </c>
      <c r="H215" s="234"/>
      <c r="I215" s="239"/>
      <c r="J215" s="157" t="s">
        <v>3661</v>
      </c>
      <c r="K215" s="157" t="s">
        <v>1625</v>
      </c>
      <c r="L215" s="239"/>
    </row>
    <row r="216" spans="1:12">
      <c r="A216" s="247"/>
      <c r="B216" s="157" t="s">
        <v>3249</v>
      </c>
      <c r="C216" s="157" t="s">
        <v>229</v>
      </c>
      <c r="D216" s="157" t="s">
        <v>3250</v>
      </c>
      <c r="E216" s="234" t="s">
        <v>422</v>
      </c>
      <c r="F216" s="234"/>
      <c r="G216" s="243" t="s">
        <v>3737</v>
      </c>
      <c r="H216" s="234"/>
      <c r="I216" s="239"/>
      <c r="J216" s="157" t="s">
        <v>3661</v>
      </c>
      <c r="K216" s="157" t="s">
        <v>1625</v>
      </c>
      <c r="L216" s="239"/>
    </row>
    <row r="217" spans="1:12">
      <c r="A217" s="247"/>
      <c r="B217" s="157" t="s">
        <v>1707</v>
      </c>
      <c r="C217" s="157" t="s">
        <v>229</v>
      </c>
      <c r="D217" s="157" t="s">
        <v>1708</v>
      </c>
      <c r="E217" s="234" t="s">
        <v>422</v>
      </c>
      <c r="F217" s="234"/>
      <c r="G217" s="243" t="s">
        <v>3738</v>
      </c>
      <c r="H217" s="234"/>
      <c r="I217" s="239"/>
      <c r="J217" s="157" t="s">
        <v>3661</v>
      </c>
      <c r="K217" s="157" t="s">
        <v>1575</v>
      </c>
      <c r="L217" s="239"/>
    </row>
    <row r="218" spans="1:12">
      <c r="A218" s="247"/>
      <c r="B218" s="157" t="s">
        <v>3258</v>
      </c>
      <c r="C218" s="157" t="s">
        <v>229</v>
      </c>
      <c r="D218" s="157" t="s">
        <v>3259</v>
      </c>
      <c r="E218" s="234" t="s">
        <v>422</v>
      </c>
      <c r="F218" s="234"/>
      <c r="G218" s="243" t="s">
        <v>3739</v>
      </c>
      <c r="H218" s="234"/>
      <c r="I218" s="239"/>
      <c r="J218" s="157" t="s">
        <v>3661</v>
      </c>
      <c r="K218" s="157" t="s">
        <v>1625</v>
      </c>
      <c r="L218" s="239"/>
    </row>
    <row r="219" spans="1:12">
      <c r="A219" s="247"/>
      <c r="B219" s="157" t="s">
        <v>3262</v>
      </c>
      <c r="C219" s="157" t="s">
        <v>229</v>
      </c>
      <c r="D219" s="157" t="s">
        <v>3263</v>
      </c>
      <c r="E219" s="234" t="s">
        <v>422</v>
      </c>
      <c r="F219" s="234"/>
      <c r="G219" s="243" t="s">
        <v>3740</v>
      </c>
      <c r="H219" s="234"/>
      <c r="I219" s="239"/>
      <c r="J219" s="157" t="s">
        <v>3661</v>
      </c>
      <c r="K219" s="157" t="s">
        <v>1625</v>
      </c>
      <c r="L219" s="239"/>
    </row>
    <row r="220" spans="1:12">
      <c r="A220" s="247"/>
      <c r="B220" s="157" t="s">
        <v>3266</v>
      </c>
      <c r="C220" s="157" t="s">
        <v>229</v>
      </c>
      <c r="D220" s="157" t="s">
        <v>3267</v>
      </c>
      <c r="E220" s="234" t="s">
        <v>422</v>
      </c>
      <c r="F220" s="234"/>
      <c r="G220" s="243" t="s">
        <v>3741</v>
      </c>
      <c r="H220" s="234"/>
      <c r="I220" s="239"/>
      <c r="J220" s="157" t="s">
        <v>3661</v>
      </c>
      <c r="K220" s="157" t="s">
        <v>1625</v>
      </c>
      <c r="L220" s="239"/>
    </row>
    <row r="221" spans="1:12">
      <c r="A221" s="247"/>
      <c r="B221" s="157" t="s">
        <v>3270</v>
      </c>
      <c r="C221" s="157" t="s">
        <v>229</v>
      </c>
      <c r="D221" s="157" t="s">
        <v>3271</v>
      </c>
      <c r="E221" s="234" t="s">
        <v>422</v>
      </c>
      <c r="F221" s="234"/>
      <c r="G221" s="243" t="s">
        <v>3742</v>
      </c>
      <c r="H221" s="234"/>
      <c r="I221" s="239"/>
      <c r="J221" s="157" t="s">
        <v>3661</v>
      </c>
      <c r="K221" s="157" t="s">
        <v>1625</v>
      </c>
      <c r="L221" s="239"/>
    </row>
    <row r="222" spans="1:12">
      <c r="A222" s="247"/>
      <c r="B222" s="157" t="s">
        <v>3274</v>
      </c>
      <c r="C222" s="157" t="s">
        <v>229</v>
      </c>
      <c r="D222" s="157" t="s">
        <v>3275</v>
      </c>
      <c r="E222" s="234" t="s">
        <v>422</v>
      </c>
      <c r="F222" s="234"/>
      <c r="G222" s="243" t="s">
        <v>3743</v>
      </c>
      <c r="H222" s="234"/>
      <c r="I222" s="239"/>
      <c r="J222" s="157" t="s">
        <v>3661</v>
      </c>
      <c r="K222" s="157" t="s">
        <v>1625</v>
      </c>
      <c r="L222" s="239"/>
    </row>
    <row r="223" spans="1:12">
      <c r="A223" s="247"/>
      <c r="B223" s="157" t="s">
        <v>3283</v>
      </c>
      <c r="C223" s="157" t="s">
        <v>229</v>
      </c>
      <c r="D223" s="157" t="s">
        <v>3284</v>
      </c>
      <c r="E223" s="234" t="s">
        <v>422</v>
      </c>
      <c r="F223" s="234"/>
      <c r="G223" s="243" t="s">
        <v>3744</v>
      </c>
      <c r="H223" s="234"/>
      <c r="I223" s="239"/>
      <c r="J223" s="157" t="s">
        <v>3661</v>
      </c>
      <c r="K223" s="157" t="s">
        <v>1625</v>
      </c>
      <c r="L223" s="239"/>
    </row>
    <row r="224" spans="1:12">
      <c r="A224" s="247"/>
      <c r="B224" s="157" t="s">
        <v>3287</v>
      </c>
      <c r="C224" s="157" t="s">
        <v>229</v>
      </c>
      <c r="D224" s="157" t="s">
        <v>3288</v>
      </c>
      <c r="E224" s="234" t="s">
        <v>422</v>
      </c>
      <c r="F224" s="234"/>
      <c r="G224" s="243" t="s">
        <v>3745</v>
      </c>
      <c r="H224" s="234"/>
      <c r="I224" s="239"/>
      <c r="J224" s="157" t="s">
        <v>3661</v>
      </c>
      <c r="K224" s="157" t="s">
        <v>1625</v>
      </c>
      <c r="L224" s="239"/>
    </row>
    <row r="225" spans="1:12">
      <c r="A225" s="247"/>
      <c r="B225" s="157" t="s">
        <v>3291</v>
      </c>
      <c r="C225" s="157" t="s">
        <v>229</v>
      </c>
      <c r="D225" s="157" t="s">
        <v>3292</v>
      </c>
      <c r="E225" s="234" t="s">
        <v>422</v>
      </c>
      <c r="F225" s="234"/>
      <c r="G225" s="243" t="s">
        <v>3746</v>
      </c>
      <c r="H225" s="234"/>
      <c r="I225" s="239"/>
      <c r="J225" s="157" t="s">
        <v>3661</v>
      </c>
      <c r="K225" s="157" t="s">
        <v>1625</v>
      </c>
      <c r="L225" s="239"/>
    </row>
    <row r="226" spans="1:12">
      <c r="A226" s="247"/>
      <c r="B226" s="157" t="s">
        <v>3295</v>
      </c>
      <c r="C226" s="157" t="s">
        <v>229</v>
      </c>
      <c r="D226" s="157" t="s">
        <v>3296</v>
      </c>
      <c r="E226" s="234" t="s">
        <v>422</v>
      </c>
      <c r="F226" s="234"/>
      <c r="G226" s="243" t="s">
        <v>3747</v>
      </c>
      <c r="H226" s="234"/>
      <c r="I226" s="239"/>
      <c r="J226" s="157" t="s">
        <v>3661</v>
      </c>
      <c r="K226" s="157" t="s">
        <v>1625</v>
      </c>
      <c r="L226" s="239"/>
    </row>
    <row r="227" spans="1:12">
      <c r="A227" s="247"/>
      <c r="B227" s="157" t="s">
        <v>3299</v>
      </c>
      <c r="C227" s="157" t="s">
        <v>229</v>
      </c>
      <c r="D227" s="157" t="s">
        <v>3300</v>
      </c>
      <c r="E227" s="234" t="s">
        <v>422</v>
      </c>
      <c r="F227" s="234"/>
      <c r="G227" s="243" t="s">
        <v>3748</v>
      </c>
      <c r="H227" s="234"/>
      <c r="I227" s="239"/>
      <c r="J227" s="157" t="s">
        <v>3661</v>
      </c>
      <c r="K227" s="157" t="s">
        <v>1625</v>
      </c>
      <c r="L227" s="239"/>
    </row>
    <row r="228" spans="1:12">
      <c r="A228" s="247"/>
      <c r="B228" s="157" t="s">
        <v>3309</v>
      </c>
      <c r="C228" s="157" t="s">
        <v>229</v>
      </c>
      <c r="D228" s="157" t="s">
        <v>3310</v>
      </c>
      <c r="E228" s="234" t="s">
        <v>422</v>
      </c>
      <c r="F228" s="234"/>
      <c r="G228" s="243" t="s">
        <v>3749</v>
      </c>
      <c r="H228" s="234"/>
      <c r="I228" s="239"/>
      <c r="J228" s="157" t="s">
        <v>3661</v>
      </c>
      <c r="K228" s="157" t="s">
        <v>1625</v>
      </c>
      <c r="L228" s="239"/>
    </row>
    <row r="229" spans="1:12">
      <c r="A229" s="247"/>
      <c r="B229" s="157" t="s">
        <v>3312</v>
      </c>
      <c r="C229" s="157" t="s">
        <v>229</v>
      </c>
      <c r="D229" s="157" t="s">
        <v>3313</v>
      </c>
      <c r="E229" s="234" t="s">
        <v>422</v>
      </c>
      <c r="F229" s="234"/>
      <c r="G229" s="243" t="s">
        <v>3750</v>
      </c>
      <c r="H229" s="234"/>
      <c r="I229" s="239"/>
      <c r="J229" s="157" t="s">
        <v>3661</v>
      </c>
      <c r="K229" s="157" t="s">
        <v>1625</v>
      </c>
      <c r="L229" s="239"/>
    </row>
    <row r="230" spans="1:12">
      <c r="A230" s="247"/>
      <c r="B230" s="157" t="s">
        <v>3314</v>
      </c>
      <c r="C230" s="157" t="s">
        <v>229</v>
      </c>
      <c r="D230" s="157" t="s">
        <v>3315</v>
      </c>
      <c r="E230" s="234" t="s">
        <v>422</v>
      </c>
      <c r="F230" s="234"/>
      <c r="G230" s="243" t="s">
        <v>3751</v>
      </c>
      <c r="H230" s="234"/>
      <c r="I230" s="239"/>
      <c r="J230" s="157" t="s">
        <v>3661</v>
      </c>
      <c r="K230" s="157" t="s">
        <v>1625</v>
      </c>
      <c r="L230" s="239"/>
    </row>
    <row r="231" spans="1:12">
      <c r="A231" s="247"/>
      <c r="B231" s="157" t="s">
        <v>3317</v>
      </c>
      <c r="C231" s="157" t="s">
        <v>229</v>
      </c>
      <c r="D231" s="157" t="s">
        <v>3318</v>
      </c>
      <c r="E231" s="234" t="s">
        <v>422</v>
      </c>
      <c r="F231" s="234"/>
      <c r="G231" s="243" t="s">
        <v>3752</v>
      </c>
      <c r="H231" s="234"/>
      <c r="I231" s="239"/>
      <c r="J231" s="157" t="s">
        <v>3661</v>
      </c>
      <c r="K231" s="157" t="s">
        <v>1625</v>
      </c>
      <c r="L231" s="239"/>
    </row>
    <row r="232" spans="1:12">
      <c r="A232" s="247"/>
      <c r="B232" s="157" t="s">
        <v>3320</v>
      </c>
      <c r="C232" s="157" t="s">
        <v>229</v>
      </c>
      <c r="D232" s="157" t="s">
        <v>3321</v>
      </c>
      <c r="E232" s="234" t="s">
        <v>422</v>
      </c>
      <c r="F232" s="234"/>
      <c r="G232" s="243" t="s">
        <v>3753</v>
      </c>
      <c r="H232" s="234"/>
      <c r="I232" s="239"/>
      <c r="J232" s="157" t="s">
        <v>3661</v>
      </c>
      <c r="K232" s="157" t="s">
        <v>1625</v>
      </c>
      <c r="L232" s="239"/>
    </row>
    <row r="233" spans="1:12">
      <c r="A233" s="247"/>
      <c r="B233" s="157" t="s">
        <v>3330</v>
      </c>
      <c r="C233" s="157" t="s">
        <v>229</v>
      </c>
      <c r="D233" s="157" t="s">
        <v>3331</v>
      </c>
      <c r="E233" s="234" t="s">
        <v>422</v>
      </c>
      <c r="F233" s="234"/>
      <c r="G233" s="243" t="s">
        <v>1693</v>
      </c>
      <c r="H233" s="234"/>
      <c r="I233" s="239"/>
      <c r="J233" s="157" t="s">
        <v>3754</v>
      </c>
      <c r="K233" s="157" t="s">
        <v>1625</v>
      </c>
      <c r="L233" s="239"/>
    </row>
    <row r="234" spans="1:12">
      <c r="A234" s="247"/>
      <c r="B234" s="157" t="s">
        <v>3334</v>
      </c>
      <c r="C234" s="157" t="s">
        <v>229</v>
      </c>
      <c r="D234" s="157" t="s">
        <v>3335</v>
      </c>
      <c r="E234" s="234" t="s">
        <v>422</v>
      </c>
      <c r="F234" s="234"/>
      <c r="G234" s="243" t="s">
        <v>1693</v>
      </c>
      <c r="H234" s="234"/>
      <c r="I234" s="239"/>
      <c r="J234" s="157" t="s">
        <v>3754</v>
      </c>
      <c r="K234" s="157" t="s">
        <v>1625</v>
      </c>
      <c r="L234" s="239"/>
    </row>
    <row r="235" spans="1:12">
      <c r="A235" s="247"/>
      <c r="B235" s="157" t="s">
        <v>3337</v>
      </c>
      <c r="C235" s="157" t="s">
        <v>229</v>
      </c>
      <c r="D235" s="157" t="s">
        <v>3338</v>
      </c>
      <c r="E235" s="234" t="s">
        <v>422</v>
      </c>
      <c r="F235" s="234"/>
      <c r="G235" s="243" t="s">
        <v>1693</v>
      </c>
      <c r="H235" s="234"/>
      <c r="I235" s="239"/>
      <c r="J235" s="157" t="s">
        <v>3754</v>
      </c>
      <c r="K235" s="157" t="s">
        <v>1625</v>
      </c>
      <c r="L235" s="239"/>
    </row>
    <row r="236" spans="1:12">
      <c r="A236" s="247"/>
      <c r="B236" s="157" t="s">
        <v>3340</v>
      </c>
      <c r="C236" s="157" t="s">
        <v>229</v>
      </c>
      <c r="D236" s="157" t="s">
        <v>3341</v>
      </c>
      <c r="E236" s="234" t="s">
        <v>422</v>
      </c>
      <c r="F236" s="234"/>
      <c r="G236" s="243" t="s">
        <v>1693</v>
      </c>
      <c r="H236" s="234"/>
      <c r="I236" s="239"/>
      <c r="J236" s="157" t="s">
        <v>3754</v>
      </c>
      <c r="K236" s="157" t="s">
        <v>1625</v>
      </c>
      <c r="L236" s="239"/>
    </row>
    <row r="237" spans="1:12">
      <c r="A237" s="247"/>
      <c r="B237" s="157" t="s">
        <v>3343</v>
      </c>
      <c r="C237" s="157" t="s">
        <v>229</v>
      </c>
      <c r="D237" s="157" t="s">
        <v>3344</v>
      </c>
      <c r="E237" s="234" t="s">
        <v>422</v>
      </c>
      <c r="F237" s="234"/>
      <c r="G237" s="243" t="s">
        <v>1693</v>
      </c>
      <c r="H237" s="234"/>
      <c r="I237" s="239"/>
      <c r="J237" s="157" t="s">
        <v>3754</v>
      </c>
      <c r="K237" s="157" t="s">
        <v>1625</v>
      </c>
      <c r="L237" s="239"/>
    </row>
    <row r="238" spans="1:12">
      <c r="A238" s="247"/>
      <c r="B238" s="157" t="s">
        <v>2400</v>
      </c>
      <c r="C238" s="157" t="s">
        <v>229</v>
      </c>
      <c r="D238" s="157" t="s">
        <v>2401</v>
      </c>
      <c r="E238" s="234" t="s">
        <v>422</v>
      </c>
      <c r="F238" s="234"/>
      <c r="G238" s="243" t="s">
        <v>3755</v>
      </c>
      <c r="H238" s="234"/>
      <c r="I238" s="239"/>
      <c r="J238" s="157" t="s">
        <v>3661</v>
      </c>
      <c r="K238" s="157" t="s">
        <v>1625</v>
      </c>
      <c r="L238" s="239"/>
    </row>
    <row r="239" spans="1:12">
      <c r="A239" s="247"/>
      <c r="B239" s="157" t="s">
        <v>2404</v>
      </c>
      <c r="C239" s="157" t="s">
        <v>229</v>
      </c>
      <c r="D239" s="157" t="s">
        <v>2405</v>
      </c>
      <c r="E239" s="234" t="s">
        <v>422</v>
      </c>
      <c r="F239" s="234"/>
      <c r="G239" s="243" t="s">
        <v>3756</v>
      </c>
      <c r="H239" s="234"/>
      <c r="I239" s="239"/>
      <c r="J239" s="157" t="s">
        <v>3661</v>
      </c>
      <c r="K239" s="157" t="s">
        <v>1625</v>
      </c>
      <c r="L239" s="239"/>
    </row>
    <row r="240" spans="1:12">
      <c r="A240" s="247"/>
      <c r="B240" s="157" t="s">
        <v>2408</v>
      </c>
      <c r="C240" s="157" t="s">
        <v>229</v>
      </c>
      <c r="D240" s="157" t="s">
        <v>2409</v>
      </c>
      <c r="E240" s="234" t="s">
        <v>422</v>
      </c>
      <c r="F240" s="234"/>
      <c r="G240" s="243" t="s">
        <v>3757</v>
      </c>
      <c r="H240" s="234"/>
      <c r="I240" s="239"/>
      <c r="J240" s="157" t="s">
        <v>3661</v>
      </c>
      <c r="K240" s="157" t="s">
        <v>1625</v>
      </c>
      <c r="L240" s="239"/>
    </row>
    <row r="241" spans="1:12">
      <c r="A241" s="247"/>
      <c r="B241" s="157" t="s">
        <v>2412</v>
      </c>
      <c r="C241" s="157" t="s">
        <v>229</v>
      </c>
      <c r="D241" s="157" t="s">
        <v>2413</v>
      </c>
      <c r="E241" s="234" t="s">
        <v>422</v>
      </c>
      <c r="F241" s="234"/>
      <c r="G241" s="243" t="s">
        <v>3758</v>
      </c>
      <c r="H241" s="234"/>
      <c r="I241" s="239"/>
      <c r="J241" s="157" t="s">
        <v>3661</v>
      </c>
      <c r="K241" s="157" t="s">
        <v>1625</v>
      </c>
      <c r="L241" s="239"/>
    </row>
    <row r="242" spans="1:12">
      <c r="A242" s="247"/>
      <c r="B242" s="157" t="s">
        <v>2416</v>
      </c>
      <c r="C242" s="157" t="s">
        <v>229</v>
      </c>
      <c r="D242" s="157" t="s">
        <v>2417</v>
      </c>
      <c r="E242" s="234" t="s">
        <v>422</v>
      </c>
      <c r="F242" s="234"/>
      <c r="G242" s="243" t="s">
        <v>3759</v>
      </c>
      <c r="H242" s="234"/>
      <c r="I242" s="239"/>
      <c r="J242" s="157" t="s">
        <v>3661</v>
      </c>
      <c r="K242" s="157" t="s">
        <v>1625</v>
      </c>
      <c r="L242" s="239"/>
    </row>
    <row r="243" spans="1:12">
      <c r="A243" s="247"/>
      <c r="B243" s="157" t="s">
        <v>2422</v>
      </c>
      <c r="C243" s="157" t="s">
        <v>229</v>
      </c>
      <c r="D243" s="157" t="s">
        <v>2423</v>
      </c>
      <c r="E243" s="234" t="s">
        <v>422</v>
      </c>
      <c r="F243" s="234"/>
      <c r="G243" s="243" t="s">
        <v>3760</v>
      </c>
      <c r="H243" s="234"/>
      <c r="I243" s="239"/>
      <c r="J243" s="157" t="s">
        <v>3661</v>
      </c>
      <c r="K243" s="157" t="s">
        <v>1625</v>
      </c>
      <c r="L243" s="239"/>
    </row>
    <row r="244" spans="1:12">
      <c r="A244" s="247"/>
      <c r="B244" s="157" t="s">
        <v>2426</v>
      </c>
      <c r="C244" s="157" t="s">
        <v>229</v>
      </c>
      <c r="D244" s="157" t="s">
        <v>2427</v>
      </c>
      <c r="E244" s="234" t="s">
        <v>422</v>
      </c>
      <c r="F244" s="234"/>
      <c r="G244" s="243" t="s">
        <v>3761</v>
      </c>
      <c r="H244" s="234"/>
      <c r="I244" s="239"/>
      <c r="J244" s="157" t="s">
        <v>3661</v>
      </c>
      <c r="K244" s="157" t="s">
        <v>1625</v>
      </c>
      <c r="L244" s="239"/>
    </row>
    <row r="245" spans="1:12">
      <c r="A245" s="247"/>
      <c r="B245" s="157" t="s">
        <v>2430</v>
      </c>
      <c r="C245" s="157" t="s">
        <v>229</v>
      </c>
      <c r="D245" s="157" t="s">
        <v>2431</v>
      </c>
      <c r="E245" s="234" t="s">
        <v>422</v>
      </c>
      <c r="F245" s="234"/>
      <c r="G245" s="243" t="s">
        <v>3762</v>
      </c>
      <c r="H245" s="234"/>
      <c r="I245" s="239"/>
      <c r="J245" s="157" t="s">
        <v>3661</v>
      </c>
      <c r="K245" s="157" t="s">
        <v>1625</v>
      </c>
      <c r="L245" s="239"/>
    </row>
    <row r="246" spans="1:12">
      <c r="A246" s="247"/>
      <c r="B246" s="157" t="s">
        <v>2434</v>
      </c>
      <c r="C246" s="157" t="s">
        <v>229</v>
      </c>
      <c r="D246" s="157" t="s">
        <v>2435</v>
      </c>
      <c r="E246" s="234" t="s">
        <v>422</v>
      </c>
      <c r="F246" s="234"/>
      <c r="G246" s="243" t="s">
        <v>3763</v>
      </c>
      <c r="H246" s="234"/>
      <c r="I246" s="239"/>
      <c r="J246" s="157" t="s">
        <v>3661</v>
      </c>
      <c r="K246" s="157" t="s">
        <v>1625</v>
      </c>
      <c r="L246" s="239"/>
    </row>
    <row r="247" spans="1:12">
      <c r="A247" s="247"/>
      <c r="B247" s="157" t="s">
        <v>2438</v>
      </c>
      <c r="C247" s="157" t="s">
        <v>229</v>
      </c>
      <c r="D247" s="157" t="s">
        <v>2439</v>
      </c>
      <c r="E247" s="234" t="s">
        <v>422</v>
      </c>
      <c r="F247" s="234"/>
      <c r="G247" s="243" t="s">
        <v>3764</v>
      </c>
      <c r="H247" s="234"/>
      <c r="I247" s="239"/>
      <c r="J247" s="157" t="s">
        <v>3661</v>
      </c>
      <c r="K247" s="157" t="s">
        <v>1625</v>
      </c>
      <c r="L247" s="239"/>
    </row>
    <row r="248" spans="1:12">
      <c r="A248" s="247"/>
      <c r="B248" s="157" t="s">
        <v>2444</v>
      </c>
      <c r="C248" s="157" t="s">
        <v>229</v>
      </c>
      <c r="D248" s="157" t="s">
        <v>2445</v>
      </c>
      <c r="E248" s="234" t="s">
        <v>422</v>
      </c>
      <c r="F248" s="234"/>
      <c r="G248" s="243" t="s">
        <v>3765</v>
      </c>
      <c r="H248" s="234"/>
      <c r="I248" s="239"/>
      <c r="J248" s="157" t="s">
        <v>3661</v>
      </c>
      <c r="K248" s="157" t="s">
        <v>1625</v>
      </c>
      <c r="L248" s="239"/>
    </row>
    <row r="249" spans="1:12">
      <c r="A249" s="247"/>
      <c r="B249" s="157" t="s">
        <v>2448</v>
      </c>
      <c r="C249" s="157" t="s">
        <v>229</v>
      </c>
      <c r="D249" s="157" t="s">
        <v>2449</v>
      </c>
      <c r="E249" s="234" t="s">
        <v>422</v>
      </c>
      <c r="F249" s="234"/>
      <c r="G249" s="243" t="s">
        <v>3766</v>
      </c>
      <c r="H249" s="234"/>
      <c r="I249" s="239"/>
      <c r="J249" s="157" t="s">
        <v>3661</v>
      </c>
      <c r="K249" s="157" t="s">
        <v>1625</v>
      </c>
      <c r="L249" s="239"/>
    </row>
    <row r="250" spans="1:12">
      <c r="A250" s="247"/>
      <c r="B250" s="157" t="s">
        <v>2452</v>
      </c>
      <c r="C250" s="157" t="s">
        <v>229</v>
      </c>
      <c r="D250" s="157" t="s">
        <v>2453</v>
      </c>
      <c r="E250" s="234" t="s">
        <v>422</v>
      </c>
      <c r="F250" s="234"/>
      <c r="G250" s="243" t="s">
        <v>3767</v>
      </c>
      <c r="H250" s="234"/>
      <c r="I250" s="239"/>
      <c r="J250" s="157" t="s">
        <v>3661</v>
      </c>
      <c r="K250" s="157" t="s">
        <v>1625</v>
      </c>
      <c r="L250" s="239"/>
    </row>
    <row r="251" spans="1:12">
      <c r="A251" s="247"/>
      <c r="B251" s="157" t="s">
        <v>2456</v>
      </c>
      <c r="C251" s="157" t="s">
        <v>229</v>
      </c>
      <c r="D251" s="157" t="s">
        <v>2457</v>
      </c>
      <c r="E251" s="234" t="s">
        <v>422</v>
      </c>
      <c r="F251" s="234"/>
      <c r="G251" s="243" t="s">
        <v>3768</v>
      </c>
      <c r="H251" s="234"/>
      <c r="I251" s="239"/>
      <c r="J251" s="157" t="s">
        <v>3661</v>
      </c>
      <c r="K251" s="157" t="s">
        <v>1625</v>
      </c>
      <c r="L251" s="239"/>
    </row>
    <row r="252" spans="1:12">
      <c r="A252" s="247"/>
      <c r="B252" s="157" t="s">
        <v>2460</v>
      </c>
      <c r="C252" s="157" t="s">
        <v>229</v>
      </c>
      <c r="D252" s="157" t="s">
        <v>2461</v>
      </c>
      <c r="E252" s="234" t="s">
        <v>422</v>
      </c>
      <c r="F252" s="234"/>
      <c r="G252" s="243" t="s">
        <v>3769</v>
      </c>
      <c r="H252" s="234"/>
      <c r="I252" s="239"/>
      <c r="J252" s="157" t="s">
        <v>3661</v>
      </c>
      <c r="K252" s="157" t="s">
        <v>1625</v>
      </c>
      <c r="L252" s="239"/>
    </row>
    <row r="253" spans="1:12">
      <c r="A253" s="247"/>
      <c r="B253" s="157" t="s">
        <v>3350</v>
      </c>
      <c r="C253" s="157" t="s">
        <v>229</v>
      </c>
      <c r="D253" s="157" t="s">
        <v>2468</v>
      </c>
      <c r="E253" s="234" t="s">
        <v>422</v>
      </c>
      <c r="F253" s="234"/>
      <c r="G253" s="243" t="s">
        <v>3770</v>
      </c>
      <c r="H253" s="234"/>
      <c r="I253" s="239"/>
      <c r="J253" s="157" t="s">
        <v>3661</v>
      </c>
      <c r="K253" s="157" t="s">
        <v>1625</v>
      </c>
      <c r="L253" s="239"/>
    </row>
    <row r="254" spans="1:12">
      <c r="A254" s="247"/>
      <c r="B254" s="157" t="s">
        <v>3353</v>
      </c>
      <c r="C254" s="157" t="s">
        <v>229</v>
      </c>
      <c r="D254" s="157" t="s">
        <v>2472</v>
      </c>
      <c r="E254" s="234" t="s">
        <v>422</v>
      </c>
      <c r="F254" s="234"/>
      <c r="G254" s="243" t="s">
        <v>3771</v>
      </c>
      <c r="H254" s="234"/>
      <c r="I254" s="239"/>
      <c r="J254" s="157" t="s">
        <v>3661</v>
      </c>
      <c r="K254" s="157" t="s">
        <v>1625</v>
      </c>
      <c r="L254" s="239"/>
    </row>
    <row r="255" spans="1:12">
      <c r="A255" s="247"/>
      <c r="B255" s="157" t="s">
        <v>3355</v>
      </c>
      <c r="C255" s="157" t="s">
        <v>229</v>
      </c>
      <c r="D255" s="157" t="s">
        <v>2476</v>
      </c>
      <c r="E255" s="234" t="s">
        <v>422</v>
      </c>
      <c r="F255" s="234"/>
      <c r="G255" s="243" t="s">
        <v>3772</v>
      </c>
      <c r="H255" s="234"/>
      <c r="I255" s="239"/>
      <c r="J255" s="157" t="s">
        <v>3661</v>
      </c>
      <c r="K255" s="157" t="s">
        <v>1625</v>
      </c>
      <c r="L255" s="239"/>
    </row>
    <row r="256" spans="1:12">
      <c r="A256" s="247"/>
      <c r="B256" s="157" t="s">
        <v>3357</v>
      </c>
      <c r="C256" s="157" t="s">
        <v>229</v>
      </c>
      <c r="D256" s="157" t="s">
        <v>2480</v>
      </c>
      <c r="E256" s="234" t="s">
        <v>422</v>
      </c>
      <c r="F256" s="234"/>
      <c r="G256" s="243" t="s">
        <v>3773</v>
      </c>
      <c r="H256" s="234"/>
      <c r="I256" s="239"/>
      <c r="J256" s="157" t="s">
        <v>3661</v>
      </c>
      <c r="K256" s="157" t="s">
        <v>1625</v>
      </c>
      <c r="L256" s="239"/>
    </row>
    <row r="257" spans="1:12">
      <c r="A257" s="247"/>
      <c r="B257" s="157" t="s">
        <v>3359</v>
      </c>
      <c r="C257" s="157" t="s">
        <v>229</v>
      </c>
      <c r="D257" s="157" t="s">
        <v>2484</v>
      </c>
      <c r="E257" s="234" t="s">
        <v>422</v>
      </c>
      <c r="F257" s="234"/>
      <c r="G257" s="243" t="s">
        <v>3774</v>
      </c>
      <c r="H257" s="234"/>
      <c r="I257" s="239"/>
      <c r="J257" s="157" t="s">
        <v>3661</v>
      </c>
      <c r="K257" s="157" t="s">
        <v>1625</v>
      </c>
      <c r="L257" s="239"/>
    </row>
    <row r="258" spans="1:12">
      <c r="A258" s="247"/>
      <c r="B258" s="157" t="s">
        <v>3363</v>
      </c>
      <c r="C258" s="157" t="s">
        <v>229</v>
      </c>
      <c r="D258" s="157" t="s">
        <v>2491</v>
      </c>
      <c r="E258" s="234" t="s">
        <v>422</v>
      </c>
      <c r="F258" s="234"/>
      <c r="G258" s="243" t="s">
        <v>3775</v>
      </c>
      <c r="H258" s="234"/>
      <c r="I258" s="239"/>
      <c r="J258" s="157" t="s">
        <v>3661</v>
      </c>
      <c r="K258" s="157" t="s">
        <v>1625</v>
      </c>
      <c r="L258" s="239"/>
    </row>
    <row r="259" spans="1:12">
      <c r="A259" s="247"/>
      <c r="B259" s="157" t="s">
        <v>3366</v>
      </c>
      <c r="C259" s="157" t="s">
        <v>229</v>
      </c>
      <c r="D259" s="157" t="s">
        <v>2495</v>
      </c>
      <c r="E259" s="234" t="s">
        <v>422</v>
      </c>
      <c r="F259" s="234"/>
      <c r="G259" s="243" t="s">
        <v>3776</v>
      </c>
      <c r="H259" s="234"/>
      <c r="I259" s="239"/>
      <c r="J259" s="157" t="s">
        <v>3661</v>
      </c>
      <c r="K259" s="157" t="s">
        <v>1625</v>
      </c>
      <c r="L259" s="239"/>
    </row>
    <row r="260" spans="1:12">
      <c r="A260" s="247"/>
      <c r="B260" s="157" t="s">
        <v>3368</v>
      </c>
      <c r="C260" s="157" t="s">
        <v>229</v>
      </c>
      <c r="D260" s="157" t="s">
        <v>2499</v>
      </c>
      <c r="E260" s="234" t="s">
        <v>422</v>
      </c>
      <c r="F260" s="234"/>
      <c r="G260" s="243" t="s">
        <v>3777</v>
      </c>
      <c r="H260" s="234"/>
      <c r="I260" s="239"/>
      <c r="J260" s="157" t="s">
        <v>3661</v>
      </c>
      <c r="K260" s="157" t="s">
        <v>1625</v>
      </c>
      <c r="L260" s="239"/>
    </row>
    <row r="261" spans="1:12">
      <c r="A261" s="247"/>
      <c r="B261" s="157" t="s">
        <v>3370</v>
      </c>
      <c r="C261" s="157" t="s">
        <v>229</v>
      </c>
      <c r="D261" s="157" t="s">
        <v>2503</v>
      </c>
      <c r="E261" s="234" t="s">
        <v>422</v>
      </c>
      <c r="F261" s="234"/>
      <c r="G261" s="243" t="s">
        <v>3778</v>
      </c>
      <c r="H261" s="234"/>
      <c r="I261" s="239"/>
      <c r="J261" s="157" t="s">
        <v>3661</v>
      </c>
      <c r="K261" s="157" t="s">
        <v>1625</v>
      </c>
      <c r="L261" s="239"/>
    </row>
    <row r="262" spans="1:12">
      <c r="A262" s="247"/>
      <c r="B262" s="157" t="s">
        <v>3372</v>
      </c>
      <c r="C262" s="157" t="s">
        <v>229</v>
      </c>
      <c r="D262" s="157" t="s">
        <v>2507</v>
      </c>
      <c r="E262" s="234" t="s">
        <v>422</v>
      </c>
      <c r="F262" s="234"/>
      <c r="G262" s="243" t="s">
        <v>3779</v>
      </c>
      <c r="H262" s="234"/>
      <c r="I262" s="239"/>
      <c r="J262" s="157" t="s">
        <v>3661</v>
      </c>
      <c r="K262" s="157" t="s">
        <v>1625</v>
      </c>
      <c r="L262" s="239"/>
    </row>
    <row r="263" spans="1:12">
      <c r="A263" s="247"/>
      <c r="B263" s="157" t="s">
        <v>3376</v>
      </c>
      <c r="C263" s="157" t="s">
        <v>229</v>
      </c>
      <c r="D263" s="157" t="s">
        <v>2514</v>
      </c>
      <c r="E263" s="234" t="s">
        <v>422</v>
      </c>
      <c r="F263" s="234"/>
      <c r="G263" s="243" t="s">
        <v>3780</v>
      </c>
      <c r="H263" s="234"/>
      <c r="I263" s="239"/>
      <c r="J263" s="157" t="s">
        <v>3661</v>
      </c>
      <c r="K263" s="157" t="s">
        <v>1625</v>
      </c>
      <c r="L263" s="239"/>
    </row>
    <row r="264" spans="1:12">
      <c r="A264" s="247"/>
      <c r="B264" s="157" t="s">
        <v>3379</v>
      </c>
      <c r="C264" s="157" t="s">
        <v>229</v>
      </c>
      <c r="D264" s="157" t="s">
        <v>2518</v>
      </c>
      <c r="E264" s="234" t="s">
        <v>422</v>
      </c>
      <c r="F264" s="234"/>
      <c r="G264" s="243" t="s">
        <v>3781</v>
      </c>
      <c r="H264" s="234"/>
      <c r="I264" s="239"/>
      <c r="J264" s="157" t="s">
        <v>3661</v>
      </c>
      <c r="K264" s="157" t="s">
        <v>1625</v>
      </c>
      <c r="L264" s="239"/>
    </row>
    <row r="265" spans="1:12">
      <c r="A265" s="247"/>
      <c r="B265" s="157" t="s">
        <v>3381</v>
      </c>
      <c r="C265" s="157" t="s">
        <v>229</v>
      </c>
      <c r="D265" s="157" t="s">
        <v>2522</v>
      </c>
      <c r="E265" s="234" t="s">
        <v>422</v>
      </c>
      <c r="F265" s="234"/>
      <c r="G265" s="243" t="s">
        <v>3782</v>
      </c>
      <c r="H265" s="234"/>
      <c r="I265" s="239"/>
      <c r="J265" s="157" t="s">
        <v>3661</v>
      </c>
      <c r="K265" s="157" t="s">
        <v>1625</v>
      </c>
      <c r="L265" s="239"/>
    </row>
    <row r="266" spans="1:12">
      <c r="A266" s="247"/>
      <c r="B266" s="157" t="s">
        <v>3383</v>
      </c>
      <c r="C266" s="157" t="s">
        <v>229</v>
      </c>
      <c r="D266" s="157" t="s">
        <v>2526</v>
      </c>
      <c r="E266" s="234" t="s">
        <v>422</v>
      </c>
      <c r="F266" s="234"/>
      <c r="G266" s="243" t="s">
        <v>3783</v>
      </c>
      <c r="H266" s="234"/>
      <c r="I266" s="239"/>
      <c r="J266" s="157" t="s">
        <v>3661</v>
      </c>
      <c r="K266" s="157" t="s">
        <v>1625</v>
      </c>
      <c r="L266" s="239"/>
    </row>
    <row r="267" spans="1:12">
      <c r="A267" s="247"/>
      <c r="B267" s="157" t="s">
        <v>3385</v>
      </c>
      <c r="C267" s="157" t="s">
        <v>229</v>
      </c>
      <c r="D267" s="157" t="s">
        <v>2530</v>
      </c>
      <c r="E267" s="234" t="s">
        <v>422</v>
      </c>
      <c r="F267" s="234"/>
      <c r="G267" s="243" t="s">
        <v>3784</v>
      </c>
      <c r="H267" s="234"/>
      <c r="I267" s="239"/>
      <c r="J267" s="157" t="s">
        <v>3661</v>
      </c>
      <c r="K267" s="157" t="s">
        <v>1625</v>
      </c>
      <c r="L267" s="239"/>
    </row>
    <row r="268" spans="1:12">
      <c r="A268" s="247"/>
      <c r="B268" s="157" t="s">
        <v>228</v>
      </c>
      <c r="C268" s="157" t="s">
        <v>229</v>
      </c>
      <c r="D268" s="157" t="s">
        <v>3456</v>
      </c>
      <c r="E268" s="234" t="s">
        <v>422</v>
      </c>
      <c r="F268" s="234"/>
      <c r="G268" s="249" t="s">
        <v>3785</v>
      </c>
      <c r="H268" s="234"/>
      <c r="I268" s="234"/>
      <c r="J268" s="234"/>
      <c r="K268" s="234"/>
      <c r="L268" s="239"/>
    </row>
    <row r="269" spans="1:12">
      <c r="A269" s="247"/>
      <c r="B269" s="157" t="s">
        <v>3458</v>
      </c>
      <c r="C269" s="157" t="s">
        <v>203</v>
      </c>
      <c r="D269" s="157" t="s">
        <v>3459</v>
      </c>
      <c r="E269" s="234" t="s">
        <v>422</v>
      </c>
      <c r="F269" s="234"/>
      <c r="G269" s="249" t="s">
        <v>3785</v>
      </c>
      <c r="H269" s="234"/>
      <c r="I269" s="234"/>
      <c r="J269" s="234"/>
      <c r="K269" s="234"/>
      <c r="L269" s="239"/>
    </row>
    <row r="270" spans="1:12">
      <c r="A270" s="247"/>
      <c r="B270" s="157" t="s">
        <v>3460</v>
      </c>
      <c r="C270" s="157" t="s">
        <v>203</v>
      </c>
      <c r="D270" s="157" t="s">
        <v>3461</v>
      </c>
      <c r="E270" s="234" t="s">
        <v>422</v>
      </c>
      <c r="F270" s="234"/>
      <c r="G270" s="249" t="s">
        <v>3785</v>
      </c>
      <c r="H270" s="234"/>
      <c r="I270" s="234"/>
      <c r="J270" s="234"/>
      <c r="K270" s="234"/>
      <c r="L270" s="239"/>
    </row>
    <row r="271" spans="1:12">
      <c r="A271" s="247"/>
      <c r="B271" s="157" t="s">
        <v>3462</v>
      </c>
      <c r="C271" s="157" t="s">
        <v>203</v>
      </c>
      <c r="D271" s="157" t="s">
        <v>3463</v>
      </c>
      <c r="E271" s="234" t="s">
        <v>422</v>
      </c>
      <c r="F271" s="234"/>
      <c r="G271" s="249" t="s">
        <v>3785</v>
      </c>
      <c r="H271" s="234"/>
      <c r="I271" s="234"/>
      <c r="J271" s="234"/>
      <c r="K271" s="234"/>
      <c r="L271" s="239"/>
    </row>
    <row r="272" spans="1:12">
      <c r="A272" s="247"/>
      <c r="B272" s="157" t="s">
        <v>3464</v>
      </c>
      <c r="C272" s="157" t="s">
        <v>229</v>
      </c>
      <c r="D272" s="157" t="s">
        <v>3465</v>
      </c>
      <c r="E272" s="234" t="s">
        <v>422</v>
      </c>
      <c r="F272" s="234"/>
      <c r="G272" s="249" t="s">
        <v>3785</v>
      </c>
      <c r="H272" s="234"/>
      <c r="I272" s="234"/>
      <c r="J272" s="234"/>
      <c r="K272" s="234"/>
      <c r="L272" s="239"/>
    </row>
    <row r="273" spans="1:12">
      <c r="A273" s="247"/>
      <c r="B273" s="157" t="s">
        <v>3466</v>
      </c>
      <c r="C273" s="157" t="s">
        <v>229</v>
      </c>
      <c r="D273" s="157" t="s">
        <v>3467</v>
      </c>
      <c r="E273" s="234" t="s">
        <v>422</v>
      </c>
      <c r="F273" s="234"/>
      <c r="G273" s="249" t="s">
        <v>3785</v>
      </c>
      <c r="H273" s="234"/>
      <c r="I273" s="234"/>
      <c r="J273" s="234"/>
      <c r="K273" s="234"/>
      <c r="L273" s="239"/>
    </row>
    <row r="274" spans="1:12">
      <c r="A274" s="247"/>
      <c r="B274" s="157" t="s">
        <v>3468</v>
      </c>
      <c r="C274" s="157" t="s">
        <v>229</v>
      </c>
      <c r="D274" s="157" t="s">
        <v>3469</v>
      </c>
      <c r="E274" s="234" t="s">
        <v>422</v>
      </c>
      <c r="F274" s="234"/>
      <c r="G274" s="249" t="s">
        <v>3785</v>
      </c>
      <c r="H274" s="234"/>
      <c r="I274" s="234"/>
      <c r="J274" s="234"/>
      <c r="K274" s="234"/>
      <c r="L274" s="239"/>
    </row>
    <row r="275" spans="1:12">
      <c r="A275" s="247"/>
      <c r="B275" s="157" t="s">
        <v>3470</v>
      </c>
      <c r="C275" s="157" t="s">
        <v>229</v>
      </c>
      <c r="D275" s="157" t="s">
        <v>3471</v>
      </c>
      <c r="E275" s="234" t="s">
        <v>422</v>
      </c>
      <c r="F275" s="234"/>
      <c r="G275" s="249" t="s">
        <v>3785</v>
      </c>
      <c r="H275" s="234"/>
      <c r="I275" s="234"/>
      <c r="J275" s="234"/>
      <c r="K275" s="234"/>
      <c r="L275" s="239"/>
    </row>
    <row r="276" spans="1:12">
      <c r="A276" s="247"/>
      <c r="B276" s="157" t="s">
        <v>3472</v>
      </c>
      <c r="C276" s="157" t="s">
        <v>229</v>
      </c>
      <c r="D276" s="157" t="s">
        <v>3473</v>
      </c>
      <c r="E276" s="234" t="s">
        <v>422</v>
      </c>
      <c r="F276" s="234"/>
      <c r="G276" s="249" t="s">
        <v>3785</v>
      </c>
      <c r="H276" s="234"/>
      <c r="I276" s="234"/>
      <c r="J276" s="234"/>
      <c r="K276" s="234"/>
      <c r="L276" s="239"/>
    </row>
    <row r="277" spans="1:12">
      <c r="A277" s="247"/>
      <c r="B277" s="157" t="s">
        <v>3474</v>
      </c>
      <c r="C277" s="157" t="s">
        <v>229</v>
      </c>
      <c r="D277" s="157" t="s">
        <v>3475</v>
      </c>
      <c r="E277" s="234" t="s">
        <v>422</v>
      </c>
      <c r="F277" s="234"/>
      <c r="G277" s="249" t="s">
        <v>3785</v>
      </c>
      <c r="H277" s="234"/>
      <c r="I277" s="234"/>
      <c r="J277" s="234"/>
      <c r="K277" s="234"/>
      <c r="L277" s="239"/>
    </row>
    <row r="278" spans="1:12">
      <c r="A278" s="247"/>
      <c r="B278" s="157" t="s">
        <v>3476</v>
      </c>
      <c r="C278" s="157" t="s">
        <v>229</v>
      </c>
      <c r="D278" s="157" t="s">
        <v>3477</v>
      </c>
      <c r="E278" s="234" t="s">
        <v>422</v>
      </c>
      <c r="F278" s="234"/>
      <c r="G278" s="249" t="s">
        <v>3785</v>
      </c>
      <c r="H278" s="234"/>
      <c r="I278" s="234"/>
      <c r="J278" s="234"/>
      <c r="K278" s="234"/>
      <c r="L278" s="239"/>
    </row>
    <row r="279" spans="1:12">
      <c r="A279" s="247"/>
      <c r="B279" s="157" t="s">
        <v>3478</v>
      </c>
      <c r="C279" s="157" t="s">
        <v>229</v>
      </c>
      <c r="D279" s="157" t="s">
        <v>3479</v>
      </c>
      <c r="E279" s="234" t="s">
        <v>422</v>
      </c>
      <c r="F279" s="234"/>
      <c r="G279" s="249" t="s">
        <v>3785</v>
      </c>
      <c r="H279" s="234"/>
      <c r="I279" s="234"/>
      <c r="J279" s="234"/>
      <c r="K279" s="234"/>
      <c r="L279" s="239"/>
    </row>
    <row r="280" spans="1:12">
      <c r="A280" s="247"/>
      <c r="B280" s="157" t="s">
        <v>3480</v>
      </c>
      <c r="C280" s="157" t="s">
        <v>229</v>
      </c>
      <c r="D280" s="157" t="s">
        <v>3481</v>
      </c>
      <c r="E280" s="234" t="s">
        <v>422</v>
      </c>
      <c r="F280" s="234"/>
      <c r="G280" s="249" t="s">
        <v>3785</v>
      </c>
      <c r="H280" s="234"/>
      <c r="I280" s="234"/>
      <c r="J280" s="234"/>
      <c r="K280" s="234"/>
      <c r="L280" s="239"/>
    </row>
    <row r="281" spans="1:12">
      <c r="A281" s="247"/>
      <c r="B281" s="157" t="s">
        <v>3482</v>
      </c>
      <c r="C281" s="157" t="s">
        <v>229</v>
      </c>
      <c r="D281" s="157" t="s">
        <v>3483</v>
      </c>
      <c r="E281" s="234" t="s">
        <v>422</v>
      </c>
      <c r="F281" s="234"/>
      <c r="G281" s="249" t="s">
        <v>3785</v>
      </c>
      <c r="H281" s="234"/>
      <c r="I281" s="234"/>
      <c r="J281" s="234"/>
      <c r="K281" s="234"/>
      <c r="L281" s="239"/>
    </row>
    <row r="282" spans="1:12">
      <c r="A282" s="247"/>
      <c r="B282" s="157" t="s">
        <v>3484</v>
      </c>
      <c r="C282" s="157" t="s">
        <v>229</v>
      </c>
      <c r="D282" s="157" t="s">
        <v>3484</v>
      </c>
      <c r="E282" s="234" t="s">
        <v>422</v>
      </c>
      <c r="F282" s="234"/>
      <c r="G282" s="249" t="s">
        <v>3785</v>
      </c>
      <c r="H282" s="234"/>
      <c r="I282" s="234"/>
      <c r="J282" s="234"/>
      <c r="K282" s="234"/>
      <c r="L282" s="239"/>
    </row>
    <row r="283" spans="1:12">
      <c r="A283" s="247"/>
      <c r="B283" s="157" t="s">
        <v>3485</v>
      </c>
      <c r="C283" s="157" t="s">
        <v>229</v>
      </c>
      <c r="D283" s="157" t="s">
        <v>3485</v>
      </c>
      <c r="E283" s="234" t="s">
        <v>422</v>
      </c>
      <c r="F283" s="234"/>
      <c r="G283" s="249" t="s">
        <v>3785</v>
      </c>
      <c r="H283" s="234"/>
      <c r="I283" s="234"/>
      <c r="J283" s="234"/>
      <c r="K283" s="234"/>
      <c r="L283" s="239"/>
    </row>
    <row r="284" spans="1:12">
      <c r="A284" s="247"/>
      <c r="B284" s="157" t="s">
        <v>3486</v>
      </c>
      <c r="C284" s="157" t="s">
        <v>229</v>
      </c>
      <c r="D284" s="157" t="s">
        <v>3486</v>
      </c>
      <c r="E284" s="234" t="s">
        <v>422</v>
      </c>
      <c r="F284" s="234"/>
      <c r="G284" s="249" t="s">
        <v>3785</v>
      </c>
      <c r="H284" s="234"/>
      <c r="I284" s="234"/>
      <c r="J284" s="234"/>
      <c r="K284" s="234"/>
      <c r="L284" s="239"/>
    </row>
    <row r="285" spans="1:12">
      <c r="A285" s="247"/>
      <c r="B285" s="157" t="s">
        <v>3487</v>
      </c>
      <c r="C285" s="157" t="s">
        <v>229</v>
      </c>
      <c r="D285" s="157" t="s">
        <v>3487</v>
      </c>
      <c r="E285" s="234" t="s">
        <v>422</v>
      </c>
      <c r="F285" s="234"/>
      <c r="G285" s="249" t="s">
        <v>3785</v>
      </c>
      <c r="H285" s="234"/>
      <c r="I285" s="234"/>
      <c r="J285" s="234"/>
      <c r="K285" s="234"/>
      <c r="L285" s="239"/>
    </row>
    <row r="286" spans="1:12">
      <c r="A286" s="247"/>
      <c r="B286" s="157" t="s">
        <v>3488</v>
      </c>
      <c r="C286" s="157" t="s">
        <v>229</v>
      </c>
      <c r="D286" s="157" t="s">
        <v>3488</v>
      </c>
      <c r="E286" s="234" t="s">
        <v>422</v>
      </c>
      <c r="F286" s="234"/>
      <c r="G286" s="249" t="s">
        <v>3785</v>
      </c>
      <c r="H286" s="234"/>
      <c r="I286" s="234"/>
      <c r="J286" s="234"/>
      <c r="K286" s="234"/>
      <c r="L286" s="239"/>
    </row>
    <row r="287" spans="1:12">
      <c r="A287" s="247"/>
      <c r="B287" s="157" t="s">
        <v>3489</v>
      </c>
      <c r="C287" s="157" t="s">
        <v>229</v>
      </c>
      <c r="D287" s="157" t="s">
        <v>3489</v>
      </c>
      <c r="E287" s="234" t="s">
        <v>422</v>
      </c>
      <c r="F287" s="234"/>
      <c r="G287" s="249" t="s">
        <v>3785</v>
      </c>
      <c r="H287" s="234"/>
      <c r="I287" s="234"/>
      <c r="J287" s="234"/>
      <c r="K287" s="234"/>
      <c r="L287" s="239"/>
    </row>
    <row r="288" spans="1:12">
      <c r="A288" s="247"/>
      <c r="B288" s="157" t="s">
        <v>3490</v>
      </c>
      <c r="C288" s="157" t="s">
        <v>229</v>
      </c>
      <c r="D288" s="157" t="s">
        <v>3490</v>
      </c>
      <c r="E288" s="234" t="s">
        <v>422</v>
      </c>
      <c r="F288" s="234"/>
      <c r="G288" s="249" t="s">
        <v>3785</v>
      </c>
      <c r="H288" s="234"/>
      <c r="I288" s="234"/>
      <c r="J288" s="234"/>
      <c r="K288" s="234"/>
      <c r="L288" s="239"/>
    </row>
    <row r="289" spans="1:12">
      <c r="A289" s="247"/>
      <c r="B289" s="157" t="s">
        <v>3491</v>
      </c>
      <c r="C289" s="157" t="s">
        <v>229</v>
      </c>
      <c r="D289" s="157" t="s">
        <v>3491</v>
      </c>
      <c r="E289" s="234" t="s">
        <v>422</v>
      </c>
      <c r="F289" s="234"/>
      <c r="G289" s="249" t="s">
        <v>3785</v>
      </c>
      <c r="H289" s="234"/>
      <c r="I289" s="234"/>
      <c r="J289" s="234"/>
      <c r="K289" s="234"/>
      <c r="L289" s="239"/>
    </row>
    <row r="290" spans="1:12">
      <c r="A290" s="247"/>
      <c r="B290" s="157" t="s">
        <v>3492</v>
      </c>
      <c r="C290" s="157" t="s">
        <v>229</v>
      </c>
      <c r="D290" s="157" t="s">
        <v>3492</v>
      </c>
      <c r="E290" s="234" t="s">
        <v>422</v>
      </c>
      <c r="F290" s="234"/>
      <c r="G290" s="249" t="s">
        <v>3785</v>
      </c>
      <c r="H290" s="234"/>
      <c r="I290" s="234"/>
      <c r="J290" s="234"/>
      <c r="K290" s="234"/>
      <c r="L290" s="239"/>
    </row>
    <row r="291" spans="1:12">
      <c r="A291" s="247"/>
      <c r="B291" s="157" t="s">
        <v>3493</v>
      </c>
      <c r="C291" s="157" t="s">
        <v>229</v>
      </c>
      <c r="D291" s="157" t="s">
        <v>3493</v>
      </c>
      <c r="E291" s="234" t="s">
        <v>422</v>
      </c>
      <c r="F291" s="234"/>
      <c r="G291" s="249" t="s">
        <v>3785</v>
      </c>
      <c r="H291" s="234"/>
      <c r="I291" s="234"/>
      <c r="J291" s="234"/>
      <c r="K291" s="234"/>
      <c r="L291" s="239"/>
    </row>
    <row r="292" spans="1:12">
      <c r="A292" s="247"/>
      <c r="B292" s="157" t="s">
        <v>3399</v>
      </c>
      <c r="C292" s="157" t="s">
        <v>229</v>
      </c>
      <c r="D292" s="157" t="s">
        <v>3400</v>
      </c>
      <c r="E292" s="234" t="s">
        <v>422</v>
      </c>
      <c r="F292" s="234"/>
      <c r="G292" s="243" t="s">
        <v>3786</v>
      </c>
      <c r="H292" s="234"/>
      <c r="I292" s="239"/>
      <c r="J292" s="157" t="s">
        <v>3661</v>
      </c>
      <c r="K292" s="157" t="s">
        <v>1625</v>
      </c>
      <c r="L292" s="239"/>
    </row>
    <row r="293" spans="1:12">
      <c r="A293" s="247"/>
      <c r="B293" s="157" t="s">
        <v>3403</v>
      </c>
      <c r="C293" s="157" t="s">
        <v>229</v>
      </c>
      <c r="D293" s="157" t="s">
        <v>3404</v>
      </c>
      <c r="E293" s="234" t="s">
        <v>422</v>
      </c>
      <c r="F293" s="234"/>
      <c r="G293" s="243" t="s">
        <v>3787</v>
      </c>
      <c r="H293" s="234"/>
      <c r="I293" s="239"/>
      <c r="J293" s="157" t="s">
        <v>3661</v>
      </c>
      <c r="K293" s="157" t="s">
        <v>1625</v>
      </c>
      <c r="L293" s="239"/>
    </row>
    <row r="294" spans="1:12">
      <c r="A294" s="247"/>
      <c r="B294" s="157" t="s">
        <v>3407</v>
      </c>
      <c r="C294" s="157" t="s">
        <v>229</v>
      </c>
      <c r="D294" s="157" t="s">
        <v>3408</v>
      </c>
      <c r="E294" s="234" t="s">
        <v>422</v>
      </c>
      <c r="F294" s="234"/>
      <c r="G294" s="243" t="s">
        <v>3788</v>
      </c>
      <c r="H294" s="234"/>
      <c r="I294" s="239"/>
      <c r="J294" s="157" t="s">
        <v>3661</v>
      </c>
      <c r="K294" s="157" t="s">
        <v>1625</v>
      </c>
      <c r="L294" s="239"/>
    </row>
    <row r="295" spans="1:12">
      <c r="A295" s="247"/>
      <c r="B295" s="157" t="s">
        <v>3411</v>
      </c>
      <c r="C295" s="157" t="s">
        <v>229</v>
      </c>
      <c r="D295" s="157" t="s">
        <v>3412</v>
      </c>
      <c r="E295" s="234" t="s">
        <v>422</v>
      </c>
      <c r="F295" s="234"/>
      <c r="G295" s="243" t="s">
        <v>3789</v>
      </c>
      <c r="H295" s="234"/>
      <c r="I295" s="239"/>
      <c r="J295" s="157" t="s">
        <v>3661</v>
      </c>
      <c r="K295" s="157" t="s">
        <v>1625</v>
      </c>
      <c r="L295" s="239"/>
    </row>
    <row r="296" spans="1:12">
      <c r="A296" s="247"/>
      <c r="B296" s="157" t="s">
        <v>3414</v>
      </c>
      <c r="C296" s="157" t="s">
        <v>229</v>
      </c>
      <c r="D296" s="157" t="s">
        <v>3415</v>
      </c>
      <c r="E296" s="234" t="s">
        <v>422</v>
      </c>
      <c r="F296" s="234"/>
      <c r="G296" s="243" t="s">
        <v>3790</v>
      </c>
      <c r="H296" s="234"/>
      <c r="I296" s="239"/>
      <c r="J296" s="157" t="s">
        <v>3661</v>
      </c>
      <c r="K296" s="157" t="s">
        <v>1625</v>
      </c>
      <c r="L296" s="239"/>
    </row>
    <row r="297" spans="1:12">
      <c r="A297" s="247"/>
      <c r="B297" s="157" t="s">
        <v>3418</v>
      </c>
      <c r="C297" s="157" t="s">
        <v>229</v>
      </c>
      <c r="D297" s="157" t="s">
        <v>3419</v>
      </c>
      <c r="E297" s="234" t="s">
        <v>422</v>
      </c>
      <c r="F297" s="234"/>
      <c r="G297" s="243" t="s">
        <v>3791</v>
      </c>
      <c r="H297" s="234"/>
      <c r="I297" s="239"/>
      <c r="J297" s="157" t="s">
        <v>3661</v>
      </c>
      <c r="K297" s="157" t="s">
        <v>1625</v>
      </c>
      <c r="L297" s="239"/>
    </row>
    <row r="298" spans="1:12">
      <c r="A298" s="247"/>
      <c r="B298" s="157" t="s">
        <v>3494</v>
      </c>
      <c r="C298" s="157" t="s">
        <v>229</v>
      </c>
      <c r="D298" s="157" t="s">
        <v>3495</v>
      </c>
      <c r="E298" s="234" t="s">
        <v>422</v>
      </c>
      <c r="F298" s="234"/>
      <c r="G298" s="243" t="s">
        <v>3792</v>
      </c>
      <c r="H298" s="234"/>
      <c r="I298" s="239"/>
      <c r="J298" s="239"/>
      <c r="K298" s="157" t="s">
        <v>231</v>
      </c>
      <c r="L298" s="239"/>
    </row>
    <row r="299" spans="1:12">
      <c r="A299" s="247"/>
      <c r="B299" s="157" t="s">
        <v>3497</v>
      </c>
      <c r="C299" s="157" t="s">
        <v>229</v>
      </c>
      <c r="D299" s="157" t="s">
        <v>3498</v>
      </c>
      <c r="E299" s="234" t="s">
        <v>422</v>
      </c>
      <c r="F299" s="234"/>
      <c r="G299" s="243" t="s">
        <v>1693</v>
      </c>
      <c r="H299" s="234"/>
      <c r="I299" s="239"/>
      <c r="J299" s="239"/>
      <c r="K299" s="157" t="s">
        <v>231</v>
      </c>
      <c r="L299" s="239"/>
    </row>
    <row r="300" spans="1:12">
      <c r="A300" s="247"/>
      <c r="B300" s="157" t="s">
        <v>3500</v>
      </c>
      <c r="C300" s="157" t="s">
        <v>229</v>
      </c>
      <c r="D300" s="157" t="s">
        <v>3793</v>
      </c>
      <c r="E300" s="234" t="s">
        <v>422</v>
      </c>
      <c r="F300" s="234"/>
      <c r="G300" s="243" t="s">
        <v>3794</v>
      </c>
      <c r="H300" s="234"/>
      <c r="I300" s="239"/>
      <c r="J300" s="239"/>
      <c r="K300" s="157" t="s">
        <v>1575</v>
      </c>
      <c r="L300" s="239"/>
    </row>
    <row r="301" spans="1:12">
      <c r="A301" s="247"/>
      <c r="B301" s="157" t="s">
        <v>3503</v>
      </c>
      <c r="C301" s="157" t="s">
        <v>229</v>
      </c>
      <c r="D301" s="157" t="s">
        <v>3504</v>
      </c>
      <c r="E301" s="234" t="s">
        <v>422</v>
      </c>
      <c r="F301" s="234"/>
      <c r="G301" s="243" t="s">
        <v>3795</v>
      </c>
      <c r="H301" s="234"/>
      <c r="I301" s="239"/>
      <c r="J301" s="239"/>
      <c r="K301" s="157" t="s">
        <v>231</v>
      </c>
      <c r="L301" s="239"/>
    </row>
    <row r="302" spans="1:12">
      <c r="A302" s="247"/>
      <c r="B302" s="157" t="s">
        <v>3506</v>
      </c>
      <c r="C302" s="157" t="s">
        <v>229</v>
      </c>
      <c r="D302" s="157" t="s">
        <v>3507</v>
      </c>
      <c r="E302" s="234" t="s">
        <v>422</v>
      </c>
      <c r="F302" s="234"/>
      <c r="G302" s="243" t="s">
        <v>1693</v>
      </c>
      <c r="H302" s="234"/>
      <c r="I302" s="239"/>
      <c r="J302" s="239"/>
      <c r="K302" s="157" t="s">
        <v>231</v>
      </c>
      <c r="L302" s="239"/>
    </row>
    <row r="303" spans="1:12">
      <c r="A303" s="247"/>
      <c r="B303" s="157" t="s">
        <v>3509</v>
      </c>
      <c r="C303" s="157" t="s">
        <v>229</v>
      </c>
      <c r="D303" s="157" t="s">
        <v>3510</v>
      </c>
      <c r="E303" s="234" t="s">
        <v>422</v>
      </c>
      <c r="F303" s="234"/>
      <c r="G303" s="243" t="s">
        <v>3796</v>
      </c>
      <c r="H303" s="234"/>
      <c r="I303" s="239"/>
      <c r="J303" s="239"/>
      <c r="K303" s="157" t="s">
        <v>1575</v>
      </c>
      <c r="L303" s="239"/>
    </row>
    <row r="304" spans="1:12">
      <c r="A304" s="247"/>
      <c r="B304" s="157" t="s">
        <v>3422</v>
      </c>
      <c r="C304" s="157" t="s">
        <v>229</v>
      </c>
      <c r="D304" s="157" t="s">
        <v>3797</v>
      </c>
      <c r="E304" s="234" t="s">
        <v>422</v>
      </c>
      <c r="F304" s="234"/>
      <c r="G304" s="243" t="s">
        <v>1693</v>
      </c>
      <c r="H304" s="234"/>
      <c r="I304" s="239"/>
      <c r="J304" s="239"/>
      <c r="K304" s="157" t="s">
        <v>1625</v>
      </c>
      <c r="L304" s="239"/>
    </row>
    <row r="305" spans="1:12">
      <c r="A305" s="247"/>
      <c r="B305" s="157" t="s">
        <v>3424</v>
      </c>
      <c r="C305" s="157" t="s">
        <v>229</v>
      </c>
      <c r="D305" s="157" t="s">
        <v>3798</v>
      </c>
      <c r="E305" s="234" t="s">
        <v>422</v>
      </c>
      <c r="F305" s="234"/>
      <c r="G305" s="243" t="s">
        <v>1693</v>
      </c>
      <c r="H305" s="234"/>
      <c r="I305" s="239"/>
      <c r="J305" s="239"/>
      <c r="K305" s="157" t="s">
        <v>1625</v>
      </c>
      <c r="L305" s="239"/>
    </row>
    <row r="306" spans="1:12">
      <c r="A306" s="247"/>
      <c r="B306" s="157" t="s">
        <v>3512</v>
      </c>
      <c r="C306" s="157" t="s">
        <v>229</v>
      </c>
      <c r="D306" s="157" t="s">
        <v>3513</v>
      </c>
      <c r="E306" s="234" t="s">
        <v>422</v>
      </c>
      <c r="F306" s="234"/>
      <c r="G306" s="243" t="s">
        <v>1693</v>
      </c>
      <c r="H306" s="234"/>
      <c r="I306" s="239"/>
      <c r="J306" s="239"/>
      <c r="K306" s="157" t="s">
        <v>1625</v>
      </c>
      <c r="L306" s="239"/>
    </row>
    <row r="307" spans="1:12">
      <c r="A307" s="247"/>
      <c r="B307" s="157" t="s">
        <v>3427</v>
      </c>
      <c r="C307" s="157" t="s">
        <v>229</v>
      </c>
      <c r="D307" s="157" t="s">
        <v>3428</v>
      </c>
      <c r="E307" s="234" t="s">
        <v>422</v>
      </c>
      <c r="F307" s="234"/>
      <c r="G307" s="243" t="s">
        <v>3799</v>
      </c>
      <c r="H307" s="234"/>
      <c r="I307" s="239"/>
      <c r="J307" s="239"/>
      <c r="K307" s="157" t="s">
        <v>1625</v>
      </c>
      <c r="L307" s="239"/>
    </row>
    <row r="308" spans="1:12">
      <c r="A308" s="247"/>
      <c r="B308" s="157" t="s">
        <v>3431</v>
      </c>
      <c r="C308" s="157" t="s">
        <v>229</v>
      </c>
      <c r="D308" s="157" t="s">
        <v>3432</v>
      </c>
      <c r="E308" s="234" t="s">
        <v>422</v>
      </c>
      <c r="F308" s="234"/>
      <c r="G308" s="243" t="s">
        <v>3800</v>
      </c>
      <c r="H308" s="234"/>
      <c r="I308" s="239"/>
      <c r="J308" s="239"/>
      <c r="K308" s="157" t="s">
        <v>1625</v>
      </c>
      <c r="L308" s="239"/>
    </row>
    <row r="309" spans="1:12">
      <c r="A309" s="247"/>
      <c r="B309" s="157" t="s">
        <v>3435</v>
      </c>
      <c r="C309" s="157" t="s">
        <v>229</v>
      </c>
      <c r="D309" s="157" t="s">
        <v>3436</v>
      </c>
      <c r="E309" s="234" t="s">
        <v>422</v>
      </c>
      <c r="F309" s="234"/>
      <c r="G309" s="243" t="s">
        <v>3801</v>
      </c>
      <c r="H309" s="234"/>
      <c r="I309" s="239"/>
      <c r="J309" s="239"/>
      <c r="K309" s="157" t="s">
        <v>1625</v>
      </c>
      <c r="L309" s="239"/>
    </row>
    <row r="310" spans="2:12">
      <c r="B310" s="200" t="s">
        <v>1854</v>
      </c>
      <c r="C310" s="200" t="s">
        <v>170</v>
      </c>
      <c r="D310" s="200" t="s">
        <v>2554</v>
      </c>
      <c r="E310" s="241" t="s">
        <v>422</v>
      </c>
      <c r="F310" s="234"/>
      <c r="G310" s="242" t="s">
        <v>1519</v>
      </c>
      <c r="H310" s="241"/>
      <c r="I310" s="241"/>
      <c r="J310" s="241"/>
      <c r="K310" s="241"/>
      <c r="L310" s="239"/>
    </row>
    <row r="311" spans="2:12">
      <c r="B311" s="200" t="s">
        <v>1856</v>
      </c>
      <c r="C311" s="200" t="s">
        <v>170</v>
      </c>
      <c r="D311" s="200" t="s">
        <v>2556</v>
      </c>
      <c r="E311" s="241" t="s">
        <v>422</v>
      </c>
      <c r="F311" s="234"/>
      <c r="G311" s="242" t="s">
        <v>1522</v>
      </c>
      <c r="H311" s="241"/>
      <c r="I311" s="241"/>
      <c r="J311" s="241"/>
      <c r="K311" s="241"/>
      <c r="L311" s="239"/>
    </row>
    <row r="312" spans="2:12">
      <c r="B312" s="200" t="s">
        <v>1504</v>
      </c>
      <c r="C312" s="200" t="s">
        <v>170</v>
      </c>
      <c r="D312" s="200" t="s">
        <v>2558</v>
      </c>
      <c r="E312" s="241" t="s">
        <v>422</v>
      </c>
      <c r="F312" s="234"/>
      <c r="G312" s="243" t="s">
        <v>1506</v>
      </c>
      <c r="H312" s="241"/>
      <c r="I312" s="241"/>
      <c r="J312" s="241"/>
      <c r="K312" s="241"/>
      <c r="L312" s="239"/>
    </row>
    <row r="313" spans="2:12">
      <c r="B313" s="200" t="s">
        <v>1848</v>
      </c>
      <c r="C313" s="200" t="s">
        <v>170</v>
      </c>
      <c r="D313" s="200" t="s">
        <v>2560</v>
      </c>
      <c r="E313" s="241" t="s">
        <v>422</v>
      </c>
      <c r="F313" s="234"/>
      <c r="G313" s="244" t="s">
        <v>1510</v>
      </c>
      <c r="H313" s="241"/>
      <c r="I313" s="241"/>
      <c r="J313" s="241"/>
      <c r="K313" s="241"/>
      <c r="L313" s="239"/>
    </row>
    <row r="314" spans="2:12">
      <c r="B314" s="200" t="s">
        <v>1850</v>
      </c>
      <c r="C314" s="200" t="s">
        <v>170</v>
      </c>
      <c r="D314" s="200" t="s">
        <v>2562</v>
      </c>
      <c r="E314" s="241" t="s">
        <v>422</v>
      </c>
      <c r="F314" s="234"/>
      <c r="G314" s="244" t="s">
        <v>1513</v>
      </c>
      <c r="H314" s="241"/>
      <c r="I314" s="241"/>
      <c r="J314" s="241"/>
      <c r="K314" s="241"/>
      <c r="L314" s="239"/>
    </row>
    <row r="315" spans="2:12">
      <c r="B315" s="200" t="s">
        <v>1852</v>
      </c>
      <c r="C315" s="200" t="s">
        <v>170</v>
      </c>
      <c r="D315" s="200" t="s">
        <v>2564</v>
      </c>
      <c r="E315" s="241" t="s">
        <v>422</v>
      </c>
      <c r="F315" s="234"/>
      <c r="G315" s="244" t="s">
        <v>1516</v>
      </c>
      <c r="H315" s="241"/>
      <c r="I315" s="241"/>
      <c r="J315" s="241"/>
      <c r="K315" s="241"/>
      <c r="L315" s="239"/>
    </row>
    <row r="316" spans="2:12">
      <c r="B316" s="200" t="s">
        <v>1523</v>
      </c>
      <c r="C316" s="200" t="s">
        <v>229</v>
      </c>
      <c r="D316" s="200" t="s">
        <v>1524</v>
      </c>
      <c r="E316" s="241" t="s">
        <v>422</v>
      </c>
      <c r="F316" s="234"/>
      <c r="G316" s="200" t="s">
        <v>1525</v>
      </c>
      <c r="H316" s="241"/>
      <c r="I316" s="241"/>
      <c r="J316" s="241"/>
      <c r="K316" s="241"/>
      <c r="L316" s="239"/>
    </row>
    <row r="317" spans="2:12">
      <c r="B317" s="200" t="s">
        <v>1858</v>
      </c>
      <c r="C317" s="200" t="s">
        <v>229</v>
      </c>
      <c r="D317" s="200" t="s">
        <v>618</v>
      </c>
      <c r="E317" s="241" t="s">
        <v>422</v>
      </c>
      <c r="F317" s="234"/>
      <c r="G317" s="245" t="s">
        <v>3514</v>
      </c>
      <c r="H317" s="241"/>
      <c r="I317" s="241"/>
      <c r="J317" s="241"/>
      <c r="K317" s="241"/>
      <c r="L317" s="239"/>
    </row>
    <row r="318" spans="2:12">
      <c r="B318" s="229" t="s">
        <v>239</v>
      </c>
      <c r="C318" s="229" t="s">
        <v>170</v>
      </c>
      <c r="D318" s="229" t="s">
        <v>240</v>
      </c>
      <c r="E318" s="201"/>
      <c r="F318" s="201"/>
      <c r="G318" s="201"/>
      <c r="H318" s="201"/>
      <c r="I318" s="201"/>
      <c r="J318" s="201"/>
      <c r="K318" s="229" t="s">
        <v>749</v>
      </c>
      <c r="L318" s="229"/>
    </row>
    <row r="319" spans="2:12">
      <c r="B319" s="229" t="s">
        <v>177</v>
      </c>
      <c r="C319" s="229" t="s">
        <v>175</v>
      </c>
      <c r="D319" s="229" t="s">
        <v>599</v>
      </c>
      <c r="E319" s="201"/>
      <c r="F319" s="201"/>
      <c r="G319" s="201"/>
      <c r="H319" s="201"/>
      <c r="I319" s="201"/>
      <c r="J319" s="201"/>
      <c r="K319" s="229" t="s">
        <v>749</v>
      </c>
      <c r="L319" s="229" t="s">
        <v>749</v>
      </c>
    </row>
    <row r="320" spans="2:12">
      <c r="B320" s="229" t="s">
        <v>693</v>
      </c>
      <c r="C320" s="229" t="s">
        <v>170</v>
      </c>
      <c r="D320" s="229" t="s">
        <v>1859</v>
      </c>
      <c r="E320" s="201"/>
      <c r="F320" s="201"/>
      <c r="G320" s="201"/>
      <c r="H320" s="201"/>
      <c r="I320" s="201"/>
      <c r="J320" s="201"/>
      <c r="K320" s="229" t="s">
        <v>749</v>
      </c>
      <c r="L320" s="229" t="s">
        <v>1860</v>
      </c>
    </row>
    <row r="321" s="209" customFormat="1" spans="2:11">
      <c r="B321" s="229" t="s">
        <v>696</v>
      </c>
      <c r="C321" s="229" t="s">
        <v>170</v>
      </c>
      <c r="D321" s="229" t="s">
        <v>1534</v>
      </c>
      <c r="E321" s="201"/>
      <c r="F321" s="201"/>
      <c r="G321" s="201"/>
      <c r="H321" s="201"/>
      <c r="I321" s="201"/>
      <c r="J321" s="229"/>
      <c r="K321" s="229"/>
    </row>
  </sheetData>
  <autoFilter xmlns:etc="http://www.wps.cn/officeDocument/2017/etCustomData" ref="A12:N321" etc:filterBottomFollowUsedRange="0">
    <extLst/>
  </autoFilter>
  <mergeCells count="3">
    <mergeCell ref="B2:H2"/>
    <mergeCell ref="B6:H6"/>
    <mergeCell ref="B11:L11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L332"/>
  <sheetViews>
    <sheetView workbookViewId="0">
      <selection activeCell="J27" sqref="J27"/>
    </sheetView>
  </sheetViews>
  <sheetFormatPr defaultColWidth="9" defaultRowHeight="15.6"/>
  <cols>
    <col min="1" max="1" width="9" style="192"/>
    <col min="2" max="2" width="40.8796296296296" style="191" customWidth="1"/>
    <col min="3" max="3" width="20.3796296296296" style="191" customWidth="1"/>
    <col min="4" max="4" width="31.1296296296296" style="191" customWidth="1"/>
    <col min="5" max="5" width="9.87962962962963" style="191" customWidth="1"/>
    <col min="6" max="6" width="42" style="191" customWidth="1"/>
    <col min="7" max="7" width="9.12962962962963" style="191" customWidth="1"/>
    <col min="8" max="8" width="12" style="191" customWidth="1"/>
    <col min="9" max="9" width="10.8796296296296" style="191" customWidth="1"/>
    <col min="10" max="10" width="12.5" style="191" customWidth="1"/>
    <col min="11" max="11" width="14.1296296296296" style="191" customWidth="1"/>
    <col min="12" max="12" width="12.3796296296296" style="192" customWidth="1"/>
    <col min="13" max="16384" width="9" style="192"/>
  </cols>
  <sheetData>
    <row r="1" spans="2:8">
      <c r="B1" s="193" t="str">
        <f>HYPERLINK("#"&amp;"导航应用"&amp;"!B1","返回")</f>
        <v>返回</v>
      </c>
      <c r="C1" s="194"/>
      <c r="D1" s="194"/>
      <c r="E1" s="194"/>
      <c r="F1" s="194"/>
      <c r="G1" s="194"/>
      <c r="H1" s="194"/>
    </row>
    <row r="2" ht="17.4" spans="2:8">
      <c r="B2" s="195" t="s">
        <v>132</v>
      </c>
      <c r="C2" s="195"/>
      <c r="D2" s="195"/>
      <c r="E2" s="195"/>
      <c r="F2" s="195"/>
      <c r="G2" s="195"/>
      <c r="H2" s="195"/>
    </row>
    <row r="3" spans="2:8">
      <c r="B3" s="196" t="s">
        <v>133</v>
      </c>
      <c r="C3" s="196" t="s">
        <v>134</v>
      </c>
      <c r="D3" s="196" t="s">
        <v>135</v>
      </c>
      <c r="E3" s="196" t="s">
        <v>136</v>
      </c>
      <c r="F3" s="196" t="s">
        <v>137</v>
      </c>
      <c r="G3" s="196" t="s">
        <v>138</v>
      </c>
      <c r="H3" s="196" t="s">
        <v>139</v>
      </c>
    </row>
    <row r="4" spans="2:8">
      <c r="B4" s="84"/>
      <c r="C4" s="72" t="s">
        <v>87</v>
      </c>
      <c r="D4" s="228" t="s">
        <v>3802</v>
      </c>
      <c r="E4" s="84" t="s">
        <v>661</v>
      </c>
      <c r="F4" s="197"/>
      <c r="G4" s="231"/>
      <c r="H4" s="231"/>
    </row>
    <row r="5" spans="2:8">
      <c r="B5" s="198"/>
      <c r="C5" s="198"/>
      <c r="D5" s="198"/>
      <c r="E5" s="198"/>
      <c r="F5" s="198"/>
      <c r="G5" s="198"/>
      <c r="H5" s="198"/>
    </row>
    <row r="6" ht="17.4" spans="2:8">
      <c r="B6" s="195" t="s">
        <v>142</v>
      </c>
      <c r="C6" s="195"/>
      <c r="D6" s="195"/>
      <c r="E6" s="195"/>
      <c r="F6" s="195"/>
      <c r="G6" s="195"/>
      <c r="H6" s="195"/>
    </row>
    <row r="7" spans="2:8">
      <c r="B7" s="199" t="s">
        <v>143</v>
      </c>
      <c r="C7" s="199" t="s">
        <v>144</v>
      </c>
      <c r="D7" s="199" t="s">
        <v>145</v>
      </c>
      <c r="E7" s="199" t="s">
        <v>146</v>
      </c>
      <c r="F7" s="199" t="s">
        <v>147</v>
      </c>
      <c r="G7" s="199" t="s">
        <v>13</v>
      </c>
      <c r="H7" s="199" t="s">
        <v>148</v>
      </c>
    </row>
    <row r="8" spans="2:8">
      <c r="B8" s="84"/>
      <c r="C8" s="200" t="s">
        <v>670</v>
      </c>
      <c r="D8" s="228" t="s">
        <v>3803</v>
      </c>
      <c r="E8" s="84" t="s">
        <v>422</v>
      </c>
      <c r="F8" s="84"/>
      <c r="G8" s="54"/>
      <c r="H8" s="16" t="s">
        <v>21</v>
      </c>
    </row>
    <row r="9" spans="2:8">
      <c r="B9" s="84"/>
      <c r="C9" s="206"/>
      <c r="D9" s="206"/>
      <c r="E9" s="84" t="s">
        <v>1536</v>
      </c>
      <c r="F9" s="84"/>
      <c r="G9" s="54"/>
      <c r="H9" s="16"/>
    </row>
    <row r="11" spans="2:12">
      <c r="B11" s="202" t="s">
        <v>158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7"/>
    </row>
    <row r="12" ht="24" spans="2:12">
      <c r="B12" s="204" t="s">
        <v>159</v>
      </c>
      <c r="C12" s="204" t="s">
        <v>160</v>
      </c>
      <c r="D12" s="204" t="s">
        <v>161</v>
      </c>
      <c r="E12" s="204" t="s">
        <v>162</v>
      </c>
      <c r="F12" s="204" t="s">
        <v>163</v>
      </c>
      <c r="G12" s="204" t="s">
        <v>164</v>
      </c>
      <c r="H12" s="204" t="s">
        <v>165</v>
      </c>
      <c r="I12" s="204" t="s">
        <v>13</v>
      </c>
      <c r="J12" s="204" t="s">
        <v>166</v>
      </c>
      <c r="K12" s="204" t="s">
        <v>167</v>
      </c>
      <c r="L12" s="204" t="s">
        <v>168</v>
      </c>
    </row>
    <row r="13" spans="2:12">
      <c r="B13" s="229" t="s">
        <v>174</v>
      </c>
      <c r="C13" s="229" t="s">
        <v>175</v>
      </c>
      <c r="D13" s="229" t="s">
        <v>1538</v>
      </c>
      <c r="E13" s="229" t="s">
        <v>422</v>
      </c>
      <c r="F13" s="229" t="s">
        <v>177</v>
      </c>
      <c r="G13" s="200" t="s">
        <v>748</v>
      </c>
      <c r="H13" s="201"/>
      <c r="I13" s="201"/>
      <c r="J13" s="229" t="s">
        <v>173</v>
      </c>
      <c r="K13" s="229" t="s">
        <v>749</v>
      </c>
      <c r="L13" s="229" t="s">
        <v>749</v>
      </c>
    </row>
    <row r="14" spans="2:12">
      <c r="B14" s="229" t="s">
        <v>1539</v>
      </c>
      <c r="C14" s="229" t="s">
        <v>170</v>
      </c>
      <c r="D14" s="229" t="s">
        <v>1540</v>
      </c>
      <c r="E14" s="229" t="s">
        <v>422</v>
      </c>
      <c r="F14" s="229" t="s">
        <v>693</v>
      </c>
      <c r="G14" s="200" t="s">
        <v>748</v>
      </c>
      <c r="H14" s="201"/>
      <c r="I14" s="201"/>
      <c r="J14" s="229" t="s">
        <v>173</v>
      </c>
      <c r="K14" s="229" t="s">
        <v>749</v>
      </c>
      <c r="L14" s="229" t="s">
        <v>1541</v>
      </c>
    </row>
    <row r="15" spans="2:12">
      <c r="B15" s="229" t="s">
        <v>661</v>
      </c>
      <c r="C15" s="229" t="s">
        <v>170</v>
      </c>
      <c r="D15" s="229" t="s">
        <v>1542</v>
      </c>
      <c r="E15" s="229" t="s">
        <v>422</v>
      </c>
      <c r="F15" s="229" t="s">
        <v>696</v>
      </c>
      <c r="G15" s="200" t="s">
        <v>748</v>
      </c>
      <c r="H15" s="201"/>
      <c r="I15" s="201"/>
      <c r="J15" s="229" t="s">
        <v>173</v>
      </c>
      <c r="K15" s="229" t="s">
        <v>749</v>
      </c>
      <c r="L15" s="229" t="s">
        <v>1543</v>
      </c>
    </row>
    <row r="16" spans="2:12">
      <c r="B16" s="229" t="s">
        <v>3804</v>
      </c>
      <c r="C16" s="229" t="s">
        <v>170</v>
      </c>
      <c r="D16" s="229" t="s">
        <v>1974</v>
      </c>
      <c r="E16" s="229" t="s">
        <v>422</v>
      </c>
      <c r="F16" s="229" t="s">
        <v>1973</v>
      </c>
      <c r="G16" s="200" t="s">
        <v>748</v>
      </c>
      <c r="H16" s="201"/>
      <c r="I16" s="201"/>
      <c r="J16" s="229" t="s">
        <v>173</v>
      </c>
      <c r="K16" s="229" t="s">
        <v>749</v>
      </c>
      <c r="L16" s="229" t="s">
        <v>1975</v>
      </c>
    </row>
    <row r="17" spans="2:12">
      <c r="B17" s="229" t="s">
        <v>3805</v>
      </c>
      <c r="C17" s="229" t="s">
        <v>175</v>
      </c>
      <c r="D17" s="229" t="s">
        <v>747</v>
      </c>
      <c r="E17" s="229" t="s">
        <v>422</v>
      </c>
      <c r="F17" s="229" t="s">
        <v>746</v>
      </c>
      <c r="G17" s="200" t="s">
        <v>748</v>
      </c>
      <c r="H17" s="201"/>
      <c r="I17" s="201"/>
      <c r="J17" s="229" t="s">
        <v>173</v>
      </c>
      <c r="K17" s="229" t="s">
        <v>749</v>
      </c>
      <c r="L17" s="229" t="s">
        <v>750</v>
      </c>
    </row>
    <row r="18" spans="2:12">
      <c r="B18" s="229" t="s">
        <v>2778</v>
      </c>
      <c r="C18" s="229" t="s">
        <v>175</v>
      </c>
      <c r="D18" s="229" t="s">
        <v>1551</v>
      </c>
      <c r="E18" s="229" t="s">
        <v>422</v>
      </c>
      <c r="F18" s="229" t="s">
        <v>1550</v>
      </c>
      <c r="G18" s="200" t="s">
        <v>748</v>
      </c>
      <c r="H18" s="201"/>
      <c r="I18" s="201"/>
      <c r="J18" s="229" t="s">
        <v>173</v>
      </c>
      <c r="K18" s="229" t="s">
        <v>749</v>
      </c>
      <c r="L18" s="229" t="s">
        <v>1552</v>
      </c>
    </row>
    <row r="19" spans="2:12">
      <c r="B19" s="229" t="s">
        <v>2777</v>
      </c>
      <c r="C19" s="229" t="s">
        <v>170</v>
      </c>
      <c r="D19" s="229" t="s">
        <v>1553</v>
      </c>
      <c r="E19" s="229" t="s">
        <v>422</v>
      </c>
      <c r="F19" s="229" t="s">
        <v>207</v>
      </c>
      <c r="G19" s="200" t="s">
        <v>748</v>
      </c>
      <c r="H19" s="201"/>
      <c r="I19" s="201"/>
      <c r="J19" s="229" t="s">
        <v>173</v>
      </c>
      <c r="K19" s="229" t="s">
        <v>749</v>
      </c>
      <c r="L19" s="229" t="s">
        <v>1554</v>
      </c>
    </row>
    <row r="20" spans="2:12">
      <c r="B20" s="229" t="s">
        <v>2786</v>
      </c>
      <c r="C20" s="229" t="s">
        <v>170</v>
      </c>
      <c r="D20" s="229" t="s">
        <v>3519</v>
      </c>
      <c r="E20" s="229" t="s">
        <v>422</v>
      </c>
      <c r="F20" s="229" t="s">
        <v>3518</v>
      </c>
      <c r="G20" s="200" t="s">
        <v>748</v>
      </c>
      <c r="H20" s="201"/>
      <c r="I20" s="201"/>
      <c r="J20" s="229" t="s">
        <v>173</v>
      </c>
      <c r="K20" s="229" t="s">
        <v>749</v>
      </c>
      <c r="L20" s="229" t="s">
        <v>2788</v>
      </c>
    </row>
    <row r="21" spans="2:12">
      <c r="B21" s="229" t="s">
        <v>2789</v>
      </c>
      <c r="C21" s="229" t="s">
        <v>229</v>
      </c>
      <c r="D21" s="229" t="s">
        <v>3521</v>
      </c>
      <c r="E21" s="229" t="s">
        <v>422</v>
      </c>
      <c r="F21" s="229" t="s">
        <v>3520</v>
      </c>
      <c r="G21" s="200" t="s">
        <v>748</v>
      </c>
      <c r="H21" s="201"/>
      <c r="I21" s="201"/>
      <c r="J21" s="229" t="s">
        <v>173</v>
      </c>
      <c r="K21" s="229" t="s">
        <v>749</v>
      </c>
      <c r="L21" s="229" t="s">
        <v>2791</v>
      </c>
    </row>
    <row r="22" spans="2:12">
      <c r="B22" s="229" t="s">
        <v>1555</v>
      </c>
      <c r="C22" s="229" t="s">
        <v>229</v>
      </c>
      <c r="D22" s="229" t="s">
        <v>1977</v>
      </c>
      <c r="E22" s="229" t="s">
        <v>422</v>
      </c>
      <c r="F22" s="229" t="s">
        <v>1863</v>
      </c>
      <c r="G22" s="200" t="s">
        <v>2779</v>
      </c>
      <c r="H22" s="201"/>
      <c r="I22" s="201"/>
      <c r="J22" s="229" t="s">
        <v>173</v>
      </c>
      <c r="K22" s="229" t="s">
        <v>749</v>
      </c>
      <c r="L22" s="229" t="s">
        <v>1557</v>
      </c>
    </row>
    <row r="23" spans="2:12">
      <c r="B23" s="229" t="s">
        <v>1558</v>
      </c>
      <c r="C23" s="229" t="s">
        <v>175</v>
      </c>
      <c r="D23" s="229" t="s">
        <v>1559</v>
      </c>
      <c r="E23" s="229" t="s">
        <v>422</v>
      </c>
      <c r="F23" s="229" t="s">
        <v>1863</v>
      </c>
      <c r="G23" s="200" t="s">
        <v>2780</v>
      </c>
      <c r="H23" s="201"/>
      <c r="I23" s="201"/>
      <c r="J23" s="229" t="s">
        <v>173</v>
      </c>
      <c r="K23" s="229" t="s">
        <v>749</v>
      </c>
      <c r="L23" s="229" t="s">
        <v>1560</v>
      </c>
    </row>
    <row r="24" spans="2:12">
      <c r="B24" s="229" t="s">
        <v>211</v>
      </c>
      <c r="C24" s="229" t="s">
        <v>175</v>
      </c>
      <c r="D24" s="229" t="s">
        <v>211</v>
      </c>
      <c r="E24" s="229" t="s">
        <v>422</v>
      </c>
      <c r="F24" s="229" t="s">
        <v>1863</v>
      </c>
      <c r="G24" s="200" t="s">
        <v>2782</v>
      </c>
      <c r="H24" s="201"/>
      <c r="I24" s="201"/>
      <c r="J24" s="229" t="s">
        <v>173</v>
      </c>
      <c r="K24" s="229" t="s">
        <v>749</v>
      </c>
      <c r="L24" s="229" t="s">
        <v>749</v>
      </c>
    </row>
    <row r="25" spans="2:12">
      <c r="B25" s="229" t="s">
        <v>213</v>
      </c>
      <c r="C25" s="229" t="s">
        <v>175</v>
      </c>
      <c r="D25" s="229" t="s">
        <v>214</v>
      </c>
      <c r="E25" s="229" t="s">
        <v>422</v>
      </c>
      <c r="F25" s="229" t="s">
        <v>213</v>
      </c>
      <c r="G25" s="200" t="s">
        <v>748</v>
      </c>
      <c r="H25" s="201"/>
      <c r="I25" s="201"/>
      <c r="J25" s="229" t="s">
        <v>173</v>
      </c>
      <c r="K25" s="229" t="s">
        <v>749</v>
      </c>
      <c r="L25" s="229" t="s">
        <v>749</v>
      </c>
    </row>
    <row r="26" spans="2:12">
      <c r="B26" s="229" t="s">
        <v>2783</v>
      </c>
      <c r="C26" s="229" t="s">
        <v>175</v>
      </c>
      <c r="D26" s="229" t="s">
        <v>1979</v>
      </c>
      <c r="E26" s="229" t="s">
        <v>422</v>
      </c>
      <c r="F26" s="229" t="s">
        <v>1864</v>
      </c>
      <c r="G26" s="200" t="s">
        <v>748</v>
      </c>
      <c r="H26" s="201"/>
      <c r="I26" s="201"/>
      <c r="J26" s="229" t="s">
        <v>173</v>
      </c>
      <c r="K26" s="229" t="s">
        <v>749</v>
      </c>
      <c r="L26" s="229" t="s">
        <v>749</v>
      </c>
    </row>
    <row r="27" spans="2:12">
      <c r="B27" s="229" t="s">
        <v>188</v>
      </c>
      <c r="C27" s="229" t="s">
        <v>229</v>
      </c>
      <c r="D27" s="229" t="s">
        <v>1562</v>
      </c>
      <c r="E27" s="229" t="s">
        <v>422</v>
      </c>
      <c r="F27" s="229" t="s">
        <v>188</v>
      </c>
      <c r="G27" s="200" t="s">
        <v>748</v>
      </c>
      <c r="H27" s="201"/>
      <c r="I27" s="201"/>
      <c r="J27" s="229" t="s">
        <v>173</v>
      </c>
      <c r="K27" s="229" t="s">
        <v>749</v>
      </c>
      <c r="L27" s="229" t="s">
        <v>1563</v>
      </c>
    </row>
    <row r="28" spans="2:12">
      <c r="B28" s="229" t="s">
        <v>3806</v>
      </c>
      <c r="C28" s="229" t="s">
        <v>175</v>
      </c>
      <c r="D28" s="229" t="s">
        <v>2785</v>
      </c>
      <c r="E28" s="229" t="s">
        <v>422</v>
      </c>
      <c r="F28" s="229" t="s">
        <v>3806</v>
      </c>
      <c r="G28" s="200" t="s">
        <v>748</v>
      </c>
      <c r="H28" s="201"/>
      <c r="I28" s="201"/>
      <c r="J28" s="229" t="s">
        <v>173</v>
      </c>
      <c r="K28" s="229" t="s">
        <v>749</v>
      </c>
      <c r="L28" s="229" t="s">
        <v>749</v>
      </c>
    </row>
    <row r="29" spans="2:12">
      <c r="B29" s="229" t="s">
        <v>1564</v>
      </c>
      <c r="C29" s="229" t="s">
        <v>229</v>
      </c>
      <c r="D29" s="229" t="s">
        <v>1565</v>
      </c>
      <c r="E29" s="229" t="s">
        <v>422</v>
      </c>
      <c r="F29" s="229" t="s">
        <v>1564</v>
      </c>
      <c r="G29" s="200" t="s">
        <v>748</v>
      </c>
      <c r="H29" s="201"/>
      <c r="I29" s="201"/>
      <c r="J29" s="229" t="s">
        <v>173</v>
      </c>
      <c r="K29" s="229" t="s">
        <v>749</v>
      </c>
      <c r="L29" s="229" t="s">
        <v>1566</v>
      </c>
    </row>
    <row r="30" spans="2:12">
      <c r="B30" s="229" t="s">
        <v>3807</v>
      </c>
      <c r="C30" s="229" t="s">
        <v>175</v>
      </c>
      <c r="D30" s="229" t="s">
        <v>2795</v>
      </c>
      <c r="E30" s="229" t="s">
        <v>422</v>
      </c>
      <c r="F30" s="229" t="s">
        <v>3807</v>
      </c>
      <c r="G30" s="200" t="s">
        <v>748</v>
      </c>
      <c r="H30" s="201"/>
      <c r="I30" s="201"/>
      <c r="J30" s="229" t="s">
        <v>173</v>
      </c>
      <c r="K30" s="229" t="s">
        <v>749</v>
      </c>
      <c r="L30" s="229" t="s">
        <v>749</v>
      </c>
    </row>
    <row r="31" spans="2:12">
      <c r="B31" s="229" t="s">
        <v>3808</v>
      </c>
      <c r="C31" s="229" t="s">
        <v>175</v>
      </c>
      <c r="D31" s="229" t="s">
        <v>2796</v>
      </c>
      <c r="E31" s="229" t="s">
        <v>422</v>
      </c>
      <c r="F31" s="229" t="s">
        <v>3808</v>
      </c>
      <c r="G31" s="200" t="s">
        <v>748</v>
      </c>
      <c r="H31" s="201"/>
      <c r="I31" s="201"/>
      <c r="J31" s="229" t="s">
        <v>173</v>
      </c>
      <c r="K31" s="229" t="s">
        <v>749</v>
      </c>
      <c r="L31" s="229" t="s">
        <v>749</v>
      </c>
    </row>
    <row r="32" spans="2:12">
      <c r="B32" s="229" t="s">
        <v>3809</v>
      </c>
      <c r="C32" s="229" t="s">
        <v>175</v>
      </c>
      <c r="D32" s="229" t="s">
        <v>3810</v>
      </c>
      <c r="E32" s="229" t="s">
        <v>422</v>
      </c>
      <c r="F32" s="229" t="s">
        <v>3809</v>
      </c>
      <c r="G32" s="200" t="s">
        <v>748</v>
      </c>
      <c r="H32" s="201"/>
      <c r="I32" s="201"/>
      <c r="J32" s="229" t="s">
        <v>173</v>
      </c>
      <c r="K32" s="229" t="s">
        <v>749</v>
      </c>
      <c r="L32" s="229" t="s">
        <v>749</v>
      </c>
    </row>
    <row r="33" spans="2:12">
      <c r="B33" s="229" t="s">
        <v>3811</v>
      </c>
      <c r="C33" s="229" t="s">
        <v>170</v>
      </c>
      <c r="D33" s="229" t="s">
        <v>3812</v>
      </c>
      <c r="E33" s="229" t="s">
        <v>422</v>
      </c>
      <c r="F33" s="229" t="s">
        <v>3811</v>
      </c>
      <c r="G33" s="200" t="s">
        <v>748</v>
      </c>
      <c r="H33" s="201"/>
      <c r="I33" s="201"/>
      <c r="J33" s="229" t="s">
        <v>173</v>
      </c>
      <c r="K33" s="229" t="s">
        <v>749</v>
      </c>
      <c r="L33" s="229" t="s">
        <v>1984</v>
      </c>
    </row>
    <row r="34" spans="2:12">
      <c r="B34" s="229" t="s">
        <v>3813</v>
      </c>
      <c r="C34" s="229" t="s">
        <v>175</v>
      </c>
      <c r="D34" s="229" t="s">
        <v>2792</v>
      </c>
      <c r="E34" s="229" t="s">
        <v>422</v>
      </c>
      <c r="F34" s="229" t="s">
        <v>3813</v>
      </c>
      <c r="G34" s="200" t="s">
        <v>748</v>
      </c>
      <c r="H34" s="201"/>
      <c r="I34" s="201"/>
      <c r="J34" s="229" t="s">
        <v>173</v>
      </c>
      <c r="K34" s="229" t="s">
        <v>749</v>
      </c>
      <c r="L34" s="229" t="s">
        <v>749</v>
      </c>
    </row>
    <row r="35" spans="2:12">
      <c r="B35" s="229" t="s">
        <v>2803</v>
      </c>
      <c r="C35" s="229" t="s">
        <v>175</v>
      </c>
      <c r="D35" s="229" t="s">
        <v>3814</v>
      </c>
      <c r="E35" s="229" t="s">
        <v>422</v>
      </c>
      <c r="F35" s="229" t="s">
        <v>3815</v>
      </c>
      <c r="G35" s="200" t="s">
        <v>2806</v>
      </c>
      <c r="H35" s="201"/>
      <c r="I35" s="201"/>
      <c r="J35" s="229" t="s">
        <v>173</v>
      </c>
      <c r="K35" s="229" t="s">
        <v>749</v>
      </c>
      <c r="L35" s="229" t="s">
        <v>749</v>
      </c>
    </row>
    <row r="36" spans="2:12">
      <c r="B36" s="229" t="s">
        <v>2802</v>
      </c>
      <c r="C36" s="229" t="s">
        <v>175</v>
      </c>
      <c r="D36" s="229" t="s">
        <v>1570</v>
      </c>
      <c r="E36" s="229" t="s">
        <v>422</v>
      </c>
      <c r="F36" s="229" t="s">
        <v>246</v>
      </c>
      <c r="G36" s="200" t="s">
        <v>748</v>
      </c>
      <c r="H36" s="201"/>
      <c r="I36" s="201"/>
      <c r="J36" s="229" t="s">
        <v>173</v>
      </c>
      <c r="K36" s="229" t="s">
        <v>749</v>
      </c>
      <c r="L36" s="229" t="s">
        <v>1571</v>
      </c>
    </row>
    <row r="37" spans="2:12">
      <c r="B37" s="229" t="s">
        <v>3816</v>
      </c>
      <c r="C37" s="229" t="s">
        <v>175</v>
      </c>
      <c r="D37" s="229" t="s">
        <v>1568</v>
      </c>
      <c r="E37" s="229" t="s">
        <v>422</v>
      </c>
      <c r="F37" s="229" t="s">
        <v>1567</v>
      </c>
      <c r="G37" s="200" t="s">
        <v>748</v>
      </c>
      <c r="H37" s="201"/>
      <c r="I37" s="201"/>
      <c r="J37" s="229" t="s">
        <v>173</v>
      </c>
      <c r="K37" s="229" t="s">
        <v>749</v>
      </c>
      <c r="L37" s="229" t="s">
        <v>1569</v>
      </c>
    </row>
    <row r="38" spans="2:12">
      <c r="B38" s="229" t="s">
        <v>169</v>
      </c>
      <c r="C38" s="229" t="s">
        <v>170</v>
      </c>
      <c r="D38" s="229" t="s">
        <v>525</v>
      </c>
      <c r="E38" s="229" t="s">
        <v>422</v>
      </c>
      <c r="F38" s="229" t="s">
        <v>169</v>
      </c>
      <c r="G38" s="200" t="s">
        <v>748</v>
      </c>
      <c r="H38" s="201"/>
      <c r="I38" s="201"/>
      <c r="J38" s="229" t="s">
        <v>173</v>
      </c>
      <c r="K38" s="229" t="s">
        <v>749</v>
      </c>
      <c r="L38" s="229" t="s">
        <v>1544</v>
      </c>
    </row>
    <row r="39" spans="2:12">
      <c r="B39" s="229" t="s">
        <v>178</v>
      </c>
      <c r="C39" s="229" t="s">
        <v>170</v>
      </c>
      <c r="D39" s="229" t="s">
        <v>527</v>
      </c>
      <c r="E39" s="229" t="s">
        <v>422</v>
      </c>
      <c r="F39" s="229" t="s">
        <v>178</v>
      </c>
      <c r="G39" s="200" t="s">
        <v>748</v>
      </c>
      <c r="H39" s="201"/>
      <c r="I39" s="201"/>
      <c r="J39" s="229" t="s">
        <v>173</v>
      </c>
      <c r="K39" s="229" t="s">
        <v>749</v>
      </c>
      <c r="L39" s="229" t="s">
        <v>1546</v>
      </c>
    </row>
    <row r="40" spans="2:12">
      <c r="B40" s="229" t="s">
        <v>180</v>
      </c>
      <c r="C40" s="229" t="s">
        <v>170</v>
      </c>
      <c r="D40" s="229" t="s">
        <v>2774</v>
      </c>
      <c r="E40" s="229" t="s">
        <v>422</v>
      </c>
      <c r="F40" s="229" t="s">
        <v>180</v>
      </c>
      <c r="G40" s="200" t="s">
        <v>748</v>
      </c>
      <c r="H40" s="201"/>
      <c r="I40" s="201"/>
      <c r="J40" s="229" t="s">
        <v>173</v>
      </c>
      <c r="K40" s="229" t="s">
        <v>749</v>
      </c>
      <c r="L40" s="229" t="s">
        <v>1548</v>
      </c>
    </row>
    <row r="41" spans="2:12">
      <c r="B41" s="229" t="s">
        <v>182</v>
      </c>
      <c r="C41" s="229" t="s">
        <v>175</v>
      </c>
      <c r="D41" s="229" t="s">
        <v>3817</v>
      </c>
      <c r="E41" s="229" t="s">
        <v>422</v>
      </c>
      <c r="F41" s="229" t="s">
        <v>182</v>
      </c>
      <c r="G41" s="200" t="s">
        <v>748</v>
      </c>
      <c r="H41" s="201"/>
      <c r="I41" s="201"/>
      <c r="J41" s="229" t="s">
        <v>173</v>
      </c>
      <c r="K41" s="229" t="s">
        <v>749</v>
      </c>
      <c r="L41" s="229" t="s">
        <v>1544</v>
      </c>
    </row>
    <row r="42" spans="2:12">
      <c r="B42" s="229" t="s">
        <v>184</v>
      </c>
      <c r="C42" s="229" t="s">
        <v>175</v>
      </c>
      <c r="D42" s="229" t="s">
        <v>3818</v>
      </c>
      <c r="E42" s="229" t="s">
        <v>422</v>
      </c>
      <c r="F42" s="229" t="s">
        <v>184</v>
      </c>
      <c r="G42" s="200" t="s">
        <v>748</v>
      </c>
      <c r="H42" s="201"/>
      <c r="I42" s="201"/>
      <c r="J42" s="229" t="s">
        <v>173</v>
      </c>
      <c r="K42" s="229" t="s">
        <v>749</v>
      </c>
      <c r="L42" s="229" t="s">
        <v>749</v>
      </c>
    </row>
    <row r="43" spans="2:12">
      <c r="B43" s="229" t="s">
        <v>186</v>
      </c>
      <c r="C43" s="229" t="s">
        <v>175</v>
      </c>
      <c r="D43" s="229" t="s">
        <v>3819</v>
      </c>
      <c r="E43" s="229" t="s">
        <v>422</v>
      </c>
      <c r="F43" s="229" t="s">
        <v>186</v>
      </c>
      <c r="G43" s="200" t="s">
        <v>748</v>
      </c>
      <c r="H43" s="201"/>
      <c r="I43" s="201"/>
      <c r="J43" s="229" t="s">
        <v>173</v>
      </c>
      <c r="K43" s="229" t="s">
        <v>749</v>
      </c>
      <c r="L43" s="229" t="s">
        <v>749</v>
      </c>
    </row>
    <row r="44" spans="2:12">
      <c r="B44" s="229" t="s">
        <v>3439</v>
      </c>
      <c r="C44" s="229" t="s">
        <v>175</v>
      </c>
      <c r="D44" s="229" t="s">
        <v>3820</v>
      </c>
      <c r="E44" s="229" t="s">
        <v>422</v>
      </c>
      <c r="F44" s="229" t="s">
        <v>3439</v>
      </c>
      <c r="G44" s="200" t="s">
        <v>748</v>
      </c>
      <c r="H44" s="201"/>
      <c r="I44" s="201"/>
      <c r="J44" s="229" t="s">
        <v>173</v>
      </c>
      <c r="K44" s="229" t="s">
        <v>749</v>
      </c>
      <c r="L44" s="229" t="s">
        <v>749</v>
      </c>
    </row>
    <row r="45" spans="2:12">
      <c r="B45" s="229" t="s">
        <v>1572</v>
      </c>
      <c r="C45" s="229" t="s">
        <v>229</v>
      </c>
      <c r="D45" s="229" t="s">
        <v>1573</v>
      </c>
      <c r="E45" s="229" t="s">
        <v>422</v>
      </c>
      <c r="F45" s="229" t="s">
        <v>459</v>
      </c>
      <c r="G45" s="200" t="s">
        <v>1574</v>
      </c>
      <c r="H45" s="201"/>
      <c r="I45" s="201"/>
      <c r="J45" s="229" t="s">
        <v>222</v>
      </c>
      <c r="K45" s="229" t="s">
        <v>1575</v>
      </c>
      <c r="L45" s="229" t="s">
        <v>1576</v>
      </c>
    </row>
    <row r="46" spans="2:12">
      <c r="B46" s="229" t="s">
        <v>2807</v>
      </c>
      <c r="C46" s="229" t="s">
        <v>229</v>
      </c>
      <c r="D46" s="229" t="s">
        <v>1586</v>
      </c>
      <c r="E46" s="229" t="s">
        <v>422</v>
      </c>
      <c r="F46" s="229" t="s">
        <v>1987</v>
      </c>
      <c r="G46" s="200" t="s">
        <v>759</v>
      </c>
      <c r="H46" s="201"/>
      <c r="I46" s="201"/>
      <c r="J46" s="229" t="s">
        <v>222</v>
      </c>
      <c r="K46" s="229" t="s">
        <v>1588</v>
      </c>
      <c r="L46" s="229" t="s">
        <v>1589</v>
      </c>
    </row>
    <row r="47" spans="2:12">
      <c r="B47" s="229" t="s">
        <v>2808</v>
      </c>
      <c r="C47" s="229" t="s">
        <v>229</v>
      </c>
      <c r="D47" s="229" t="s">
        <v>1591</v>
      </c>
      <c r="E47" s="229" t="s">
        <v>422</v>
      </c>
      <c r="F47" s="229" t="s">
        <v>2160</v>
      </c>
      <c r="G47" s="200" t="s">
        <v>1988</v>
      </c>
      <c r="H47" s="201"/>
      <c r="I47" s="201"/>
      <c r="J47" s="229" t="s">
        <v>222</v>
      </c>
      <c r="K47" s="229" t="s">
        <v>1588</v>
      </c>
      <c r="L47" s="229" t="s">
        <v>1593</v>
      </c>
    </row>
    <row r="48" spans="2:12">
      <c r="B48" s="229" t="s">
        <v>2831</v>
      </c>
      <c r="C48" s="229" t="s">
        <v>229</v>
      </c>
      <c r="D48" s="229" t="s">
        <v>3821</v>
      </c>
      <c r="E48" s="229" t="s">
        <v>422</v>
      </c>
      <c r="F48" s="229" t="s">
        <v>1989</v>
      </c>
      <c r="G48" s="200" t="s">
        <v>1990</v>
      </c>
      <c r="H48" s="201"/>
      <c r="I48" s="201"/>
      <c r="J48" s="229" t="s">
        <v>222</v>
      </c>
      <c r="K48" s="229" t="s">
        <v>231</v>
      </c>
      <c r="L48" s="229" t="s">
        <v>1601</v>
      </c>
    </row>
    <row r="49" spans="2:12">
      <c r="B49" s="229" t="s">
        <v>2830</v>
      </c>
      <c r="C49" s="229" t="s">
        <v>229</v>
      </c>
      <c r="D49" s="229" t="s">
        <v>3822</v>
      </c>
      <c r="E49" s="229" t="s">
        <v>422</v>
      </c>
      <c r="F49" s="229" t="s">
        <v>1991</v>
      </c>
      <c r="G49" s="200" t="s">
        <v>1992</v>
      </c>
      <c r="H49" s="201"/>
      <c r="I49" s="201"/>
      <c r="J49" s="229" t="s">
        <v>222</v>
      </c>
      <c r="K49" s="229" t="s">
        <v>231</v>
      </c>
      <c r="L49" s="229" t="s">
        <v>1597</v>
      </c>
    </row>
    <row r="50" spans="2:12">
      <c r="B50" s="229" t="s">
        <v>2832</v>
      </c>
      <c r="C50" s="229" t="s">
        <v>229</v>
      </c>
      <c r="D50" s="229" t="s">
        <v>1607</v>
      </c>
      <c r="E50" s="229" t="s">
        <v>422</v>
      </c>
      <c r="F50" s="229" t="s">
        <v>1993</v>
      </c>
      <c r="G50" s="200" t="s">
        <v>1994</v>
      </c>
      <c r="H50" s="201"/>
      <c r="I50" s="201"/>
      <c r="J50" s="229" t="s">
        <v>222</v>
      </c>
      <c r="K50" s="229" t="s">
        <v>231</v>
      </c>
      <c r="L50" s="229" t="s">
        <v>1609</v>
      </c>
    </row>
    <row r="51" spans="2:12">
      <c r="B51" s="229" t="s">
        <v>2833</v>
      </c>
      <c r="C51" s="229" t="s">
        <v>229</v>
      </c>
      <c r="D51" s="229" t="s">
        <v>1611</v>
      </c>
      <c r="E51" s="229" t="s">
        <v>422</v>
      </c>
      <c r="F51" s="229" t="s">
        <v>1995</v>
      </c>
      <c r="G51" s="200" t="s">
        <v>1996</v>
      </c>
      <c r="H51" s="201"/>
      <c r="I51" s="201"/>
      <c r="J51" s="229" t="s">
        <v>222</v>
      </c>
      <c r="K51" s="229" t="s">
        <v>231</v>
      </c>
      <c r="L51" s="229" t="s">
        <v>1613</v>
      </c>
    </row>
    <row r="52" spans="2:12">
      <c r="B52" s="229" t="s">
        <v>2834</v>
      </c>
      <c r="C52" s="229" t="s">
        <v>229</v>
      </c>
      <c r="D52" s="229" t="s">
        <v>1615</v>
      </c>
      <c r="E52" s="229" t="s">
        <v>422</v>
      </c>
      <c r="F52" s="229" t="s">
        <v>1998</v>
      </c>
      <c r="G52" s="200" t="s">
        <v>1999</v>
      </c>
      <c r="H52" s="201"/>
      <c r="I52" s="201"/>
      <c r="J52" s="229" t="s">
        <v>222</v>
      </c>
      <c r="K52" s="229" t="s">
        <v>231</v>
      </c>
      <c r="L52" s="229" t="s">
        <v>2000</v>
      </c>
    </row>
    <row r="53" spans="2:12">
      <c r="B53" s="229" t="s">
        <v>2835</v>
      </c>
      <c r="C53" s="229" t="s">
        <v>229</v>
      </c>
      <c r="D53" s="229" t="s">
        <v>1619</v>
      </c>
      <c r="E53" s="229" t="s">
        <v>422</v>
      </c>
      <c r="F53" s="229" t="s">
        <v>2002</v>
      </c>
      <c r="G53" s="200" t="s">
        <v>2003</v>
      </c>
      <c r="H53" s="201"/>
      <c r="I53" s="201"/>
      <c r="J53" s="229" t="s">
        <v>222</v>
      </c>
      <c r="K53" s="229" t="s">
        <v>231</v>
      </c>
      <c r="L53" s="229" t="s">
        <v>2004</v>
      </c>
    </row>
    <row r="54" spans="2:12">
      <c r="B54" s="229" t="s">
        <v>2836</v>
      </c>
      <c r="C54" s="229" t="s">
        <v>229</v>
      </c>
      <c r="D54" s="229" t="s">
        <v>1623</v>
      </c>
      <c r="E54" s="229" t="s">
        <v>422</v>
      </c>
      <c r="F54" s="229" t="s">
        <v>2018</v>
      </c>
      <c r="G54" s="200" t="s">
        <v>2019</v>
      </c>
      <c r="H54" s="201"/>
      <c r="I54" s="201"/>
      <c r="J54" s="229" t="s">
        <v>222</v>
      </c>
      <c r="K54" s="229" t="s">
        <v>1625</v>
      </c>
      <c r="L54" s="229" t="s">
        <v>1626</v>
      </c>
    </row>
    <row r="55" spans="2:12">
      <c r="B55" s="229" t="s">
        <v>2837</v>
      </c>
      <c r="C55" s="229" t="s">
        <v>229</v>
      </c>
      <c r="D55" s="229" t="s">
        <v>1628</v>
      </c>
      <c r="E55" s="229" t="s">
        <v>422</v>
      </c>
      <c r="F55" s="229" t="s">
        <v>2018</v>
      </c>
      <c r="G55" s="200" t="s">
        <v>3526</v>
      </c>
      <c r="H55" s="201"/>
      <c r="I55" s="201"/>
      <c r="J55" s="229" t="s">
        <v>222</v>
      </c>
      <c r="K55" s="229" t="s">
        <v>1625</v>
      </c>
      <c r="L55" s="229" t="s">
        <v>1630</v>
      </c>
    </row>
    <row r="56" spans="2:12">
      <c r="B56" s="229" t="s">
        <v>2941</v>
      </c>
      <c r="C56" s="229" t="s">
        <v>229</v>
      </c>
      <c r="D56" s="229" t="s">
        <v>1578</v>
      </c>
      <c r="E56" s="229" t="s">
        <v>422</v>
      </c>
      <c r="F56" s="229" t="s">
        <v>2006</v>
      </c>
      <c r="G56" s="200" t="s">
        <v>1579</v>
      </c>
      <c r="H56" s="201"/>
      <c r="I56" s="201"/>
      <c r="J56" s="229" t="s">
        <v>222</v>
      </c>
      <c r="K56" s="229" t="s">
        <v>1754</v>
      </c>
      <c r="L56" s="229" t="s">
        <v>1580</v>
      </c>
    </row>
    <row r="57" spans="2:12">
      <c r="B57" s="229" t="s">
        <v>2953</v>
      </c>
      <c r="C57" s="229" t="s">
        <v>229</v>
      </c>
      <c r="D57" s="229" t="s">
        <v>1582</v>
      </c>
      <c r="E57" s="229" t="s">
        <v>422</v>
      </c>
      <c r="F57" s="229" t="s">
        <v>2008</v>
      </c>
      <c r="G57" s="200" t="s">
        <v>1583</v>
      </c>
      <c r="H57" s="201"/>
      <c r="I57" s="201"/>
      <c r="J57" s="229" t="s">
        <v>222</v>
      </c>
      <c r="K57" s="229" t="s">
        <v>1754</v>
      </c>
      <c r="L57" s="229" t="s">
        <v>1584</v>
      </c>
    </row>
    <row r="58" spans="2:12">
      <c r="B58" s="229" t="s">
        <v>1751</v>
      </c>
      <c r="C58" s="229" t="s">
        <v>229</v>
      </c>
      <c r="D58" s="229" t="s">
        <v>2960</v>
      </c>
      <c r="E58" s="229" t="s">
        <v>422</v>
      </c>
      <c r="F58" s="229" t="s">
        <v>2212</v>
      </c>
      <c r="G58" s="200" t="s">
        <v>1873</v>
      </c>
      <c r="H58" s="201"/>
      <c r="I58" s="201"/>
      <c r="J58" s="229" t="s">
        <v>222</v>
      </c>
      <c r="K58" s="229" t="s">
        <v>1754</v>
      </c>
      <c r="L58" s="229" t="s">
        <v>1755</v>
      </c>
    </row>
    <row r="59" spans="2:12">
      <c r="B59" s="229" t="s">
        <v>2839</v>
      </c>
      <c r="C59" s="229" t="s">
        <v>229</v>
      </c>
      <c r="D59" s="229" t="s">
        <v>1632</v>
      </c>
      <c r="E59" s="229" t="s">
        <v>422</v>
      </c>
      <c r="F59" s="229" t="s">
        <v>2022</v>
      </c>
      <c r="G59" s="200" t="s">
        <v>2023</v>
      </c>
      <c r="H59" s="201"/>
      <c r="I59" s="201"/>
      <c r="J59" s="229" t="s">
        <v>222</v>
      </c>
      <c r="K59" s="229" t="s">
        <v>231</v>
      </c>
      <c r="L59" s="229" t="s">
        <v>1634</v>
      </c>
    </row>
    <row r="60" spans="2:12">
      <c r="B60" s="229" t="s">
        <v>2840</v>
      </c>
      <c r="C60" s="229" t="s">
        <v>229</v>
      </c>
      <c r="D60" s="229" t="s">
        <v>1636</v>
      </c>
      <c r="E60" s="229" t="s">
        <v>422</v>
      </c>
      <c r="F60" s="229" t="s">
        <v>2024</v>
      </c>
      <c r="G60" s="200" t="s">
        <v>2025</v>
      </c>
      <c r="H60" s="201"/>
      <c r="I60" s="201"/>
      <c r="J60" s="229" t="s">
        <v>222</v>
      </c>
      <c r="K60" s="229" t="s">
        <v>231</v>
      </c>
      <c r="L60" s="229" t="s">
        <v>1638</v>
      </c>
    </row>
    <row r="61" spans="2:12">
      <c r="B61" s="229" t="s">
        <v>2841</v>
      </c>
      <c r="C61" s="229" t="s">
        <v>229</v>
      </c>
      <c r="D61" s="229" t="s">
        <v>2842</v>
      </c>
      <c r="E61" s="229" t="s">
        <v>422</v>
      </c>
      <c r="F61" s="229" t="s">
        <v>3528</v>
      </c>
      <c r="G61" s="200" t="s">
        <v>3529</v>
      </c>
      <c r="H61" s="201"/>
      <c r="I61" s="201"/>
      <c r="J61" s="229" t="s">
        <v>222</v>
      </c>
      <c r="K61" s="229" t="s">
        <v>1575</v>
      </c>
      <c r="L61" s="229" t="s">
        <v>2844</v>
      </c>
    </row>
    <row r="62" spans="2:12">
      <c r="B62" s="229" t="s">
        <v>2849</v>
      </c>
      <c r="C62" s="229" t="s">
        <v>229</v>
      </c>
      <c r="D62" s="229" t="s">
        <v>2850</v>
      </c>
      <c r="E62" s="229" t="s">
        <v>422</v>
      </c>
      <c r="F62" s="229" t="s">
        <v>3823</v>
      </c>
      <c r="G62" s="200" t="s">
        <v>3824</v>
      </c>
      <c r="H62" s="201"/>
      <c r="I62" s="201"/>
      <c r="J62" s="229" t="s">
        <v>222</v>
      </c>
      <c r="K62" s="229" t="s">
        <v>1575</v>
      </c>
      <c r="L62" s="229" t="s">
        <v>2852</v>
      </c>
    </row>
    <row r="63" spans="2:12">
      <c r="B63" s="229" t="s">
        <v>2866</v>
      </c>
      <c r="C63" s="229" t="s">
        <v>229</v>
      </c>
      <c r="D63" s="229" t="s">
        <v>2867</v>
      </c>
      <c r="E63" s="229" t="s">
        <v>422</v>
      </c>
      <c r="F63" s="229" t="s">
        <v>3535</v>
      </c>
      <c r="G63" s="200" t="s">
        <v>3536</v>
      </c>
      <c r="H63" s="201"/>
      <c r="I63" s="201"/>
      <c r="J63" s="229" t="s">
        <v>222</v>
      </c>
      <c r="K63" s="229" t="s">
        <v>231</v>
      </c>
      <c r="L63" s="229" t="s">
        <v>2869</v>
      </c>
    </row>
    <row r="64" spans="2:12">
      <c r="B64" s="229" t="s">
        <v>2870</v>
      </c>
      <c r="C64" s="229" t="s">
        <v>229</v>
      </c>
      <c r="D64" s="229" t="s">
        <v>2871</v>
      </c>
      <c r="E64" s="229" t="s">
        <v>422</v>
      </c>
      <c r="F64" s="229" t="s">
        <v>3538</v>
      </c>
      <c r="G64" s="200" t="s">
        <v>3539</v>
      </c>
      <c r="H64" s="201"/>
      <c r="I64" s="201"/>
      <c r="J64" s="229" t="s">
        <v>222</v>
      </c>
      <c r="K64" s="229" t="s">
        <v>231</v>
      </c>
      <c r="L64" s="229" t="s">
        <v>2873</v>
      </c>
    </row>
    <row r="65" spans="2:12">
      <c r="B65" s="229" t="s">
        <v>2874</v>
      </c>
      <c r="C65" s="229" t="s">
        <v>229</v>
      </c>
      <c r="D65" s="229" t="s">
        <v>2875</v>
      </c>
      <c r="E65" s="229" t="s">
        <v>422</v>
      </c>
      <c r="F65" s="229" t="s">
        <v>3541</v>
      </c>
      <c r="G65" s="200" t="s">
        <v>3542</v>
      </c>
      <c r="H65" s="201"/>
      <c r="I65" s="201"/>
      <c r="J65" s="229" t="s">
        <v>222</v>
      </c>
      <c r="K65" s="229" t="s">
        <v>231</v>
      </c>
      <c r="L65" s="229" t="s">
        <v>2877</v>
      </c>
    </row>
    <row r="66" spans="2:12">
      <c r="B66" s="229" t="s">
        <v>2878</v>
      </c>
      <c r="C66" s="229" t="s">
        <v>229</v>
      </c>
      <c r="D66" s="229" t="s">
        <v>2879</v>
      </c>
      <c r="E66" s="229" t="s">
        <v>422</v>
      </c>
      <c r="F66" s="229" t="s">
        <v>3544</v>
      </c>
      <c r="G66" s="200" t="s">
        <v>3545</v>
      </c>
      <c r="H66" s="201"/>
      <c r="I66" s="201"/>
      <c r="J66" s="229" t="s">
        <v>222</v>
      </c>
      <c r="K66" s="229" t="s">
        <v>231</v>
      </c>
      <c r="L66" s="229" t="s">
        <v>2881</v>
      </c>
    </row>
    <row r="67" spans="2:12">
      <c r="B67" s="229" t="s">
        <v>2882</v>
      </c>
      <c r="C67" s="229" t="s">
        <v>229</v>
      </c>
      <c r="D67" s="229" t="s">
        <v>2883</v>
      </c>
      <c r="E67" s="229" t="s">
        <v>422</v>
      </c>
      <c r="F67" s="229" t="s">
        <v>3547</v>
      </c>
      <c r="G67" s="200" t="s">
        <v>3548</v>
      </c>
      <c r="H67" s="201"/>
      <c r="I67" s="201"/>
      <c r="J67" s="229" t="s">
        <v>222</v>
      </c>
      <c r="K67" s="229" t="s">
        <v>231</v>
      </c>
      <c r="L67" s="229" t="s">
        <v>2885</v>
      </c>
    </row>
    <row r="68" spans="2:12">
      <c r="B68" s="229" t="s">
        <v>2886</v>
      </c>
      <c r="C68" s="229" t="s">
        <v>229</v>
      </c>
      <c r="D68" s="229" t="s">
        <v>2887</v>
      </c>
      <c r="E68" s="229" t="s">
        <v>422</v>
      </c>
      <c r="F68" s="229" t="s">
        <v>3550</v>
      </c>
      <c r="G68" s="200" t="s">
        <v>3551</v>
      </c>
      <c r="H68" s="201"/>
      <c r="I68" s="201"/>
      <c r="J68" s="229" t="s">
        <v>222</v>
      </c>
      <c r="K68" s="229" t="s">
        <v>231</v>
      </c>
      <c r="L68" s="229" t="s">
        <v>2889</v>
      </c>
    </row>
    <row r="69" spans="2:12">
      <c r="B69" s="229" t="s">
        <v>2890</v>
      </c>
      <c r="C69" s="229" t="s">
        <v>229</v>
      </c>
      <c r="D69" s="229" t="s">
        <v>2891</v>
      </c>
      <c r="E69" s="229" t="s">
        <v>422</v>
      </c>
      <c r="F69" s="229" t="s">
        <v>3553</v>
      </c>
      <c r="G69" s="200" t="s">
        <v>3554</v>
      </c>
      <c r="H69" s="201"/>
      <c r="I69" s="201"/>
      <c r="J69" s="229" t="s">
        <v>222</v>
      </c>
      <c r="K69" s="229" t="s">
        <v>231</v>
      </c>
      <c r="L69" s="229" t="s">
        <v>2893</v>
      </c>
    </row>
    <row r="70" spans="2:12">
      <c r="B70" s="229" t="s">
        <v>2894</v>
      </c>
      <c r="C70" s="229" t="s">
        <v>229</v>
      </c>
      <c r="D70" s="229" t="s">
        <v>2895</v>
      </c>
      <c r="E70" s="229" t="s">
        <v>422</v>
      </c>
      <c r="F70" s="229" t="s">
        <v>3556</v>
      </c>
      <c r="G70" s="200" t="s">
        <v>3557</v>
      </c>
      <c r="H70" s="201"/>
      <c r="I70" s="201"/>
      <c r="J70" s="229" t="s">
        <v>222</v>
      </c>
      <c r="K70" s="229" t="s">
        <v>231</v>
      </c>
      <c r="L70" s="229" t="s">
        <v>2897</v>
      </c>
    </row>
    <row r="71" spans="2:12">
      <c r="B71" s="229" t="s">
        <v>2898</v>
      </c>
      <c r="C71" s="229" t="s">
        <v>229</v>
      </c>
      <c r="D71" s="229" t="s">
        <v>2899</v>
      </c>
      <c r="E71" s="229" t="s">
        <v>422</v>
      </c>
      <c r="F71" s="229" t="s">
        <v>3559</v>
      </c>
      <c r="G71" s="200" t="s">
        <v>3560</v>
      </c>
      <c r="H71" s="201"/>
      <c r="I71" s="201"/>
      <c r="J71" s="229" t="s">
        <v>222</v>
      </c>
      <c r="K71" s="229" t="s">
        <v>1588</v>
      </c>
      <c r="L71" s="229" t="s">
        <v>2901</v>
      </c>
    </row>
    <row r="72" spans="2:12">
      <c r="B72" s="229" t="s">
        <v>2902</v>
      </c>
      <c r="C72" s="229" t="s">
        <v>229</v>
      </c>
      <c r="D72" s="229" t="s">
        <v>2903</v>
      </c>
      <c r="E72" s="229" t="s">
        <v>422</v>
      </c>
      <c r="F72" s="229" t="s">
        <v>3562</v>
      </c>
      <c r="G72" s="200" t="s">
        <v>3563</v>
      </c>
      <c r="H72" s="201"/>
      <c r="I72" s="201"/>
      <c r="J72" s="229" t="s">
        <v>222</v>
      </c>
      <c r="K72" s="229" t="s">
        <v>1588</v>
      </c>
      <c r="L72" s="229" t="s">
        <v>2905</v>
      </c>
    </row>
    <row r="73" spans="2:12">
      <c r="B73" s="229" t="s">
        <v>3825</v>
      </c>
      <c r="C73" s="229" t="s">
        <v>229</v>
      </c>
      <c r="D73" s="229" t="s">
        <v>2027</v>
      </c>
      <c r="E73" s="229" t="s">
        <v>422</v>
      </c>
      <c r="F73" s="229"/>
      <c r="G73" s="200" t="s">
        <v>831</v>
      </c>
      <c r="H73" s="201"/>
      <c r="I73" s="201"/>
      <c r="J73" s="229" t="s">
        <v>222</v>
      </c>
      <c r="K73" s="229" t="s">
        <v>1625</v>
      </c>
      <c r="L73" s="229" t="s">
        <v>2028</v>
      </c>
    </row>
    <row r="74" spans="2:12">
      <c r="B74" s="229" t="s">
        <v>3826</v>
      </c>
      <c r="C74" s="229" t="s">
        <v>229</v>
      </c>
      <c r="D74" s="229" t="s">
        <v>2030</v>
      </c>
      <c r="E74" s="229" t="s">
        <v>422</v>
      </c>
      <c r="F74" s="229" t="s">
        <v>2031</v>
      </c>
      <c r="G74" s="200" t="s">
        <v>3827</v>
      </c>
      <c r="H74" s="201"/>
      <c r="I74" s="201"/>
      <c r="J74" s="229" t="s">
        <v>222</v>
      </c>
      <c r="K74" s="229" t="s">
        <v>1625</v>
      </c>
      <c r="L74" s="229" t="s">
        <v>2033</v>
      </c>
    </row>
    <row r="75" spans="2:12">
      <c r="B75" s="229" t="s">
        <v>3828</v>
      </c>
      <c r="C75" s="229" t="s">
        <v>229</v>
      </c>
      <c r="D75" s="229" t="s">
        <v>2035</v>
      </c>
      <c r="E75" s="229" t="s">
        <v>422</v>
      </c>
      <c r="F75" s="229" t="s">
        <v>2031</v>
      </c>
      <c r="G75" s="200" t="s">
        <v>3829</v>
      </c>
      <c r="H75" s="201"/>
      <c r="I75" s="201"/>
      <c r="J75" s="229" t="s">
        <v>222</v>
      </c>
      <c r="K75" s="229" t="s">
        <v>1625</v>
      </c>
      <c r="L75" s="229" t="s">
        <v>2037</v>
      </c>
    </row>
    <row r="76" spans="2:12">
      <c r="B76" s="229" t="s">
        <v>3830</v>
      </c>
      <c r="C76" s="229" t="s">
        <v>229</v>
      </c>
      <c r="D76" s="229" t="s">
        <v>2042</v>
      </c>
      <c r="E76" s="229" t="s">
        <v>422</v>
      </c>
      <c r="F76" s="229" t="s">
        <v>2041</v>
      </c>
      <c r="G76" s="200" t="s">
        <v>2043</v>
      </c>
      <c r="H76" s="201"/>
      <c r="I76" s="201"/>
      <c r="J76" s="229" t="s">
        <v>222</v>
      </c>
      <c r="K76" s="229" t="s">
        <v>1625</v>
      </c>
      <c r="L76" s="229" t="s">
        <v>2044</v>
      </c>
    </row>
    <row r="77" spans="2:12">
      <c r="B77" s="229" t="s">
        <v>3831</v>
      </c>
      <c r="C77" s="229" t="s">
        <v>229</v>
      </c>
      <c r="D77" s="229" t="s">
        <v>2046</v>
      </c>
      <c r="E77" s="229" t="s">
        <v>422</v>
      </c>
      <c r="F77" s="229" t="s">
        <v>2041</v>
      </c>
      <c r="G77" s="200" t="s">
        <v>2047</v>
      </c>
      <c r="H77" s="201"/>
      <c r="I77" s="201"/>
      <c r="J77" s="229" t="s">
        <v>222</v>
      </c>
      <c r="K77" s="229" t="s">
        <v>1625</v>
      </c>
      <c r="L77" s="229" t="s">
        <v>2048</v>
      </c>
    </row>
    <row r="78" spans="2:12">
      <c r="B78" s="229" t="s">
        <v>3832</v>
      </c>
      <c r="C78" s="229" t="s">
        <v>229</v>
      </c>
      <c r="D78" s="229" t="s">
        <v>3833</v>
      </c>
      <c r="E78" s="229" t="s">
        <v>422</v>
      </c>
      <c r="F78" s="229" t="s">
        <v>3834</v>
      </c>
      <c r="G78" s="200" t="s">
        <v>3835</v>
      </c>
      <c r="H78" s="201"/>
      <c r="I78" s="201"/>
      <c r="J78" s="229" t="s">
        <v>222</v>
      </c>
      <c r="K78" s="229" t="s">
        <v>231</v>
      </c>
      <c r="L78" s="229" t="s">
        <v>3836</v>
      </c>
    </row>
    <row r="79" spans="2:12">
      <c r="B79" s="229" t="s">
        <v>2049</v>
      </c>
      <c r="C79" s="229" t="s">
        <v>229</v>
      </c>
      <c r="D79" s="229" t="s">
        <v>3837</v>
      </c>
      <c r="E79" s="229" t="s">
        <v>422</v>
      </c>
      <c r="F79" s="229"/>
      <c r="G79" s="200" t="s">
        <v>3838</v>
      </c>
      <c r="H79" s="201"/>
      <c r="I79" s="201"/>
      <c r="J79" s="229" t="s">
        <v>222</v>
      </c>
      <c r="K79" s="229" t="s">
        <v>1575</v>
      </c>
      <c r="L79" s="229" t="s">
        <v>2052</v>
      </c>
    </row>
    <row r="80" spans="2:12">
      <c r="B80" s="229" t="s">
        <v>2053</v>
      </c>
      <c r="C80" s="229" t="s">
        <v>229</v>
      </c>
      <c r="D80" s="229" t="s">
        <v>2054</v>
      </c>
      <c r="E80" s="229" t="s">
        <v>422</v>
      </c>
      <c r="F80" s="229"/>
      <c r="G80" s="200" t="s">
        <v>2055</v>
      </c>
      <c r="H80" s="201"/>
      <c r="I80" s="201"/>
      <c r="J80" s="229" t="s">
        <v>222</v>
      </c>
      <c r="K80" s="229" t="s">
        <v>1575</v>
      </c>
      <c r="L80" s="229" t="s">
        <v>2052</v>
      </c>
    </row>
    <row r="81" spans="2:12">
      <c r="B81" s="229" t="s">
        <v>3839</v>
      </c>
      <c r="C81" s="229" t="s">
        <v>229</v>
      </c>
      <c r="D81" s="229" t="s">
        <v>2067</v>
      </c>
      <c r="E81" s="229" t="s">
        <v>422</v>
      </c>
      <c r="F81" s="229" t="s">
        <v>2068</v>
      </c>
      <c r="G81" s="200" t="s">
        <v>2069</v>
      </c>
      <c r="H81" s="201"/>
      <c r="I81" s="201"/>
      <c r="J81" s="229" t="s">
        <v>222</v>
      </c>
      <c r="K81" s="229" t="s">
        <v>1575</v>
      </c>
      <c r="L81" s="229" t="s">
        <v>2070</v>
      </c>
    </row>
    <row r="82" spans="2:12">
      <c r="B82" s="229" t="s">
        <v>3840</v>
      </c>
      <c r="C82" s="229" t="s">
        <v>229</v>
      </c>
      <c r="D82" s="229" t="s">
        <v>2057</v>
      </c>
      <c r="E82" s="229" t="s">
        <v>422</v>
      </c>
      <c r="F82" s="229" t="s">
        <v>2058</v>
      </c>
      <c r="G82" s="200" t="s">
        <v>2059</v>
      </c>
      <c r="H82" s="201"/>
      <c r="I82" s="201"/>
      <c r="J82" s="229" t="s">
        <v>222</v>
      </c>
      <c r="K82" s="229" t="s">
        <v>1575</v>
      </c>
      <c r="L82" s="229" t="s">
        <v>2060</v>
      </c>
    </row>
    <row r="83" spans="2:12">
      <c r="B83" s="229" t="s">
        <v>3841</v>
      </c>
      <c r="C83" s="229" t="s">
        <v>203</v>
      </c>
      <c r="D83" s="229" t="s">
        <v>2077</v>
      </c>
      <c r="E83" s="229" t="s">
        <v>422</v>
      </c>
      <c r="F83" s="229"/>
      <c r="G83" s="200" t="s">
        <v>3842</v>
      </c>
      <c r="H83" s="201"/>
      <c r="I83" s="201"/>
      <c r="J83" s="201"/>
      <c r="K83" s="229" t="s">
        <v>2079</v>
      </c>
      <c r="L83" s="229" t="s">
        <v>3843</v>
      </c>
    </row>
    <row r="84" spans="2:12">
      <c r="B84" s="229" t="s">
        <v>3844</v>
      </c>
      <c r="C84" s="229" t="s">
        <v>229</v>
      </c>
      <c r="D84" s="229" t="s">
        <v>2082</v>
      </c>
      <c r="E84" s="229" t="s">
        <v>422</v>
      </c>
      <c r="F84" s="229"/>
      <c r="G84" s="200" t="s">
        <v>3845</v>
      </c>
      <c r="H84" s="201"/>
      <c r="I84" s="201"/>
      <c r="J84" s="201"/>
      <c r="K84" s="229" t="s">
        <v>1625</v>
      </c>
      <c r="L84" s="229" t="s">
        <v>3846</v>
      </c>
    </row>
    <row r="85" spans="2:12">
      <c r="B85" s="229" t="s">
        <v>2076</v>
      </c>
      <c r="C85" s="229" t="s">
        <v>203</v>
      </c>
      <c r="D85" s="229" t="s">
        <v>3847</v>
      </c>
      <c r="E85" s="229" t="s">
        <v>422</v>
      </c>
      <c r="F85" s="229"/>
      <c r="G85" s="200" t="s">
        <v>3848</v>
      </c>
      <c r="H85" s="201"/>
      <c r="I85" s="201"/>
      <c r="J85" s="201"/>
      <c r="K85" s="229" t="s">
        <v>2079</v>
      </c>
      <c r="L85" s="229" t="s">
        <v>2080</v>
      </c>
    </row>
    <row r="86" spans="2:12">
      <c r="B86" s="229" t="s">
        <v>2081</v>
      </c>
      <c r="C86" s="229" t="s">
        <v>229</v>
      </c>
      <c r="D86" s="229" t="s">
        <v>3849</v>
      </c>
      <c r="E86" s="229" t="s">
        <v>422</v>
      </c>
      <c r="F86" s="229"/>
      <c r="G86" s="200" t="s">
        <v>3850</v>
      </c>
      <c r="H86" s="201"/>
      <c r="I86" s="201"/>
      <c r="J86" s="201"/>
      <c r="K86" s="229" t="s">
        <v>1625</v>
      </c>
      <c r="L86" s="229" t="s">
        <v>2033</v>
      </c>
    </row>
    <row r="87" spans="2:12">
      <c r="B87" s="229" t="s">
        <v>3851</v>
      </c>
      <c r="C87" s="229" t="s">
        <v>229</v>
      </c>
      <c r="D87" s="229" t="s">
        <v>2173</v>
      </c>
      <c r="E87" s="229" t="s">
        <v>422</v>
      </c>
      <c r="F87" s="229" t="s">
        <v>2174</v>
      </c>
      <c r="G87" s="200" t="s">
        <v>2175</v>
      </c>
      <c r="H87" s="201"/>
      <c r="I87" s="201"/>
      <c r="J87" s="201"/>
      <c r="K87" s="229" t="s">
        <v>3852</v>
      </c>
      <c r="L87" s="229" t="s">
        <v>3853</v>
      </c>
    </row>
    <row r="88" spans="2:12">
      <c r="B88" s="229" t="s">
        <v>2098</v>
      </c>
      <c r="C88" s="229" t="s">
        <v>229</v>
      </c>
      <c r="D88" s="229" t="s">
        <v>2099</v>
      </c>
      <c r="E88" s="229" t="s">
        <v>422</v>
      </c>
      <c r="F88" s="229"/>
      <c r="G88" s="200" t="s">
        <v>2100</v>
      </c>
      <c r="H88" s="201"/>
      <c r="I88" s="201"/>
      <c r="J88" s="201"/>
      <c r="K88" s="229" t="s">
        <v>2079</v>
      </c>
      <c r="L88" s="229" t="s">
        <v>1552</v>
      </c>
    </row>
    <row r="89" spans="2:12">
      <c r="B89" s="229" t="s">
        <v>2101</v>
      </c>
      <c r="C89" s="229" t="s">
        <v>229</v>
      </c>
      <c r="D89" s="229" t="s">
        <v>2102</v>
      </c>
      <c r="E89" s="229" t="s">
        <v>422</v>
      </c>
      <c r="F89" s="229"/>
      <c r="G89" s="200" t="s">
        <v>2103</v>
      </c>
      <c r="H89" s="201"/>
      <c r="I89" s="201"/>
      <c r="J89" s="201"/>
      <c r="K89" s="229" t="s">
        <v>231</v>
      </c>
      <c r="L89" s="229" t="s">
        <v>1552</v>
      </c>
    </row>
    <row r="90" spans="2:12">
      <c r="B90" s="229" t="s">
        <v>3854</v>
      </c>
      <c r="C90" s="229" t="s">
        <v>229</v>
      </c>
      <c r="D90" s="229" t="s">
        <v>2109</v>
      </c>
      <c r="E90" s="229" t="s">
        <v>422</v>
      </c>
      <c r="F90" s="229" t="s">
        <v>3855</v>
      </c>
      <c r="G90" s="200" t="s">
        <v>2111</v>
      </c>
      <c r="H90" s="201"/>
      <c r="I90" s="201"/>
      <c r="J90" s="201"/>
      <c r="K90" s="229" t="s">
        <v>3852</v>
      </c>
      <c r="L90" s="229" t="s">
        <v>3856</v>
      </c>
    </row>
    <row r="91" spans="2:12">
      <c r="B91" s="229" t="s">
        <v>3857</v>
      </c>
      <c r="C91" s="229" t="s">
        <v>229</v>
      </c>
      <c r="D91" s="229" t="s">
        <v>2114</v>
      </c>
      <c r="E91" s="229" t="s">
        <v>422</v>
      </c>
      <c r="F91" s="229" t="s">
        <v>3855</v>
      </c>
      <c r="G91" s="200" t="s">
        <v>2116</v>
      </c>
      <c r="H91" s="201"/>
      <c r="I91" s="201"/>
      <c r="J91" s="201"/>
      <c r="K91" s="229" t="s">
        <v>1575</v>
      </c>
      <c r="L91" s="229" t="s">
        <v>2117</v>
      </c>
    </row>
    <row r="92" spans="2:12">
      <c r="B92" s="229" t="s">
        <v>3858</v>
      </c>
      <c r="C92" s="229" t="s">
        <v>229</v>
      </c>
      <c r="D92" s="229" t="s">
        <v>3859</v>
      </c>
      <c r="E92" s="229" t="s">
        <v>422</v>
      </c>
      <c r="F92" s="229"/>
      <c r="G92" s="200" t="s">
        <v>3860</v>
      </c>
      <c r="H92" s="201"/>
      <c r="I92" s="201"/>
      <c r="J92" s="201"/>
      <c r="K92" s="229" t="s">
        <v>749</v>
      </c>
      <c r="L92" s="229" t="s">
        <v>3861</v>
      </c>
    </row>
    <row r="93" spans="2:12">
      <c r="B93" s="229" t="s">
        <v>3862</v>
      </c>
      <c r="C93" s="229" t="s">
        <v>229</v>
      </c>
      <c r="D93" s="229" t="s">
        <v>3863</v>
      </c>
      <c r="E93" s="229" t="s">
        <v>422</v>
      </c>
      <c r="F93" s="229"/>
      <c r="G93" s="200" t="s">
        <v>3864</v>
      </c>
      <c r="H93" s="201"/>
      <c r="I93" s="201"/>
      <c r="J93" s="201"/>
      <c r="K93" s="229" t="s">
        <v>231</v>
      </c>
      <c r="L93" s="229" t="s">
        <v>3846</v>
      </c>
    </row>
    <row r="94" spans="2:12">
      <c r="B94" s="229" t="s">
        <v>3865</v>
      </c>
      <c r="C94" s="229" t="s">
        <v>229</v>
      </c>
      <c r="D94" s="229" t="s">
        <v>3866</v>
      </c>
      <c r="E94" s="229" t="s">
        <v>422</v>
      </c>
      <c r="F94" s="229"/>
      <c r="G94" s="200" t="s">
        <v>3867</v>
      </c>
      <c r="H94" s="201"/>
      <c r="I94" s="201"/>
      <c r="J94" s="201"/>
      <c r="K94" s="229" t="s">
        <v>749</v>
      </c>
      <c r="L94" s="229" t="s">
        <v>3868</v>
      </c>
    </row>
    <row r="95" spans="2:12">
      <c r="B95" s="229" t="s">
        <v>3869</v>
      </c>
      <c r="C95" s="229" t="s">
        <v>229</v>
      </c>
      <c r="D95" s="229" t="s">
        <v>3870</v>
      </c>
      <c r="E95" s="229" t="s">
        <v>422</v>
      </c>
      <c r="F95" s="229"/>
      <c r="G95" s="200" t="s">
        <v>3871</v>
      </c>
      <c r="H95" s="201"/>
      <c r="I95" s="201"/>
      <c r="J95" s="201"/>
      <c r="K95" s="229" t="s">
        <v>749</v>
      </c>
      <c r="L95" s="229" t="s">
        <v>3872</v>
      </c>
    </row>
    <row r="96" spans="2:12">
      <c r="B96" s="229" t="s">
        <v>3873</v>
      </c>
      <c r="C96" s="229" t="s">
        <v>229</v>
      </c>
      <c r="D96" s="229" t="s">
        <v>3874</v>
      </c>
      <c r="E96" s="229" t="s">
        <v>422</v>
      </c>
      <c r="F96" s="229"/>
      <c r="G96" s="200" t="s">
        <v>3875</v>
      </c>
      <c r="H96" s="201"/>
      <c r="I96" s="201"/>
      <c r="J96" s="201"/>
      <c r="K96" s="229" t="s">
        <v>231</v>
      </c>
      <c r="L96" s="229" t="s">
        <v>3846</v>
      </c>
    </row>
    <row r="97" spans="2:12">
      <c r="B97" s="229" t="s">
        <v>3876</v>
      </c>
      <c r="C97" s="229" t="s">
        <v>229</v>
      </c>
      <c r="D97" s="229" t="s">
        <v>3877</v>
      </c>
      <c r="E97" s="229" t="s">
        <v>422</v>
      </c>
      <c r="F97" s="229"/>
      <c r="G97" s="200" t="s">
        <v>3878</v>
      </c>
      <c r="H97" s="201"/>
      <c r="I97" s="201"/>
      <c r="J97" s="201"/>
      <c r="K97" s="229" t="s">
        <v>749</v>
      </c>
      <c r="L97" s="229" t="s">
        <v>3879</v>
      </c>
    </row>
    <row r="98" spans="2:12">
      <c r="B98" s="229" t="s">
        <v>3880</v>
      </c>
      <c r="C98" s="229" t="s">
        <v>229</v>
      </c>
      <c r="D98" s="229" t="s">
        <v>2039</v>
      </c>
      <c r="E98" s="229" t="s">
        <v>422</v>
      </c>
      <c r="F98" s="229" t="s">
        <v>2031</v>
      </c>
      <c r="G98" s="200" t="s">
        <v>3881</v>
      </c>
      <c r="H98" s="201"/>
      <c r="I98" s="201"/>
      <c r="J98" s="201"/>
      <c r="K98" s="229" t="s">
        <v>1718</v>
      </c>
      <c r="L98" s="229" t="s">
        <v>1719</v>
      </c>
    </row>
    <row r="99" spans="2:12">
      <c r="B99" s="229" t="s">
        <v>2118</v>
      </c>
      <c r="C99" s="229" t="s">
        <v>203</v>
      </c>
      <c r="D99" s="229" t="s">
        <v>3882</v>
      </c>
      <c r="E99" s="229" t="s">
        <v>422</v>
      </c>
      <c r="F99" s="229"/>
      <c r="G99" s="200" t="s">
        <v>3883</v>
      </c>
      <c r="H99" s="201"/>
      <c r="I99" s="201"/>
      <c r="J99" s="201"/>
      <c r="K99" s="229" t="s">
        <v>1718</v>
      </c>
      <c r="L99" s="229" t="s">
        <v>2121</v>
      </c>
    </row>
    <row r="100" spans="2:12">
      <c r="B100" s="229" t="s">
        <v>2122</v>
      </c>
      <c r="C100" s="229" t="s">
        <v>203</v>
      </c>
      <c r="D100" s="229" t="s">
        <v>3884</v>
      </c>
      <c r="E100" s="229" t="s">
        <v>422</v>
      </c>
      <c r="F100" s="229"/>
      <c r="G100" s="200" t="s">
        <v>3885</v>
      </c>
      <c r="H100" s="201"/>
      <c r="I100" s="201"/>
      <c r="J100" s="201"/>
      <c r="K100" s="229" t="s">
        <v>1718</v>
      </c>
      <c r="L100" s="229" t="s">
        <v>2033</v>
      </c>
    </row>
    <row r="101" spans="2:12">
      <c r="B101" s="229" t="s">
        <v>3886</v>
      </c>
      <c r="C101" s="229" t="s">
        <v>229</v>
      </c>
      <c r="D101" s="229" t="s">
        <v>2126</v>
      </c>
      <c r="E101" s="229" t="s">
        <v>422</v>
      </c>
      <c r="F101" s="229"/>
      <c r="G101" s="200" t="s">
        <v>3887</v>
      </c>
      <c r="H101" s="201"/>
      <c r="I101" s="201"/>
      <c r="J101" s="201"/>
      <c r="K101" s="229" t="s">
        <v>3888</v>
      </c>
      <c r="L101" s="229" t="s">
        <v>2128</v>
      </c>
    </row>
    <row r="102" spans="2:12">
      <c r="B102" s="229" t="s">
        <v>3889</v>
      </c>
      <c r="C102" s="229" t="s">
        <v>229</v>
      </c>
      <c r="D102" s="229" t="s">
        <v>2062</v>
      </c>
      <c r="E102" s="229" t="s">
        <v>422</v>
      </c>
      <c r="F102" s="229" t="s">
        <v>3890</v>
      </c>
      <c r="G102" s="200" t="s">
        <v>3891</v>
      </c>
      <c r="H102" s="201"/>
      <c r="I102" s="201"/>
      <c r="J102" s="201"/>
      <c r="K102" s="229" t="s">
        <v>1718</v>
      </c>
      <c r="L102" s="229" t="s">
        <v>2065</v>
      </c>
    </row>
    <row r="103" spans="2:12">
      <c r="B103" s="229" t="s">
        <v>3892</v>
      </c>
      <c r="C103" s="229" t="s">
        <v>229</v>
      </c>
      <c r="D103" s="229" t="s">
        <v>2072</v>
      </c>
      <c r="E103" s="229" t="s">
        <v>422</v>
      </c>
      <c r="F103" s="229" t="s">
        <v>3893</v>
      </c>
      <c r="G103" s="200" t="s">
        <v>3894</v>
      </c>
      <c r="H103" s="201"/>
      <c r="I103" s="201"/>
      <c r="J103" s="201"/>
      <c r="K103" s="229" t="s">
        <v>1718</v>
      </c>
      <c r="L103" s="229" t="s">
        <v>2075</v>
      </c>
    </row>
    <row r="104" spans="2:12">
      <c r="B104" s="229" t="s">
        <v>3895</v>
      </c>
      <c r="C104" s="229" t="s">
        <v>229</v>
      </c>
      <c r="D104" s="229" t="s">
        <v>3896</v>
      </c>
      <c r="E104" s="229" t="s">
        <v>422</v>
      </c>
      <c r="F104" s="229" t="s">
        <v>3897</v>
      </c>
      <c r="G104" s="200" t="s">
        <v>3898</v>
      </c>
      <c r="H104" s="201"/>
      <c r="I104" s="201"/>
      <c r="J104" s="201"/>
      <c r="K104" s="229" t="s">
        <v>615</v>
      </c>
      <c r="L104" s="229" t="s">
        <v>3899</v>
      </c>
    </row>
    <row r="105" spans="2:12">
      <c r="B105" s="229" t="s">
        <v>2129</v>
      </c>
      <c r="C105" s="229" t="s">
        <v>229</v>
      </c>
      <c r="D105" s="229" t="s">
        <v>2130</v>
      </c>
      <c r="E105" s="229" t="s">
        <v>422</v>
      </c>
      <c r="F105" s="229" t="s">
        <v>2131</v>
      </c>
      <c r="G105" s="200" t="s">
        <v>2132</v>
      </c>
      <c r="H105" s="201"/>
      <c r="I105" s="201"/>
      <c r="J105" s="201"/>
      <c r="K105" s="229" t="s">
        <v>231</v>
      </c>
      <c r="L105" s="229" t="s">
        <v>2133</v>
      </c>
    </row>
    <row r="106" spans="2:12">
      <c r="B106" s="229" t="s">
        <v>2134</v>
      </c>
      <c r="C106" s="229" t="s">
        <v>229</v>
      </c>
      <c r="D106" s="229" t="s">
        <v>2135</v>
      </c>
      <c r="E106" s="229" t="s">
        <v>422</v>
      </c>
      <c r="F106" s="229" t="s">
        <v>3900</v>
      </c>
      <c r="G106" s="200" t="s">
        <v>3901</v>
      </c>
      <c r="H106" s="201"/>
      <c r="I106" s="201"/>
      <c r="J106" s="201"/>
      <c r="K106" s="229" t="s">
        <v>231</v>
      </c>
      <c r="L106" s="229" t="s">
        <v>2137</v>
      </c>
    </row>
    <row r="107" spans="2:12">
      <c r="B107" s="229" t="s">
        <v>2138</v>
      </c>
      <c r="C107" s="229" t="s">
        <v>229</v>
      </c>
      <c r="D107" s="229" t="s">
        <v>2139</v>
      </c>
      <c r="E107" s="229" t="s">
        <v>422</v>
      </c>
      <c r="F107" s="229" t="s">
        <v>3902</v>
      </c>
      <c r="G107" s="200" t="s">
        <v>3903</v>
      </c>
      <c r="H107" s="201"/>
      <c r="I107" s="201"/>
      <c r="J107" s="201"/>
      <c r="K107" s="229" t="s">
        <v>231</v>
      </c>
      <c r="L107" s="229" t="s">
        <v>2141</v>
      </c>
    </row>
    <row r="108" spans="2:12">
      <c r="B108" s="229" t="s">
        <v>2142</v>
      </c>
      <c r="C108" s="229" t="s">
        <v>229</v>
      </c>
      <c r="D108" s="229" t="s">
        <v>2143</v>
      </c>
      <c r="E108" s="229" t="s">
        <v>422</v>
      </c>
      <c r="F108" s="229" t="s">
        <v>3904</v>
      </c>
      <c r="G108" s="200" t="s">
        <v>2144</v>
      </c>
      <c r="H108" s="201"/>
      <c r="I108" s="201"/>
      <c r="J108" s="201"/>
      <c r="K108" s="229" t="s">
        <v>231</v>
      </c>
      <c r="L108" s="229" t="s">
        <v>2133</v>
      </c>
    </row>
    <row r="109" spans="2:12">
      <c r="B109" s="229" t="s">
        <v>2145</v>
      </c>
      <c r="C109" s="229" t="s">
        <v>229</v>
      </c>
      <c r="D109" s="229" t="s">
        <v>2146</v>
      </c>
      <c r="E109" s="229" t="s">
        <v>422</v>
      </c>
      <c r="F109" s="229" t="s">
        <v>3905</v>
      </c>
      <c r="G109" s="200" t="s">
        <v>3906</v>
      </c>
      <c r="H109" s="201"/>
      <c r="I109" s="201"/>
      <c r="J109" s="201"/>
      <c r="K109" s="229" t="s">
        <v>868</v>
      </c>
      <c r="L109" s="229" t="s">
        <v>2148</v>
      </c>
    </row>
    <row r="110" spans="2:12">
      <c r="B110" s="229" t="s">
        <v>2149</v>
      </c>
      <c r="C110" s="229" t="s">
        <v>229</v>
      </c>
      <c r="D110" s="229" t="s">
        <v>2150</v>
      </c>
      <c r="E110" s="229" t="s">
        <v>422</v>
      </c>
      <c r="F110" s="229" t="s">
        <v>3907</v>
      </c>
      <c r="G110" s="200" t="s">
        <v>3908</v>
      </c>
      <c r="H110" s="201"/>
      <c r="I110" s="201"/>
      <c r="J110" s="201"/>
      <c r="K110" s="229" t="s">
        <v>615</v>
      </c>
      <c r="L110" s="229" t="s">
        <v>2152</v>
      </c>
    </row>
    <row r="111" spans="2:12">
      <c r="B111" s="229" t="s">
        <v>1738</v>
      </c>
      <c r="C111" s="229" t="s">
        <v>229</v>
      </c>
      <c r="D111" s="229" t="s">
        <v>1739</v>
      </c>
      <c r="E111" s="229" t="s">
        <v>422</v>
      </c>
      <c r="F111" s="229" t="s">
        <v>3909</v>
      </c>
      <c r="G111" s="200" t="s">
        <v>3910</v>
      </c>
      <c r="H111" s="201"/>
      <c r="I111" s="201"/>
      <c r="J111" s="201"/>
      <c r="K111" s="229" t="s">
        <v>231</v>
      </c>
      <c r="L111" s="229" t="s">
        <v>1740</v>
      </c>
    </row>
    <row r="112" spans="2:12">
      <c r="B112" s="229" t="s">
        <v>1741</v>
      </c>
      <c r="C112" s="229" t="s">
        <v>229</v>
      </c>
      <c r="D112" s="229" t="s">
        <v>1742</v>
      </c>
      <c r="E112" s="229" t="s">
        <v>422</v>
      </c>
      <c r="F112" s="229" t="s">
        <v>2018</v>
      </c>
      <c r="G112" s="200" t="s">
        <v>2154</v>
      </c>
      <c r="H112" s="201"/>
      <c r="I112" s="201"/>
      <c r="J112" s="201"/>
      <c r="K112" s="229" t="s">
        <v>231</v>
      </c>
      <c r="L112" s="229" t="s">
        <v>1743</v>
      </c>
    </row>
    <row r="113" spans="2:12">
      <c r="B113" s="229" t="s">
        <v>1744</v>
      </c>
      <c r="C113" s="229" t="s">
        <v>229</v>
      </c>
      <c r="D113" s="229" t="s">
        <v>1745</v>
      </c>
      <c r="E113" s="229" t="s">
        <v>422</v>
      </c>
      <c r="F113" s="229" t="s">
        <v>2157</v>
      </c>
      <c r="G113" s="200" t="s">
        <v>3911</v>
      </c>
      <c r="H113" s="201"/>
      <c r="I113" s="201"/>
      <c r="J113" s="201"/>
      <c r="K113" s="229" t="s">
        <v>231</v>
      </c>
      <c r="L113" s="229" t="s">
        <v>1746</v>
      </c>
    </row>
    <row r="114" spans="2:12">
      <c r="B114" s="229" t="s">
        <v>1747</v>
      </c>
      <c r="C114" s="229" t="s">
        <v>229</v>
      </c>
      <c r="D114" s="229" t="s">
        <v>1748</v>
      </c>
      <c r="E114" s="229" t="s">
        <v>422</v>
      </c>
      <c r="F114" s="229" t="s">
        <v>3912</v>
      </c>
      <c r="G114" s="200" t="s">
        <v>1749</v>
      </c>
      <c r="H114" s="201"/>
      <c r="I114" s="201"/>
      <c r="J114" s="201"/>
      <c r="K114" s="229" t="s">
        <v>231</v>
      </c>
      <c r="L114" s="229" t="s">
        <v>1750</v>
      </c>
    </row>
    <row r="115" spans="2:12">
      <c r="B115" s="229" t="s">
        <v>1796</v>
      </c>
      <c r="C115" s="229" t="s">
        <v>229</v>
      </c>
      <c r="D115" s="229" t="s">
        <v>1797</v>
      </c>
      <c r="E115" s="229" t="s">
        <v>422</v>
      </c>
      <c r="F115" s="229" t="s">
        <v>2157</v>
      </c>
      <c r="G115" s="200" t="s">
        <v>957</v>
      </c>
      <c r="H115" s="201"/>
      <c r="I115" s="201"/>
      <c r="J115" s="201"/>
      <c r="K115" s="229" t="s">
        <v>231</v>
      </c>
      <c r="L115" s="229" t="s">
        <v>1746</v>
      </c>
    </row>
    <row r="116" spans="2:12">
      <c r="B116" s="229" t="s">
        <v>1798</v>
      </c>
      <c r="C116" s="229" t="s">
        <v>229</v>
      </c>
      <c r="D116" s="229" t="s">
        <v>1799</v>
      </c>
      <c r="E116" s="229" t="s">
        <v>422</v>
      </c>
      <c r="F116" s="229" t="s">
        <v>2008</v>
      </c>
      <c r="G116" s="200" t="s">
        <v>1800</v>
      </c>
      <c r="H116" s="201"/>
      <c r="I116" s="201"/>
      <c r="J116" s="201"/>
      <c r="K116" s="229" t="s">
        <v>231</v>
      </c>
      <c r="L116" s="229" t="s">
        <v>1801</v>
      </c>
    </row>
    <row r="117" spans="2:12">
      <c r="B117" s="229" t="s">
        <v>2845</v>
      </c>
      <c r="C117" s="229" t="s">
        <v>229</v>
      </c>
      <c r="D117" s="229" t="s">
        <v>2846</v>
      </c>
      <c r="E117" s="229" t="s">
        <v>422</v>
      </c>
      <c r="F117" s="229" t="s">
        <v>3913</v>
      </c>
      <c r="G117" s="200" t="s">
        <v>3914</v>
      </c>
      <c r="H117" s="201"/>
      <c r="I117" s="201"/>
      <c r="J117" s="201"/>
      <c r="K117" s="229" t="s">
        <v>231</v>
      </c>
      <c r="L117" s="229" t="s">
        <v>2848</v>
      </c>
    </row>
    <row r="118" spans="2:12">
      <c r="B118" s="229" t="s">
        <v>3915</v>
      </c>
      <c r="C118" s="229" t="s">
        <v>229</v>
      </c>
      <c r="D118" s="229" t="s">
        <v>2854</v>
      </c>
      <c r="E118" s="229" t="s">
        <v>422</v>
      </c>
      <c r="F118" s="229" t="s">
        <v>3916</v>
      </c>
      <c r="G118" s="200" t="s">
        <v>3917</v>
      </c>
      <c r="H118" s="201"/>
      <c r="I118" s="201"/>
      <c r="J118" s="201"/>
      <c r="K118" s="229" t="s">
        <v>749</v>
      </c>
      <c r="L118" s="229" t="s">
        <v>749</v>
      </c>
    </row>
    <row r="119" spans="2:12">
      <c r="B119" s="229" t="s">
        <v>2968</v>
      </c>
      <c r="C119" s="229" t="s">
        <v>229</v>
      </c>
      <c r="D119" s="229" t="s">
        <v>1803</v>
      </c>
      <c r="E119" s="229" t="s">
        <v>422</v>
      </c>
      <c r="F119" s="229" t="s">
        <v>2013</v>
      </c>
      <c r="G119" s="200" t="s">
        <v>963</v>
      </c>
      <c r="H119" s="201"/>
      <c r="I119" s="201"/>
      <c r="J119" s="201"/>
      <c r="K119" s="229" t="s">
        <v>1754</v>
      </c>
      <c r="L119" s="229" t="s">
        <v>1804</v>
      </c>
    </row>
    <row r="120" spans="2:12">
      <c r="B120" s="229" t="s">
        <v>3918</v>
      </c>
      <c r="C120" s="229" t="s">
        <v>229</v>
      </c>
      <c r="D120" s="229" t="s">
        <v>3623</v>
      </c>
      <c r="E120" s="229" t="s">
        <v>422</v>
      </c>
      <c r="F120" s="229" t="s">
        <v>3919</v>
      </c>
      <c r="G120" s="200" t="s">
        <v>1807</v>
      </c>
      <c r="H120" s="201"/>
      <c r="I120" s="201"/>
      <c r="J120" s="201"/>
      <c r="K120" s="229" t="s">
        <v>231</v>
      </c>
      <c r="L120" s="229" t="s">
        <v>3624</v>
      </c>
    </row>
    <row r="121" spans="2:12">
      <c r="B121" s="229" t="s">
        <v>2991</v>
      </c>
      <c r="C121" s="229" t="s">
        <v>229</v>
      </c>
      <c r="D121" s="229" t="s">
        <v>1810</v>
      </c>
      <c r="E121" s="229" t="s">
        <v>422</v>
      </c>
      <c r="F121" s="229" t="s">
        <v>2016</v>
      </c>
      <c r="G121" s="200" t="s">
        <v>987</v>
      </c>
      <c r="H121" s="201"/>
      <c r="I121" s="201"/>
      <c r="J121" s="201"/>
      <c r="K121" s="229" t="s">
        <v>1754</v>
      </c>
      <c r="L121" s="229" t="s">
        <v>1811</v>
      </c>
    </row>
    <row r="122" spans="2:12">
      <c r="B122" s="229" t="s">
        <v>3920</v>
      </c>
      <c r="C122" s="229" t="s">
        <v>229</v>
      </c>
      <c r="D122" s="229" t="s">
        <v>3626</v>
      </c>
      <c r="E122" s="229" t="s">
        <v>422</v>
      </c>
      <c r="F122" s="229" t="s">
        <v>3921</v>
      </c>
      <c r="G122" s="200" t="s">
        <v>1814</v>
      </c>
      <c r="H122" s="201"/>
      <c r="I122" s="201"/>
      <c r="J122" s="201"/>
      <c r="K122" s="229" t="s">
        <v>231</v>
      </c>
      <c r="L122" s="229" t="s">
        <v>3627</v>
      </c>
    </row>
    <row r="123" spans="2:12">
      <c r="B123" s="229" t="s">
        <v>1816</v>
      </c>
      <c r="C123" s="229" t="s">
        <v>229</v>
      </c>
      <c r="D123" s="229" t="s">
        <v>1817</v>
      </c>
      <c r="E123" s="229" t="s">
        <v>422</v>
      </c>
      <c r="F123" s="229" t="s">
        <v>1987</v>
      </c>
      <c r="G123" s="200" t="s">
        <v>2861</v>
      </c>
      <c r="H123" s="201"/>
      <c r="I123" s="201"/>
      <c r="J123" s="201"/>
      <c r="K123" s="229" t="s">
        <v>868</v>
      </c>
      <c r="L123" s="229" t="s">
        <v>1819</v>
      </c>
    </row>
    <row r="124" spans="2:12">
      <c r="B124" s="229" t="s">
        <v>2857</v>
      </c>
      <c r="C124" s="229" t="s">
        <v>229</v>
      </c>
      <c r="D124" s="229" t="s">
        <v>2858</v>
      </c>
      <c r="E124" s="229" t="s">
        <v>422</v>
      </c>
      <c r="F124" s="229" t="s">
        <v>3922</v>
      </c>
      <c r="G124" s="200" t="s">
        <v>3923</v>
      </c>
      <c r="H124" s="201"/>
      <c r="I124" s="201"/>
      <c r="J124" s="201"/>
      <c r="K124" s="229" t="s">
        <v>615</v>
      </c>
      <c r="L124" s="229" t="s">
        <v>2860</v>
      </c>
    </row>
    <row r="125" spans="2:12">
      <c r="B125" s="229" t="s">
        <v>1827</v>
      </c>
      <c r="C125" s="229" t="s">
        <v>229</v>
      </c>
      <c r="D125" s="229" t="s">
        <v>1828</v>
      </c>
      <c r="E125" s="229" t="s">
        <v>422</v>
      </c>
      <c r="F125" s="229" t="s">
        <v>2160</v>
      </c>
      <c r="G125" s="200" t="s">
        <v>2161</v>
      </c>
      <c r="H125" s="201"/>
      <c r="I125" s="201"/>
      <c r="J125" s="201"/>
      <c r="K125" s="229" t="s">
        <v>868</v>
      </c>
      <c r="L125" s="229" t="s">
        <v>1830</v>
      </c>
    </row>
    <row r="126" spans="2:12">
      <c r="B126" s="229" t="s">
        <v>2862</v>
      </c>
      <c r="C126" s="229" t="s">
        <v>229</v>
      </c>
      <c r="D126" s="229" t="s">
        <v>2863</v>
      </c>
      <c r="E126" s="229" t="s">
        <v>422</v>
      </c>
      <c r="F126" s="229" t="s">
        <v>3924</v>
      </c>
      <c r="G126" s="200" t="s">
        <v>3925</v>
      </c>
      <c r="H126" s="201"/>
      <c r="I126" s="201"/>
      <c r="J126" s="201"/>
      <c r="K126" s="229" t="s">
        <v>615</v>
      </c>
      <c r="L126" s="229" t="s">
        <v>2865</v>
      </c>
    </row>
    <row r="127" spans="2:12">
      <c r="B127" s="229" t="s">
        <v>2162</v>
      </c>
      <c r="C127" s="229" t="s">
        <v>229</v>
      </c>
      <c r="D127" s="229" t="s">
        <v>2163</v>
      </c>
      <c r="E127" s="229" t="s">
        <v>422</v>
      </c>
      <c r="F127" s="229" t="s">
        <v>3926</v>
      </c>
      <c r="G127" s="200" t="s">
        <v>3927</v>
      </c>
      <c r="H127" s="201"/>
      <c r="I127" s="201"/>
      <c r="J127" s="201"/>
      <c r="K127" s="229" t="s">
        <v>231</v>
      </c>
      <c r="L127" s="229" t="s">
        <v>2165</v>
      </c>
    </row>
    <row r="128" spans="2:12">
      <c r="B128" s="229" t="s">
        <v>2166</v>
      </c>
      <c r="C128" s="229" t="s">
        <v>229</v>
      </c>
      <c r="D128" s="229" t="s">
        <v>2167</v>
      </c>
      <c r="E128" s="229" t="s">
        <v>422</v>
      </c>
      <c r="F128" s="229" t="s">
        <v>3926</v>
      </c>
      <c r="G128" s="200" t="s">
        <v>3928</v>
      </c>
      <c r="H128" s="201"/>
      <c r="I128" s="201"/>
      <c r="J128" s="201"/>
      <c r="K128" s="229" t="s">
        <v>868</v>
      </c>
      <c r="L128" s="229" t="s">
        <v>2169</v>
      </c>
    </row>
    <row r="129" spans="2:12">
      <c r="B129" s="229" t="s">
        <v>3929</v>
      </c>
      <c r="C129" s="229" t="s">
        <v>203</v>
      </c>
      <c r="D129" s="229" t="s">
        <v>3930</v>
      </c>
      <c r="E129" s="229" t="s">
        <v>422</v>
      </c>
      <c r="F129" s="229" t="s">
        <v>3931</v>
      </c>
      <c r="G129" s="200" t="s">
        <v>3932</v>
      </c>
      <c r="H129" s="201"/>
      <c r="I129" s="201"/>
      <c r="J129" s="201"/>
      <c r="K129" s="229" t="s">
        <v>749</v>
      </c>
      <c r="L129" s="229" t="s">
        <v>749</v>
      </c>
    </row>
    <row r="130" spans="2:12">
      <c r="B130" s="229" t="s">
        <v>2170</v>
      </c>
      <c r="C130" s="229" t="s">
        <v>229</v>
      </c>
      <c r="D130" s="229" t="s">
        <v>1846</v>
      </c>
      <c r="E130" s="229" t="s">
        <v>422</v>
      </c>
      <c r="F130" s="229" t="s">
        <v>3650</v>
      </c>
      <c r="G130" s="200" t="s">
        <v>1500</v>
      </c>
      <c r="H130" s="201"/>
      <c r="I130" s="201"/>
      <c r="J130" s="201"/>
      <c r="K130" s="229" t="s">
        <v>231</v>
      </c>
      <c r="L130" s="229" t="s">
        <v>2171</v>
      </c>
    </row>
    <row r="131" spans="2:12">
      <c r="B131" s="229" t="s">
        <v>3933</v>
      </c>
      <c r="C131" s="229" t="s">
        <v>203</v>
      </c>
      <c r="D131" s="229" t="s">
        <v>3934</v>
      </c>
      <c r="E131" s="229" t="s">
        <v>422</v>
      </c>
      <c r="F131" s="229" t="s">
        <v>3935</v>
      </c>
      <c r="G131" s="200" t="s">
        <v>3936</v>
      </c>
      <c r="H131" s="201"/>
      <c r="I131" s="201"/>
      <c r="J131" s="201"/>
      <c r="K131" s="229" t="s">
        <v>1625</v>
      </c>
      <c r="L131" s="229" t="s">
        <v>1719</v>
      </c>
    </row>
    <row r="132" spans="2:12">
      <c r="B132" s="229" t="s">
        <v>2177</v>
      </c>
      <c r="C132" s="229" t="s">
        <v>229</v>
      </c>
      <c r="D132" s="229" t="s">
        <v>2178</v>
      </c>
      <c r="E132" s="229" t="s">
        <v>422</v>
      </c>
      <c r="F132" s="229" t="s">
        <v>2084</v>
      </c>
      <c r="G132" s="200" t="s">
        <v>2179</v>
      </c>
      <c r="H132" s="201"/>
      <c r="I132" s="201"/>
      <c r="J132" s="201"/>
      <c r="K132" s="229" t="s">
        <v>1625</v>
      </c>
      <c r="L132" s="229" t="s">
        <v>2180</v>
      </c>
    </row>
    <row r="133" spans="2:12">
      <c r="B133" s="229" t="s">
        <v>2181</v>
      </c>
      <c r="C133" s="229" t="s">
        <v>229</v>
      </c>
      <c r="D133" s="229" t="s">
        <v>2182</v>
      </c>
      <c r="E133" s="229" t="s">
        <v>422</v>
      </c>
      <c r="F133" s="229" t="s">
        <v>2084</v>
      </c>
      <c r="G133" s="200" t="s">
        <v>2183</v>
      </c>
      <c r="H133" s="201"/>
      <c r="I133" s="201"/>
      <c r="J133" s="201"/>
      <c r="K133" s="229" t="s">
        <v>1625</v>
      </c>
      <c r="L133" s="229" t="s">
        <v>2184</v>
      </c>
    </row>
    <row r="134" spans="2:12">
      <c r="B134" s="229" t="s">
        <v>2185</v>
      </c>
      <c r="C134" s="229" t="s">
        <v>229</v>
      </c>
      <c r="D134" s="229" t="s">
        <v>2186</v>
      </c>
      <c r="E134" s="229" t="s">
        <v>422</v>
      </c>
      <c r="F134" s="229" t="s">
        <v>2084</v>
      </c>
      <c r="G134" s="200" t="s">
        <v>2187</v>
      </c>
      <c r="H134" s="201"/>
      <c r="I134" s="201"/>
      <c r="J134" s="201"/>
      <c r="K134" s="229" t="s">
        <v>1625</v>
      </c>
      <c r="L134" s="229" t="s">
        <v>2188</v>
      </c>
    </row>
    <row r="135" spans="2:12">
      <c r="B135" s="229" t="s">
        <v>2189</v>
      </c>
      <c r="C135" s="229" t="s">
        <v>229</v>
      </c>
      <c r="D135" s="229" t="s">
        <v>2190</v>
      </c>
      <c r="E135" s="229" t="s">
        <v>422</v>
      </c>
      <c r="F135" s="229" t="s">
        <v>3886</v>
      </c>
      <c r="G135" s="200" t="s">
        <v>3937</v>
      </c>
      <c r="H135" s="201"/>
      <c r="I135" s="201"/>
      <c r="J135" s="201"/>
      <c r="K135" s="229" t="s">
        <v>1625</v>
      </c>
      <c r="L135" s="229" t="s">
        <v>2192</v>
      </c>
    </row>
    <row r="136" spans="2:12">
      <c r="B136" s="229" t="s">
        <v>2193</v>
      </c>
      <c r="C136" s="229" t="s">
        <v>229</v>
      </c>
      <c r="D136" s="229" t="s">
        <v>2194</v>
      </c>
      <c r="E136" s="229" t="s">
        <v>422</v>
      </c>
      <c r="F136" s="229" t="s">
        <v>3886</v>
      </c>
      <c r="G136" s="200" t="s">
        <v>3938</v>
      </c>
      <c r="H136" s="201"/>
      <c r="I136" s="201"/>
      <c r="J136" s="201"/>
      <c r="K136" s="229" t="s">
        <v>1625</v>
      </c>
      <c r="L136" s="229" t="s">
        <v>2196</v>
      </c>
    </row>
    <row r="137" spans="2:12">
      <c r="B137" s="229" t="s">
        <v>2197</v>
      </c>
      <c r="C137" s="229" t="s">
        <v>229</v>
      </c>
      <c r="D137" s="229" t="s">
        <v>2198</v>
      </c>
      <c r="E137" s="229" t="s">
        <v>422</v>
      </c>
      <c r="F137" s="229" t="s">
        <v>3886</v>
      </c>
      <c r="G137" s="200" t="s">
        <v>3939</v>
      </c>
      <c r="H137" s="201"/>
      <c r="I137" s="201"/>
      <c r="J137" s="201"/>
      <c r="K137" s="229" t="s">
        <v>1625</v>
      </c>
      <c r="L137" s="229" t="s">
        <v>2200</v>
      </c>
    </row>
    <row r="138" spans="2:12">
      <c r="B138" s="229" t="s">
        <v>3940</v>
      </c>
      <c r="C138" s="229" t="s">
        <v>229</v>
      </c>
      <c r="D138" s="229" t="s">
        <v>3941</v>
      </c>
      <c r="E138" s="229" t="s">
        <v>422</v>
      </c>
      <c r="F138" s="229" t="s">
        <v>3942</v>
      </c>
      <c r="G138" s="200" t="s">
        <v>3943</v>
      </c>
      <c r="H138" s="201"/>
      <c r="I138" s="201"/>
      <c r="J138" s="201"/>
      <c r="K138" s="229" t="s">
        <v>3666</v>
      </c>
      <c r="L138" s="229" t="s">
        <v>3944</v>
      </c>
    </row>
    <row r="139" spans="2:12">
      <c r="B139" s="229" t="s">
        <v>2917</v>
      </c>
      <c r="C139" s="229" t="s">
        <v>229</v>
      </c>
      <c r="D139" s="229" t="s">
        <v>3945</v>
      </c>
      <c r="E139" s="229" t="s">
        <v>422</v>
      </c>
      <c r="F139" s="229" t="s">
        <v>3942</v>
      </c>
      <c r="G139" s="200" t="s">
        <v>3946</v>
      </c>
      <c r="H139" s="201"/>
      <c r="I139" s="201"/>
      <c r="J139" s="201"/>
      <c r="K139" s="229" t="s">
        <v>3666</v>
      </c>
      <c r="L139" s="229" t="s">
        <v>2920</v>
      </c>
    </row>
    <row r="140" spans="2:12">
      <c r="B140" s="229" t="s">
        <v>2921</v>
      </c>
      <c r="C140" s="229" t="s">
        <v>229</v>
      </c>
      <c r="D140" s="229" t="s">
        <v>3947</v>
      </c>
      <c r="E140" s="229" t="s">
        <v>422</v>
      </c>
      <c r="F140" s="229" t="s">
        <v>3942</v>
      </c>
      <c r="G140" s="200" t="s">
        <v>3948</v>
      </c>
      <c r="H140" s="201"/>
      <c r="I140" s="201"/>
      <c r="J140" s="201"/>
      <c r="K140" s="229" t="s">
        <v>1625</v>
      </c>
      <c r="L140" s="229" t="s">
        <v>2924</v>
      </c>
    </row>
    <row r="141" spans="2:12">
      <c r="B141" s="229" t="s">
        <v>2925</v>
      </c>
      <c r="C141" s="229" t="s">
        <v>229</v>
      </c>
      <c r="D141" s="229" t="s">
        <v>3949</v>
      </c>
      <c r="E141" s="229" t="s">
        <v>422</v>
      </c>
      <c r="F141" s="229" t="s">
        <v>3942</v>
      </c>
      <c r="G141" s="200" t="s">
        <v>3950</v>
      </c>
      <c r="H141" s="201"/>
      <c r="I141" s="201"/>
      <c r="J141" s="201"/>
      <c r="K141" s="229" t="s">
        <v>1625</v>
      </c>
      <c r="L141" s="229" t="s">
        <v>2928</v>
      </c>
    </row>
    <row r="142" spans="2:12">
      <c r="B142" s="229" t="s">
        <v>2929</v>
      </c>
      <c r="C142" s="229" t="s">
        <v>229</v>
      </c>
      <c r="D142" s="229" t="s">
        <v>3951</v>
      </c>
      <c r="E142" s="229" t="s">
        <v>422</v>
      </c>
      <c r="F142" s="229" t="s">
        <v>3942</v>
      </c>
      <c r="G142" s="200" t="s">
        <v>3952</v>
      </c>
      <c r="H142" s="201"/>
      <c r="I142" s="201"/>
      <c r="J142" s="201"/>
      <c r="K142" s="229" t="s">
        <v>1625</v>
      </c>
      <c r="L142" s="229" t="s">
        <v>2932</v>
      </c>
    </row>
    <row r="143" spans="2:12">
      <c r="B143" s="229" t="s">
        <v>2933</v>
      </c>
      <c r="C143" s="229" t="s">
        <v>229</v>
      </c>
      <c r="D143" s="229" t="s">
        <v>3953</v>
      </c>
      <c r="E143" s="229" t="s">
        <v>422</v>
      </c>
      <c r="F143" s="229" t="s">
        <v>3942</v>
      </c>
      <c r="G143" s="200" t="s">
        <v>3954</v>
      </c>
      <c r="H143" s="201"/>
      <c r="I143" s="201"/>
      <c r="J143" s="201"/>
      <c r="K143" s="229" t="s">
        <v>1625</v>
      </c>
      <c r="L143" s="229" t="s">
        <v>2936</v>
      </c>
    </row>
    <row r="144" spans="2:12">
      <c r="B144" s="229" t="s">
        <v>2937</v>
      </c>
      <c r="C144" s="229" t="s">
        <v>229</v>
      </c>
      <c r="D144" s="229" t="s">
        <v>3955</v>
      </c>
      <c r="E144" s="229" t="s">
        <v>422</v>
      </c>
      <c r="F144" s="229" t="s">
        <v>3942</v>
      </c>
      <c r="G144" s="200" t="s">
        <v>3956</v>
      </c>
      <c r="H144" s="201"/>
      <c r="I144" s="201"/>
      <c r="J144" s="201"/>
      <c r="K144" s="229" t="s">
        <v>1625</v>
      </c>
      <c r="L144" s="229" t="s">
        <v>2940</v>
      </c>
    </row>
    <row r="145" spans="2:12">
      <c r="B145" s="229" t="s">
        <v>2942</v>
      </c>
      <c r="C145" s="229" t="s">
        <v>229</v>
      </c>
      <c r="D145" s="229" t="s">
        <v>1648</v>
      </c>
      <c r="E145" s="229" t="s">
        <v>422</v>
      </c>
      <c r="F145" s="229" t="s">
        <v>2006</v>
      </c>
      <c r="G145" s="200" t="s">
        <v>1649</v>
      </c>
      <c r="H145" s="201"/>
      <c r="I145" s="201"/>
      <c r="J145" s="201"/>
      <c r="K145" s="229" t="s">
        <v>1575</v>
      </c>
      <c r="L145" s="229" t="s">
        <v>1650</v>
      </c>
    </row>
    <row r="146" spans="2:12">
      <c r="B146" s="229" t="s">
        <v>2943</v>
      </c>
      <c r="C146" s="229" t="s">
        <v>229</v>
      </c>
      <c r="D146" s="229" t="s">
        <v>1757</v>
      </c>
      <c r="E146" s="229" t="s">
        <v>422</v>
      </c>
      <c r="F146" s="229" t="s">
        <v>2006</v>
      </c>
      <c r="G146" s="200" t="s">
        <v>2201</v>
      </c>
      <c r="H146" s="201"/>
      <c r="I146" s="201"/>
      <c r="J146" s="201"/>
      <c r="K146" s="229" t="s">
        <v>1625</v>
      </c>
      <c r="L146" s="229" t="s">
        <v>1759</v>
      </c>
    </row>
    <row r="147" spans="2:12">
      <c r="B147" s="229" t="s">
        <v>2945</v>
      </c>
      <c r="C147" s="229" t="s">
        <v>229</v>
      </c>
      <c r="D147" s="229" t="s">
        <v>1761</v>
      </c>
      <c r="E147" s="229" t="s">
        <v>422</v>
      </c>
      <c r="F147" s="229" t="s">
        <v>2006</v>
      </c>
      <c r="G147" s="200" t="s">
        <v>2202</v>
      </c>
      <c r="H147" s="201"/>
      <c r="I147" s="201"/>
      <c r="J147" s="201"/>
      <c r="K147" s="229" t="s">
        <v>1625</v>
      </c>
      <c r="L147" s="229" t="s">
        <v>1763</v>
      </c>
    </row>
    <row r="148" spans="2:12">
      <c r="B148" s="229" t="s">
        <v>2947</v>
      </c>
      <c r="C148" s="229" t="s">
        <v>229</v>
      </c>
      <c r="D148" s="229" t="s">
        <v>1765</v>
      </c>
      <c r="E148" s="229" t="s">
        <v>422</v>
      </c>
      <c r="F148" s="229" t="s">
        <v>2006</v>
      </c>
      <c r="G148" s="200" t="s">
        <v>2203</v>
      </c>
      <c r="H148" s="201"/>
      <c r="I148" s="201"/>
      <c r="J148" s="201"/>
      <c r="K148" s="229" t="s">
        <v>1625</v>
      </c>
      <c r="L148" s="229" t="s">
        <v>1767</v>
      </c>
    </row>
    <row r="149" spans="2:12">
      <c r="B149" s="229" t="s">
        <v>2949</v>
      </c>
      <c r="C149" s="229" t="s">
        <v>229</v>
      </c>
      <c r="D149" s="229" t="s">
        <v>1769</v>
      </c>
      <c r="E149" s="229" t="s">
        <v>422</v>
      </c>
      <c r="F149" s="229" t="s">
        <v>2006</v>
      </c>
      <c r="G149" s="200" t="s">
        <v>2204</v>
      </c>
      <c r="H149" s="201"/>
      <c r="I149" s="201"/>
      <c r="J149" s="201"/>
      <c r="K149" s="229" t="s">
        <v>1625</v>
      </c>
      <c r="L149" s="229" t="s">
        <v>1771</v>
      </c>
    </row>
    <row r="150" spans="2:12">
      <c r="B150" s="229" t="s">
        <v>2951</v>
      </c>
      <c r="C150" s="229" t="s">
        <v>229</v>
      </c>
      <c r="D150" s="229" t="s">
        <v>1773</v>
      </c>
      <c r="E150" s="229" t="s">
        <v>422</v>
      </c>
      <c r="F150" s="229" t="s">
        <v>2006</v>
      </c>
      <c r="G150" s="200" t="s">
        <v>2205</v>
      </c>
      <c r="H150" s="201"/>
      <c r="I150" s="201"/>
      <c r="J150" s="201"/>
      <c r="K150" s="229" t="s">
        <v>1625</v>
      </c>
      <c r="L150" s="229" t="s">
        <v>1775</v>
      </c>
    </row>
    <row r="151" spans="2:12">
      <c r="B151" s="229" t="s">
        <v>2954</v>
      </c>
      <c r="C151" s="229" t="s">
        <v>229</v>
      </c>
      <c r="D151" s="229" t="s">
        <v>1652</v>
      </c>
      <c r="E151" s="229" t="s">
        <v>422</v>
      </c>
      <c r="F151" s="229" t="s">
        <v>2008</v>
      </c>
      <c r="G151" s="200" t="s">
        <v>1653</v>
      </c>
      <c r="H151" s="201"/>
      <c r="I151" s="201"/>
      <c r="J151" s="201"/>
      <c r="K151" s="229" t="s">
        <v>1575</v>
      </c>
      <c r="L151" s="229" t="s">
        <v>1654</v>
      </c>
    </row>
    <row r="152" spans="2:12">
      <c r="B152" s="229" t="s">
        <v>2955</v>
      </c>
      <c r="C152" s="229" t="s">
        <v>229</v>
      </c>
      <c r="D152" s="229" t="s">
        <v>1777</v>
      </c>
      <c r="E152" s="229" t="s">
        <v>422</v>
      </c>
      <c r="F152" s="229" t="s">
        <v>2008</v>
      </c>
      <c r="G152" s="200" t="s">
        <v>2207</v>
      </c>
      <c r="H152" s="201"/>
      <c r="I152" s="201"/>
      <c r="J152" s="201"/>
      <c r="K152" s="229" t="s">
        <v>1625</v>
      </c>
      <c r="L152" s="229" t="s">
        <v>1779</v>
      </c>
    </row>
    <row r="153" spans="2:12">
      <c r="B153" s="229" t="s">
        <v>2956</v>
      </c>
      <c r="C153" s="229" t="s">
        <v>229</v>
      </c>
      <c r="D153" s="229" t="s">
        <v>1781</v>
      </c>
      <c r="E153" s="229" t="s">
        <v>422</v>
      </c>
      <c r="F153" s="229" t="s">
        <v>2008</v>
      </c>
      <c r="G153" s="200" t="s">
        <v>2208</v>
      </c>
      <c r="H153" s="201"/>
      <c r="I153" s="201"/>
      <c r="J153" s="201"/>
      <c r="K153" s="229" t="s">
        <v>1625</v>
      </c>
      <c r="L153" s="229" t="s">
        <v>1783</v>
      </c>
    </row>
    <row r="154" spans="2:12">
      <c r="B154" s="229" t="s">
        <v>2957</v>
      </c>
      <c r="C154" s="229" t="s">
        <v>229</v>
      </c>
      <c r="D154" s="229" t="s">
        <v>1785</v>
      </c>
      <c r="E154" s="229" t="s">
        <v>422</v>
      </c>
      <c r="F154" s="229" t="s">
        <v>2008</v>
      </c>
      <c r="G154" s="200" t="s">
        <v>2209</v>
      </c>
      <c r="H154" s="201"/>
      <c r="I154" s="201"/>
      <c r="J154" s="201"/>
      <c r="K154" s="229" t="s">
        <v>1625</v>
      </c>
      <c r="L154" s="229" t="s">
        <v>1787</v>
      </c>
    </row>
    <row r="155" spans="2:12">
      <c r="B155" s="229" t="s">
        <v>2958</v>
      </c>
      <c r="C155" s="229" t="s">
        <v>229</v>
      </c>
      <c r="D155" s="229" t="s">
        <v>1789</v>
      </c>
      <c r="E155" s="229" t="s">
        <v>422</v>
      </c>
      <c r="F155" s="229" t="s">
        <v>2008</v>
      </c>
      <c r="G155" s="200" t="s">
        <v>2210</v>
      </c>
      <c r="H155" s="201"/>
      <c r="I155" s="201"/>
      <c r="J155" s="201"/>
      <c r="K155" s="229" t="s">
        <v>1625</v>
      </c>
      <c r="L155" s="229" t="s">
        <v>1791</v>
      </c>
    </row>
    <row r="156" spans="2:12">
      <c r="B156" s="229" t="s">
        <v>2959</v>
      </c>
      <c r="C156" s="229" t="s">
        <v>229</v>
      </c>
      <c r="D156" s="229" t="s">
        <v>1793</v>
      </c>
      <c r="E156" s="229" t="s">
        <v>422</v>
      </c>
      <c r="F156" s="229" t="s">
        <v>2008</v>
      </c>
      <c r="G156" s="200" t="s">
        <v>2211</v>
      </c>
      <c r="H156" s="201"/>
      <c r="I156" s="201"/>
      <c r="J156" s="201"/>
      <c r="K156" s="229" t="s">
        <v>1625</v>
      </c>
      <c r="L156" s="229" t="s">
        <v>1795</v>
      </c>
    </row>
    <row r="157" spans="2:12">
      <c r="B157" s="229" t="s">
        <v>1655</v>
      </c>
      <c r="C157" s="229" t="s">
        <v>229</v>
      </c>
      <c r="D157" s="229" t="s">
        <v>1656</v>
      </c>
      <c r="E157" s="229" t="s">
        <v>422</v>
      </c>
      <c r="F157" s="229" t="s">
        <v>2212</v>
      </c>
      <c r="G157" s="200" t="s">
        <v>1657</v>
      </c>
      <c r="H157" s="201"/>
      <c r="I157" s="201"/>
      <c r="J157" s="201"/>
      <c r="K157" s="229" t="s">
        <v>1575</v>
      </c>
      <c r="L157" s="229" t="s">
        <v>1658</v>
      </c>
    </row>
    <row r="158" spans="2:12">
      <c r="B158" s="229" t="s">
        <v>2214</v>
      </c>
      <c r="C158" s="229" t="s">
        <v>229</v>
      </c>
      <c r="D158" s="229" t="s">
        <v>2215</v>
      </c>
      <c r="E158" s="229" t="s">
        <v>422</v>
      </c>
      <c r="F158" s="229" t="s">
        <v>2212</v>
      </c>
      <c r="G158" s="200" t="s">
        <v>3957</v>
      </c>
      <c r="H158" s="201"/>
      <c r="I158" s="201"/>
      <c r="J158" s="201"/>
      <c r="K158" s="229" t="s">
        <v>1625</v>
      </c>
      <c r="L158" s="229" t="s">
        <v>2217</v>
      </c>
    </row>
    <row r="159" spans="2:12">
      <c r="B159" s="229" t="s">
        <v>2218</v>
      </c>
      <c r="C159" s="229" t="s">
        <v>229</v>
      </c>
      <c r="D159" s="229" t="s">
        <v>2219</v>
      </c>
      <c r="E159" s="229" t="s">
        <v>422</v>
      </c>
      <c r="F159" s="229" t="s">
        <v>2212</v>
      </c>
      <c r="G159" s="200" t="s">
        <v>3958</v>
      </c>
      <c r="H159" s="201"/>
      <c r="I159" s="201"/>
      <c r="J159" s="201"/>
      <c r="K159" s="229" t="s">
        <v>1625</v>
      </c>
      <c r="L159" s="229" t="s">
        <v>2221</v>
      </c>
    </row>
    <row r="160" spans="2:12">
      <c r="B160" s="229" t="s">
        <v>2222</v>
      </c>
      <c r="C160" s="229" t="s">
        <v>229</v>
      </c>
      <c r="D160" s="229" t="s">
        <v>2223</v>
      </c>
      <c r="E160" s="229" t="s">
        <v>422</v>
      </c>
      <c r="F160" s="229" t="s">
        <v>2212</v>
      </c>
      <c r="G160" s="200" t="s">
        <v>3959</v>
      </c>
      <c r="H160" s="201"/>
      <c r="I160" s="201"/>
      <c r="J160" s="201"/>
      <c r="K160" s="229" t="s">
        <v>1625</v>
      </c>
      <c r="L160" s="229" t="s">
        <v>2225</v>
      </c>
    </row>
    <row r="161" spans="2:12">
      <c r="B161" s="229" t="s">
        <v>2226</v>
      </c>
      <c r="C161" s="229" t="s">
        <v>229</v>
      </c>
      <c r="D161" s="229" t="s">
        <v>2227</v>
      </c>
      <c r="E161" s="229" t="s">
        <v>422</v>
      </c>
      <c r="F161" s="229" t="s">
        <v>2212</v>
      </c>
      <c r="G161" s="200" t="s">
        <v>3960</v>
      </c>
      <c r="H161" s="201"/>
      <c r="I161" s="201"/>
      <c r="J161" s="201"/>
      <c r="K161" s="229" t="s">
        <v>1625</v>
      </c>
      <c r="L161" s="229" t="s">
        <v>2229</v>
      </c>
    </row>
    <row r="162" spans="2:12">
      <c r="B162" s="229" t="s">
        <v>2230</v>
      </c>
      <c r="C162" s="229" t="s">
        <v>229</v>
      </c>
      <c r="D162" s="229" t="s">
        <v>2231</v>
      </c>
      <c r="E162" s="229" t="s">
        <v>422</v>
      </c>
      <c r="F162" s="229" t="s">
        <v>2212</v>
      </c>
      <c r="G162" s="200" t="s">
        <v>3961</v>
      </c>
      <c r="H162" s="201"/>
      <c r="I162" s="201"/>
      <c r="J162" s="201"/>
      <c r="K162" s="229" t="s">
        <v>1625</v>
      </c>
      <c r="L162" s="229" t="s">
        <v>2233</v>
      </c>
    </row>
    <row r="163" spans="2:12">
      <c r="B163" s="229" t="s">
        <v>2969</v>
      </c>
      <c r="C163" s="229" t="s">
        <v>229</v>
      </c>
      <c r="D163" s="229" t="s">
        <v>1660</v>
      </c>
      <c r="E163" s="229" t="s">
        <v>422</v>
      </c>
      <c r="F163" s="229" t="s">
        <v>2013</v>
      </c>
      <c r="G163" s="200" t="s">
        <v>1661</v>
      </c>
      <c r="H163" s="201"/>
      <c r="I163" s="201"/>
      <c r="J163" s="201"/>
      <c r="K163" s="229" t="s">
        <v>1575</v>
      </c>
      <c r="L163" s="229" t="s">
        <v>1662</v>
      </c>
    </row>
    <row r="164" spans="2:12">
      <c r="B164" s="229" t="s">
        <v>2971</v>
      </c>
      <c r="C164" s="229" t="s">
        <v>229</v>
      </c>
      <c r="D164" s="229" t="s">
        <v>2972</v>
      </c>
      <c r="E164" s="229" t="s">
        <v>422</v>
      </c>
      <c r="F164" s="229" t="s">
        <v>2013</v>
      </c>
      <c r="G164" s="200" t="s">
        <v>2973</v>
      </c>
      <c r="H164" s="201"/>
      <c r="I164" s="201"/>
      <c r="J164" s="201"/>
      <c r="K164" s="229" t="s">
        <v>1625</v>
      </c>
      <c r="L164" s="229" t="s">
        <v>2974</v>
      </c>
    </row>
    <row r="165" spans="2:12">
      <c r="B165" s="229" t="s">
        <v>2975</v>
      </c>
      <c r="C165" s="229" t="s">
        <v>229</v>
      </c>
      <c r="D165" s="229" t="s">
        <v>2976</v>
      </c>
      <c r="E165" s="229" t="s">
        <v>422</v>
      </c>
      <c r="F165" s="229" t="s">
        <v>2013</v>
      </c>
      <c r="G165" s="200" t="s">
        <v>2977</v>
      </c>
      <c r="H165" s="201"/>
      <c r="I165" s="201"/>
      <c r="J165" s="201"/>
      <c r="K165" s="229" t="s">
        <v>1625</v>
      </c>
      <c r="L165" s="229" t="s">
        <v>2978</v>
      </c>
    </row>
    <row r="166" spans="2:12">
      <c r="B166" s="229" t="s">
        <v>2979</v>
      </c>
      <c r="C166" s="229" t="s">
        <v>229</v>
      </c>
      <c r="D166" s="229" t="s">
        <v>2980</v>
      </c>
      <c r="E166" s="229" t="s">
        <v>422</v>
      </c>
      <c r="F166" s="229" t="s">
        <v>2013</v>
      </c>
      <c r="G166" s="200" t="s">
        <v>2981</v>
      </c>
      <c r="H166" s="201"/>
      <c r="I166" s="201"/>
      <c r="J166" s="201"/>
      <c r="K166" s="229" t="s">
        <v>1625</v>
      </c>
      <c r="L166" s="229" t="s">
        <v>2982</v>
      </c>
    </row>
    <row r="167" spans="2:12">
      <c r="B167" s="229" t="s">
        <v>2983</v>
      </c>
      <c r="C167" s="229" t="s">
        <v>229</v>
      </c>
      <c r="D167" s="229" t="s">
        <v>2984</v>
      </c>
      <c r="E167" s="229" t="s">
        <v>422</v>
      </c>
      <c r="F167" s="229" t="s">
        <v>2013</v>
      </c>
      <c r="G167" s="200" t="s">
        <v>2985</v>
      </c>
      <c r="H167" s="201"/>
      <c r="I167" s="201"/>
      <c r="J167" s="201"/>
      <c r="K167" s="229" t="s">
        <v>1625</v>
      </c>
      <c r="L167" s="229" t="s">
        <v>2986</v>
      </c>
    </row>
    <row r="168" spans="2:12">
      <c r="B168" s="229" t="s">
        <v>2987</v>
      </c>
      <c r="C168" s="229" t="s">
        <v>229</v>
      </c>
      <c r="D168" s="229" t="s">
        <v>2988</v>
      </c>
      <c r="E168" s="229" t="s">
        <v>422</v>
      </c>
      <c r="F168" s="229" t="s">
        <v>2013</v>
      </c>
      <c r="G168" s="200" t="s">
        <v>2989</v>
      </c>
      <c r="H168" s="201"/>
      <c r="I168" s="201"/>
      <c r="J168" s="201"/>
      <c r="K168" s="229" t="s">
        <v>1625</v>
      </c>
      <c r="L168" s="229" t="s">
        <v>2990</v>
      </c>
    </row>
    <row r="169" spans="2:12">
      <c r="B169" s="229" t="s">
        <v>2992</v>
      </c>
      <c r="C169" s="229" t="s">
        <v>229</v>
      </c>
      <c r="D169" s="229" t="s">
        <v>1664</v>
      </c>
      <c r="E169" s="229" t="s">
        <v>422</v>
      </c>
      <c r="F169" s="229" t="s">
        <v>2016</v>
      </c>
      <c r="G169" s="200" t="s">
        <v>1665</v>
      </c>
      <c r="H169" s="201"/>
      <c r="I169" s="201"/>
      <c r="J169" s="201"/>
      <c r="K169" s="229" t="s">
        <v>1575</v>
      </c>
      <c r="L169" s="229" t="s">
        <v>1666</v>
      </c>
    </row>
    <row r="170" spans="2:12">
      <c r="B170" s="229" t="s">
        <v>2994</v>
      </c>
      <c r="C170" s="229" t="s">
        <v>229</v>
      </c>
      <c r="D170" s="229" t="s">
        <v>2995</v>
      </c>
      <c r="E170" s="229" t="s">
        <v>422</v>
      </c>
      <c r="F170" s="229" t="s">
        <v>2016</v>
      </c>
      <c r="G170" s="200" t="s">
        <v>2996</v>
      </c>
      <c r="H170" s="201"/>
      <c r="I170" s="201"/>
      <c r="J170" s="201"/>
      <c r="K170" s="229" t="s">
        <v>1625</v>
      </c>
      <c r="L170" s="229" t="s">
        <v>2997</v>
      </c>
    </row>
    <row r="171" spans="2:12">
      <c r="B171" s="229" t="s">
        <v>2998</v>
      </c>
      <c r="C171" s="229" t="s">
        <v>229</v>
      </c>
      <c r="D171" s="229" t="s">
        <v>2999</v>
      </c>
      <c r="E171" s="229" t="s">
        <v>422</v>
      </c>
      <c r="F171" s="229" t="s">
        <v>2016</v>
      </c>
      <c r="G171" s="200" t="s">
        <v>3000</v>
      </c>
      <c r="H171" s="201"/>
      <c r="I171" s="201"/>
      <c r="J171" s="201"/>
      <c r="K171" s="229" t="s">
        <v>1625</v>
      </c>
      <c r="L171" s="229" t="s">
        <v>3001</v>
      </c>
    </row>
    <row r="172" spans="2:12">
      <c r="B172" s="229" t="s">
        <v>3002</v>
      </c>
      <c r="C172" s="229" t="s">
        <v>229</v>
      </c>
      <c r="D172" s="229" t="s">
        <v>3003</v>
      </c>
      <c r="E172" s="229" t="s">
        <v>422</v>
      </c>
      <c r="F172" s="229" t="s">
        <v>2016</v>
      </c>
      <c r="G172" s="200" t="s">
        <v>3004</v>
      </c>
      <c r="H172" s="201"/>
      <c r="I172" s="201"/>
      <c r="J172" s="201"/>
      <c r="K172" s="229" t="s">
        <v>1625</v>
      </c>
      <c r="L172" s="229" t="s">
        <v>3005</v>
      </c>
    </row>
    <row r="173" spans="2:12">
      <c r="B173" s="229" t="s">
        <v>3006</v>
      </c>
      <c r="C173" s="229" t="s">
        <v>229</v>
      </c>
      <c r="D173" s="229" t="s">
        <v>3007</v>
      </c>
      <c r="E173" s="229" t="s">
        <v>422</v>
      </c>
      <c r="F173" s="229" t="s">
        <v>2016</v>
      </c>
      <c r="G173" s="200" t="s">
        <v>3008</v>
      </c>
      <c r="H173" s="201"/>
      <c r="I173" s="201"/>
      <c r="J173" s="201"/>
      <c r="K173" s="229" t="s">
        <v>1625</v>
      </c>
      <c r="L173" s="229" t="s">
        <v>2901</v>
      </c>
    </row>
    <row r="174" spans="2:12">
      <c r="B174" s="229" t="s">
        <v>3009</v>
      </c>
      <c r="C174" s="229" t="s">
        <v>229</v>
      </c>
      <c r="D174" s="229" t="s">
        <v>3010</v>
      </c>
      <c r="E174" s="229" t="s">
        <v>422</v>
      </c>
      <c r="F174" s="229" t="s">
        <v>2016</v>
      </c>
      <c r="G174" s="200" t="s">
        <v>3011</v>
      </c>
      <c r="H174" s="201"/>
      <c r="I174" s="201"/>
      <c r="J174" s="201"/>
      <c r="K174" s="229" t="s">
        <v>1625</v>
      </c>
      <c r="L174" s="229" t="s">
        <v>3012</v>
      </c>
    </row>
    <row r="175" spans="2:12">
      <c r="B175" s="229" t="s">
        <v>3962</v>
      </c>
      <c r="C175" s="229" t="s">
        <v>229</v>
      </c>
      <c r="D175" s="229" t="s">
        <v>2235</v>
      </c>
      <c r="E175" s="229" t="s">
        <v>422</v>
      </c>
      <c r="F175" s="229" t="s">
        <v>3830</v>
      </c>
      <c r="G175" s="200" t="s">
        <v>3963</v>
      </c>
      <c r="H175" s="201"/>
      <c r="I175" s="201"/>
      <c r="J175" s="201"/>
      <c r="K175" s="229" t="s">
        <v>1625</v>
      </c>
      <c r="L175" s="229" t="s">
        <v>2237</v>
      </c>
    </row>
    <row r="176" spans="2:12">
      <c r="B176" s="229" t="s">
        <v>3964</v>
      </c>
      <c r="C176" s="229" t="s">
        <v>229</v>
      </c>
      <c r="D176" s="229" t="s">
        <v>2239</v>
      </c>
      <c r="E176" s="229" t="s">
        <v>422</v>
      </c>
      <c r="F176" s="229" t="s">
        <v>3830</v>
      </c>
      <c r="G176" s="200" t="s">
        <v>3965</v>
      </c>
      <c r="H176" s="201"/>
      <c r="I176" s="201"/>
      <c r="J176" s="201"/>
      <c r="K176" s="229" t="s">
        <v>1625</v>
      </c>
      <c r="L176" s="229" t="s">
        <v>2048</v>
      </c>
    </row>
    <row r="177" spans="2:12">
      <c r="B177" s="229" t="s">
        <v>3966</v>
      </c>
      <c r="C177" s="229" t="s">
        <v>229</v>
      </c>
      <c r="D177" s="229" t="s">
        <v>2242</v>
      </c>
      <c r="E177" s="229" t="s">
        <v>422</v>
      </c>
      <c r="F177" s="229" t="s">
        <v>3830</v>
      </c>
      <c r="G177" s="200" t="s">
        <v>3967</v>
      </c>
      <c r="H177" s="201"/>
      <c r="I177" s="201"/>
      <c r="J177" s="201"/>
      <c r="K177" s="229" t="s">
        <v>1625</v>
      </c>
      <c r="L177" s="229" t="s">
        <v>2244</v>
      </c>
    </row>
    <row r="178" spans="2:12">
      <c r="B178" s="229" t="s">
        <v>3968</v>
      </c>
      <c r="C178" s="229" t="s">
        <v>229</v>
      </c>
      <c r="D178" s="229" t="s">
        <v>2246</v>
      </c>
      <c r="E178" s="229" t="s">
        <v>422</v>
      </c>
      <c r="F178" s="229" t="s">
        <v>3830</v>
      </c>
      <c r="G178" s="200" t="s">
        <v>3969</v>
      </c>
      <c r="H178" s="201"/>
      <c r="I178" s="201"/>
      <c r="J178" s="201"/>
      <c r="K178" s="229" t="s">
        <v>1625</v>
      </c>
      <c r="L178" s="229" t="s">
        <v>2248</v>
      </c>
    </row>
    <row r="179" spans="2:12">
      <c r="B179" s="229" t="s">
        <v>3970</v>
      </c>
      <c r="C179" s="229" t="s">
        <v>229</v>
      </c>
      <c r="D179" s="229" t="s">
        <v>2250</v>
      </c>
      <c r="E179" s="229" t="s">
        <v>422</v>
      </c>
      <c r="F179" s="229" t="s">
        <v>3830</v>
      </c>
      <c r="G179" s="200" t="s">
        <v>3971</v>
      </c>
      <c r="H179" s="201"/>
      <c r="I179" s="201"/>
      <c r="J179" s="201"/>
      <c r="K179" s="229" t="s">
        <v>1625</v>
      </c>
      <c r="L179" s="229" t="s">
        <v>2252</v>
      </c>
    </row>
    <row r="180" spans="2:12">
      <c r="B180" s="229" t="s">
        <v>3972</v>
      </c>
      <c r="C180" s="229" t="s">
        <v>229</v>
      </c>
      <c r="D180" s="229" t="s">
        <v>2254</v>
      </c>
      <c r="E180" s="229" t="s">
        <v>422</v>
      </c>
      <c r="F180" s="229" t="s">
        <v>3830</v>
      </c>
      <c r="G180" s="200" t="s">
        <v>3973</v>
      </c>
      <c r="H180" s="201"/>
      <c r="I180" s="201"/>
      <c r="J180" s="201"/>
      <c r="K180" s="229" t="s">
        <v>1625</v>
      </c>
      <c r="L180" s="229" t="s">
        <v>2256</v>
      </c>
    </row>
    <row r="181" spans="2:12">
      <c r="B181" s="229" t="s">
        <v>2257</v>
      </c>
      <c r="C181" s="229" t="s">
        <v>229</v>
      </c>
      <c r="D181" s="229" t="s">
        <v>2258</v>
      </c>
      <c r="E181" s="229" t="s">
        <v>422</v>
      </c>
      <c r="F181" s="229" t="s">
        <v>3974</v>
      </c>
      <c r="G181" s="200" t="s">
        <v>3975</v>
      </c>
      <c r="H181" s="201"/>
      <c r="I181" s="201"/>
      <c r="J181" s="201"/>
      <c r="K181" s="229" t="s">
        <v>3888</v>
      </c>
      <c r="L181" s="229" t="s">
        <v>2260</v>
      </c>
    </row>
    <row r="182" spans="2:12">
      <c r="B182" s="229" t="s">
        <v>2261</v>
      </c>
      <c r="C182" s="229" t="s">
        <v>229</v>
      </c>
      <c r="D182" s="229" t="s">
        <v>2262</v>
      </c>
      <c r="E182" s="229" t="s">
        <v>422</v>
      </c>
      <c r="F182" s="229" t="s">
        <v>2125</v>
      </c>
      <c r="G182" s="200" t="s">
        <v>3976</v>
      </c>
      <c r="H182" s="201"/>
      <c r="I182" s="201"/>
      <c r="J182" s="201"/>
      <c r="K182" s="229" t="s">
        <v>1625</v>
      </c>
      <c r="L182" s="229" t="s">
        <v>2264</v>
      </c>
    </row>
    <row r="183" spans="2:12">
      <c r="B183" s="229" t="s">
        <v>2265</v>
      </c>
      <c r="C183" s="229" t="s">
        <v>229</v>
      </c>
      <c r="D183" s="229" t="s">
        <v>2266</v>
      </c>
      <c r="E183" s="229" t="s">
        <v>422</v>
      </c>
      <c r="F183" s="229" t="s">
        <v>2125</v>
      </c>
      <c r="G183" s="200" t="s">
        <v>3977</v>
      </c>
      <c r="H183" s="201"/>
      <c r="I183" s="201"/>
      <c r="J183" s="201"/>
      <c r="K183" s="229" t="s">
        <v>1625</v>
      </c>
      <c r="L183" s="229" t="s">
        <v>2268</v>
      </c>
    </row>
    <row r="184" spans="2:12">
      <c r="B184" s="229" t="s">
        <v>2269</v>
      </c>
      <c r="C184" s="229" t="s">
        <v>229</v>
      </c>
      <c r="D184" s="229" t="s">
        <v>2270</v>
      </c>
      <c r="E184" s="229" t="s">
        <v>422</v>
      </c>
      <c r="F184" s="229" t="s">
        <v>2125</v>
      </c>
      <c r="G184" s="200" t="s">
        <v>3978</v>
      </c>
      <c r="H184" s="201"/>
      <c r="I184" s="201"/>
      <c r="J184" s="201"/>
      <c r="K184" s="229" t="s">
        <v>1625</v>
      </c>
      <c r="L184" s="229" t="s">
        <v>2272</v>
      </c>
    </row>
    <row r="185" spans="2:12">
      <c r="B185" s="229" t="s">
        <v>2273</v>
      </c>
      <c r="C185" s="229" t="s">
        <v>229</v>
      </c>
      <c r="D185" s="229" t="s">
        <v>2274</v>
      </c>
      <c r="E185" s="229" t="s">
        <v>422</v>
      </c>
      <c r="F185" s="229" t="s">
        <v>2125</v>
      </c>
      <c r="G185" s="200" t="s">
        <v>3979</v>
      </c>
      <c r="H185" s="201"/>
      <c r="I185" s="201"/>
      <c r="J185" s="201"/>
      <c r="K185" s="229" t="s">
        <v>1625</v>
      </c>
      <c r="L185" s="229" t="s">
        <v>2276</v>
      </c>
    </row>
    <row r="186" spans="2:12">
      <c r="B186" s="229" t="s">
        <v>2277</v>
      </c>
      <c r="C186" s="229" t="s">
        <v>229</v>
      </c>
      <c r="D186" s="229" t="s">
        <v>2278</v>
      </c>
      <c r="E186" s="229" t="s">
        <v>422</v>
      </c>
      <c r="F186" s="229" t="s">
        <v>2125</v>
      </c>
      <c r="G186" s="200" t="s">
        <v>3980</v>
      </c>
      <c r="H186" s="201"/>
      <c r="I186" s="201"/>
      <c r="J186" s="201"/>
      <c r="K186" s="229" t="s">
        <v>1625</v>
      </c>
      <c r="L186" s="229" t="s">
        <v>2280</v>
      </c>
    </row>
    <row r="187" spans="2:12">
      <c r="B187" s="229" t="s">
        <v>3981</v>
      </c>
      <c r="C187" s="229" t="s">
        <v>229</v>
      </c>
      <c r="D187" s="229" t="s">
        <v>2282</v>
      </c>
      <c r="E187" s="229" t="s">
        <v>422</v>
      </c>
      <c r="F187" s="229" t="s">
        <v>2068</v>
      </c>
      <c r="G187" s="200" t="s">
        <v>2283</v>
      </c>
      <c r="H187" s="201"/>
      <c r="I187" s="201"/>
      <c r="J187" s="201"/>
      <c r="K187" s="229" t="s">
        <v>1575</v>
      </c>
      <c r="L187" s="229" t="s">
        <v>2284</v>
      </c>
    </row>
    <row r="188" spans="2:12">
      <c r="B188" s="229" t="s">
        <v>3982</v>
      </c>
      <c r="C188" s="229" t="s">
        <v>229</v>
      </c>
      <c r="D188" s="229" t="s">
        <v>2286</v>
      </c>
      <c r="E188" s="229" t="s">
        <v>422</v>
      </c>
      <c r="F188" s="229" t="s">
        <v>2068</v>
      </c>
      <c r="G188" s="200" t="s">
        <v>2287</v>
      </c>
      <c r="H188" s="201"/>
      <c r="I188" s="201"/>
      <c r="J188" s="201"/>
      <c r="K188" s="229" t="s">
        <v>1625</v>
      </c>
      <c r="L188" s="229" t="s">
        <v>2288</v>
      </c>
    </row>
    <row r="189" spans="2:12">
      <c r="B189" s="229" t="s">
        <v>3983</v>
      </c>
      <c r="C189" s="229" t="s">
        <v>229</v>
      </c>
      <c r="D189" s="229" t="s">
        <v>2290</v>
      </c>
      <c r="E189" s="229" t="s">
        <v>422</v>
      </c>
      <c r="F189" s="229" t="s">
        <v>2068</v>
      </c>
      <c r="G189" s="200" t="s">
        <v>2291</v>
      </c>
      <c r="H189" s="201"/>
      <c r="I189" s="201"/>
      <c r="J189" s="201"/>
      <c r="K189" s="229" t="s">
        <v>1625</v>
      </c>
      <c r="L189" s="229" t="s">
        <v>2292</v>
      </c>
    </row>
    <row r="190" spans="2:12">
      <c r="B190" s="229" t="s">
        <v>3984</v>
      </c>
      <c r="C190" s="229" t="s">
        <v>229</v>
      </c>
      <c r="D190" s="229" t="s">
        <v>2294</v>
      </c>
      <c r="E190" s="229" t="s">
        <v>422</v>
      </c>
      <c r="F190" s="229" t="s">
        <v>2068</v>
      </c>
      <c r="G190" s="200" t="s">
        <v>2295</v>
      </c>
      <c r="H190" s="201"/>
      <c r="I190" s="201"/>
      <c r="J190" s="201"/>
      <c r="K190" s="229" t="s">
        <v>1625</v>
      </c>
      <c r="L190" s="229" t="s">
        <v>2296</v>
      </c>
    </row>
    <row r="191" spans="2:12">
      <c r="B191" s="229" t="s">
        <v>3985</v>
      </c>
      <c r="C191" s="229" t="s">
        <v>229</v>
      </c>
      <c r="D191" s="229" t="s">
        <v>2298</v>
      </c>
      <c r="E191" s="229" t="s">
        <v>422</v>
      </c>
      <c r="F191" s="229" t="s">
        <v>2068</v>
      </c>
      <c r="G191" s="200" t="s">
        <v>2299</v>
      </c>
      <c r="H191" s="201"/>
      <c r="I191" s="201"/>
      <c r="J191" s="201"/>
      <c r="K191" s="229" t="s">
        <v>1625</v>
      </c>
      <c r="L191" s="229" t="s">
        <v>2300</v>
      </c>
    </row>
    <row r="192" spans="2:12">
      <c r="B192" s="229" t="s">
        <v>3986</v>
      </c>
      <c r="C192" s="229" t="s">
        <v>229</v>
      </c>
      <c r="D192" s="229" t="s">
        <v>2302</v>
      </c>
      <c r="E192" s="229" t="s">
        <v>422</v>
      </c>
      <c r="F192" s="229" t="s">
        <v>2068</v>
      </c>
      <c r="G192" s="200" t="s">
        <v>2303</v>
      </c>
      <c r="H192" s="201"/>
      <c r="I192" s="201"/>
      <c r="J192" s="201"/>
      <c r="K192" s="229" t="s">
        <v>1625</v>
      </c>
      <c r="L192" s="229" t="s">
        <v>2304</v>
      </c>
    </row>
    <row r="193" spans="2:12">
      <c r="B193" s="229" t="s">
        <v>3987</v>
      </c>
      <c r="C193" s="229" t="s">
        <v>229</v>
      </c>
      <c r="D193" s="229" t="s">
        <v>2306</v>
      </c>
      <c r="E193" s="229" t="s">
        <v>422</v>
      </c>
      <c r="F193" s="229" t="s">
        <v>2058</v>
      </c>
      <c r="G193" s="200" t="s">
        <v>2307</v>
      </c>
      <c r="H193" s="201"/>
      <c r="I193" s="201"/>
      <c r="J193" s="201"/>
      <c r="K193" s="229" t="s">
        <v>1575</v>
      </c>
      <c r="L193" s="229" t="s">
        <v>2308</v>
      </c>
    </row>
    <row r="194" spans="2:12">
      <c r="B194" s="229" t="s">
        <v>3988</v>
      </c>
      <c r="C194" s="229" t="s">
        <v>229</v>
      </c>
      <c r="D194" s="229" t="s">
        <v>2310</v>
      </c>
      <c r="E194" s="229" t="s">
        <v>422</v>
      </c>
      <c r="F194" s="229" t="s">
        <v>2058</v>
      </c>
      <c r="G194" s="200" t="s">
        <v>2311</v>
      </c>
      <c r="H194" s="201"/>
      <c r="I194" s="201"/>
      <c r="J194" s="201"/>
      <c r="K194" s="229" t="s">
        <v>1625</v>
      </c>
      <c r="L194" s="229" t="s">
        <v>2312</v>
      </c>
    </row>
    <row r="195" spans="2:12">
      <c r="B195" s="229" t="s">
        <v>3989</v>
      </c>
      <c r="C195" s="229" t="s">
        <v>229</v>
      </c>
      <c r="D195" s="229" t="s">
        <v>2314</v>
      </c>
      <c r="E195" s="229" t="s">
        <v>422</v>
      </c>
      <c r="F195" s="229" t="s">
        <v>2058</v>
      </c>
      <c r="G195" s="200" t="s">
        <v>2315</v>
      </c>
      <c r="H195" s="201"/>
      <c r="I195" s="201"/>
      <c r="J195" s="201"/>
      <c r="K195" s="229" t="s">
        <v>1625</v>
      </c>
      <c r="L195" s="229" t="s">
        <v>2316</v>
      </c>
    </row>
    <row r="196" spans="2:12">
      <c r="B196" s="229" t="s">
        <v>3990</v>
      </c>
      <c r="C196" s="229" t="s">
        <v>229</v>
      </c>
      <c r="D196" s="229" t="s">
        <v>2318</v>
      </c>
      <c r="E196" s="229" t="s">
        <v>422</v>
      </c>
      <c r="F196" s="229" t="s">
        <v>2058</v>
      </c>
      <c r="G196" s="200" t="s">
        <v>2319</v>
      </c>
      <c r="H196" s="201"/>
      <c r="I196" s="201"/>
      <c r="J196" s="201"/>
      <c r="K196" s="229" t="s">
        <v>1625</v>
      </c>
      <c r="L196" s="229" t="s">
        <v>2320</v>
      </c>
    </row>
    <row r="197" spans="2:12">
      <c r="B197" s="229" t="s">
        <v>3991</v>
      </c>
      <c r="C197" s="229" t="s">
        <v>229</v>
      </c>
      <c r="D197" s="229" t="s">
        <v>2322</v>
      </c>
      <c r="E197" s="229" t="s">
        <v>422</v>
      </c>
      <c r="F197" s="229" t="s">
        <v>2058</v>
      </c>
      <c r="G197" s="200" t="s">
        <v>2323</v>
      </c>
      <c r="H197" s="201"/>
      <c r="I197" s="201"/>
      <c r="J197" s="201"/>
      <c r="K197" s="229" t="s">
        <v>1625</v>
      </c>
      <c r="L197" s="229" t="s">
        <v>2324</v>
      </c>
    </row>
    <row r="198" spans="2:12">
      <c r="B198" s="229" t="s">
        <v>3992</v>
      </c>
      <c r="C198" s="229" t="s">
        <v>229</v>
      </c>
      <c r="D198" s="229" t="s">
        <v>2326</v>
      </c>
      <c r="E198" s="229" t="s">
        <v>422</v>
      </c>
      <c r="F198" s="229" t="s">
        <v>2058</v>
      </c>
      <c r="G198" s="200" t="s">
        <v>2327</v>
      </c>
      <c r="H198" s="201"/>
      <c r="I198" s="201"/>
      <c r="J198" s="201"/>
      <c r="K198" s="229" t="s">
        <v>1625</v>
      </c>
      <c r="L198" s="229" t="s">
        <v>2328</v>
      </c>
    </row>
    <row r="199" spans="2:12">
      <c r="B199" s="229" t="s">
        <v>3993</v>
      </c>
      <c r="C199" s="229" t="s">
        <v>229</v>
      </c>
      <c r="D199" s="229" t="s">
        <v>3994</v>
      </c>
      <c r="E199" s="229" t="s">
        <v>422</v>
      </c>
      <c r="F199" s="229" t="s">
        <v>3995</v>
      </c>
      <c r="G199" s="200" t="s">
        <v>3996</v>
      </c>
      <c r="H199" s="201"/>
      <c r="I199" s="201"/>
      <c r="J199" s="201"/>
      <c r="K199" s="229" t="s">
        <v>3997</v>
      </c>
      <c r="L199" s="229" t="s">
        <v>3998</v>
      </c>
    </row>
    <row r="200" spans="2:12">
      <c r="B200" s="229" t="s">
        <v>2539</v>
      </c>
      <c r="C200" s="229" t="s">
        <v>229</v>
      </c>
      <c r="D200" s="229" t="s">
        <v>2540</v>
      </c>
      <c r="E200" s="229" t="s">
        <v>422</v>
      </c>
      <c r="F200" s="229" t="s">
        <v>3999</v>
      </c>
      <c r="G200" s="200" t="s">
        <v>4000</v>
      </c>
      <c r="H200" s="201"/>
      <c r="I200" s="201"/>
      <c r="J200" s="201"/>
      <c r="K200" s="229" t="s">
        <v>1625</v>
      </c>
      <c r="L200" s="229" t="s">
        <v>4001</v>
      </c>
    </row>
    <row r="201" spans="2:12">
      <c r="B201" s="229" t="s">
        <v>2542</v>
      </c>
      <c r="C201" s="229" t="s">
        <v>229</v>
      </c>
      <c r="D201" s="229" t="s">
        <v>2543</v>
      </c>
      <c r="E201" s="229" t="s">
        <v>422</v>
      </c>
      <c r="F201" s="229" t="s">
        <v>3999</v>
      </c>
      <c r="G201" s="200" t="s">
        <v>4002</v>
      </c>
      <c r="H201" s="201"/>
      <c r="I201" s="201"/>
      <c r="J201" s="201"/>
      <c r="K201" s="229" t="s">
        <v>1625</v>
      </c>
      <c r="L201" s="229" t="s">
        <v>4003</v>
      </c>
    </row>
    <row r="202" spans="2:12">
      <c r="B202" s="229" t="s">
        <v>2545</v>
      </c>
      <c r="C202" s="229" t="s">
        <v>229</v>
      </c>
      <c r="D202" s="229" t="s">
        <v>2546</v>
      </c>
      <c r="E202" s="229" t="s">
        <v>422</v>
      </c>
      <c r="F202" s="229" t="s">
        <v>3999</v>
      </c>
      <c r="G202" s="200" t="s">
        <v>4004</v>
      </c>
      <c r="H202" s="201"/>
      <c r="I202" s="201"/>
      <c r="J202" s="201"/>
      <c r="K202" s="229" t="s">
        <v>1625</v>
      </c>
      <c r="L202" s="229" t="s">
        <v>4005</v>
      </c>
    </row>
    <row r="203" spans="2:12">
      <c r="B203" s="229" t="s">
        <v>2548</v>
      </c>
      <c r="C203" s="229" t="s">
        <v>229</v>
      </c>
      <c r="D203" s="229" t="s">
        <v>2549</v>
      </c>
      <c r="E203" s="229" t="s">
        <v>422</v>
      </c>
      <c r="F203" s="229" t="s">
        <v>3999</v>
      </c>
      <c r="G203" s="200" t="s">
        <v>4006</v>
      </c>
      <c r="H203" s="201"/>
      <c r="I203" s="201"/>
      <c r="J203" s="201"/>
      <c r="K203" s="229" t="s">
        <v>1625</v>
      </c>
      <c r="L203" s="229" t="s">
        <v>4007</v>
      </c>
    </row>
    <row r="204" spans="2:12">
      <c r="B204" s="229" t="s">
        <v>2551</v>
      </c>
      <c r="C204" s="229" t="s">
        <v>229</v>
      </c>
      <c r="D204" s="229" t="s">
        <v>2552</v>
      </c>
      <c r="E204" s="229" t="s">
        <v>422</v>
      </c>
      <c r="F204" s="229" t="s">
        <v>3999</v>
      </c>
      <c r="G204" s="200" t="s">
        <v>4008</v>
      </c>
      <c r="H204" s="201"/>
      <c r="I204" s="201"/>
      <c r="J204" s="201"/>
      <c r="K204" s="229" t="s">
        <v>1625</v>
      </c>
      <c r="L204" s="229" t="s">
        <v>4009</v>
      </c>
    </row>
    <row r="205" spans="2:12">
      <c r="B205" s="229" t="s">
        <v>4010</v>
      </c>
      <c r="C205" s="229" t="s">
        <v>229</v>
      </c>
      <c r="D205" s="229" t="s">
        <v>4011</v>
      </c>
      <c r="E205" s="229" t="s">
        <v>422</v>
      </c>
      <c r="F205" s="229" t="s">
        <v>2331</v>
      </c>
      <c r="G205" s="200" t="s">
        <v>4012</v>
      </c>
      <c r="H205" s="201"/>
      <c r="I205" s="201"/>
      <c r="J205" s="201"/>
      <c r="K205" s="229" t="s">
        <v>3997</v>
      </c>
      <c r="L205" s="229" t="s">
        <v>2332</v>
      </c>
    </row>
    <row r="206" spans="2:12">
      <c r="B206" s="229" t="s">
        <v>4013</v>
      </c>
      <c r="C206" s="229" t="s">
        <v>229</v>
      </c>
      <c r="D206" s="229" t="s">
        <v>2334</v>
      </c>
      <c r="E206" s="229" t="s">
        <v>422</v>
      </c>
      <c r="F206" s="229" t="s">
        <v>2084</v>
      </c>
      <c r="G206" s="200" t="s">
        <v>2335</v>
      </c>
      <c r="H206" s="201"/>
      <c r="I206" s="201"/>
      <c r="J206" s="201"/>
      <c r="K206" s="229" t="s">
        <v>1625</v>
      </c>
      <c r="L206" s="229" t="s">
        <v>2336</v>
      </c>
    </row>
    <row r="207" spans="2:12">
      <c r="B207" s="229" t="s">
        <v>4014</v>
      </c>
      <c r="C207" s="229" t="s">
        <v>229</v>
      </c>
      <c r="D207" s="229" t="s">
        <v>2338</v>
      </c>
      <c r="E207" s="229" t="s">
        <v>422</v>
      </c>
      <c r="F207" s="229" t="s">
        <v>2084</v>
      </c>
      <c r="G207" s="200" t="s">
        <v>2339</v>
      </c>
      <c r="H207" s="201"/>
      <c r="I207" s="201"/>
      <c r="J207" s="201"/>
      <c r="K207" s="229" t="s">
        <v>1625</v>
      </c>
      <c r="L207" s="229" t="s">
        <v>2340</v>
      </c>
    </row>
    <row r="208" spans="2:12">
      <c r="B208" s="229" t="s">
        <v>4015</v>
      </c>
      <c r="C208" s="229" t="s">
        <v>229</v>
      </c>
      <c r="D208" s="229" t="s">
        <v>2342</v>
      </c>
      <c r="E208" s="229" t="s">
        <v>422</v>
      </c>
      <c r="F208" s="229" t="s">
        <v>2084</v>
      </c>
      <c r="G208" s="200" t="s">
        <v>2343</v>
      </c>
      <c r="H208" s="201"/>
      <c r="I208" s="201"/>
      <c r="J208" s="201"/>
      <c r="K208" s="229" t="s">
        <v>1625</v>
      </c>
      <c r="L208" s="229" t="s">
        <v>2344</v>
      </c>
    </row>
    <row r="209" spans="2:12">
      <c r="B209" s="229" t="s">
        <v>4016</v>
      </c>
      <c r="C209" s="229" t="s">
        <v>229</v>
      </c>
      <c r="D209" s="229" t="s">
        <v>2346</v>
      </c>
      <c r="E209" s="229" t="s">
        <v>422</v>
      </c>
      <c r="F209" s="229" t="s">
        <v>2084</v>
      </c>
      <c r="G209" s="200" t="s">
        <v>2347</v>
      </c>
      <c r="H209" s="201"/>
      <c r="I209" s="201"/>
      <c r="J209" s="201"/>
      <c r="K209" s="229" t="s">
        <v>1625</v>
      </c>
      <c r="L209" s="229" t="s">
        <v>2348</v>
      </c>
    </row>
    <row r="210" spans="2:12">
      <c r="B210" s="229" t="s">
        <v>4017</v>
      </c>
      <c r="C210" s="229" t="s">
        <v>229</v>
      </c>
      <c r="D210" s="229" t="s">
        <v>2350</v>
      </c>
      <c r="E210" s="229" t="s">
        <v>422</v>
      </c>
      <c r="F210" s="229" t="s">
        <v>2084</v>
      </c>
      <c r="G210" s="200" t="s">
        <v>2351</v>
      </c>
      <c r="H210" s="201"/>
      <c r="I210" s="201"/>
      <c r="J210" s="201"/>
      <c r="K210" s="229" t="s">
        <v>1625</v>
      </c>
      <c r="L210" s="229" t="s">
        <v>2180</v>
      </c>
    </row>
    <row r="211" spans="2:12">
      <c r="B211" s="229" t="s">
        <v>4018</v>
      </c>
      <c r="C211" s="229" t="s">
        <v>229</v>
      </c>
      <c r="D211" s="229" t="s">
        <v>4019</v>
      </c>
      <c r="E211" s="229" t="s">
        <v>422</v>
      </c>
      <c r="F211" s="229" t="s">
        <v>4020</v>
      </c>
      <c r="G211" s="200" t="s">
        <v>4021</v>
      </c>
      <c r="H211" s="201"/>
      <c r="I211" s="201"/>
      <c r="J211" s="201"/>
      <c r="K211" s="229" t="s">
        <v>3997</v>
      </c>
      <c r="L211" s="229" t="s">
        <v>1552</v>
      </c>
    </row>
    <row r="212" spans="2:12">
      <c r="B212" s="229" t="s">
        <v>4022</v>
      </c>
      <c r="C212" s="229" t="s">
        <v>229</v>
      </c>
      <c r="D212" s="229" t="s">
        <v>4023</v>
      </c>
      <c r="E212" s="229" t="s">
        <v>422</v>
      </c>
      <c r="F212" s="229" t="s">
        <v>2104</v>
      </c>
      <c r="G212" s="200" t="s">
        <v>4024</v>
      </c>
      <c r="H212" s="201"/>
      <c r="I212" s="201"/>
      <c r="J212" s="201"/>
      <c r="K212" s="229" t="s">
        <v>1625</v>
      </c>
      <c r="L212" s="229" t="s">
        <v>4025</v>
      </c>
    </row>
    <row r="213" spans="2:12">
      <c r="B213" s="229" t="s">
        <v>4026</v>
      </c>
      <c r="C213" s="229" t="s">
        <v>229</v>
      </c>
      <c r="D213" s="229" t="s">
        <v>4027</v>
      </c>
      <c r="E213" s="229" t="s">
        <v>422</v>
      </c>
      <c r="F213" s="229" t="s">
        <v>2104</v>
      </c>
      <c r="G213" s="200" t="s">
        <v>4028</v>
      </c>
      <c r="H213" s="201"/>
      <c r="I213" s="201"/>
      <c r="J213" s="201"/>
      <c r="K213" s="229" t="s">
        <v>1625</v>
      </c>
      <c r="L213" s="229" t="s">
        <v>4029</v>
      </c>
    </row>
    <row r="214" spans="2:12">
      <c r="B214" s="229" t="s">
        <v>4030</v>
      </c>
      <c r="C214" s="229" t="s">
        <v>229</v>
      </c>
      <c r="D214" s="229" t="s">
        <v>4031</v>
      </c>
      <c r="E214" s="229" t="s">
        <v>422</v>
      </c>
      <c r="F214" s="229" t="s">
        <v>2104</v>
      </c>
      <c r="G214" s="200" t="s">
        <v>4032</v>
      </c>
      <c r="H214" s="201"/>
      <c r="I214" s="201"/>
      <c r="J214" s="201"/>
      <c r="K214" s="229" t="s">
        <v>1625</v>
      </c>
      <c r="L214" s="229" t="s">
        <v>4033</v>
      </c>
    </row>
    <row r="215" spans="2:12">
      <c r="B215" s="229" t="s">
        <v>4034</v>
      </c>
      <c r="C215" s="229" t="s">
        <v>229</v>
      </c>
      <c r="D215" s="229" t="s">
        <v>4035</v>
      </c>
      <c r="E215" s="229" t="s">
        <v>422</v>
      </c>
      <c r="F215" s="229" t="s">
        <v>2104</v>
      </c>
      <c r="G215" s="200" t="s">
        <v>4036</v>
      </c>
      <c r="H215" s="201"/>
      <c r="I215" s="201"/>
      <c r="J215" s="201"/>
      <c r="K215" s="229" t="s">
        <v>1625</v>
      </c>
      <c r="L215" s="229" t="s">
        <v>4037</v>
      </c>
    </row>
    <row r="216" spans="2:12">
      <c r="B216" s="229" t="s">
        <v>4038</v>
      </c>
      <c r="C216" s="229" t="s">
        <v>229</v>
      </c>
      <c r="D216" s="229" t="s">
        <v>4039</v>
      </c>
      <c r="E216" s="229" t="s">
        <v>422</v>
      </c>
      <c r="F216" s="229" t="s">
        <v>2104</v>
      </c>
      <c r="G216" s="200" t="s">
        <v>4040</v>
      </c>
      <c r="H216" s="201"/>
      <c r="I216" s="201"/>
      <c r="J216" s="201"/>
      <c r="K216" s="229" t="s">
        <v>1625</v>
      </c>
      <c r="L216" s="229" t="s">
        <v>4041</v>
      </c>
    </row>
    <row r="217" spans="2:12">
      <c r="B217" s="229" t="s">
        <v>4042</v>
      </c>
      <c r="C217" s="229" t="s">
        <v>229</v>
      </c>
      <c r="D217" s="229" t="s">
        <v>2353</v>
      </c>
      <c r="E217" s="229" t="s">
        <v>422</v>
      </c>
      <c r="F217" s="229" t="s">
        <v>2115</v>
      </c>
      <c r="G217" s="200" t="s">
        <v>2354</v>
      </c>
      <c r="H217" s="201"/>
      <c r="I217" s="201"/>
      <c r="J217" s="201"/>
      <c r="K217" s="229" t="s">
        <v>1575</v>
      </c>
      <c r="L217" s="229" t="s">
        <v>2355</v>
      </c>
    </row>
    <row r="218" spans="2:12">
      <c r="B218" s="229" t="s">
        <v>4043</v>
      </c>
      <c r="C218" s="229" t="s">
        <v>229</v>
      </c>
      <c r="D218" s="229" t="s">
        <v>2357</v>
      </c>
      <c r="E218" s="229" t="s">
        <v>422</v>
      </c>
      <c r="F218" s="229" t="s">
        <v>2115</v>
      </c>
      <c r="G218" s="200" t="s">
        <v>2358</v>
      </c>
      <c r="H218" s="201"/>
      <c r="I218" s="201"/>
      <c r="J218" s="201"/>
      <c r="K218" s="229" t="s">
        <v>1625</v>
      </c>
      <c r="L218" s="229" t="s">
        <v>2359</v>
      </c>
    </row>
    <row r="219" spans="2:12">
      <c r="B219" s="229" t="s">
        <v>4044</v>
      </c>
      <c r="C219" s="229" t="s">
        <v>229</v>
      </c>
      <c r="D219" s="229" t="s">
        <v>2361</v>
      </c>
      <c r="E219" s="229" t="s">
        <v>422</v>
      </c>
      <c r="F219" s="229" t="s">
        <v>2115</v>
      </c>
      <c r="G219" s="200" t="s">
        <v>2362</v>
      </c>
      <c r="H219" s="201"/>
      <c r="I219" s="201"/>
      <c r="J219" s="201"/>
      <c r="K219" s="229" t="s">
        <v>1625</v>
      </c>
      <c r="L219" s="229" t="s">
        <v>2363</v>
      </c>
    </row>
    <row r="220" spans="2:12">
      <c r="B220" s="229" t="s">
        <v>4045</v>
      </c>
      <c r="C220" s="229" t="s">
        <v>229</v>
      </c>
      <c r="D220" s="229" t="s">
        <v>2365</v>
      </c>
      <c r="E220" s="229" t="s">
        <v>422</v>
      </c>
      <c r="F220" s="229" t="s">
        <v>2115</v>
      </c>
      <c r="G220" s="200" t="s">
        <v>2366</v>
      </c>
      <c r="H220" s="201"/>
      <c r="I220" s="201"/>
      <c r="J220" s="201"/>
      <c r="K220" s="229" t="s">
        <v>1625</v>
      </c>
      <c r="L220" s="229" t="s">
        <v>2367</v>
      </c>
    </row>
    <row r="221" spans="2:12">
      <c r="B221" s="229" t="s">
        <v>4046</v>
      </c>
      <c r="C221" s="229" t="s">
        <v>229</v>
      </c>
      <c r="D221" s="229" t="s">
        <v>2369</v>
      </c>
      <c r="E221" s="229" t="s">
        <v>422</v>
      </c>
      <c r="F221" s="229" t="s">
        <v>2115</v>
      </c>
      <c r="G221" s="200" t="s">
        <v>2370</v>
      </c>
      <c r="H221" s="201"/>
      <c r="I221" s="201"/>
      <c r="J221" s="201"/>
      <c r="K221" s="229" t="s">
        <v>1625</v>
      </c>
      <c r="L221" s="229" t="s">
        <v>2371</v>
      </c>
    </row>
    <row r="222" spans="2:12">
      <c r="B222" s="229" t="s">
        <v>4047</v>
      </c>
      <c r="C222" s="229" t="s">
        <v>229</v>
      </c>
      <c r="D222" s="229" t="s">
        <v>2373</v>
      </c>
      <c r="E222" s="229" t="s">
        <v>422</v>
      </c>
      <c r="F222" s="229" t="s">
        <v>2115</v>
      </c>
      <c r="G222" s="200" t="s">
        <v>2374</v>
      </c>
      <c r="H222" s="201"/>
      <c r="I222" s="201"/>
      <c r="J222" s="201"/>
      <c r="K222" s="229" t="s">
        <v>1625</v>
      </c>
      <c r="L222" s="229" t="s">
        <v>2375</v>
      </c>
    </row>
    <row r="223" spans="2:12">
      <c r="B223" s="229" t="s">
        <v>4048</v>
      </c>
      <c r="C223" s="229" t="s">
        <v>229</v>
      </c>
      <c r="D223" s="229" t="s">
        <v>4049</v>
      </c>
      <c r="E223" s="229" t="s">
        <v>422</v>
      </c>
      <c r="F223" s="229" t="s">
        <v>4050</v>
      </c>
      <c r="G223" s="200" t="s">
        <v>4051</v>
      </c>
      <c r="H223" s="201"/>
      <c r="I223" s="201"/>
      <c r="J223" s="201"/>
      <c r="K223" s="229" t="s">
        <v>749</v>
      </c>
      <c r="L223" s="229" t="s">
        <v>3868</v>
      </c>
    </row>
    <row r="224" spans="2:12">
      <c r="B224" s="229" t="s">
        <v>4052</v>
      </c>
      <c r="C224" s="229" t="s">
        <v>229</v>
      </c>
      <c r="D224" s="229" t="s">
        <v>4053</v>
      </c>
      <c r="E224" s="229" t="s">
        <v>422</v>
      </c>
      <c r="F224" s="229" t="s">
        <v>4054</v>
      </c>
      <c r="G224" s="200" t="s">
        <v>4055</v>
      </c>
      <c r="H224" s="201"/>
      <c r="I224" s="201"/>
      <c r="J224" s="201"/>
      <c r="K224" s="229" t="s">
        <v>1625</v>
      </c>
      <c r="L224" s="229" t="s">
        <v>1552</v>
      </c>
    </row>
    <row r="225" spans="2:12">
      <c r="B225" s="229" t="s">
        <v>4056</v>
      </c>
      <c r="C225" s="229" t="s">
        <v>229</v>
      </c>
      <c r="D225" s="229" t="s">
        <v>4057</v>
      </c>
      <c r="E225" s="229" t="s">
        <v>422</v>
      </c>
      <c r="F225" s="229" t="s">
        <v>4054</v>
      </c>
      <c r="G225" s="200" t="s">
        <v>4058</v>
      </c>
      <c r="H225" s="201"/>
      <c r="I225" s="201"/>
      <c r="J225" s="201"/>
      <c r="K225" s="229" t="s">
        <v>1625</v>
      </c>
      <c r="L225" s="229" t="s">
        <v>1552</v>
      </c>
    </row>
    <row r="226" spans="2:12">
      <c r="B226" s="229" t="s">
        <v>4059</v>
      </c>
      <c r="C226" s="229" t="s">
        <v>229</v>
      </c>
      <c r="D226" s="229" t="s">
        <v>4060</v>
      </c>
      <c r="E226" s="229" t="s">
        <v>422</v>
      </c>
      <c r="F226" s="229" t="s">
        <v>4054</v>
      </c>
      <c r="G226" s="200" t="s">
        <v>4061</v>
      </c>
      <c r="H226" s="201"/>
      <c r="I226" s="201"/>
      <c r="J226" s="201"/>
      <c r="K226" s="229" t="s">
        <v>1625</v>
      </c>
      <c r="L226" s="229" t="s">
        <v>4062</v>
      </c>
    </row>
    <row r="227" spans="2:12">
      <c r="B227" s="229" t="s">
        <v>4063</v>
      </c>
      <c r="C227" s="229" t="s">
        <v>229</v>
      </c>
      <c r="D227" s="229" t="s">
        <v>4064</v>
      </c>
      <c r="E227" s="229" t="s">
        <v>422</v>
      </c>
      <c r="F227" s="229" t="s">
        <v>4054</v>
      </c>
      <c r="G227" s="200" t="s">
        <v>4065</v>
      </c>
      <c r="H227" s="201"/>
      <c r="I227" s="201"/>
      <c r="J227" s="201"/>
      <c r="K227" s="229" t="s">
        <v>1625</v>
      </c>
      <c r="L227" s="229" t="s">
        <v>4066</v>
      </c>
    </row>
    <row r="228" spans="2:12">
      <c r="B228" s="229" t="s">
        <v>4067</v>
      </c>
      <c r="C228" s="229" t="s">
        <v>229</v>
      </c>
      <c r="D228" s="229" t="s">
        <v>4068</v>
      </c>
      <c r="E228" s="229" t="s">
        <v>422</v>
      </c>
      <c r="F228" s="229" t="s">
        <v>4054</v>
      </c>
      <c r="G228" s="200" t="s">
        <v>4069</v>
      </c>
      <c r="H228" s="201"/>
      <c r="I228" s="201"/>
      <c r="J228" s="201"/>
      <c r="K228" s="229" t="s">
        <v>1625</v>
      </c>
      <c r="L228" s="229" t="s">
        <v>4070</v>
      </c>
    </row>
    <row r="229" spans="2:12">
      <c r="B229" s="229" t="s">
        <v>4071</v>
      </c>
      <c r="C229" s="229" t="s">
        <v>229</v>
      </c>
      <c r="D229" s="229" t="s">
        <v>4072</v>
      </c>
      <c r="E229" s="229" t="s">
        <v>422</v>
      </c>
      <c r="F229" s="229" t="s">
        <v>4073</v>
      </c>
      <c r="G229" s="200" t="s">
        <v>4074</v>
      </c>
      <c r="H229" s="201"/>
      <c r="I229" s="201"/>
      <c r="J229" s="201"/>
      <c r="K229" s="229" t="s">
        <v>749</v>
      </c>
      <c r="L229" s="229" t="s">
        <v>3879</v>
      </c>
    </row>
    <row r="230" spans="2:12">
      <c r="B230" s="229" t="s">
        <v>4075</v>
      </c>
      <c r="C230" s="229" t="s">
        <v>229</v>
      </c>
      <c r="D230" s="229" t="s">
        <v>4076</v>
      </c>
      <c r="E230" s="229" t="s">
        <v>422</v>
      </c>
      <c r="F230" s="229" t="s">
        <v>3876</v>
      </c>
      <c r="G230" s="200" t="s">
        <v>4077</v>
      </c>
      <c r="H230" s="201"/>
      <c r="I230" s="201"/>
      <c r="J230" s="201"/>
      <c r="K230" s="229" t="s">
        <v>1625</v>
      </c>
      <c r="L230" s="229" t="s">
        <v>1552</v>
      </c>
    </row>
    <row r="231" spans="2:12">
      <c r="B231" s="229" t="s">
        <v>4078</v>
      </c>
      <c r="C231" s="229" t="s">
        <v>229</v>
      </c>
      <c r="D231" s="229" t="s">
        <v>4079</v>
      </c>
      <c r="E231" s="229" t="s">
        <v>422</v>
      </c>
      <c r="F231" s="229" t="s">
        <v>3876</v>
      </c>
      <c r="G231" s="200" t="s">
        <v>4080</v>
      </c>
      <c r="H231" s="201"/>
      <c r="I231" s="201"/>
      <c r="J231" s="201"/>
      <c r="K231" s="229" t="s">
        <v>1625</v>
      </c>
      <c r="L231" s="229" t="s">
        <v>4081</v>
      </c>
    </row>
    <row r="232" spans="2:12">
      <c r="B232" s="229" t="s">
        <v>4082</v>
      </c>
      <c r="C232" s="229" t="s">
        <v>229</v>
      </c>
      <c r="D232" s="229" t="s">
        <v>4083</v>
      </c>
      <c r="E232" s="229" t="s">
        <v>422</v>
      </c>
      <c r="F232" s="229" t="s">
        <v>3876</v>
      </c>
      <c r="G232" s="200" t="s">
        <v>4084</v>
      </c>
      <c r="H232" s="201"/>
      <c r="I232" s="201"/>
      <c r="J232" s="201"/>
      <c r="K232" s="229" t="s">
        <v>1625</v>
      </c>
      <c r="L232" s="229" t="s">
        <v>4085</v>
      </c>
    </row>
    <row r="233" spans="2:12">
      <c r="B233" s="229" t="s">
        <v>4086</v>
      </c>
      <c r="C233" s="229" t="s">
        <v>229</v>
      </c>
      <c r="D233" s="229" t="s">
        <v>4087</v>
      </c>
      <c r="E233" s="229" t="s">
        <v>422</v>
      </c>
      <c r="F233" s="229" t="s">
        <v>3876</v>
      </c>
      <c r="G233" s="200" t="s">
        <v>4088</v>
      </c>
      <c r="H233" s="201"/>
      <c r="I233" s="201"/>
      <c r="J233" s="201"/>
      <c r="K233" s="229" t="s">
        <v>1625</v>
      </c>
      <c r="L233" s="229" t="s">
        <v>4089</v>
      </c>
    </row>
    <row r="234" spans="2:12">
      <c r="B234" s="229" t="s">
        <v>4090</v>
      </c>
      <c r="C234" s="229" t="s">
        <v>229</v>
      </c>
      <c r="D234" s="229" t="s">
        <v>4091</v>
      </c>
      <c r="E234" s="229" t="s">
        <v>422</v>
      </c>
      <c r="F234" s="229" t="s">
        <v>3876</v>
      </c>
      <c r="G234" s="200" t="s">
        <v>4092</v>
      </c>
      <c r="H234" s="201"/>
      <c r="I234" s="201"/>
      <c r="J234" s="201"/>
      <c r="K234" s="229" t="s">
        <v>1625</v>
      </c>
      <c r="L234" s="229" t="s">
        <v>4085</v>
      </c>
    </row>
    <row r="235" spans="2:12">
      <c r="B235" s="229" t="s">
        <v>2397</v>
      </c>
      <c r="C235" s="229" t="s">
        <v>229</v>
      </c>
      <c r="D235" s="229" t="s">
        <v>1716</v>
      </c>
      <c r="E235" s="229" t="s">
        <v>422</v>
      </c>
      <c r="F235" s="229" t="s">
        <v>2398</v>
      </c>
      <c r="G235" s="200" t="s">
        <v>1351</v>
      </c>
      <c r="H235" s="201"/>
      <c r="I235" s="201"/>
      <c r="J235" s="201"/>
      <c r="K235" s="229" t="s">
        <v>1718</v>
      </c>
      <c r="L235" s="229" t="s">
        <v>1719</v>
      </c>
    </row>
    <row r="236" spans="2:12">
      <c r="B236" s="229" t="s">
        <v>2400</v>
      </c>
      <c r="C236" s="229" t="s">
        <v>229</v>
      </c>
      <c r="D236" s="229" t="s">
        <v>2401</v>
      </c>
      <c r="E236" s="229" t="s">
        <v>422</v>
      </c>
      <c r="F236" s="229" t="s">
        <v>2398</v>
      </c>
      <c r="G236" s="200" t="s">
        <v>3346</v>
      </c>
      <c r="H236" s="201"/>
      <c r="I236" s="201"/>
      <c r="J236" s="201"/>
      <c r="K236" s="229" t="s">
        <v>1625</v>
      </c>
      <c r="L236" s="229" t="s">
        <v>2403</v>
      </c>
    </row>
    <row r="237" spans="2:12">
      <c r="B237" s="229" t="s">
        <v>2404</v>
      </c>
      <c r="C237" s="229" t="s">
        <v>229</v>
      </c>
      <c r="D237" s="229" t="s">
        <v>2405</v>
      </c>
      <c r="E237" s="229" t="s">
        <v>422</v>
      </c>
      <c r="F237" s="229" t="s">
        <v>2398</v>
      </c>
      <c r="G237" s="200" t="s">
        <v>3346</v>
      </c>
      <c r="H237" s="201"/>
      <c r="I237" s="201"/>
      <c r="J237" s="201"/>
      <c r="K237" s="229" t="s">
        <v>1625</v>
      </c>
      <c r="L237" s="229" t="s">
        <v>2407</v>
      </c>
    </row>
    <row r="238" spans="2:12">
      <c r="B238" s="229" t="s">
        <v>2408</v>
      </c>
      <c r="C238" s="229" t="s">
        <v>229</v>
      </c>
      <c r="D238" s="229" t="s">
        <v>2409</v>
      </c>
      <c r="E238" s="229" t="s">
        <v>422</v>
      </c>
      <c r="F238" s="229" t="s">
        <v>2398</v>
      </c>
      <c r="G238" s="200" t="s">
        <v>3346</v>
      </c>
      <c r="H238" s="201"/>
      <c r="I238" s="201"/>
      <c r="J238" s="201"/>
      <c r="K238" s="229" t="s">
        <v>1625</v>
      </c>
      <c r="L238" s="229" t="s">
        <v>2411</v>
      </c>
    </row>
    <row r="239" spans="2:12">
      <c r="B239" s="229" t="s">
        <v>2412</v>
      </c>
      <c r="C239" s="229" t="s">
        <v>229</v>
      </c>
      <c r="D239" s="229" t="s">
        <v>2413</v>
      </c>
      <c r="E239" s="229" t="s">
        <v>422</v>
      </c>
      <c r="F239" s="229" t="s">
        <v>2398</v>
      </c>
      <c r="G239" s="200" t="s">
        <v>3346</v>
      </c>
      <c r="H239" s="201"/>
      <c r="I239" s="201"/>
      <c r="J239" s="201"/>
      <c r="K239" s="229" t="s">
        <v>1625</v>
      </c>
      <c r="L239" s="229" t="s">
        <v>2415</v>
      </c>
    </row>
    <row r="240" spans="2:12">
      <c r="B240" s="229" t="s">
        <v>2416</v>
      </c>
      <c r="C240" s="229" t="s">
        <v>229</v>
      </c>
      <c r="D240" s="229" t="s">
        <v>2417</v>
      </c>
      <c r="E240" s="229" t="s">
        <v>422</v>
      </c>
      <c r="F240" s="229" t="s">
        <v>2398</v>
      </c>
      <c r="G240" s="200" t="s">
        <v>3346</v>
      </c>
      <c r="H240" s="201"/>
      <c r="I240" s="201"/>
      <c r="J240" s="201"/>
      <c r="K240" s="229" t="s">
        <v>1625</v>
      </c>
      <c r="L240" s="229" t="s">
        <v>2419</v>
      </c>
    </row>
    <row r="241" spans="2:12">
      <c r="B241" s="229" t="s">
        <v>2420</v>
      </c>
      <c r="C241" s="229" t="s">
        <v>229</v>
      </c>
      <c r="D241" s="229" t="s">
        <v>1721</v>
      </c>
      <c r="E241" s="229" t="s">
        <v>422</v>
      </c>
      <c r="F241" s="229" t="s">
        <v>2421</v>
      </c>
      <c r="G241" s="200" t="s">
        <v>1959</v>
      </c>
      <c r="H241" s="201"/>
      <c r="I241" s="201"/>
      <c r="J241" s="201"/>
      <c r="K241" s="229" t="s">
        <v>1718</v>
      </c>
      <c r="L241" s="229" t="s">
        <v>1554</v>
      </c>
    </row>
    <row r="242" spans="2:12">
      <c r="B242" s="229" t="s">
        <v>2422</v>
      </c>
      <c r="C242" s="229" t="s">
        <v>229</v>
      </c>
      <c r="D242" s="229" t="s">
        <v>2423</v>
      </c>
      <c r="E242" s="229" t="s">
        <v>422</v>
      </c>
      <c r="F242" s="229" t="s">
        <v>2421</v>
      </c>
      <c r="G242" s="200" t="s">
        <v>3347</v>
      </c>
      <c r="H242" s="201"/>
      <c r="I242" s="201"/>
      <c r="J242" s="201"/>
      <c r="K242" s="229" t="s">
        <v>1625</v>
      </c>
      <c r="L242" s="229" t="s">
        <v>2425</v>
      </c>
    </row>
    <row r="243" spans="2:12">
      <c r="B243" s="229" t="s">
        <v>2426</v>
      </c>
      <c r="C243" s="229" t="s">
        <v>229</v>
      </c>
      <c r="D243" s="229" t="s">
        <v>2427</v>
      </c>
      <c r="E243" s="229" t="s">
        <v>422</v>
      </c>
      <c r="F243" s="229" t="s">
        <v>2421</v>
      </c>
      <c r="G243" s="200" t="s">
        <v>3347</v>
      </c>
      <c r="H243" s="201"/>
      <c r="I243" s="201"/>
      <c r="J243" s="201"/>
      <c r="K243" s="229" t="s">
        <v>1625</v>
      </c>
      <c r="L243" s="229" t="s">
        <v>2429</v>
      </c>
    </row>
    <row r="244" spans="2:12">
      <c r="B244" s="229" t="s">
        <v>2430</v>
      </c>
      <c r="C244" s="229" t="s">
        <v>229</v>
      </c>
      <c r="D244" s="229" t="s">
        <v>2431</v>
      </c>
      <c r="E244" s="229" t="s">
        <v>422</v>
      </c>
      <c r="F244" s="229" t="s">
        <v>2421</v>
      </c>
      <c r="G244" s="200" t="s">
        <v>3347</v>
      </c>
      <c r="H244" s="201"/>
      <c r="I244" s="201"/>
      <c r="J244" s="201"/>
      <c r="K244" s="229" t="s">
        <v>1625</v>
      </c>
      <c r="L244" s="229" t="s">
        <v>2433</v>
      </c>
    </row>
    <row r="245" spans="2:12">
      <c r="B245" s="229" t="s">
        <v>2434</v>
      </c>
      <c r="C245" s="229" t="s">
        <v>229</v>
      </c>
      <c r="D245" s="229" t="s">
        <v>2435</v>
      </c>
      <c r="E245" s="229" t="s">
        <v>422</v>
      </c>
      <c r="F245" s="229" t="s">
        <v>2421</v>
      </c>
      <c r="G245" s="200" t="s">
        <v>3347</v>
      </c>
      <c r="H245" s="201"/>
      <c r="I245" s="201"/>
      <c r="J245" s="201"/>
      <c r="K245" s="229" t="s">
        <v>1625</v>
      </c>
      <c r="L245" s="229" t="s">
        <v>2437</v>
      </c>
    </row>
    <row r="246" spans="2:12">
      <c r="B246" s="229" t="s">
        <v>2438</v>
      </c>
      <c r="C246" s="229" t="s">
        <v>229</v>
      </c>
      <c r="D246" s="229" t="s">
        <v>2439</v>
      </c>
      <c r="E246" s="229" t="s">
        <v>422</v>
      </c>
      <c r="F246" s="229" t="s">
        <v>2421</v>
      </c>
      <c r="G246" s="200" t="s">
        <v>3347</v>
      </c>
      <c r="H246" s="201"/>
      <c r="I246" s="201"/>
      <c r="J246" s="201"/>
      <c r="K246" s="229" t="s">
        <v>1625</v>
      </c>
      <c r="L246" s="229" t="s">
        <v>2441</v>
      </c>
    </row>
    <row r="247" spans="2:12">
      <c r="B247" s="229" t="s">
        <v>2442</v>
      </c>
      <c r="C247" s="229" t="s">
        <v>229</v>
      </c>
      <c r="D247" s="229" t="s">
        <v>1724</v>
      </c>
      <c r="E247" s="229" t="s">
        <v>422</v>
      </c>
      <c r="F247" s="229" t="s">
        <v>2443</v>
      </c>
      <c r="G247" s="200" t="s">
        <v>1387</v>
      </c>
      <c r="H247" s="201"/>
      <c r="I247" s="201"/>
      <c r="J247" s="201"/>
      <c r="K247" s="229" t="s">
        <v>1718</v>
      </c>
      <c r="L247" s="229" t="s">
        <v>1719</v>
      </c>
    </row>
    <row r="248" spans="2:12">
      <c r="B248" s="229" t="s">
        <v>2444</v>
      </c>
      <c r="C248" s="229" t="s">
        <v>229</v>
      </c>
      <c r="D248" s="229" t="s">
        <v>2445</v>
      </c>
      <c r="E248" s="229" t="s">
        <v>422</v>
      </c>
      <c r="F248" s="229" t="s">
        <v>2443</v>
      </c>
      <c r="G248" s="200" t="s">
        <v>3348</v>
      </c>
      <c r="H248" s="201"/>
      <c r="I248" s="201"/>
      <c r="J248" s="201"/>
      <c r="K248" s="229" t="s">
        <v>1625</v>
      </c>
      <c r="L248" s="229" t="s">
        <v>2447</v>
      </c>
    </row>
    <row r="249" spans="2:12">
      <c r="B249" s="229" t="s">
        <v>2448</v>
      </c>
      <c r="C249" s="229" t="s">
        <v>229</v>
      </c>
      <c r="D249" s="229" t="s">
        <v>2449</v>
      </c>
      <c r="E249" s="229" t="s">
        <v>422</v>
      </c>
      <c r="F249" s="229" t="s">
        <v>2443</v>
      </c>
      <c r="G249" s="200" t="s">
        <v>3348</v>
      </c>
      <c r="H249" s="201"/>
      <c r="I249" s="201"/>
      <c r="J249" s="201"/>
      <c r="K249" s="229" t="s">
        <v>1625</v>
      </c>
      <c r="L249" s="229" t="s">
        <v>2451</v>
      </c>
    </row>
    <row r="250" spans="2:12">
      <c r="B250" s="229" t="s">
        <v>2452</v>
      </c>
      <c r="C250" s="229" t="s">
        <v>229</v>
      </c>
      <c r="D250" s="229" t="s">
        <v>2453</v>
      </c>
      <c r="E250" s="229" t="s">
        <v>422</v>
      </c>
      <c r="F250" s="229" t="s">
        <v>2443</v>
      </c>
      <c r="G250" s="200" t="s">
        <v>3348</v>
      </c>
      <c r="H250" s="201"/>
      <c r="I250" s="201"/>
      <c r="J250" s="201"/>
      <c r="K250" s="229" t="s">
        <v>1625</v>
      </c>
      <c r="L250" s="229" t="s">
        <v>2455</v>
      </c>
    </row>
    <row r="251" spans="2:12">
      <c r="B251" s="229" t="s">
        <v>2456</v>
      </c>
      <c r="C251" s="229" t="s">
        <v>229</v>
      </c>
      <c r="D251" s="229" t="s">
        <v>2457</v>
      </c>
      <c r="E251" s="229" t="s">
        <v>422</v>
      </c>
      <c r="F251" s="229" t="s">
        <v>2443</v>
      </c>
      <c r="G251" s="200" t="s">
        <v>3348</v>
      </c>
      <c r="H251" s="201"/>
      <c r="I251" s="201"/>
      <c r="J251" s="201"/>
      <c r="K251" s="229" t="s">
        <v>1625</v>
      </c>
      <c r="L251" s="229" t="s">
        <v>2459</v>
      </c>
    </row>
    <row r="252" spans="2:12">
      <c r="B252" s="229" t="s">
        <v>2460</v>
      </c>
      <c r="C252" s="229" t="s">
        <v>229</v>
      </c>
      <c r="D252" s="229" t="s">
        <v>2461</v>
      </c>
      <c r="E252" s="229" t="s">
        <v>422</v>
      </c>
      <c r="F252" s="229" t="s">
        <v>2443</v>
      </c>
      <c r="G252" s="200" t="s">
        <v>3348</v>
      </c>
      <c r="H252" s="201"/>
      <c r="I252" s="201"/>
      <c r="J252" s="201"/>
      <c r="K252" s="229" t="s">
        <v>1625</v>
      </c>
      <c r="L252" s="229" t="s">
        <v>2463</v>
      </c>
    </row>
    <row r="253" spans="2:12">
      <c r="B253" s="229" t="s">
        <v>3349</v>
      </c>
      <c r="C253" s="229" t="s">
        <v>229</v>
      </c>
      <c r="D253" s="229" t="s">
        <v>1727</v>
      </c>
      <c r="E253" s="229" t="s">
        <v>422</v>
      </c>
      <c r="F253" s="229" t="s">
        <v>4093</v>
      </c>
      <c r="G253" s="200" t="s">
        <v>1405</v>
      </c>
      <c r="H253" s="201"/>
      <c r="I253" s="201"/>
      <c r="J253" s="201"/>
      <c r="K253" s="229" t="s">
        <v>1718</v>
      </c>
      <c r="L253" s="229" t="s">
        <v>1729</v>
      </c>
    </row>
    <row r="254" spans="2:12">
      <c r="B254" s="229" t="s">
        <v>3350</v>
      </c>
      <c r="C254" s="229" t="s">
        <v>229</v>
      </c>
      <c r="D254" s="229" t="s">
        <v>2468</v>
      </c>
      <c r="E254" s="229" t="s">
        <v>422</v>
      </c>
      <c r="F254" s="229" t="s">
        <v>4093</v>
      </c>
      <c r="G254" s="200" t="s">
        <v>3351</v>
      </c>
      <c r="H254" s="201"/>
      <c r="I254" s="201"/>
      <c r="J254" s="201"/>
      <c r="K254" s="229" t="s">
        <v>1625</v>
      </c>
      <c r="L254" s="229" t="s">
        <v>3352</v>
      </c>
    </row>
    <row r="255" spans="2:12">
      <c r="B255" s="229" t="s">
        <v>3353</v>
      </c>
      <c r="C255" s="229" t="s">
        <v>229</v>
      </c>
      <c r="D255" s="229" t="s">
        <v>2472</v>
      </c>
      <c r="E255" s="229" t="s">
        <v>422</v>
      </c>
      <c r="F255" s="229" t="s">
        <v>4093</v>
      </c>
      <c r="G255" s="200" t="s">
        <v>3351</v>
      </c>
      <c r="H255" s="201"/>
      <c r="I255" s="201"/>
      <c r="J255" s="201"/>
      <c r="K255" s="229" t="s">
        <v>1625</v>
      </c>
      <c r="L255" s="229" t="s">
        <v>3354</v>
      </c>
    </row>
    <row r="256" spans="2:12">
      <c r="B256" s="229" t="s">
        <v>3355</v>
      </c>
      <c r="C256" s="229" t="s">
        <v>229</v>
      </c>
      <c r="D256" s="229" t="s">
        <v>2476</v>
      </c>
      <c r="E256" s="229" t="s">
        <v>422</v>
      </c>
      <c r="F256" s="229" t="s">
        <v>4093</v>
      </c>
      <c r="G256" s="200" t="s">
        <v>3351</v>
      </c>
      <c r="H256" s="201"/>
      <c r="I256" s="201"/>
      <c r="J256" s="201"/>
      <c r="K256" s="229" t="s">
        <v>1625</v>
      </c>
      <c r="L256" s="229" t="s">
        <v>3356</v>
      </c>
    </row>
    <row r="257" spans="2:12">
      <c r="B257" s="229" t="s">
        <v>3357</v>
      </c>
      <c r="C257" s="229" t="s">
        <v>229</v>
      </c>
      <c r="D257" s="229" t="s">
        <v>2480</v>
      </c>
      <c r="E257" s="229" t="s">
        <v>422</v>
      </c>
      <c r="F257" s="229" t="s">
        <v>4093</v>
      </c>
      <c r="G257" s="200" t="s">
        <v>3351</v>
      </c>
      <c r="H257" s="201"/>
      <c r="I257" s="201"/>
      <c r="J257" s="201"/>
      <c r="K257" s="229" t="s">
        <v>1625</v>
      </c>
      <c r="L257" s="229" t="s">
        <v>3358</v>
      </c>
    </row>
    <row r="258" spans="2:12">
      <c r="B258" s="229" t="s">
        <v>3359</v>
      </c>
      <c r="C258" s="229" t="s">
        <v>229</v>
      </c>
      <c r="D258" s="229" t="s">
        <v>2484</v>
      </c>
      <c r="E258" s="229" t="s">
        <v>422</v>
      </c>
      <c r="F258" s="229" t="s">
        <v>4093</v>
      </c>
      <c r="G258" s="200" t="s">
        <v>3351</v>
      </c>
      <c r="H258" s="201"/>
      <c r="I258" s="201"/>
      <c r="J258" s="201"/>
      <c r="K258" s="229" t="s">
        <v>1625</v>
      </c>
      <c r="L258" s="229" t="s">
        <v>3360</v>
      </c>
    </row>
    <row r="259" spans="2:12">
      <c r="B259" s="229" t="s">
        <v>3361</v>
      </c>
      <c r="C259" s="229" t="s">
        <v>229</v>
      </c>
      <c r="D259" s="229" t="s">
        <v>1731</v>
      </c>
      <c r="E259" s="229" t="s">
        <v>422</v>
      </c>
      <c r="F259" s="229" t="s">
        <v>3606</v>
      </c>
      <c r="G259" s="200" t="s">
        <v>3362</v>
      </c>
      <c r="H259" s="201"/>
      <c r="I259" s="201"/>
      <c r="J259" s="201"/>
      <c r="K259" s="229" t="s">
        <v>1718</v>
      </c>
      <c r="L259" s="229" t="s">
        <v>1733</v>
      </c>
    </row>
    <row r="260" spans="2:12">
      <c r="B260" s="229" t="s">
        <v>3363</v>
      </c>
      <c r="C260" s="229" t="s">
        <v>229</v>
      </c>
      <c r="D260" s="229" t="s">
        <v>2491</v>
      </c>
      <c r="E260" s="229" t="s">
        <v>422</v>
      </c>
      <c r="F260" s="229" t="s">
        <v>3606</v>
      </c>
      <c r="G260" s="200" t="s">
        <v>3364</v>
      </c>
      <c r="H260" s="201"/>
      <c r="I260" s="201"/>
      <c r="J260" s="201"/>
      <c r="K260" s="229" t="s">
        <v>1625</v>
      </c>
      <c r="L260" s="229" t="s">
        <v>3365</v>
      </c>
    </row>
    <row r="261" spans="2:12">
      <c r="B261" s="229" t="s">
        <v>3366</v>
      </c>
      <c r="C261" s="229" t="s">
        <v>229</v>
      </c>
      <c r="D261" s="229" t="s">
        <v>2495</v>
      </c>
      <c r="E261" s="229" t="s">
        <v>422</v>
      </c>
      <c r="F261" s="229" t="s">
        <v>3606</v>
      </c>
      <c r="G261" s="200" t="s">
        <v>3364</v>
      </c>
      <c r="H261" s="201"/>
      <c r="I261" s="201"/>
      <c r="J261" s="201"/>
      <c r="K261" s="229" t="s">
        <v>1625</v>
      </c>
      <c r="L261" s="229" t="s">
        <v>3367</v>
      </c>
    </row>
    <row r="262" spans="2:12">
      <c r="B262" s="229" t="s">
        <v>3368</v>
      </c>
      <c r="C262" s="229" t="s">
        <v>229</v>
      </c>
      <c r="D262" s="229" t="s">
        <v>2499</v>
      </c>
      <c r="E262" s="229" t="s">
        <v>422</v>
      </c>
      <c r="F262" s="229" t="s">
        <v>3606</v>
      </c>
      <c r="G262" s="200" t="s">
        <v>3364</v>
      </c>
      <c r="H262" s="201"/>
      <c r="I262" s="201"/>
      <c r="J262" s="201"/>
      <c r="K262" s="229" t="s">
        <v>1625</v>
      </c>
      <c r="L262" s="229" t="s">
        <v>3369</v>
      </c>
    </row>
    <row r="263" spans="2:12">
      <c r="B263" s="229" t="s">
        <v>3370</v>
      </c>
      <c r="C263" s="229" t="s">
        <v>229</v>
      </c>
      <c r="D263" s="229" t="s">
        <v>2503</v>
      </c>
      <c r="E263" s="229" t="s">
        <v>422</v>
      </c>
      <c r="F263" s="229" t="s">
        <v>3606</v>
      </c>
      <c r="G263" s="200" t="s">
        <v>3364</v>
      </c>
      <c r="H263" s="201"/>
      <c r="I263" s="201"/>
      <c r="J263" s="201"/>
      <c r="K263" s="229" t="s">
        <v>1625</v>
      </c>
      <c r="L263" s="229" t="s">
        <v>3371</v>
      </c>
    </row>
    <row r="264" spans="2:12">
      <c r="B264" s="229" t="s">
        <v>3372</v>
      </c>
      <c r="C264" s="229" t="s">
        <v>229</v>
      </c>
      <c r="D264" s="229" t="s">
        <v>2507</v>
      </c>
      <c r="E264" s="229" t="s">
        <v>422</v>
      </c>
      <c r="F264" s="229" t="s">
        <v>3606</v>
      </c>
      <c r="G264" s="200" t="s">
        <v>3364</v>
      </c>
      <c r="H264" s="201"/>
      <c r="I264" s="201"/>
      <c r="J264" s="201"/>
      <c r="K264" s="229" t="s">
        <v>1625</v>
      </c>
      <c r="L264" s="229" t="s">
        <v>3373</v>
      </c>
    </row>
    <row r="265" spans="2:12">
      <c r="B265" s="229" t="s">
        <v>3374</v>
      </c>
      <c r="C265" s="229" t="s">
        <v>229</v>
      </c>
      <c r="D265" s="229" t="s">
        <v>1735</v>
      </c>
      <c r="E265" s="229" t="s">
        <v>422</v>
      </c>
      <c r="F265" s="229" t="s">
        <v>3607</v>
      </c>
      <c r="G265" s="200" t="s">
        <v>3375</v>
      </c>
      <c r="H265" s="201"/>
      <c r="I265" s="201"/>
      <c r="J265" s="201"/>
      <c r="K265" s="229" t="s">
        <v>1718</v>
      </c>
      <c r="L265" s="229" t="s">
        <v>1737</v>
      </c>
    </row>
    <row r="266" spans="2:12">
      <c r="B266" s="229" t="s">
        <v>3376</v>
      </c>
      <c r="C266" s="229" t="s">
        <v>229</v>
      </c>
      <c r="D266" s="229" t="s">
        <v>2514</v>
      </c>
      <c r="E266" s="229" t="s">
        <v>422</v>
      </c>
      <c r="F266" s="229" t="s">
        <v>3607</v>
      </c>
      <c r="G266" s="200" t="s">
        <v>3377</v>
      </c>
      <c r="H266" s="201"/>
      <c r="I266" s="201"/>
      <c r="J266" s="201"/>
      <c r="K266" s="229" t="s">
        <v>1625</v>
      </c>
      <c r="L266" s="229" t="s">
        <v>3378</v>
      </c>
    </row>
    <row r="267" spans="2:12">
      <c r="B267" s="229" t="s">
        <v>3379</v>
      </c>
      <c r="C267" s="229" t="s">
        <v>229</v>
      </c>
      <c r="D267" s="229" t="s">
        <v>2518</v>
      </c>
      <c r="E267" s="229" t="s">
        <v>422</v>
      </c>
      <c r="F267" s="229" t="s">
        <v>3607</v>
      </c>
      <c r="G267" s="200" t="s">
        <v>3377</v>
      </c>
      <c r="H267" s="201"/>
      <c r="I267" s="201"/>
      <c r="J267" s="201"/>
      <c r="K267" s="229" t="s">
        <v>1625</v>
      </c>
      <c r="L267" s="229" t="s">
        <v>3380</v>
      </c>
    </row>
    <row r="268" spans="2:12">
      <c r="B268" s="229" t="s">
        <v>3381</v>
      </c>
      <c r="C268" s="229" t="s">
        <v>229</v>
      </c>
      <c r="D268" s="229" t="s">
        <v>2522</v>
      </c>
      <c r="E268" s="229" t="s">
        <v>422</v>
      </c>
      <c r="F268" s="229" t="s">
        <v>3607</v>
      </c>
      <c r="G268" s="200" t="s">
        <v>3377</v>
      </c>
      <c r="H268" s="201"/>
      <c r="I268" s="201"/>
      <c r="J268" s="201"/>
      <c r="K268" s="229" t="s">
        <v>1625</v>
      </c>
      <c r="L268" s="229" t="s">
        <v>3382</v>
      </c>
    </row>
    <row r="269" spans="2:12">
      <c r="B269" s="229" t="s">
        <v>3383</v>
      </c>
      <c r="C269" s="229" t="s">
        <v>229</v>
      </c>
      <c r="D269" s="229" t="s">
        <v>2526</v>
      </c>
      <c r="E269" s="229" t="s">
        <v>422</v>
      </c>
      <c r="F269" s="229" t="s">
        <v>3607</v>
      </c>
      <c r="G269" s="200" t="s">
        <v>3377</v>
      </c>
      <c r="H269" s="201"/>
      <c r="I269" s="201"/>
      <c r="J269" s="201"/>
      <c r="K269" s="229" t="s">
        <v>1625</v>
      </c>
      <c r="L269" s="229" t="s">
        <v>3384</v>
      </c>
    </row>
    <row r="270" spans="2:12">
      <c r="B270" s="229" t="s">
        <v>3385</v>
      </c>
      <c r="C270" s="229" t="s">
        <v>229</v>
      </c>
      <c r="D270" s="229" t="s">
        <v>2530</v>
      </c>
      <c r="E270" s="229" t="s">
        <v>422</v>
      </c>
      <c r="F270" s="229" t="s">
        <v>3607</v>
      </c>
      <c r="G270" s="200" t="s">
        <v>3377</v>
      </c>
      <c r="H270" s="201"/>
      <c r="I270" s="201"/>
      <c r="J270" s="201"/>
      <c r="K270" s="229" t="s">
        <v>1625</v>
      </c>
      <c r="L270" s="229" t="s">
        <v>3386</v>
      </c>
    </row>
    <row r="271" spans="1:12">
      <c r="A271" s="232"/>
      <c r="B271" s="233" t="s">
        <v>2793</v>
      </c>
      <c r="C271" s="234" t="s">
        <v>170</v>
      </c>
      <c r="D271" s="234" t="s">
        <v>2793</v>
      </c>
      <c r="E271" s="200" t="s">
        <v>422</v>
      </c>
      <c r="F271" s="234" t="s">
        <v>2793</v>
      </c>
      <c r="G271" s="234" t="s">
        <v>172</v>
      </c>
      <c r="H271" s="234"/>
      <c r="I271" s="234"/>
      <c r="J271" s="157" t="s">
        <v>173</v>
      </c>
      <c r="K271" s="234"/>
      <c r="L271" s="239"/>
    </row>
    <row r="272" spans="1:12">
      <c r="A272" s="232"/>
      <c r="B272" s="235" t="s">
        <v>3652</v>
      </c>
      <c r="C272" s="236" t="s">
        <v>175</v>
      </c>
      <c r="D272" s="236" t="s">
        <v>472</v>
      </c>
      <c r="E272" s="200" t="s">
        <v>422</v>
      </c>
      <c r="F272" s="236" t="s">
        <v>471</v>
      </c>
      <c r="G272" s="234" t="s">
        <v>172</v>
      </c>
      <c r="H272" s="237"/>
      <c r="I272" s="237"/>
      <c r="J272" s="157" t="s">
        <v>173</v>
      </c>
      <c r="K272" s="237"/>
      <c r="L272" s="240"/>
    </row>
    <row r="273" spans="1:12">
      <c r="A273" s="232"/>
      <c r="B273" s="235" t="s">
        <v>3447</v>
      </c>
      <c r="C273" s="157" t="s">
        <v>170</v>
      </c>
      <c r="D273" s="157" t="s">
        <v>3447</v>
      </c>
      <c r="E273" s="234"/>
      <c r="F273" s="234"/>
      <c r="G273" s="157" t="s">
        <v>1693</v>
      </c>
      <c r="H273" s="234"/>
      <c r="I273" s="234"/>
      <c r="J273" s="157" t="s">
        <v>173</v>
      </c>
      <c r="K273" s="157" t="s">
        <v>749</v>
      </c>
      <c r="L273" s="239"/>
    </row>
    <row r="274" spans="1:12">
      <c r="A274" s="232"/>
      <c r="B274" s="235" t="s">
        <v>3448</v>
      </c>
      <c r="C274" s="157" t="s">
        <v>170</v>
      </c>
      <c r="D274" s="157" t="s">
        <v>3448</v>
      </c>
      <c r="E274" s="234"/>
      <c r="F274" s="234"/>
      <c r="G274" s="157" t="s">
        <v>1693</v>
      </c>
      <c r="H274" s="234"/>
      <c r="I274" s="234"/>
      <c r="J274" s="157" t="s">
        <v>173</v>
      </c>
      <c r="K274" s="157" t="s">
        <v>749</v>
      </c>
      <c r="L274" s="239"/>
    </row>
    <row r="275" spans="1:12">
      <c r="A275" s="232"/>
      <c r="B275" s="235" t="s">
        <v>3450</v>
      </c>
      <c r="C275" s="157" t="s">
        <v>170</v>
      </c>
      <c r="D275" s="157" t="s">
        <v>3450</v>
      </c>
      <c r="E275" s="234"/>
      <c r="F275" s="234"/>
      <c r="G275" s="157" t="s">
        <v>1693</v>
      </c>
      <c r="H275" s="234"/>
      <c r="I275" s="234"/>
      <c r="J275" s="157" t="s">
        <v>173</v>
      </c>
      <c r="K275" s="157" t="s">
        <v>749</v>
      </c>
      <c r="L275" s="239"/>
    </row>
    <row r="276" spans="1:12">
      <c r="A276" s="232"/>
      <c r="B276" s="235" t="s">
        <v>3452</v>
      </c>
      <c r="C276" s="157" t="s">
        <v>170</v>
      </c>
      <c r="D276" s="157" t="s">
        <v>388</v>
      </c>
      <c r="E276" s="200" t="s">
        <v>422</v>
      </c>
      <c r="F276" s="234"/>
      <c r="G276" s="238" t="s">
        <v>4094</v>
      </c>
      <c r="H276" s="234"/>
      <c r="I276" s="234"/>
      <c r="J276" s="157" t="s">
        <v>173</v>
      </c>
      <c r="K276" s="157" t="s">
        <v>749</v>
      </c>
      <c r="L276" s="239"/>
    </row>
    <row r="277" spans="1:12">
      <c r="A277" s="232"/>
      <c r="B277" s="235" t="s">
        <v>4095</v>
      </c>
      <c r="C277" s="157" t="s">
        <v>229</v>
      </c>
      <c r="D277" s="157" t="s">
        <v>4096</v>
      </c>
      <c r="E277" s="200" t="s">
        <v>422</v>
      </c>
      <c r="F277" s="234"/>
      <c r="G277" s="157" t="s">
        <v>4097</v>
      </c>
      <c r="H277" s="234"/>
      <c r="I277" s="234"/>
      <c r="J277" s="157" t="s">
        <v>4098</v>
      </c>
      <c r="K277" s="157" t="s">
        <v>1625</v>
      </c>
      <c r="L277" s="239"/>
    </row>
    <row r="278" spans="1:12">
      <c r="A278" s="232"/>
      <c r="B278" s="235" t="s">
        <v>4099</v>
      </c>
      <c r="C278" s="157" t="s">
        <v>229</v>
      </c>
      <c r="D278" s="157" t="s">
        <v>4100</v>
      </c>
      <c r="E278" s="200" t="s">
        <v>422</v>
      </c>
      <c r="F278" s="234"/>
      <c r="G278" s="157" t="s">
        <v>4101</v>
      </c>
      <c r="H278" s="234"/>
      <c r="I278" s="234"/>
      <c r="J278" s="157" t="s">
        <v>4098</v>
      </c>
      <c r="K278" s="157" t="s">
        <v>1625</v>
      </c>
      <c r="L278" s="239"/>
    </row>
    <row r="279" spans="1:12">
      <c r="A279" s="232"/>
      <c r="B279" s="235" t="s">
        <v>4102</v>
      </c>
      <c r="C279" s="157" t="s">
        <v>229</v>
      </c>
      <c r="D279" s="157" t="s">
        <v>4103</v>
      </c>
      <c r="E279" s="200" t="s">
        <v>422</v>
      </c>
      <c r="F279" s="234"/>
      <c r="G279" s="157" t="s">
        <v>4104</v>
      </c>
      <c r="H279" s="234"/>
      <c r="I279" s="234"/>
      <c r="J279" s="157" t="s">
        <v>4098</v>
      </c>
      <c r="K279" s="157" t="s">
        <v>1625</v>
      </c>
      <c r="L279" s="239"/>
    </row>
    <row r="280" spans="1:12">
      <c r="A280" s="232"/>
      <c r="B280" s="235" t="s">
        <v>4105</v>
      </c>
      <c r="C280" s="157" t="s">
        <v>229</v>
      </c>
      <c r="D280" s="157" t="s">
        <v>4106</v>
      </c>
      <c r="E280" s="200" t="s">
        <v>422</v>
      </c>
      <c r="F280" s="234"/>
      <c r="G280" s="157" t="s">
        <v>4107</v>
      </c>
      <c r="H280" s="234"/>
      <c r="I280" s="234"/>
      <c r="J280" s="157" t="s">
        <v>4098</v>
      </c>
      <c r="K280" s="157" t="s">
        <v>1625</v>
      </c>
      <c r="L280" s="239"/>
    </row>
    <row r="281" spans="1:12">
      <c r="A281" s="232"/>
      <c r="B281" s="235" t="s">
        <v>4108</v>
      </c>
      <c r="C281" s="157" t="s">
        <v>229</v>
      </c>
      <c r="D281" s="157" t="s">
        <v>4109</v>
      </c>
      <c r="E281" s="200" t="s">
        <v>422</v>
      </c>
      <c r="F281" s="234"/>
      <c r="G281" s="157" t="s">
        <v>4110</v>
      </c>
      <c r="H281" s="234"/>
      <c r="I281" s="234"/>
      <c r="J281" s="157" t="s">
        <v>4098</v>
      </c>
      <c r="K281" s="157" t="s">
        <v>1625</v>
      </c>
      <c r="L281" s="239"/>
    </row>
    <row r="282" spans="1:12">
      <c r="A282" s="232"/>
      <c r="B282" s="235" t="s">
        <v>4111</v>
      </c>
      <c r="C282" s="157" t="s">
        <v>229</v>
      </c>
      <c r="D282" s="157" t="s">
        <v>4112</v>
      </c>
      <c r="E282" s="200" t="s">
        <v>422</v>
      </c>
      <c r="F282" s="234"/>
      <c r="G282" s="157" t="s">
        <v>4113</v>
      </c>
      <c r="H282" s="234"/>
      <c r="I282" s="234"/>
      <c r="J282" s="157" t="s">
        <v>4098</v>
      </c>
      <c r="K282" s="157" t="s">
        <v>1625</v>
      </c>
      <c r="L282" s="239"/>
    </row>
    <row r="283" spans="1:12">
      <c r="A283" s="232"/>
      <c r="B283" s="235" t="s">
        <v>4114</v>
      </c>
      <c r="C283" s="157" t="s">
        <v>229</v>
      </c>
      <c r="D283" s="157" t="s">
        <v>4115</v>
      </c>
      <c r="E283" s="200" t="s">
        <v>422</v>
      </c>
      <c r="F283" s="234"/>
      <c r="G283" s="157" t="s">
        <v>4116</v>
      </c>
      <c r="H283" s="234"/>
      <c r="I283" s="234"/>
      <c r="J283" s="157" t="s">
        <v>4098</v>
      </c>
      <c r="K283" s="157" t="s">
        <v>1625</v>
      </c>
      <c r="L283" s="239"/>
    </row>
    <row r="284" spans="1:12">
      <c r="A284" s="232"/>
      <c r="B284" s="235" t="s">
        <v>4117</v>
      </c>
      <c r="C284" s="157" t="s">
        <v>229</v>
      </c>
      <c r="D284" s="157" t="s">
        <v>4118</v>
      </c>
      <c r="E284" s="200" t="s">
        <v>422</v>
      </c>
      <c r="F284" s="234"/>
      <c r="G284" s="157" t="s">
        <v>4119</v>
      </c>
      <c r="H284" s="234"/>
      <c r="I284" s="234"/>
      <c r="J284" s="157" t="s">
        <v>4098</v>
      </c>
      <c r="K284" s="157" t="s">
        <v>1625</v>
      </c>
      <c r="L284" s="239"/>
    </row>
    <row r="285" spans="1:12">
      <c r="A285" s="232"/>
      <c r="B285" s="235" t="s">
        <v>4120</v>
      </c>
      <c r="C285" s="157" t="s">
        <v>229</v>
      </c>
      <c r="D285" s="157" t="s">
        <v>4121</v>
      </c>
      <c r="E285" s="200" t="s">
        <v>422</v>
      </c>
      <c r="F285" s="234"/>
      <c r="G285" s="157" t="s">
        <v>4122</v>
      </c>
      <c r="H285" s="234"/>
      <c r="I285" s="234"/>
      <c r="J285" s="157" t="s">
        <v>4098</v>
      </c>
      <c r="K285" s="157" t="s">
        <v>1625</v>
      </c>
      <c r="L285" s="239"/>
    </row>
    <row r="286" spans="1:12">
      <c r="A286" s="232"/>
      <c r="B286" s="235" t="s">
        <v>4123</v>
      </c>
      <c r="C286" s="157" t="s">
        <v>229</v>
      </c>
      <c r="D286" s="157" t="s">
        <v>4124</v>
      </c>
      <c r="E286" s="200" t="s">
        <v>422</v>
      </c>
      <c r="F286" s="234"/>
      <c r="G286" s="157" t="s">
        <v>4125</v>
      </c>
      <c r="H286" s="234"/>
      <c r="I286" s="234"/>
      <c r="J286" s="157" t="s">
        <v>4098</v>
      </c>
      <c r="K286" s="157" t="s">
        <v>1625</v>
      </c>
      <c r="L286" s="239"/>
    </row>
    <row r="287" spans="1:12">
      <c r="A287" s="232"/>
      <c r="B287" s="235" t="s">
        <v>4126</v>
      </c>
      <c r="C287" s="157" t="s">
        <v>229</v>
      </c>
      <c r="D287" s="157" t="s">
        <v>4127</v>
      </c>
      <c r="E287" s="200" t="s">
        <v>422</v>
      </c>
      <c r="F287" s="234"/>
      <c r="G287" s="157" t="s">
        <v>4128</v>
      </c>
      <c r="H287" s="234"/>
      <c r="I287" s="234"/>
      <c r="J287" s="157" t="s">
        <v>4098</v>
      </c>
      <c r="K287" s="157" t="s">
        <v>1625</v>
      </c>
      <c r="L287" s="239"/>
    </row>
    <row r="288" spans="1:12">
      <c r="A288" s="232"/>
      <c r="B288" s="235" t="s">
        <v>4129</v>
      </c>
      <c r="C288" s="157" t="s">
        <v>229</v>
      </c>
      <c r="D288" s="157" t="s">
        <v>4130</v>
      </c>
      <c r="E288" s="200" t="s">
        <v>422</v>
      </c>
      <c r="F288" s="234"/>
      <c r="G288" s="157" t="s">
        <v>4131</v>
      </c>
      <c r="H288" s="234"/>
      <c r="I288" s="234"/>
      <c r="J288" s="157" t="s">
        <v>4098</v>
      </c>
      <c r="K288" s="157" t="s">
        <v>1625</v>
      </c>
      <c r="L288" s="239"/>
    </row>
    <row r="289" spans="1:12">
      <c r="A289" s="232"/>
      <c r="B289" s="235" t="s">
        <v>4132</v>
      </c>
      <c r="C289" s="157" t="s">
        <v>229</v>
      </c>
      <c r="D289" s="157" t="s">
        <v>4133</v>
      </c>
      <c r="E289" s="200" t="s">
        <v>422</v>
      </c>
      <c r="F289" s="234"/>
      <c r="G289" s="157" t="s">
        <v>4134</v>
      </c>
      <c r="H289" s="234"/>
      <c r="I289" s="234"/>
      <c r="J289" s="157" t="s">
        <v>4098</v>
      </c>
      <c r="K289" s="157" t="s">
        <v>1625</v>
      </c>
      <c r="L289" s="239"/>
    </row>
    <row r="290" spans="1:12">
      <c r="A290" s="232"/>
      <c r="B290" s="235" t="s">
        <v>4135</v>
      </c>
      <c r="C290" s="157" t="s">
        <v>229</v>
      </c>
      <c r="D290" s="157" t="s">
        <v>4136</v>
      </c>
      <c r="E290" s="200" t="s">
        <v>422</v>
      </c>
      <c r="F290" s="234"/>
      <c r="G290" s="157" t="s">
        <v>4137</v>
      </c>
      <c r="H290" s="234"/>
      <c r="I290" s="234"/>
      <c r="J290" s="157" t="s">
        <v>4098</v>
      </c>
      <c r="K290" s="157" t="s">
        <v>1625</v>
      </c>
      <c r="L290" s="239"/>
    </row>
    <row r="291" spans="1:12">
      <c r="A291" s="232"/>
      <c r="B291" s="235" t="s">
        <v>4138</v>
      </c>
      <c r="C291" s="157" t="s">
        <v>229</v>
      </c>
      <c r="D291" s="157" t="s">
        <v>4139</v>
      </c>
      <c r="E291" s="200" t="s">
        <v>422</v>
      </c>
      <c r="F291" s="234"/>
      <c r="G291" s="157" t="s">
        <v>4140</v>
      </c>
      <c r="H291" s="234"/>
      <c r="I291" s="234"/>
      <c r="J291" s="157" t="s">
        <v>4098</v>
      </c>
      <c r="K291" s="157" t="s">
        <v>1625</v>
      </c>
      <c r="L291" s="239"/>
    </row>
    <row r="292" spans="1:12">
      <c r="A292" s="232"/>
      <c r="B292" s="235" t="s">
        <v>2376</v>
      </c>
      <c r="C292" s="157" t="s">
        <v>203</v>
      </c>
      <c r="D292" s="157" t="s">
        <v>2095</v>
      </c>
      <c r="E292" s="200" t="s">
        <v>422</v>
      </c>
      <c r="F292" s="234"/>
      <c r="G292" s="157" t="s">
        <v>4141</v>
      </c>
      <c r="H292" s="234"/>
      <c r="I292" s="234"/>
      <c r="J292" s="157" t="s">
        <v>4098</v>
      </c>
      <c r="K292" s="157" t="s">
        <v>3662</v>
      </c>
      <c r="L292" s="239"/>
    </row>
    <row r="293" spans="1:12">
      <c r="A293" s="232"/>
      <c r="B293" s="235" t="s">
        <v>2378</v>
      </c>
      <c r="C293" s="157" t="s">
        <v>229</v>
      </c>
      <c r="D293" s="157" t="s">
        <v>2379</v>
      </c>
      <c r="E293" s="200" t="s">
        <v>422</v>
      </c>
      <c r="F293" s="234"/>
      <c r="G293" s="157" t="s">
        <v>4142</v>
      </c>
      <c r="H293" s="234"/>
      <c r="I293" s="234"/>
      <c r="J293" s="157" t="s">
        <v>4098</v>
      </c>
      <c r="K293" s="157" t="s">
        <v>1625</v>
      </c>
      <c r="L293" s="239"/>
    </row>
    <row r="294" spans="1:12">
      <c r="A294" s="232"/>
      <c r="B294" s="235" t="s">
        <v>2382</v>
      </c>
      <c r="C294" s="157" t="s">
        <v>229</v>
      </c>
      <c r="D294" s="157" t="s">
        <v>2383</v>
      </c>
      <c r="E294" s="200" t="s">
        <v>422</v>
      </c>
      <c r="F294" s="234"/>
      <c r="G294" s="157" t="s">
        <v>4143</v>
      </c>
      <c r="H294" s="234"/>
      <c r="I294" s="234"/>
      <c r="J294" s="157" t="s">
        <v>4098</v>
      </c>
      <c r="K294" s="157" t="s">
        <v>1625</v>
      </c>
      <c r="L294" s="239"/>
    </row>
    <row r="295" spans="1:12">
      <c r="A295" s="232"/>
      <c r="B295" s="235" t="s">
        <v>2385</v>
      </c>
      <c r="C295" s="157" t="s">
        <v>229</v>
      </c>
      <c r="D295" s="157" t="s">
        <v>2386</v>
      </c>
      <c r="E295" s="200" t="s">
        <v>422</v>
      </c>
      <c r="F295" s="234"/>
      <c r="G295" s="157" t="s">
        <v>4144</v>
      </c>
      <c r="H295" s="234"/>
      <c r="I295" s="234"/>
      <c r="J295" s="157" t="s">
        <v>4098</v>
      </c>
      <c r="K295" s="157" t="s">
        <v>1625</v>
      </c>
      <c r="L295" s="239"/>
    </row>
    <row r="296" spans="1:12">
      <c r="A296" s="232"/>
      <c r="B296" s="235" t="s">
        <v>2389</v>
      </c>
      <c r="C296" s="157" t="s">
        <v>229</v>
      </c>
      <c r="D296" s="157" t="s">
        <v>2390</v>
      </c>
      <c r="E296" s="200" t="s">
        <v>422</v>
      </c>
      <c r="F296" s="234"/>
      <c r="G296" s="157" t="s">
        <v>4145</v>
      </c>
      <c r="H296" s="234"/>
      <c r="I296" s="234"/>
      <c r="J296" s="157" t="s">
        <v>4098</v>
      </c>
      <c r="K296" s="157" t="s">
        <v>1625</v>
      </c>
      <c r="L296" s="239"/>
    </row>
    <row r="297" spans="1:12">
      <c r="A297" s="232"/>
      <c r="B297" s="235" t="s">
        <v>2393</v>
      </c>
      <c r="C297" s="157" t="s">
        <v>229</v>
      </c>
      <c r="D297" s="157" t="s">
        <v>2394</v>
      </c>
      <c r="E297" s="200" t="s">
        <v>422</v>
      </c>
      <c r="F297" s="234"/>
      <c r="G297" s="238" t="s">
        <v>4146</v>
      </c>
      <c r="H297" s="234"/>
      <c r="I297" s="234"/>
      <c r="J297" s="157" t="s">
        <v>4098</v>
      </c>
      <c r="K297" s="157" t="s">
        <v>1625</v>
      </c>
      <c r="L297" s="239"/>
    </row>
    <row r="298" spans="1:12">
      <c r="A298" s="232"/>
      <c r="B298" s="235" t="s">
        <v>228</v>
      </c>
      <c r="C298" s="157" t="s">
        <v>229</v>
      </c>
      <c r="D298" s="157" t="s">
        <v>3456</v>
      </c>
      <c r="E298" s="234"/>
      <c r="F298" s="234"/>
      <c r="G298" s="157" t="s">
        <v>3785</v>
      </c>
      <c r="H298" s="234"/>
      <c r="I298" s="234"/>
      <c r="J298" s="157"/>
      <c r="K298" s="157" t="s">
        <v>231</v>
      </c>
      <c r="L298" s="239"/>
    </row>
    <row r="299" spans="1:12">
      <c r="A299" s="232"/>
      <c r="B299" s="235" t="s">
        <v>3458</v>
      </c>
      <c r="C299" s="157" t="s">
        <v>203</v>
      </c>
      <c r="D299" s="157" t="s">
        <v>3459</v>
      </c>
      <c r="E299" s="234"/>
      <c r="F299" s="234"/>
      <c r="G299" s="157" t="s">
        <v>3785</v>
      </c>
      <c r="H299" s="234"/>
      <c r="I299" s="234"/>
      <c r="J299" s="157"/>
      <c r="K299" s="157" t="s">
        <v>223</v>
      </c>
      <c r="L299" s="239"/>
    </row>
    <row r="300" spans="1:12">
      <c r="A300" s="232"/>
      <c r="B300" s="235" t="s">
        <v>3460</v>
      </c>
      <c r="C300" s="157" t="s">
        <v>203</v>
      </c>
      <c r="D300" s="157" t="s">
        <v>3461</v>
      </c>
      <c r="E300" s="234"/>
      <c r="F300" s="234"/>
      <c r="G300" s="157" t="s">
        <v>3785</v>
      </c>
      <c r="H300" s="234"/>
      <c r="I300" s="234"/>
      <c r="J300" s="157"/>
      <c r="K300" s="157" t="s">
        <v>226</v>
      </c>
      <c r="L300" s="239"/>
    </row>
    <row r="301" spans="1:12">
      <c r="A301" s="232"/>
      <c r="B301" s="235" t="s">
        <v>3462</v>
      </c>
      <c r="C301" s="157" t="s">
        <v>203</v>
      </c>
      <c r="D301" s="157" t="s">
        <v>3463</v>
      </c>
      <c r="E301" s="234"/>
      <c r="F301" s="234"/>
      <c r="G301" s="157" t="s">
        <v>3785</v>
      </c>
      <c r="H301" s="234"/>
      <c r="I301" s="234"/>
      <c r="J301" s="157"/>
      <c r="K301" s="157" t="s">
        <v>226</v>
      </c>
      <c r="L301" s="239"/>
    </row>
    <row r="302" spans="1:12">
      <c r="A302" s="232"/>
      <c r="B302" s="235" t="s">
        <v>3464</v>
      </c>
      <c r="C302" s="157" t="s">
        <v>229</v>
      </c>
      <c r="D302" s="157" t="s">
        <v>3465</v>
      </c>
      <c r="E302" s="234"/>
      <c r="F302" s="234"/>
      <c r="G302" s="157" t="s">
        <v>3785</v>
      </c>
      <c r="H302" s="234"/>
      <c r="I302" s="234"/>
      <c r="J302" s="157"/>
      <c r="K302" s="157" t="s">
        <v>231</v>
      </c>
      <c r="L302" s="239"/>
    </row>
    <row r="303" spans="1:12">
      <c r="A303" s="232"/>
      <c r="B303" s="235" t="s">
        <v>3466</v>
      </c>
      <c r="C303" s="157" t="s">
        <v>229</v>
      </c>
      <c r="D303" s="157" t="s">
        <v>3467</v>
      </c>
      <c r="E303" s="234"/>
      <c r="F303" s="234"/>
      <c r="G303" s="157" t="s">
        <v>3785</v>
      </c>
      <c r="H303" s="234"/>
      <c r="I303" s="234"/>
      <c r="J303" s="157"/>
      <c r="K303" s="157" t="s">
        <v>231</v>
      </c>
      <c r="L303" s="239"/>
    </row>
    <row r="304" spans="1:12">
      <c r="A304" s="232"/>
      <c r="B304" s="235" t="s">
        <v>3468</v>
      </c>
      <c r="C304" s="157" t="s">
        <v>229</v>
      </c>
      <c r="D304" s="157" t="s">
        <v>3469</v>
      </c>
      <c r="E304" s="234"/>
      <c r="F304" s="234"/>
      <c r="G304" s="157" t="s">
        <v>3785</v>
      </c>
      <c r="H304" s="234"/>
      <c r="I304" s="234"/>
      <c r="J304" s="157"/>
      <c r="K304" s="157" t="s">
        <v>231</v>
      </c>
      <c r="L304" s="239"/>
    </row>
    <row r="305" spans="1:12">
      <c r="A305" s="232"/>
      <c r="B305" s="235" t="s">
        <v>3470</v>
      </c>
      <c r="C305" s="157" t="s">
        <v>229</v>
      </c>
      <c r="D305" s="157" t="s">
        <v>3471</v>
      </c>
      <c r="E305" s="234"/>
      <c r="F305" s="234"/>
      <c r="G305" s="157" t="s">
        <v>3785</v>
      </c>
      <c r="H305" s="234"/>
      <c r="I305" s="234"/>
      <c r="J305" s="157"/>
      <c r="K305" s="157" t="s">
        <v>231</v>
      </c>
      <c r="L305" s="239"/>
    </row>
    <row r="306" spans="1:12">
      <c r="A306" s="232"/>
      <c r="B306" s="235" t="s">
        <v>3472</v>
      </c>
      <c r="C306" s="157" t="s">
        <v>229</v>
      </c>
      <c r="D306" s="157" t="s">
        <v>3473</v>
      </c>
      <c r="E306" s="234"/>
      <c r="F306" s="234"/>
      <c r="G306" s="157" t="s">
        <v>3785</v>
      </c>
      <c r="H306" s="234"/>
      <c r="I306" s="234"/>
      <c r="J306" s="157"/>
      <c r="K306" s="157" t="s">
        <v>231</v>
      </c>
      <c r="L306" s="239"/>
    </row>
    <row r="307" spans="1:12">
      <c r="A307" s="232"/>
      <c r="B307" s="235" t="s">
        <v>3474</v>
      </c>
      <c r="C307" s="157" t="s">
        <v>229</v>
      </c>
      <c r="D307" s="157" t="s">
        <v>3475</v>
      </c>
      <c r="E307" s="234"/>
      <c r="F307" s="234"/>
      <c r="G307" s="157" t="s">
        <v>3785</v>
      </c>
      <c r="H307" s="234"/>
      <c r="I307" s="234"/>
      <c r="J307" s="157"/>
      <c r="K307" s="157" t="s">
        <v>231</v>
      </c>
      <c r="L307" s="239"/>
    </row>
    <row r="308" spans="1:12">
      <c r="A308" s="232"/>
      <c r="B308" s="235" t="s">
        <v>3476</v>
      </c>
      <c r="C308" s="157" t="s">
        <v>229</v>
      </c>
      <c r="D308" s="157" t="s">
        <v>3477</v>
      </c>
      <c r="E308" s="234"/>
      <c r="F308" s="234"/>
      <c r="G308" s="157" t="s">
        <v>3785</v>
      </c>
      <c r="H308" s="234"/>
      <c r="I308" s="234"/>
      <c r="J308" s="157"/>
      <c r="K308" s="157" t="s">
        <v>231</v>
      </c>
      <c r="L308" s="239"/>
    </row>
    <row r="309" spans="1:12">
      <c r="A309" s="232"/>
      <c r="B309" s="235" t="s">
        <v>3478</v>
      </c>
      <c r="C309" s="157" t="s">
        <v>229</v>
      </c>
      <c r="D309" s="157" t="s">
        <v>3479</v>
      </c>
      <c r="E309" s="234"/>
      <c r="F309" s="234"/>
      <c r="G309" s="157" t="s">
        <v>3785</v>
      </c>
      <c r="H309" s="234"/>
      <c r="I309" s="234"/>
      <c r="J309" s="157"/>
      <c r="K309" s="157" t="s">
        <v>231</v>
      </c>
      <c r="L309" s="239"/>
    </row>
    <row r="310" spans="1:12">
      <c r="A310" s="232"/>
      <c r="B310" s="235" t="s">
        <v>3480</v>
      </c>
      <c r="C310" s="157" t="s">
        <v>229</v>
      </c>
      <c r="D310" s="157" t="s">
        <v>3481</v>
      </c>
      <c r="E310" s="234"/>
      <c r="F310" s="234"/>
      <c r="G310" s="157" t="s">
        <v>3785</v>
      </c>
      <c r="H310" s="234"/>
      <c r="I310" s="234"/>
      <c r="J310" s="157"/>
      <c r="K310" s="157" t="s">
        <v>231</v>
      </c>
      <c r="L310" s="239"/>
    </row>
    <row r="311" spans="1:12">
      <c r="A311" s="232"/>
      <c r="B311" s="235" t="s">
        <v>3482</v>
      </c>
      <c r="C311" s="157" t="s">
        <v>229</v>
      </c>
      <c r="D311" s="157" t="s">
        <v>3483</v>
      </c>
      <c r="E311" s="234"/>
      <c r="F311" s="234"/>
      <c r="G311" s="157" t="s">
        <v>3785</v>
      </c>
      <c r="H311" s="234"/>
      <c r="I311" s="234"/>
      <c r="J311" s="157"/>
      <c r="K311" s="157" t="s">
        <v>231</v>
      </c>
      <c r="L311" s="239"/>
    </row>
    <row r="312" spans="1:12">
      <c r="A312" s="232"/>
      <c r="B312" s="235" t="s">
        <v>3484</v>
      </c>
      <c r="C312" s="157" t="s">
        <v>229</v>
      </c>
      <c r="D312" s="157" t="s">
        <v>3484</v>
      </c>
      <c r="E312" s="234"/>
      <c r="F312" s="234"/>
      <c r="G312" s="157" t="s">
        <v>3785</v>
      </c>
      <c r="H312" s="234"/>
      <c r="I312" s="234"/>
      <c r="J312" s="157"/>
      <c r="K312" s="157" t="s">
        <v>231</v>
      </c>
      <c r="L312" s="239"/>
    </row>
    <row r="313" spans="1:12">
      <c r="A313" s="232"/>
      <c r="B313" s="235" t="s">
        <v>3485</v>
      </c>
      <c r="C313" s="157" t="s">
        <v>229</v>
      </c>
      <c r="D313" s="157" t="s">
        <v>3485</v>
      </c>
      <c r="E313" s="234"/>
      <c r="F313" s="234"/>
      <c r="G313" s="157" t="s">
        <v>3785</v>
      </c>
      <c r="H313" s="234"/>
      <c r="I313" s="234"/>
      <c r="J313" s="157"/>
      <c r="K313" s="157" t="s">
        <v>231</v>
      </c>
      <c r="L313" s="239"/>
    </row>
    <row r="314" spans="1:12">
      <c r="A314" s="232"/>
      <c r="B314" s="235" t="s">
        <v>3486</v>
      </c>
      <c r="C314" s="157" t="s">
        <v>229</v>
      </c>
      <c r="D314" s="157" t="s">
        <v>3486</v>
      </c>
      <c r="E314" s="234"/>
      <c r="F314" s="234"/>
      <c r="G314" s="157" t="s">
        <v>3785</v>
      </c>
      <c r="H314" s="234"/>
      <c r="I314" s="234"/>
      <c r="J314" s="157"/>
      <c r="K314" s="157" t="s">
        <v>231</v>
      </c>
      <c r="L314" s="239"/>
    </row>
    <row r="315" spans="1:12">
      <c r="A315" s="232"/>
      <c r="B315" s="235" t="s">
        <v>3487</v>
      </c>
      <c r="C315" s="157" t="s">
        <v>229</v>
      </c>
      <c r="D315" s="157" t="s">
        <v>3487</v>
      </c>
      <c r="E315" s="234"/>
      <c r="F315" s="234"/>
      <c r="G315" s="157" t="s">
        <v>3785</v>
      </c>
      <c r="H315" s="234"/>
      <c r="I315" s="234"/>
      <c r="J315" s="157"/>
      <c r="K315" s="157" t="s">
        <v>231</v>
      </c>
      <c r="L315" s="239"/>
    </row>
    <row r="316" spans="1:12">
      <c r="A316" s="232"/>
      <c r="B316" s="235" t="s">
        <v>3488</v>
      </c>
      <c r="C316" s="157" t="s">
        <v>229</v>
      </c>
      <c r="D316" s="157" t="s">
        <v>3488</v>
      </c>
      <c r="E316" s="234"/>
      <c r="F316" s="234"/>
      <c r="G316" s="157" t="s">
        <v>3785</v>
      </c>
      <c r="H316" s="234"/>
      <c r="I316" s="234"/>
      <c r="J316" s="157"/>
      <c r="K316" s="157" t="s">
        <v>231</v>
      </c>
      <c r="L316" s="239"/>
    </row>
    <row r="317" spans="1:12">
      <c r="A317" s="232"/>
      <c r="B317" s="235" t="s">
        <v>3489</v>
      </c>
      <c r="C317" s="157" t="s">
        <v>229</v>
      </c>
      <c r="D317" s="157" t="s">
        <v>3489</v>
      </c>
      <c r="E317" s="234"/>
      <c r="F317" s="234"/>
      <c r="G317" s="157" t="s">
        <v>3785</v>
      </c>
      <c r="H317" s="234"/>
      <c r="I317" s="234"/>
      <c r="J317" s="157"/>
      <c r="K317" s="157" t="s">
        <v>231</v>
      </c>
      <c r="L317" s="239"/>
    </row>
    <row r="318" spans="1:12">
      <c r="A318" s="232"/>
      <c r="B318" s="235" t="s">
        <v>3490</v>
      </c>
      <c r="C318" s="157" t="s">
        <v>229</v>
      </c>
      <c r="D318" s="157" t="s">
        <v>3490</v>
      </c>
      <c r="E318" s="234"/>
      <c r="F318" s="234"/>
      <c r="G318" s="157" t="s">
        <v>3785</v>
      </c>
      <c r="H318" s="234"/>
      <c r="I318" s="234"/>
      <c r="J318" s="157"/>
      <c r="K318" s="157" t="s">
        <v>231</v>
      </c>
      <c r="L318" s="239"/>
    </row>
    <row r="319" spans="1:12">
      <c r="A319" s="232"/>
      <c r="B319" s="235" t="s">
        <v>3491</v>
      </c>
      <c r="C319" s="157" t="s">
        <v>229</v>
      </c>
      <c r="D319" s="157" t="s">
        <v>3491</v>
      </c>
      <c r="E319" s="234"/>
      <c r="F319" s="234"/>
      <c r="G319" s="157" t="s">
        <v>3785</v>
      </c>
      <c r="H319" s="234"/>
      <c r="I319" s="234"/>
      <c r="J319" s="157"/>
      <c r="K319" s="157" t="s">
        <v>231</v>
      </c>
      <c r="L319" s="239"/>
    </row>
    <row r="320" spans="1:12">
      <c r="A320" s="232"/>
      <c r="B320" s="235" t="s">
        <v>3492</v>
      </c>
      <c r="C320" s="157" t="s">
        <v>229</v>
      </c>
      <c r="D320" s="157" t="s">
        <v>3492</v>
      </c>
      <c r="E320" s="234"/>
      <c r="F320" s="234"/>
      <c r="G320" s="157" t="s">
        <v>3785</v>
      </c>
      <c r="H320" s="234"/>
      <c r="I320" s="234"/>
      <c r="J320" s="157"/>
      <c r="K320" s="157" t="s">
        <v>231</v>
      </c>
      <c r="L320" s="239"/>
    </row>
    <row r="321" spans="1:12">
      <c r="A321" s="232"/>
      <c r="B321" s="235" t="s">
        <v>3493</v>
      </c>
      <c r="C321" s="157" t="s">
        <v>229</v>
      </c>
      <c r="D321" s="157" t="s">
        <v>3493</v>
      </c>
      <c r="E321" s="234"/>
      <c r="F321" s="234"/>
      <c r="G321" s="157" t="s">
        <v>3785</v>
      </c>
      <c r="H321" s="234"/>
      <c r="I321" s="234"/>
      <c r="J321" s="157"/>
      <c r="K321" s="157" t="s">
        <v>231</v>
      </c>
      <c r="L321" s="239"/>
    </row>
    <row r="322" spans="1:12">
      <c r="A322" s="191"/>
      <c r="B322" s="200" t="s">
        <v>1854</v>
      </c>
      <c r="C322" s="200" t="s">
        <v>170</v>
      </c>
      <c r="D322" s="200" t="s">
        <v>2554</v>
      </c>
      <c r="E322" s="241" t="s">
        <v>422</v>
      </c>
      <c r="F322" s="234"/>
      <c r="G322" s="242" t="s">
        <v>1519</v>
      </c>
      <c r="H322" s="241"/>
      <c r="I322" s="241"/>
      <c r="J322" s="241"/>
      <c r="K322" s="241"/>
      <c r="L322" s="239"/>
    </row>
    <row r="323" spans="1:12">
      <c r="A323" s="191"/>
      <c r="B323" s="200" t="s">
        <v>1856</v>
      </c>
      <c r="C323" s="200" t="s">
        <v>170</v>
      </c>
      <c r="D323" s="200" t="s">
        <v>2556</v>
      </c>
      <c r="E323" s="241" t="s">
        <v>422</v>
      </c>
      <c r="F323" s="234"/>
      <c r="G323" s="242" t="s">
        <v>1522</v>
      </c>
      <c r="H323" s="241"/>
      <c r="I323" s="241"/>
      <c r="J323" s="241"/>
      <c r="K323" s="241"/>
      <c r="L323" s="239"/>
    </row>
    <row r="324" spans="1:12">
      <c r="A324" s="191"/>
      <c r="B324" s="200" t="s">
        <v>1504</v>
      </c>
      <c r="C324" s="200" t="s">
        <v>170</v>
      </c>
      <c r="D324" s="200" t="s">
        <v>2558</v>
      </c>
      <c r="E324" s="241" t="s">
        <v>422</v>
      </c>
      <c r="F324" s="234"/>
      <c r="G324" s="243" t="s">
        <v>1506</v>
      </c>
      <c r="H324" s="241"/>
      <c r="I324" s="241"/>
      <c r="J324" s="241"/>
      <c r="K324" s="241"/>
      <c r="L324" s="239"/>
    </row>
    <row r="325" spans="1:12">
      <c r="A325" s="191"/>
      <c r="B325" s="200" t="s">
        <v>1848</v>
      </c>
      <c r="C325" s="200" t="s">
        <v>170</v>
      </c>
      <c r="D325" s="200" t="s">
        <v>2560</v>
      </c>
      <c r="E325" s="241" t="s">
        <v>422</v>
      </c>
      <c r="F325" s="234"/>
      <c r="G325" s="244" t="s">
        <v>1510</v>
      </c>
      <c r="H325" s="241"/>
      <c r="I325" s="241"/>
      <c r="J325" s="241"/>
      <c r="K325" s="241"/>
      <c r="L325" s="239"/>
    </row>
    <row r="326" spans="1:12">
      <c r="A326" s="191"/>
      <c r="B326" s="200" t="s">
        <v>1850</v>
      </c>
      <c r="C326" s="200" t="s">
        <v>170</v>
      </c>
      <c r="D326" s="200" t="s">
        <v>2562</v>
      </c>
      <c r="E326" s="241" t="s">
        <v>422</v>
      </c>
      <c r="F326" s="234"/>
      <c r="G326" s="244" t="s">
        <v>1513</v>
      </c>
      <c r="H326" s="241"/>
      <c r="I326" s="241"/>
      <c r="J326" s="241"/>
      <c r="K326" s="241"/>
      <c r="L326" s="239"/>
    </row>
    <row r="327" spans="1:12">
      <c r="A327" s="191"/>
      <c r="B327" s="200" t="s">
        <v>1852</v>
      </c>
      <c r="C327" s="200" t="s">
        <v>170</v>
      </c>
      <c r="D327" s="200" t="s">
        <v>2564</v>
      </c>
      <c r="E327" s="241" t="s">
        <v>422</v>
      </c>
      <c r="F327" s="234"/>
      <c r="G327" s="244" t="s">
        <v>1516</v>
      </c>
      <c r="H327" s="241"/>
      <c r="I327" s="241"/>
      <c r="J327" s="241"/>
      <c r="K327" s="241"/>
      <c r="L327" s="239"/>
    </row>
    <row r="328" spans="1:12">
      <c r="A328" s="191"/>
      <c r="B328" s="200" t="s">
        <v>1523</v>
      </c>
      <c r="C328" s="200" t="s">
        <v>229</v>
      </c>
      <c r="D328" s="200" t="s">
        <v>1524</v>
      </c>
      <c r="E328" s="241" t="s">
        <v>422</v>
      </c>
      <c r="F328" s="234"/>
      <c r="G328" s="200" t="s">
        <v>1525</v>
      </c>
      <c r="H328" s="241"/>
      <c r="I328" s="241"/>
      <c r="J328" s="241"/>
      <c r="K328" s="241"/>
      <c r="L328" s="239"/>
    </row>
    <row r="329" spans="1:12">
      <c r="A329" s="191"/>
      <c r="B329" s="200" t="s">
        <v>1858</v>
      </c>
      <c r="C329" s="200" t="s">
        <v>229</v>
      </c>
      <c r="D329" s="200" t="s">
        <v>618</v>
      </c>
      <c r="E329" s="241" t="s">
        <v>422</v>
      </c>
      <c r="F329" s="234"/>
      <c r="G329" s="245" t="s">
        <v>3514</v>
      </c>
      <c r="H329" s="241"/>
      <c r="I329" s="241"/>
      <c r="J329" s="241"/>
      <c r="K329" s="241"/>
      <c r="L329" s="239"/>
    </row>
    <row r="330" spans="2:12">
      <c r="B330" s="229" t="s">
        <v>239</v>
      </c>
      <c r="C330" s="229" t="s">
        <v>170</v>
      </c>
      <c r="D330" s="229" t="s">
        <v>240</v>
      </c>
      <c r="E330" s="201"/>
      <c r="F330" s="201"/>
      <c r="G330" s="201"/>
      <c r="H330" s="201"/>
      <c r="I330" s="201"/>
      <c r="J330" s="201"/>
      <c r="K330" s="229" t="s">
        <v>749</v>
      </c>
      <c r="L330" s="229" t="s">
        <v>1544</v>
      </c>
    </row>
    <row r="331" spans="2:12">
      <c r="B331" s="229" t="s">
        <v>177</v>
      </c>
      <c r="C331" s="229" t="s">
        <v>175</v>
      </c>
      <c r="D331" s="229" t="s">
        <v>599</v>
      </c>
      <c r="E331" s="201"/>
      <c r="F331" s="201"/>
      <c r="G331" s="201"/>
      <c r="H331" s="201"/>
      <c r="I331" s="201"/>
      <c r="J331" s="201"/>
      <c r="K331" s="229" t="s">
        <v>749</v>
      </c>
      <c r="L331" s="229" t="s">
        <v>749</v>
      </c>
    </row>
    <row r="332" spans="2:12">
      <c r="B332" s="229" t="s">
        <v>693</v>
      </c>
      <c r="C332" s="229" t="s">
        <v>170</v>
      </c>
      <c r="D332" s="229" t="s">
        <v>1859</v>
      </c>
      <c r="E332" s="201"/>
      <c r="F332" s="201"/>
      <c r="G332" s="201"/>
      <c r="H332" s="201"/>
      <c r="I332" s="201"/>
      <c r="J332" s="201"/>
      <c r="K332" s="229" t="s">
        <v>749</v>
      </c>
      <c r="L332" s="229" t="s">
        <v>1860</v>
      </c>
    </row>
  </sheetData>
  <autoFilter xmlns:etc="http://www.wps.cn/officeDocument/2017/etCustomData" ref="A12:L332" etc:filterBottomFollowUsedRange="0">
    <extLst/>
  </autoFilter>
  <mergeCells count="3">
    <mergeCell ref="B2:H2"/>
    <mergeCell ref="B6:H6"/>
    <mergeCell ref="B11:L11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56"/>
  <sheetViews>
    <sheetView workbookViewId="0">
      <selection activeCell="J27" sqref="J27"/>
    </sheetView>
  </sheetViews>
  <sheetFormatPr defaultColWidth="9" defaultRowHeight="15.6"/>
  <cols>
    <col min="1" max="1" width="5" style="210" customWidth="1"/>
    <col min="2" max="2" width="16.3796296296296" style="210" customWidth="1"/>
    <col min="3" max="3" width="20.3796296296296" style="210" customWidth="1"/>
    <col min="4" max="4" width="36.75" style="210" customWidth="1"/>
    <col min="5" max="5" width="16.25" style="210" customWidth="1"/>
    <col min="6" max="6" width="11.1296296296296" style="210" customWidth="1"/>
    <col min="7" max="7" width="23.1296296296296" style="210" customWidth="1"/>
    <col min="8" max="8" width="12" style="210" customWidth="1"/>
    <col min="9" max="9" width="10.8796296296296" style="210" customWidth="1"/>
    <col min="10" max="10" width="12.5" style="210" customWidth="1"/>
    <col min="11" max="11" width="14.1296296296296" style="210" customWidth="1"/>
    <col min="12" max="12" width="12.3796296296296" style="211" customWidth="1"/>
    <col min="13" max="16384" width="9" style="211"/>
  </cols>
  <sheetData>
    <row r="1" spans="2:8">
      <c r="B1" s="193" t="str">
        <f>HYPERLINK("#"&amp;"导航应用"&amp;"!B1","返回")</f>
        <v>返回</v>
      </c>
      <c r="C1" s="212"/>
      <c r="D1" s="212"/>
      <c r="E1" s="212"/>
      <c r="F1" s="212"/>
      <c r="G1" s="212"/>
      <c r="H1" s="212"/>
    </row>
    <row r="2" ht="17.4" spans="2:8">
      <c r="B2" s="213" t="s">
        <v>132</v>
      </c>
      <c r="C2" s="213"/>
      <c r="D2" s="213"/>
      <c r="E2" s="213"/>
      <c r="F2" s="213"/>
      <c r="G2" s="213"/>
      <c r="H2" s="213"/>
    </row>
    <row r="3" spans="2:8">
      <c r="B3" s="214" t="s">
        <v>133</v>
      </c>
      <c r="C3" s="214" t="s">
        <v>134</v>
      </c>
      <c r="D3" s="214" t="s">
        <v>135</v>
      </c>
      <c r="E3" s="214" t="s">
        <v>136</v>
      </c>
      <c r="F3" s="214" t="s">
        <v>137</v>
      </c>
      <c r="G3" s="214" t="s">
        <v>138</v>
      </c>
      <c r="H3" s="214" t="s">
        <v>139</v>
      </c>
    </row>
    <row r="4" spans="2:8">
      <c r="B4" s="215"/>
      <c r="C4" s="54" t="s">
        <v>90</v>
      </c>
      <c r="D4" s="216" t="s">
        <v>91</v>
      </c>
      <c r="E4" s="215" t="s">
        <v>661</v>
      </c>
      <c r="F4" s="217" t="s">
        <v>141</v>
      </c>
      <c r="G4" s="218"/>
      <c r="H4" s="218"/>
    </row>
    <row r="5" spans="2:8">
      <c r="B5" s="219"/>
      <c r="C5" s="219"/>
      <c r="D5" s="219"/>
      <c r="E5" s="219"/>
      <c r="F5" s="219"/>
      <c r="G5" s="219"/>
      <c r="H5" s="219"/>
    </row>
    <row r="6" ht="17.4" spans="2:8">
      <c r="B6" s="213" t="s">
        <v>142</v>
      </c>
      <c r="C6" s="213"/>
      <c r="D6" s="213"/>
      <c r="E6" s="213"/>
      <c r="F6" s="213"/>
      <c r="G6" s="213"/>
      <c r="H6" s="213"/>
    </row>
    <row r="7" spans="2:8">
      <c r="B7" s="220" t="s">
        <v>143</v>
      </c>
      <c r="C7" s="220" t="s">
        <v>144</v>
      </c>
      <c r="D7" s="220" t="s">
        <v>145</v>
      </c>
      <c r="E7" s="220" t="s">
        <v>146</v>
      </c>
      <c r="F7" s="220" t="s">
        <v>147</v>
      </c>
      <c r="G7" s="220" t="s">
        <v>13</v>
      </c>
      <c r="H7" s="220" t="s">
        <v>148</v>
      </c>
    </row>
    <row r="8" s="75" customFormat="1" spans="1:14">
      <c r="A8" s="76"/>
      <c r="B8" s="82"/>
      <c r="C8" s="200" t="s">
        <v>670</v>
      </c>
      <c r="D8" s="61"/>
      <c r="E8" s="64" t="s">
        <v>671</v>
      </c>
      <c r="F8" s="221" t="s">
        <v>2570</v>
      </c>
      <c r="G8" s="61"/>
      <c r="H8" s="134" t="s">
        <v>672</v>
      </c>
      <c r="I8" s="76"/>
      <c r="J8" s="76"/>
      <c r="K8" s="76"/>
      <c r="L8" s="100"/>
      <c r="M8" s="100"/>
      <c r="N8" s="100"/>
    </row>
    <row r="10" spans="2:12">
      <c r="B10" s="222" t="s">
        <v>158</v>
      </c>
      <c r="C10" s="223"/>
      <c r="D10" s="223"/>
      <c r="E10" s="223"/>
      <c r="F10" s="223"/>
      <c r="G10" s="223"/>
      <c r="H10" s="223"/>
      <c r="I10" s="223"/>
      <c r="J10" s="223"/>
      <c r="K10" s="223"/>
      <c r="L10" s="230"/>
    </row>
    <row r="11" ht="24" spans="2:12">
      <c r="B11" s="224" t="s">
        <v>159</v>
      </c>
      <c r="C11" s="224" t="s">
        <v>160</v>
      </c>
      <c r="D11" s="224" t="s">
        <v>161</v>
      </c>
      <c r="E11" s="224" t="s">
        <v>162</v>
      </c>
      <c r="F11" s="224" t="s">
        <v>163</v>
      </c>
      <c r="G11" s="224" t="s">
        <v>164</v>
      </c>
      <c r="H11" s="224" t="s">
        <v>165</v>
      </c>
      <c r="I11" s="224" t="s">
        <v>13</v>
      </c>
      <c r="J11" s="224" t="s">
        <v>166</v>
      </c>
      <c r="K11" s="224" t="s">
        <v>167</v>
      </c>
      <c r="L11" s="224" t="s">
        <v>168</v>
      </c>
    </row>
    <row r="12" spans="2:12">
      <c r="B12" s="121" t="s">
        <v>174</v>
      </c>
      <c r="C12" s="59" t="s">
        <v>175</v>
      </c>
      <c r="D12" s="61" t="s">
        <v>1530</v>
      </c>
      <c r="E12" s="225"/>
      <c r="F12" s="225"/>
      <c r="G12" s="172" t="s">
        <v>174</v>
      </c>
      <c r="H12" s="225"/>
      <c r="I12" s="225"/>
      <c r="J12" s="225"/>
      <c r="K12" s="225"/>
      <c r="L12" s="225"/>
    </row>
    <row r="13" spans="2:12">
      <c r="B13" s="105" t="s">
        <v>1539</v>
      </c>
      <c r="C13" s="59" t="s">
        <v>170</v>
      </c>
      <c r="D13" s="61" t="s">
        <v>1532</v>
      </c>
      <c r="E13" s="225"/>
      <c r="F13" s="225"/>
      <c r="G13" s="166" t="s">
        <v>1532</v>
      </c>
      <c r="H13" s="225"/>
      <c r="I13" s="225"/>
      <c r="J13" s="225"/>
      <c r="K13" s="225"/>
      <c r="L13" s="225"/>
    </row>
    <row r="14" spans="2:12">
      <c r="B14" s="105" t="s">
        <v>661</v>
      </c>
      <c r="C14" s="59" t="s">
        <v>170</v>
      </c>
      <c r="D14" s="61" t="s">
        <v>2574</v>
      </c>
      <c r="E14" s="225"/>
      <c r="F14" s="225"/>
      <c r="G14" s="148" t="s">
        <v>2574</v>
      </c>
      <c r="H14" s="225"/>
      <c r="I14" s="225"/>
      <c r="J14" s="225"/>
      <c r="K14" s="225"/>
      <c r="L14" s="225"/>
    </row>
    <row r="15" spans="2:12">
      <c r="B15" s="226" t="s">
        <v>211</v>
      </c>
      <c r="C15" s="59" t="s">
        <v>175</v>
      </c>
      <c r="D15" s="61" t="s">
        <v>2575</v>
      </c>
      <c r="E15" s="225"/>
      <c r="F15" s="225"/>
      <c r="G15" s="148" t="s">
        <v>4147</v>
      </c>
      <c r="H15" s="225"/>
      <c r="I15" s="225"/>
      <c r="J15" s="225"/>
      <c r="K15" s="225"/>
      <c r="L15" s="225"/>
    </row>
    <row r="16" spans="2:12">
      <c r="B16" s="226" t="s">
        <v>191</v>
      </c>
      <c r="C16" s="59" t="s">
        <v>175</v>
      </c>
      <c r="D16" s="61" t="s">
        <v>715</v>
      </c>
      <c r="E16" s="225"/>
      <c r="F16" s="225"/>
      <c r="G16" s="148" t="s">
        <v>715</v>
      </c>
      <c r="H16" s="225"/>
      <c r="I16" s="225"/>
      <c r="J16" s="225"/>
      <c r="K16" s="225"/>
      <c r="L16" s="225"/>
    </row>
    <row r="17" spans="2:12">
      <c r="B17" s="226" t="s">
        <v>188</v>
      </c>
      <c r="C17" s="59" t="s">
        <v>175</v>
      </c>
      <c r="D17" s="225"/>
      <c r="E17" s="225"/>
      <c r="F17" s="225"/>
      <c r="G17" s="148" t="s">
        <v>717</v>
      </c>
      <c r="H17" s="225"/>
      <c r="I17" s="225"/>
      <c r="J17" s="225"/>
      <c r="K17" s="225"/>
      <c r="L17" s="225"/>
    </row>
    <row r="18" s="42" customFormat="1" spans="1:12">
      <c r="A18" s="41"/>
      <c r="B18" s="59" t="s">
        <v>4148</v>
      </c>
      <c r="C18" s="59" t="s">
        <v>203</v>
      </c>
      <c r="D18" s="59" t="s">
        <v>4149</v>
      </c>
      <c r="E18" s="59" t="s">
        <v>422</v>
      </c>
      <c r="F18" s="12"/>
      <c r="G18" s="147" t="s">
        <v>4150</v>
      </c>
      <c r="H18" s="55"/>
      <c r="I18" s="59"/>
      <c r="J18" s="12"/>
      <c r="K18" s="59"/>
      <c r="L18" s="55"/>
    </row>
    <row r="19" s="42" customFormat="1" spans="1:12">
      <c r="A19" s="41"/>
      <c r="B19" s="59" t="s">
        <v>4151</v>
      </c>
      <c r="C19" s="59" t="s">
        <v>203</v>
      </c>
      <c r="D19" s="59" t="s">
        <v>4152</v>
      </c>
      <c r="E19" s="59" t="s">
        <v>422</v>
      </c>
      <c r="F19" s="12"/>
      <c r="G19" s="147" t="s">
        <v>4153</v>
      </c>
      <c r="H19" s="55"/>
      <c r="I19" s="59"/>
      <c r="J19" s="12"/>
      <c r="K19" s="59"/>
      <c r="L19" s="55"/>
    </row>
    <row r="20" s="42" customFormat="1" spans="1:12">
      <c r="A20" s="41"/>
      <c r="B20" s="59" t="s">
        <v>4154</v>
      </c>
      <c r="C20" s="59" t="s">
        <v>203</v>
      </c>
      <c r="D20" s="59" t="s">
        <v>4155</v>
      </c>
      <c r="E20" s="59" t="s">
        <v>422</v>
      </c>
      <c r="F20" s="12"/>
      <c r="G20" s="147" t="s">
        <v>4150</v>
      </c>
      <c r="H20" s="55"/>
      <c r="I20" s="59"/>
      <c r="J20" s="12"/>
      <c r="K20" s="59"/>
      <c r="L20" s="55"/>
    </row>
    <row r="21" s="42" customFormat="1" spans="1:12">
      <c r="A21" s="41"/>
      <c r="B21" s="59" t="s">
        <v>4156</v>
      </c>
      <c r="C21" s="59" t="s">
        <v>203</v>
      </c>
      <c r="D21" s="59" t="s">
        <v>4157</v>
      </c>
      <c r="E21" s="59" t="s">
        <v>422</v>
      </c>
      <c r="F21" s="12"/>
      <c r="G21" s="147" t="s">
        <v>4153</v>
      </c>
      <c r="H21" s="55"/>
      <c r="I21" s="59"/>
      <c r="J21" s="12"/>
      <c r="K21" s="59"/>
      <c r="L21" s="55"/>
    </row>
    <row r="22" s="42" customFormat="1" spans="1:12">
      <c r="A22" s="41"/>
      <c r="B22" s="59" t="s">
        <v>4158</v>
      </c>
      <c r="C22" s="59" t="s">
        <v>229</v>
      </c>
      <c r="D22" s="59" t="s">
        <v>4159</v>
      </c>
      <c r="E22" s="59" t="s">
        <v>422</v>
      </c>
      <c r="F22" s="12"/>
      <c r="G22" s="152" t="s">
        <v>2586</v>
      </c>
      <c r="H22" s="55"/>
      <c r="I22" s="59"/>
      <c r="J22" s="12"/>
      <c r="K22" s="59"/>
      <c r="L22" s="55"/>
    </row>
    <row r="23" s="42" customFormat="1" spans="1:12">
      <c r="A23" s="41"/>
      <c r="B23" s="59" t="s">
        <v>4160</v>
      </c>
      <c r="C23" s="59" t="s">
        <v>203</v>
      </c>
      <c r="D23" s="59" t="s">
        <v>4161</v>
      </c>
      <c r="E23" s="59" t="s">
        <v>422</v>
      </c>
      <c r="F23" s="227"/>
      <c r="G23" s="147" t="s">
        <v>4162</v>
      </c>
      <c r="H23" s="55"/>
      <c r="I23" s="59"/>
      <c r="J23" s="12"/>
      <c r="K23" s="59"/>
      <c r="L23" s="55"/>
    </row>
    <row r="24" s="42" customFormat="1" spans="1:12">
      <c r="A24" s="41"/>
      <c r="B24" s="59" t="s">
        <v>4163</v>
      </c>
      <c r="C24" s="59" t="s">
        <v>229</v>
      </c>
      <c r="D24" s="59" t="s">
        <v>4164</v>
      </c>
      <c r="E24" s="59" t="s">
        <v>422</v>
      </c>
      <c r="F24" s="227"/>
      <c r="G24" s="147" t="s">
        <v>4165</v>
      </c>
      <c r="H24" s="55"/>
      <c r="I24" s="59"/>
      <c r="J24" s="12"/>
      <c r="K24" s="59"/>
      <c r="L24" s="55"/>
    </row>
    <row r="25" s="42" customFormat="1" spans="1:12">
      <c r="A25" s="41"/>
      <c r="B25" s="59" t="s">
        <v>4166</v>
      </c>
      <c r="C25" s="59" t="s">
        <v>229</v>
      </c>
      <c r="D25" s="59" t="s">
        <v>4167</v>
      </c>
      <c r="E25" s="59" t="s">
        <v>422</v>
      </c>
      <c r="F25" s="12"/>
      <c r="G25" s="148" t="s">
        <v>4168</v>
      </c>
      <c r="H25" s="55"/>
      <c r="I25" s="59"/>
      <c r="J25" s="12"/>
      <c r="K25" s="59"/>
      <c r="L25" s="55"/>
    </row>
    <row r="26" s="42" customFormat="1" spans="1:12">
      <c r="A26" s="41"/>
      <c r="B26" s="59" t="s">
        <v>4169</v>
      </c>
      <c r="C26" s="59" t="s">
        <v>229</v>
      </c>
      <c r="D26" s="59" t="s">
        <v>4170</v>
      </c>
      <c r="E26" s="59" t="s">
        <v>422</v>
      </c>
      <c r="F26" s="12"/>
      <c r="G26" s="148" t="s">
        <v>4171</v>
      </c>
      <c r="H26" s="55"/>
      <c r="I26" s="59"/>
      <c r="J26" s="12"/>
      <c r="K26" s="59"/>
      <c r="L26" s="55"/>
    </row>
    <row r="27" s="42" customFormat="1" spans="1:12">
      <c r="A27" s="41"/>
      <c r="B27" s="59" t="s">
        <v>4172</v>
      </c>
      <c r="C27" s="59" t="s">
        <v>203</v>
      </c>
      <c r="D27" s="59" t="s">
        <v>4173</v>
      </c>
      <c r="E27" s="59" t="s">
        <v>422</v>
      </c>
      <c r="F27" s="12"/>
      <c r="G27" s="148" t="s">
        <v>4174</v>
      </c>
      <c r="H27" s="55"/>
      <c r="I27" s="59"/>
      <c r="J27" s="12"/>
      <c r="K27" s="59"/>
      <c r="L27" s="55"/>
    </row>
    <row r="28" s="42" customFormat="1" spans="1:12">
      <c r="A28" s="41"/>
      <c r="B28" s="59" t="s">
        <v>4175</v>
      </c>
      <c r="C28" s="59" t="s">
        <v>203</v>
      </c>
      <c r="D28" s="59" t="s">
        <v>4176</v>
      </c>
      <c r="E28" s="59" t="s">
        <v>422</v>
      </c>
      <c r="F28" s="12"/>
      <c r="G28" s="148" t="s">
        <v>4177</v>
      </c>
      <c r="H28" s="55"/>
      <c r="I28" s="59"/>
      <c r="J28" s="12"/>
      <c r="K28" s="59"/>
      <c r="L28" s="55"/>
    </row>
    <row r="29" s="42" customFormat="1" spans="1:12">
      <c r="A29" s="41"/>
      <c r="B29" s="59" t="s">
        <v>4178</v>
      </c>
      <c r="C29" s="59" t="s">
        <v>203</v>
      </c>
      <c r="D29" s="59" t="s">
        <v>4179</v>
      </c>
      <c r="E29" s="59" t="s">
        <v>422</v>
      </c>
      <c r="F29" s="12"/>
      <c r="G29" s="148" t="s">
        <v>4180</v>
      </c>
      <c r="H29" s="55"/>
      <c r="I29" s="59"/>
      <c r="J29" s="12"/>
      <c r="K29" s="59"/>
      <c r="L29" s="55"/>
    </row>
    <row r="30" s="42" customFormat="1" spans="1:12">
      <c r="A30" s="41"/>
      <c r="B30" s="59" t="s">
        <v>4181</v>
      </c>
      <c r="C30" s="59" t="s">
        <v>229</v>
      </c>
      <c r="D30" s="59" t="s">
        <v>4182</v>
      </c>
      <c r="E30" s="59" t="s">
        <v>422</v>
      </c>
      <c r="F30" s="12"/>
      <c r="G30" s="148" t="s">
        <v>4183</v>
      </c>
      <c r="H30" s="55"/>
      <c r="I30" s="59"/>
      <c r="J30" s="12"/>
      <c r="K30" s="59"/>
      <c r="L30" s="55"/>
    </row>
    <row r="31" s="42" customFormat="1" spans="1:12">
      <c r="A31" s="41"/>
      <c r="B31" s="59" t="s">
        <v>4184</v>
      </c>
      <c r="C31" s="59" t="s">
        <v>229</v>
      </c>
      <c r="D31" s="59" t="s">
        <v>4185</v>
      </c>
      <c r="E31" s="59" t="s">
        <v>422</v>
      </c>
      <c r="F31" s="12"/>
      <c r="G31" s="148" t="s">
        <v>4186</v>
      </c>
      <c r="H31" s="55"/>
      <c r="I31" s="59"/>
      <c r="J31" s="12"/>
      <c r="K31" s="59"/>
      <c r="L31" s="55"/>
    </row>
    <row r="32" s="42" customFormat="1" spans="1:12">
      <c r="A32" s="41"/>
      <c r="B32" s="59" t="s">
        <v>4187</v>
      </c>
      <c r="C32" s="59" t="s">
        <v>203</v>
      </c>
      <c r="D32" s="59" t="s">
        <v>4188</v>
      </c>
      <c r="E32" s="59" t="s">
        <v>422</v>
      </c>
      <c r="F32" s="12"/>
      <c r="G32" s="148" t="s">
        <v>4189</v>
      </c>
      <c r="H32" s="55"/>
      <c r="I32" s="59"/>
      <c r="J32" s="12"/>
      <c r="K32" s="59"/>
      <c r="L32" s="55"/>
    </row>
    <row r="33" s="42" customFormat="1" spans="1:12">
      <c r="A33" s="41"/>
      <c r="B33" s="59" t="s">
        <v>4190</v>
      </c>
      <c r="C33" s="59" t="s">
        <v>203</v>
      </c>
      <c r="D33" s="59" t="s">
        <v>4191</v>
      </c>
      <c r="E33" s="59" t="s">
        <v>422</v>
      </c>
      <c r="F33" s="12"/>
      <c r="G33" s="147" t="s">
        <v>1693</v>
      </c>
      <c r="H33" s="55"/>
      <c r="I33" s="59"/>
      <c r="J33" s="12"/>
      <c r="K33" s="59"/>
      <c r="L33" s="55"/>
    </row>
    <row r="34" s="42" customFormat="1" spans="1:12">
      <c r="A34" s="41"/>
      <c r="B34" s="59" t="s">
        <v>4192</v>
      </c>
      <c r="C34" s="59" t="s">
        <v>229</v>
      </c>
      <c r="D34" s="59" t="s">
        <v>4193</v>
      </c>
      <c r="E34" s="59" t="s">
        <v>422</v>
      </c>
      <c r="F34" s="12"/>
      <c r="G34" s="147" t="s">
        <v>1693</v>
      </c>
      <c r="H34" s="55"/>
      <c r="I34" s="59"/>
      <c r="J34" s="12"/>
      <c r="K34" s="59"/>
      <c r="L34" s="55"/>
    </row>
    <row r="35" s="42" customFormat="1" spans="1:12">
      <c r="A35" s="41"/>
      <c r="B35" s="59" t="s">
        <v>4194</v>
      </c>
      <c r="C35" s="59" t="s">
        <v>229</v>
      </c>
      <c r="D35" s="59" t="s">
        <v>4195</v>
      </c>
      <c r="E35" s="59" t="s">
        <v>422</v>
      </c>
      <c r="F35" s="12"/>
      <c r="G35" s="147" t="s">
        <v>1693</v>
      </c>
      <c r="H35" s="55"/>
      <c r="I35" s="59"/>
      <c r="J35" s="12"/>
      <c r="K35" s="59"/>
      <c r="L35" s="55"/>
    </row>
    <row r="36" s="42" customFormat="1" spans="1:12">
      <c r="A36" s="41"/>
      <c r="B36" s="59" t="s">
        <v>4196</v>
      </c>
      <c r="C36" s="59" t="s">
        <v>203</v>
      </c>
      <c r="D36" s="59" t="s">
        <v>4197</v>
      </c>
      <c r="E36" s="59" t="s">
        <v>422</v>
      </c>
      <c r="F36" s="12"/>
      <c r="G36" s="147" t="s">
        <v>1693</v>
      </c>
      <c r="H36" s="55"/>
      <c r="I36" s="59"/>
      <c r="J36" s="12"/>
      <c r="K36" s="59"/>
      <c r="L36" s="55"/>
    </row>
    <row r="37" s="42" customFormat="1" spans="1:12">
      <c r="A37" s="41"/>
      <c r="B37" s="59" t="s">
        <v>4198</v>
      </c>
      <c r="C37" s="59" t="s">
        <v>229</v>
      </c>
      <c r="D37" s="59" t="s">
        <v>4199</v>
      </c>
      <c r="E37" s="59" t="s">
        <v>422</v>
      </c>
      <c r="F37" s="12"/>
      <c r="G37" s="147" t="s">
        <v>1693</v>
      </c>
      <c r="H37" s="55"/>
      <c r="I37" s="59"/>
      <c r="J37" s="12"/>
      <c r="K37" s="59"/>
      <c r="L37" s="55"/>
    </row>
    <row r="38" s="42" customFormat="1" spans="1:12">
      <c r="A38" s="41"/>
      <c r="B38" s="59" t="s">
        <v>4200</v>
      </c>
      <c r="C38" s="59" t="s">
        <v>229</v>
      </c>
      <c r="D38" s="59" t="s">
        <v>4201</v>
      </c>
      <c r="E38" s="59" t="s">
        <v>422</v>
      </c>
      <c r="F38" s="12"/>
      <c r="G38" s="147" t="s">
        <v>1693</v>
      </c>
      <c r="H38" s="55"/>
      <c r="I38" s="59"/>
      <c r="J38" s="12"/>
      <c r="K38" s="59"/>
      <c r="L38" s="55"/>
    </row>
    <row r="39" s="42" customFormat="1" spans="1:12">
      <c r="A39" s="41"/>
      <c r="B39" s="59" t="s">
        <v>4202</v>
      </c>
      <c r="C39" s="59" t="s">
        <v>229</v>
      </c>
      <c r="D39" s="59" t="s">
        <v>4203</v>
      </c>
      <c r="E39" s="59" t="s">
        <v>422</v>
      </c>
      <c r="F39" s="12"/>
      <c r="G39" s="147" t="s">
        <v>1693</v>
      </c>
      <c r="H39" s="55"/>
      <c r="I39" s="59"/>
      <c r="J39" s="12"/>
      <c r="K39" s="59"/>
      <c r="L39" s="55"/>
    </row>
    <row r="40" s="42" customFormat="1" spans="1:12">
      <c r="A40" s="41"/>
      <c r="B40" s="59" t="s">
        <v>4204</v>
      </c>
      <c r="C40" s="59" t="s">
        <v>229</v>
      </c>
      <c r="D40" s="59" t="s">
        <v>4205</v>
      </c>
      <c r="E40" s="59" t="s">
        <v>422</v>
      </c>
      <c r="F40" s="12"/>
      <c r="G40" s="147" t="s">
        <v>1693</v>
      </c>
      <c r="H40" s="55"/>
      <c r="I40" s="59"/>
      <c r="J40" s="12"/>
      <c r="K40" s="59"/>
      <c r="L40" s="55"/>
    </row>
    <row r="41" s="42" customFormat="1" spans="1:12">
      <c r="A41" s="41"/>
      <c r="B41" s="59" t="s">
        <v>4206</v>
      </c>
      <c r="C41" s="59" t="s">
        <v>203</v>
      </c>
      <c r="D41" s="59" t="s">
        <v>4207</v>
      </c>
      <c r="E41" s="59" t="s">
        <v>422</v>
      </c>
      <c r="F41" s="12"/>
      <c r="G41" s="147" t="s">
        <v>1693</v>
      </c>
      <c r="H41" s="55"/>
      <c r="I41" s="59"/>
      <c r="J41" s="12"/>
      <c r="K41" s="59"/>
      <c r="L41" s="55"/>
    </row>
    <row r="42" s="42" customFormat="1" spans="1:12">
      <c r="A42" s="41"/>
      <c r="B42" s="59" t="s">
        <v>4208</v>
      </c>
      <c r="C42" s="59" t="s">
        <v>203</v>
      </c>
      <c r="D42" s="59" t="s">
        <v>4209</v>
      </c>
      <c r="E42" s="59" t="s">
        <v>422</v>
      </c>
      <c r="F42" s="12"/>
      <c r="G42" s="147" t="s">
        <v>1693</v>
      </c>
      <c r="H42" s="55"/>
      <c r="I42" s="59"/>
      <c r="J42" s="12"/>
      <c r="K42" s="59"/>
      <c r="L42" s="55"/>
    </row>
    <row r="43" s="42" customFormat="1" spans="1:12">
      <c r="A43" s="41"/>
      <c r="B43" s="59" t="s">
        <v>4210</v>
      </c>
      <c r="C43" s="59" t="s">
        <v>203</v>
      </c>
      <c r="D43" s="59" t="s">
        <v>4211</v>
      </c>
      <c r="E43" s="59" t="s">
        <v>422</v>
      </c>
      <c r="F43" s="12"/>
      <c r="G43" s="147" t="s">
        <v>1693</v>
      </c>
      <c r="H43" s="55"/>
      <c r="I43" s="59"/>
      <c r="J43" s="12"/>
      <c r="K43" s="59"/>
      <c r="L43" s="55"/>
    </row>
    <row r="44" s="42" customFormat="1" spans="1:12">
      <c r="A44" s="41"/>
      <c r="B44" s="59" t="s">
        <v>4212</v>
      </c>
      <c r="C44" s="59" t="s">
        <v>203</v>
      </c>
      <c r="D44" s="59" t="s">
        <v>4213</v>
      </c>
      <c r="E44" s="59" t="s">
        <v>422</v>
      </c>
      <c r="F44" s="12"/>
      <c r="G44" s="147" t="s">
        <v>1693</v>
      </c>
      <c r="H44" s="55"/>
      <c r="I44" s="59"/>
      <c r="J44" s="12"/>
      <c r="K44" s="59"/>
      <c r="L44" s="55"/>
    </row>
    <row r="45" s="42" customFormat="1" spans="1:12">
      <c r="A45" s="41"/>
      <c r="B45" s="59" t="s">
        <v>4214</v>
      </c>
      <c r="C45" s="59" t="s">
        <v>229</v>
      </c>
      <c r="D45" s="59" t="s">
        <v>4215</v>
      </c>
      <c r="E45" s="59" t="s">
        <v>422</v>
      </c>
      <c r="F45" s="12"/>
      <c r="G45" s="148" t="s">
        <v>4216</v>
      </c>
      <c r="H45" s="55"/>
      <c r="I45" s="59"/>
      <c r="J45" s="12"/>
      <c r="K45" s="59"/>
      <c r="L45" s="55"/>
    </row>
    <row r="46" s="42" customFormat="1" spans="1:12">
      <c r="A46" s="41"/>
      <c r="B46" s="59" t="s">
        <v>4217</v>
      </c>
      <c r="C46" s="59" t="s">
        <v>229</v>
      </c>
      <c r="D46" s="59" t="s">
        <v>4218</v>
      </c>
      <c r="E46" s="59" t="s">
        <v>422</v>
      </c>
      <c r="F46" s="12"/>
      <c r="G46" s="147" t="s">
        <v>1693</v>
      </c>
      <c r="H46" s="55"/>
      <c r="I46" s="59"/>
      <c r="J46" s="12"/>
      <c r="K46" s="59"/>
      <c r="L46" s="55"/>
    </row>
    <row r="47" s="42" customFormat="1" spans="1:12">
      <c r="A47" s="41"/>
      <c r="B47" s="59" t="s">
        <v>4219</v>
      </c>
      <c r="C47" s="59" t="s">
        <v>229</v>
      </c>
      <c r="D47" s="59" t="s">
        <v>4220</v>
      </c>
      <c r="E47" s="59" t="s">
        <v>422</v>
      </c>
      <c r="F47" s="12"/>
      <c r="G47" s="147" t="s">
        <v>1693</v>
      </c>
      <c r="H47" s="55"/>
      <c r="I47" s="59"/>
      <c r="J47" s="12"/>
      <c r="K47" s="59"/>
      <c r="L47" s="55"/>
    </row>
    <row r="48" s="42" customFormat="1" spans="1:12">
      <c r="A48" s="41"/>
      <c r="B48" s="59" t="s">
        <v>4221</v>
      </c>
      <c r="C48" s="59" t="s">
        <v>229</v>
      </c>
      <c r="D48" s="59" t="s">
        <v>4222</v>
      </c>
      <c r="E48" s="59" t="s">
        <v>422</v>
      </c>
      <c r="F48" s="12"/>
      <c r="G48" s="147" t="s">
        <v>1693</v>
      </c>
      <c r="H48" s="55"/>
      <c r="I48" s="59"/>
      <c r="J48" s="12"/>
      <c r="K48" s="59"/>
      <c r="L48" s="55"/>
    </row>
    <row r="49" s="42" customFormat="1" spans="1:12">
      <c r="A49" s="41"/>
      <c r="B49" s="59" t="s">
        <v>4223</v>
      </c>
      <c r="C49" s="59" t="s">
        <v>203</v>
      </c>
      <c r="D49" s="59" t="s">
        <v>4224</v>
      </c>
      <c r="E49" s="59" t="s">
        <v>422</v>
      </c>
      <c r="F49" s="12"/>
      <c r="G49" s="147" t="s">
        <v>1693</v>
      </c>
      <c r="H49" s="55"/>
      <c r="I49" s="59"/>
      <c r="J49" s="12"/>
      <c r="K49" s="59"/>
      <c r="L49" s="55"/>
    </row>
    <row r="50" s="42" customFormat="1" spans="1:12">
      <c r="A50" s="41"/>
      <c r="B50" s="59" t="s">
        <v>4225</v>
      </c>
      <c r="C50" s="59" t="s">
        <v>203</v>
      </c>
      <c r="D50" s="59" t="s">
        <v>4226</v>
      </c>
      <c r="E50" s="59" t="s">
        <v>422</v>
      </c>
      <c r="F50" s="12"/>
      <c r="G50" s="147" t="s">
        <v>1693</v>
      </c>
      <c r="H50" s="55"/>
      <c r="I50" s="59"/>
      <c r="J50" s="12"/>
      <c r="K50" s="59"/>
      <c r="L50" s="55"/>
    </row>
    <row r="51" s="42" customFormat="1" spans="1:12">
      <c r="A51" s="41"/>
      <c r="B51" s="59" t="s">
        <v>4227</v>
      </c>
      <c r="C51" s="59" t="s">
        <v>203</v>
      </c>
      <c r="D51" s="59" t="s">
        <v>4228</v>
      </c>
      <c r="E51" s="59" t="s">
        <v>422</v>
      </c>
      <c r="F51" s="12"/>
      <c r="G51" s="147" t="s">
        <v>1693</v>
      </c>
      <c r="H51" s="55"/>
      <c r="I51" s="59"/>
      <c r="J51" s="12"/>
      <c r="K51" s="59"/>
      <c r="L51" s="55"/>
    </row>
    <row r="52" s="42" customFormat="1" spans="1:12">
      <c r="A52" s="41"/>
      <c r="B52" s="59" t="s">
        <v>4229</v>
      </c>
      <c r="C52" s="59" t="s">
        <v>203</v>
      </c>
      <c r="D52" s="59" t="s">
        <v>4230</v>
      </c>
      <c r="E52" s="59" t="s">
        <v>422</v>
      </c>
      <c r="F52" s="12"/>
      <c r="G52" s="147" t="s">
        <v>1693</v>
      </c>
      <c r="H52" s="55"/>
      <c r="I52" s="59"/>
      <c r="J52" s="12"/>
      <c r="K52" s="59"/>
      <c r="L52" s="55"/>
    </row>
    <row r="53" s="192" customFormat="1" spans="1:12">
      <c r="A53" s="191"/>
      <c r="B53" s="228" t="s">
        <v>239</v>
      </c>
      <c r="C53" s="228" t="s">
        <v>170</v>
      </c>
      <c r="D53" s="229" t="s">
        <v>240</v>
      </c>
      <c r="E53" s="59" t="s">
        <v>422</v>
      </c>
      <c r="F53" s="201"/>
      <c r="G53" s="105"/>
      <c r="H53" s="84"/>
      <c r="I53" s="84"/>
      <c r="J53" s="84"/>
      <c r="K53" s="228"/>
      <c r="L53" s="228"/>
    </row>
    <row r="54" s="192" customFormat="1" spans="1:12">
      <c r="A54" s="191"/>
      <c r="B54" s="228" t="s">
        <v>177</v>
      </c>
      <c r="C54" s="228" t="s">
        <v>175</v>
      </c>
      <c r="D54" s="229" t="s">
        <v>1971</v>
      </c>
      <c r="E54" s="84"/>
      <c r="F54" s="201"/>
      <c r="G54" s="201"/>
      <c r="H54" s="84"/>
      <c r="I54" s="84"/>
      <c r="J54" s="84"/>
      <c r="K54" s="228"/>
      <c r="L54" s="228"/>
    </row>
    <row r="55" s="192" customFormat="1" spans="1:12">
      <c r="A55" s="191"/>
      <c r="B55" s="228" t="s">
        <v>693</v>
      </c>
      <c r="C55" s="228" t="s">
        <v>175</v>
      </c>
      <c r="D55" s="229" t="s">
        <v>1859</v>
      </c>
      <c r="E55" s="84"/>
      <c r="F55" s="201"/>
      <c r="G55" s="201"/>
      <c r="H55" s="84"/>
      <c r="I55" s="84"/>
      <c r="J55" s="84"/>
      <c r="K55" s="228"/>
      <c r="L55" s="228"/>
    </row>
    <row r="56" s="209" customFormat="1" spans="2:12">
      <c r="B56" s="229" t="s">
        <v>696</v>
      </c>
      <c r="C56" s="229" t="s">
        <v>170</v>
      </c>
      <c r="D56" s="229" t="s">
        <v>1534</v>
      </c>
      <c r="E56" s="201"/>
      <c r="F56" s="201"/>
      <c r="G56" s="201"/>
      <c r="H56" s="201"/>
      <c r="I56" s="201"/>
      <c r="J56" s="201"/>
      <c r="K56" s="229"/>
      <c r="L56" s="229"/>
    </row>
  </sheetData>
  <mergeCells count="3">
    <mergeCell ref="B2:H2"/>
    <mergeCell ref="B6:H6"/>
    <mergeCell ref="B10:L10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42"/>
  <sheetViews>
    <sheetView workbookViewId="0">
      <selection activeCell="J27" sqref="J27"/>
    </sheetView>
  </sheetViews>
  <sheetFormatPr defaultColWidth="9" defaultRowHeight="15.6"/>
  <cols>
    <col min="1" max="1" width="5" style="191" customWidth="1"/>
    <col min="2" max="2" width="16.3796296296296" style="191" customWidth="1"/>
    <col min="3" max="3" width="23.1296296296296" style="191" customWidth="1"/>
    <col min="4" max="4" width="20.5" style="191" customWidth="1"/>
    <col min="5" max="5" width="16.25" style="191" customWidth="1"/>
    <col min="6" max="6" width="11.1296296296296" style="191" customWidth="1"/>
    <col min="7" max="7" width="9.12962962962963" style="191" customWidth="1"/>
    <col min="8" max="8" width="12" style="191" customWidth="1"/>
    <col min="9" max="9" width="10.8796296296296" style="191" customWidth="1"/>
    <col min="10" max="10" width="12.5" style="191" customWidth="1"/>
    <col min="11" max="11" width="14.1296296296296" style="191" customWidth="1"/>
    <col min="12" max="12" width="12.3796296296296" style="192" customWidth="1"/>
    <col min="13" max="16384" width="9" style="192"/>
  </cols>
  <sheetData>
    <row r="1" spans="2:8">
      <c r="B1" s="193" t="str">
        <f>HYPERLINK("#"&amp;"导航应用"&amp;"!B1","返回")</f>
        <v>返回</v>
      </c>
      <c r="C1" s="194"/>
      <c r="D1" s="194"/>
      <c r="E1" s="194"/>
      <c r="F1" s="194"/>
      <c r="G1" s="194"/>
      <c r="H1" s="194"/>
    </row>
    <row r="2" ht="17.4" spans="2:8">
      <c r="B2" s="195" t="s">
        <v>132</v>
      </c>
      <c r="C2" s="195"/>
      <c r="D2" s="195"/>
      <c r="E2" s="195"/>
      <c r="F2" s="195"/>
      <c r="G2" s="195"/>
      <c r="H2" s="195"/>
    </row>
    <row r="3" spans="2:8">
      <c r="B3" s="196" t="s">
        <v>133</v>
      </c>
      <c r="C3" s="196" t="s">
        <v>134</v>
      </c>
      <c r="D3" s="196" t="s">
        <v>135</v>
      </c>
      <c r="E3" s="196" t="s">
        <v>136</v>
      </c>
      <c r="F3" s="196" t="s">
        <v>137</v>
      </c>
      <c r="G3" s="196" t="s">
        <v>138</v>
      </c>
      <c r="H3" s="196" t="s">
        <v>139</v>
      </c>
    </row>
    <row r="4" spans="2:14">
      <c r="B4" s="84"/>
      <c r="C4" s="105" t="s">
        <v>93</v>
      </c>
      <c r="D4" s="84" t="s">
        <v>2702</v>
      </c>
      <c r="E4" s="84" t="s">
        <v>661</v>
      </c>
      <c r="F4" s="197"/>
      <c r="G4" s="84"/>
      <c r="H4" s="84"/>
      <c r="N4" s="191"/>
    </row>
    <row r="5" spans="2:8">
      <c r="B5" s="198"/>
      <c r="C5" s="198"/>
      <c r="D5" s="198"/>
      <c r="E5" s="198"/>
      <c r="F5" s="198"/>
      <c r="G5" s="198"/>
      <c r="H5" s="198"/>
    </row>
    <row r="6" ht="17.4" spans="2:8">
      <c r="B6" s="195" t="s">
        <v>142</v>
      </c>
      <c r="C6" s="195"/>
      <c r="D6" s="195"/>
      <c r="E6" s="195"/>
      <c r="F6" s="195"/>
      <c r="G6" s="195"/>
      <c r="H6" s="195"/>
    </row>
    <row r="7" spans="2:8">
      <c r="B7" s="199" t="s">
        <v>143</v>
      </c>
      <c r="C7" s="199" t="s">
        <v>144</v>
      </c>
      <c r="D7" s="199" t="s">
        <v>145</v>
      </c>
      <c r="E7" s="199" t="s">
        <v>146</v>
      </c>
      <c r="F7" s="199" t="s">
        <v>147</v>
      </c>
      <c r="G7" s="199" t="s">
        <v>13</v>
      </c>
      <c r="H7" s="199" t="s">
        <v>148</v>
      </c>
    </row>
    <row r="8" spans="2:8">
      <c r="B8" s="84"/>
      <c r="C8" s="200" t="s">
        <v>670</v>
      </c>
      <c r="D8" s="201"/>
      <c r="E8" s="84" t="s">
        <v>422</v>
      </c>
      <c r="F8" s="84"/>
      <c r="G8" s="84"/>
      <c r="H8" s="84" t="s">
        <v>21</v>
      </c>
    </row>
    <row r="10" spans="2:12">
      <c r="B10" s="202" t="s">
        <v>158</v>
      </c>
      <c r="C10" s="203"/>
      <c r="D10" s="203"/>
      <c r="E10" s="203"/>
      <c r="F10" s="203"/>
      <c r="G10" s="203"/>
      <c r="H10" s="203"/>
      <c r="I10" s="203"/>
      <c r="J10" s="203"/>
      <c r="K10" s="203"/>
      <c r="L10" s="207"/>
    </row>
    <row r="11" ht="24" spans="2:12">
      <c r="B11" s="204" t="s">
        <v>159</v>
      </c>
      <c r="C11" s="204" t="s">
        <v>160</v>
      </c>
      <c r="D11" s="204" t="s">
        <v>161</v>
      </c>
      <c r="E11" s="204" t="s">
        <v>162</v>
      </c>
      <c r="F11" s="204" t="s">
        <v>163</v>
      </c>
      <c r="G11" s="204" t="s">
        <v>164</v>
      </c>
      <c r="H11" s="204" t="s">
        <v>165</v>
      </c>
      <c r="I11" s="204" t="s">
        <v>13</v>
      </c>
      <c r="J11" s="204" t="s">
        <v>166</v>
      </c>
      <c r="K11" s="204" t="s">
        <v>167</v>
      </c>
      <c r="L11" s="204" t="s">
        <v>168</v>
      </c>
    </row>
    <row r="12" spans="2:12">
      <c r="B12" s="72" t="s">
        <v>174</v>
      </c>
      <c r="C12" s="72" t="s">
        <v>175</v>
      </c>
      <c r="D12" s="72" t="s">
        <v>176</v>
      </c>
      <c r="E12" s="72" t="s">
        <v>422</v>
      </c>
      <c r="F12" s="84"/>
      <c r="G12" s="72" t="s">
        <v>177</v>
      </c>
      <c r="H12" s="84"/>
      <c r="I12" s="206"/>
      <c r="J12" s="84"/>
      <c r="K12" s="84"/>
      <c r="L12" s="84"/>
    </row>
    <row r="13" spans="2:12">
      <c r="B13" s="72" t="s">
        <v>1539</v>
      </c>
      <c r="C13" s="72" t="s">
        <v>175</v>
      </c>
      <c r="D13" s="72" t="s">
        <v>1540</v>
      </c>
      <c r="E13" s="72" t="s">
        <v>422</v>
      </c>
      <c r="F13" s="84"/>
      <c r="G13" s="72" t="s">
        <v>693</v>
      </c>
      <c r="H13" s="84"/>
      <c r="I13" s="84"/>
      <c r="J13" s="84"/>
      <c r="K13" s="84"/>
      <c r="L13" s="206"/>
    </row>
    <row r="14" spans="2:12">
      <c r="B14" s="72" t="s">
        <v>661</v>
      </c>
      <c r="C14" s="72" t="s">
        <v>175</v>
      </c>
      <c r="D14" s="72" t="s">
        <v>1542</v>
      </c>
      <c r="E14" s="72" t="s">
        <v>422</v>
      </c>
      <c r="F14" s="84"/>
      <c r="G14" s="72" t="s">
        <v>696</v>
      </c>
      <c r="H14" s="84"/>
      <c r="I14" s="84"/>
      <c r="J14" s="84"/>
      <c r="K14" s="84"/>
      <c r="L14" s="206"/>
    </row>
    <row r="15" spans="2:12">
      <c r="B15" s="72" t="s">
        <v>211</v>
      </c>
      <c r="C15" s="72" t="s">
        <v>175</v>
      </c>
      <c r="D15" s="72" t="s">
        <v>211</v>
      </c>
      <c r="E15" s="72" t="s">
        <v>422</v>
      </c>
      <c r="F15" s="84"/>
      <c r="G15" s="205" t="s">
        <v>4231</v>
      </c>
      <c r="H15" s="84"/>
      <c r="I15" s="84"/>
      <c r="J15" s="84"/>
      <c r="K15" s="84"/>
      <c r="L15" s="206"/>
    </row>
    <row r="16" spans="2:12">
      <c r="B16" s="72" t="s">
        <v>191</v>
      </c>
      <c r="C16" s="72" t="s">
        <v>175</v>
      </c>
      <c r="D16" s="72" t="s">
        <v>191</v>
      </c>
      <c r="E16" s="72" t="s">
        <v>422</v>
      </c>
      <c r="F16" s="84"/>
      <c r="G16" s="72" t="s">
        <v>1864</v>
      </c>
      <c r="H16" s="84"/>
      <c r="I16" s="84"/>
      <c r="J16" s="84"/>
      <c r="K16" s="84"/>
      <c r="L16" s="206"/>
    </row>
    <row r="17" spans="2:12">
      <c r="B17" s="72" t="s">
        <v>188</v>
      </c>
      <c r="C17" s="72" t="s">
        <v>175</v>
      </c>
      <c r="D17" s="72" t="s">
        <v>2704</v>
      </c>
      <c r="E17" s="72" t="s">
        <v>422</v>
      </c>
      <c r="F17" s="84"/>
      <c r="G17" s="72" t="s">
        <v>188</v>
      </c>
      <c r="H17" s="84"/>
      <c r="I17" s="84"/>
      <c r="J17" s="84"/>
      <c r="K17" s="84"/>
      <c r="L17" s="206"/>
    </row>
    <row r="18" spans="2:12">
      <c r="B18" s="72" t="s">
        <v>4232</v>
      </c>
      <c r="C18" s="72" t="s">
        <v>170</v>
      </c>
      <c r="D18" s="72" t="s">
        <v>4233</v>
      </c>
      <c r="E18" s="72" t="s">
        <v>422</v>
      </c>
      <c r="F18" s="84"/>
      <c r="G18" s="72" t="s">
        <v>4234</v>
      </c>
      <c r="H18" s="84"/>
      <c r="I18" s="84"/>
      <c r="J18" s="84"/>
      <c r="K18" s="84"/>
      <c r="L18" s="206"/>
    </row>
    <row r="19" spans="2:12">
      <c r="B19" s="72" t="s">
        <v>4235</v>
      </c>
      <c r="C19" s="72" t="s">
        <v>170</v>
      </c>
      <c r="D19" s="72" t="s">
        <v>4236</v>
      </c>
      <c r="E19" s="72" t="s">
        <v>422</v>
      </c>
      <c r="F19" s="84"/>
      <c r="G19" s="157" t="s">
        <v>4237</v>
      </c>
      <c r="H19" s="84"/>
      <c r="I19" s="84"/>
      <c r="J19" s="84"/>
      <c r="K19" s="84"/>
      <c r="L19" s="206"/>
    </row>
    <row r="20" spans="2:12">
      <c r="B20" s="72" t="s">
        <v>2711</v>
      </c>
      <c r="C20" s="72" t="s">
        <v>170</v>
      </c>
      <c r="D20" s="72" t="s">
        <v>2712</v>
      </c>
      <c r="E20" s="72" t="s">
        <v>422</v>
      </c>
      <c r="F20" s="84"/>
      <c r="G20" s="206" t="s">
        <v>1693</v>
      </c>
      <c r="H20" s="84"/>
      <c r="I20" s="84"/>
      <c r="J20" s="84"/>
      <c r="K20" s="84"/>
      <c r="L20" s="206"/>
    </row>
    <row r="21" spans="2:12">
      <c r="B21" s="72" t="s">
        <v>2714</v>
      </c>
      <c r="C21" s="72" t="s">
        <v>170</v>
      </c>
      <c r="D21" s="72" t="s">
        <v>2715</v>
      </c>
      <c r="E21" s="72" t="s">
        <v>422</v>
      </c>
      <c r="F21" s="84"/>
      <c r="G21" s="206" t="s">
        <v>1693</v>
      </c>
      <c r="H21" s="84"/>
      <c r="I21" s="84"/>
      <c r="J21" s="84"/>
      <c r="K21" s="84"/>
      <c r="L21" s="206"/>
    </row>
    <row r="22" spans="2:12">
      <c r="B22" s="72" t="s">
        <v>4238</v>
      </c>
      <c r="C22" s="72" t="s">
        <v>203</v>
      </c>
      <c r="D22" s="72" t="s">
        <v>4239</v>
      </c>
      <c r="E22" s="72" t="s">
        <v>422</v>
      </c>
      <c r="F22" s="84"/>
      <c r="G22" s="157" t="s">
        <v>4240</v>
      </c>
      <c r="H22" s="84"/>
      <c r="I22" s="84"/>
      <c r="J22" s="84"/>
      <c r="K22" s="84"/>
      <c r="L22" s="206"/>
    </row>
    <row r="23" spans="2:12">
      <c r="B23" s="72" t="s">
        <v>2720</v>
      </c>
      <c r="C23" s="72" t="s">
        <v>203</v>
      </c>
      <c r="D23" s="72" t="s">
        <v>2721</v>
      </c>
      <c r="E23" s="72" t="s">
        <v>422</v>
      </c>
      <c r="F23" s="84"/>
      <c r="G23" s="206" t="s">
        <v>1693</v>
      </c>
      <c r="H23" s="84"/>
      <c r="I23" s="84"/>
      <c r="J23" s="84"/>
      <c r="K23" s="84"/>
      <c r="L23" s="206"/>
    </row>
    <row r="24" spans="2:12">
      <c r="B24" s="72" t="s">
        <v>2723</v>
      </c>
      <c r="C24" s="72" t="s">
        <v>2724</v>
      </c>
      <c r="D24" s="72" t="s">
        <v>2725</v>
      </c>
      <c r="E24" s="72" t="s">
        <v>1536</v>
      </c>
      <c r="F24" s="84"/>
      <c r="G24" s="206" t="s">
        <v>1693</v>
      </c>
      <c r="H24" s="84"/>
      <c r="I24" s="208" t="s">
        <v>2726</v>
      </c>
      <c r="J24" s="84"/>
      <c r="K24" s="84"/>
      <c r="L24" s="206"/>
    </row>
    <row r="25" spans="2:12">
      <c r="B25" s="72" t="s">
        <v>2727</v>
      </c>
      <c r="C25" s="72" t="s">
        <v>2724</v>
      </c>
      <c r="D25" s="72" t="s">
        <v>2728</v>
      </c>
      <c r="E25" s="72" t="s">
        <v>1536</v>
      </c>
      <c r="F25" s="84"/>
      <c r="G25" s="206" t="s">
        <v>1693</v>
      </c>
      <c r="H25" s="84"/>
      <c r="I25" s="208" t="s">
        <v>2729</v>
      </c>
      <c r="J25" s="84"/>
      <c r="K25" s="84"/>
      <c r="L25" s="206"/>
    </row>
    <row r="26" spans="2:12">
      <c r="B26" s="72" t="s">
        <v>2730</v>
      </c>
      <c r="C26" s="72" t="s">
        <v>2724</v>
      </c>
      <c r="D26" s="72" t="s">
        <v>2731</v>
      </c>
      <c r="E26" s="72" t="s">
        <v>1536</v>
      </c>
      <c r="F26" s="84"/>
      <c r="G26" s="206" t="s">
        <v>1693</v>
      </c>
      <c r="H26" s="84"/>
      <c r="I26" s="208" t="s">
        <v>2732</v>
      </c>
      <c r="J26" s="84"/>
      <c r="K26" s="84"/>
      <c r="L26" s="206"/>
    </row>
    <row r="27" spans="2:12">
      <c r="B27" s="72" t="s">
        <v>2733</v>
      </c>
      <c r="C27" s="72" t="s">
        <v>2724</v>
      </c>
      <c r="D27" s="72" t="s">
        <v>2734</v>
      </c>
      <c r="E27" s="72" t="s">
        <v>1536</v>
      </c>
      <c r="F27" s="84"/>
      <c r="G27" s="206" t="s">
        <v>1693</v>
      </c>
      <c r="H27" s="84"/>
      <c r="I27" s="208" t="s">
        <v>2735</v>
      </c>
      <c r="J27" s="84"/>
      <c r="K27" s="84"/>
      <c r="L27" s="206"/>
    </row>
    <row r="28" spans="2:12">
      <c r="B28" s="72" t="s">
        <v>2736</v>
      </c>
      <c r="C28" s="72" t="s">
        <v>2724</v>
      </c>
      <c r="D28" s="72" t="s">
        <v>2737</v>
      </c>
      <c r="E28" s="72" t="s">
        <v>1536</v>
      </c>
      <c r="F28" s="84"/>
      <c r="G28" s="206" t="s">
        <v>1693</v>
      </c>
      <c r="H28" s="84"/>
      <c r="I28" s="208" t="s">
        <v>2738</v>
      </c>
      <c r="J28" s="84"/>
      <c r="K28" s="84"/>
      <c r="L28" s="206"/>
    </row>
    <row r="29" spans="2:12">
      <c r="B29" s="72" t="s">
        <v>2739</v>
      </c>
      <c r="C29" s="72" t="s">
        <v>2724</v>
      </c>
      <c r="D29" s="72" t="s">
        <v>2740</v>
      </c>
      <c r="E29" s="72" t="s">
        <v>1536</v>
      </c>
      <c r="F29" s="84"/>
      <c r="G29" s="206" t="s">
        <v>1693</v>
      </c>
      <c r="H29" s="84"/>
      <c r="I29" s="208" t="s">
        <v>2741</v>
      </c>
      <c r="J29" s="84"/>
      <c r="K29" s="84"/>
      <c r="L29" s="206"/>
    </row>
    <row r="30" spans="2:12">
      <c r="B30" s="72" t="s">
        <v>2742</v>
      </c>
      <c r="C30" s="72" t="s">
        <v>2724</v>
      </c>
      <c r="D30" s="72" t="s">
        <v>2743</v>
      </c>
      <c r="E30" s="72" t="s">
        <v>1536</v>
      </c>
      <c r="F30" s="84"/>
      <c r="G30" s="206" t="s">
        <v>1693</v>
      </c>
      <c r="H30" s="84"/>
      <c r="I30" s="208" t="s">
        <v>2744</v>
      </c>
      <c r="J30" s="84"/>
      <c r="K30" s="84"/>
      <c r="L30" s="206"/>
    </row>
    <row r="31" spans="2:12">
      <c r="B31" s="72" t="s">
        <v>2745</v>
      </c>
      <c r="C31" s="72" t="s">
        <v>2724</v>
      </c>
      <c r="D31" s="72" t="s">
        <v>2746</v>
      </c>
      <c r="E31" s="72" t="s">
        <v>1536</v>
      </c>
      <c r="F31" s="84"/>
      <c r="G31" s="206" t="s">
        <v>1693</v>
      </c>
      <c r="H31" s="84"/>
      <c r="I31" s="208" t="s">
        <v>2747</v>
      </c>
      <c r="J31" s="84"/>
      <c r="K31" s="84"/>
      <c r="L31" s="206"/>
    </row>
    <row r="32" spans="2:12">
      <c r="B32" s="72" t="s">
        <v>2748</v>
      </c>
      <c r="C32" s="72" t="s">
        <v>2724</v>
      </c>
      <c r="D32" s="72" t="s">
        <v>2749</v>
      </c>
      <c r="E32" s="72" t="s">
        <v>1536</v>
      </c>
      <c r="F32" s="84"/>
      <c r="G32" s="206" t="s">
        <v>1693</v>
      </c>
      <c r="H32" s="84"/>
      <c r="I32" s="208" t="s">
        <v>2750</v>
      </c>
      <c r="J32" s="84"/>
      <c r="K32" s="84"/>
      <c r="L32" s="206"/>
    </row>
    <row r="33" spans="2:12">
      <c r="B33" s="72" t="s">
        <v>2751</v>
      </c>
      <c r="C33" s="72" t="s">
        <v>2724</v>
      </c>
      <c r="D33" s="72" t="s">
        <v>2752</v>
      </c>
      <c r="E33" s="72" t="s">
        <v>1536</v>
      </c>
      <c r="F33" s="84"/>
      <c r="G33" s="206" t="s">
        <v>1693</v>
      </c>
      <c r="H33" s="84"/>
      <c r="I33" s="208" t="s">
        <v>2753</v>
      </c>
      <c r="J33" s="84"/>
      <c r="K33" s="84"/>
      <c r="L33" s="206"/>
    </row>
    <row r="34" spans="2:12">
      <c r="B34" s="72" t="s">
        <v>2754</v>
      </c>
      <c r="C34" s="72" t="s">
        <v>2724</v>
      </c>
      <c r="D34" s="72" t="s">
        <v>2755</v>
      </c>
      <c r="E34" s="72" t="s">
        <v>1536</v>
      </c>
      <c r="F34" s="84"/>
      <c r="G34" s="206" t="s">
        <v>1693</v>
      </c>
      <c r="H34" s="84"/>
      <c r="I34" s="208" t="s">
        <v>2756</v>
      </c>
      <c r="J34" s="84"/>
      <c r="K34" s="84"/>
      <c r="L34" s="206"/>
    </row>
    <row r="35" spans="2:12">
      <c r="B35" s="72" t="s">
        <v>2757</v>
      </c>
      <c r="C35" s="72" t="s">
        <v>2724</v>
      </c>
      <c r="D35" s="72" t="s">
        <v>2758</v>
      </c>
      <c r="E35" s="72" t="s">
        <v>1536</v>
      </c>
      <c r="F35" s="84"/>
      <c r="G35" s="206" t="s">
        <v>1693</v>
      </c>
      <c r="H35" s="84"/>
      <c r="I35" s="208" t="s">
        <v>2759</v>
      </c>
      <c r="J35" s="84"/>
      <c r="K35" s="84"/>
      <c r="L35" s="206"/>
    </row>
    <row r="36" spans="2:12">
      <c r="B36" s="72" t="s">
        <v>2760</v>
      </c>
      <c r="C36" s="72" t="s">
        <v>2724</v>
      </c>
      <c r="D36" s="72" t="s">
        <v>2761</v>
      </c>
      <c r="E36" s="72" t="s">
        <v>4241</v>
      </c>
      <c r="F36" s="84"/>
      <c r="G36" s="206" t="s">
        <v>1693</v>
      </c>
      <c r="H36" s="84"/>
      <c r="I36" s="208" t="s">
        <v>2762</v>
      </c>
      <c r="J36" s="84"/>
      <c r="K36" s="84"/>
      <c r="L36" s="206"/>
    </row>
    <row r="37" spans="2:12">
      <c r="B37" s="72" t="s">
        <v>2763</v>
      </c>
      <c r="C37" s="72" t="s">
        <v>2724</v>
      </c>
      <c r="D37" s="72" t="s">
        <v>2764</v>
      </c>
      <c r="E37" s="72" t="s">
        <v>4241</v>
      </c>
      <c r="F37" s="84"/>
      <c r="G37" s="206" t="s">
        <v>1693</v>
      </c>
      <c r="H37" s="84"/>
      <c r="I37" s="208" t="s">
        <v>2765</v>
      </c>
      <c r="J37" s="84"/>
      <c r="K37" s="84"/>
      <c r="L37" s="206"/>
    </row>
    <row r="38" spans="2:12">
      <c r="B38" s="72" t="s">
        <v>2766</v>
      </c>
      <c r="C38" s="72" t="s">
        <v>2724</v>
      </c>
      <c r="D38" s="72" t="s">
        <v>2767</v>
      </c>
      <c r="E38" s="72" t="s">
        <v>4241</v>
      </c>
      <c r="F38" s="84"/>
      <c r="G38" s="206" t="s">
        <v>1693</v>
      </c>
      <c r="H38" s="84"/>
      <c r="I38" s="208" t="s">
        <v>2768</v>
      </c>
      <c r="J38" s="84"/>
      <c r="K38" s="84"/>
      <c r="L38" s="206"/>
    </row>
    <row r="39" s="75" customFormat="1" spans="1:14">
      <c r="A39" s="95"/>
      <c r="B39" s="69" t="s">
        <v>4242</v>
      </c>
      <c r="C39" s="96" t="s">
        <v>706</v>
      </c>
      <c r="D39" s="96" t="s">
        <v>2770</v>
      </c>
      <c r="E39" s="72" t="s">
        <v>422</v>
      </c>
      <c r="F39" s="69"/>
      <c r="G39" s="150" t="s">
        <v>831</v>
      </c>
      <c r="H39" s="64"/>
      <c r="I39" s="64"/>
      <c r="J39" s="64"/>
      <c r="K39" s="64"/>
      <c r="L39" s="61"/>
      <c r="M39" s="100"/>
      <c r="N39" s="100"/>
    </row>
    <row r="40" spans="2:12">
      <c r="B40" s="72" t="s">
        <v>177</v>
      </c>
      <c r="C40" s="72" t="s">
        <v>175</v>
      </c>
      <c r="D40" s="72" t="s">
        <v>177</v>
      </c>
      <c r="E40" s="72" t="s">
        <v>422</v>
      </c>
      <c r="F40" s="84"/>
      <c r="G40" s="72" t="s">
        <v>177</v>
      </c>
      <c r="H40" s="84"/>
      <c r="I40" s="206"/>
      <c r="J40" s="84"/>
      <c r="K40" s="84"/>
      <c r="L40" s="84"/>
    </row>
    <row r="41" spans="2:12">
      <c r="B41" s="72" t="s">
        <v>693</v>
      </c>
      <c r="C41" s="72" t="s">
        <v>175</v>
      </c>
      <c r="D41" s="72" t="s">
        <v>693</v>
      </c>
      <c r="E41" s="72" t="s">
        <v>422</v>
      </c>
      <c r="F41" s="84"/>
      <c r="G41" s="72" t="s">
        <v>693</v>
      </c>
      <c r="H41" s="84"/>
      <c r="I41" s="84"/>
      <c r="J41" s="84"/>
      <c r="K41" s="84"/>
      <c r="L41" s="206"/>
    </row>
    <row r="42" spans="2:12">
      <c r="B42" s="72" t="s">
        <v>696</v>
      </c>
      <c r="C42" s="72" t="s">
        <v>175</v>
      </c>
      <c r="D42" s="72" t="s">
        <v>696</v>
      </c>
      <c r="E42" s="72" t="s">
        <v>422</v>
      </c>
      <c r="F42" s="84"/>
      <c r="G42" s="72" t="s">
        <v>696</v>
      </c>
      <c r="H42" s="84"/>
      <c r="I42" s="84"/>
      <c r="J42" s="84"/>
      <c r="K42" s="84"/>
      <c r="L42" s="206"/>
    </row>
  </sheetData>
  <mergeCells count="3">
    <mergeCell ref="B2:H2"/>
    <mergeCell ref="B6:H6"/>
    <mergeCell ref="B10:L10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273"/>
  <sheetViews>
    <sheetView workbookViewId="0">
      <selection activeCell="J27" sqref="J27"/>
    </sheetView>
  </sheetViews>
  <sheetFormatPr defaultColWidth="67.75" defaultRowHeight="15"/>
  <cols>
    <col min="1" max="1" width="5.12962962962963" style="75" customWidth="1"/>
    <col min="2" max="2" width="29.75" style="40" customWidth="1"/>
    <col min="3" max="3" width="27.5" style="128" customWidth="1"/>
    <col min="4" max="4" width="28.3796296296296" style="128" customWidth="1"/>
    <col min="5" max="5" width="9.25" style="129" customWidth="1"/>
    <col min="6" max="6" width="10.3796296296296" style="40" customWidth="1"/>
    <col min="7" max="7" width="61.1296296296296" style="40" customWidth="1"/>
    <col min="8" max="8" width="29.5" style="40" customWidth="1"/>
    <col min="9" max="9" width="4.12962962962963" style="75" customWidth="1"/>
    <col min="10" max="10" width="7.5" style="75" customWidth="1"/>
    <col min="11" max="11" width="4.12962962962963" style="75" customWidth="1"/>
    <col min="12" max="12" width="7.5" style="75" customWidth="1"/>
    <col min="13" max="16384" width="67.75" style="75"/>
  </cols>
  <sheetData>
    <row r="1" s="40" customFormat="1" ht="15.6" spans="1:14">
      <c r="A1" s="100"/>
      <c r="B1" s="77" t="str">
        <f>HYPERLINK("#"&amp;"导航应用"&amp;"!B1","返回")</f>
        <v>返回</v>
      </c>
      <c r="C1" s="78"/>
      <c r="D1" s="78"/>
      <c r="E1" s="78"/>
      <c r="F1" s="78"/>
      <c r="G1" s="78"/>
      <c r="H1" s="78"/>
      <c r="I1" s="76"/>
      <c r="J1" s="76"/>
      <c r="K1" s="76"/>
      <c r="L1" s="100"/>
      <c r="M1" s="100"/>
      <c r="N1" s="100"/>
    </row>
    <row r="2" s="40" customFormat="1" ht="18" customHeight="1" spans="1:14">
      <c r="A2" s="100"/>
      <c r="B2" s="79" t="s">
        <v>653</v>
      </c>
      <c r="C2" s="79"/>
      <c r="D2" s="79"/>
      <c r="E2" s="79"/>
      <c r="F2" s="79"/>
      <c r="G2" s="79"/>
      <c r="H2" s="79"/>
      <c r="I2" s="76"/>
      <c r="J2" s="76"/>
      <c r="K2" s="76"/>
      <c r="L2" s="100"/>
      <c r="M2" s="100"/>
      <c r="N2" s="100"/>
    </row>
    <row r="3" s="40" customFormat="1" ht="15.6" spans="1:14">
      <c r="A3" s="100"/>
      <c r="B3" s="80" t="s">
        <v>654</v>
      </c>
      <c r="C3" s="81" t="s">
        <v>655</v>
      </c>
      <c r="D3" s="81" t="s">
        <v>656</v>
      </c>
      <c r="E3" s="81" t="s">
        <v>657</v>
      </c>
      <c r="F3" s="81" t="s">
        <v>658</v>
      </c>
      <c r="G3" s="81" t="s">
        <v>659</v>
      </c>
      <c r="H3" s="81" t="s">
        <v>660</v>
      </c>
      <c r="I3" s="76"/>
      <c r="J3" s="76"/>
      <c r="K3" s="76"/>
      <c r="L3" s="100"/>
      <c r="M3" s="100"/>
      <c r="N3" s="100"/>
    </row>
    <row r="4" s="40" customFormat="1" ht="15.6" spans="1:14">
      <c r="A4" s="100"/>
      <c r="B4" s="82" t="s">
        <v>14</v>
      </c>
      <c r="C4" s="130" t="s">
        <v>96</v>
      </c>
      <c r="D4" s="69" t="s">
        <v>4243</v>
      </c>
      <c r="E4" s="64" t="s">
        <v>661</v>
      </c>
      <c r="F4" s="85" t="s">
        <v>4244</v>
      </c>
      <c r="G4" s="64"/>
      <c r="H4" s="64"/>
      <c r="I4" s="76"/>
      <c r="J4" s="76"/>
      <c r="K4" s="76"/>
      <c r="L4" s="100"/>
      <c r="M4" s="100"/>
      <c r="N4" s="76"/>
    </row>
    <row r="5" s="40" customFormat="1" ht="15.6" spans="1:14">
      <c r="A5" s="100"/>
      <c r="B5" s="86"/>
      <c r="C5" s="131"/>
      <c r="D5" s="87"/>
      <c r="E5" s="87"/>
      <c r="F5" s="87"/>
      <c r="G5" s="87"/>
      <c r="H5" s="87"/>
      <c r="I5" s="76"/>
      <c r="J5" s="76"/>
      <c r="K5" s="76"/>
      <c r="L5" s="100"/>
      <c r="M5" s="100"/>
      <c r="N5" s="100"/>
    </row>
    <row r="6" s="40" customFormat="1" ht="18" customHeight="1" spans="1:14">
      <c r="A6" s="100"/>
      <c r="B6" s="184" t="s">
        <v>142</v>
      </c>
      <c r="C6" s="184"/>
      <c r="D6" s="184"/>
      <c r="E6" s="184"/>
      <c r="F6" s="184"/>
      <c r="G6" s="184"/>
      <c r="H6" s="184"/>
      <c r="I6" s="138"/>
      <c r="J6" s="138"/>
      <c r="K6" s="138"/>
      <c r="L6" s="68"/>
      <c r="M6" s="100"/>
      <c r="N6" s="100"/>
    </row>
    <row r="7" s="40" customFormat="1" ht="15.6" spans="1:14">
      <c r="A7" s="100"/>
      <c r="B7" s="185" t="s">
        <v>143</v>
      </c>
      <c r="C7" s="185" t="s">
        <v>144</v>
      </c>
      <c r="D7" s="185" t="s">
        <v>145</v>
      </c>
      <c r="E7" s="185" t="s">
        <v>146</v>
      </c>
      <c r="F7" s="185" t="s">
        <v>147</v>
      </c>
      <c r="G7" s="185" t="s">
        <v>13</v>
      </c>
      <c r="H7" s="185" t="s">
        <v>148</v>
      </c>
      <c r="I7" s="138"/>
      <c r="J7" s="138"/>
      <c r="K7" s="138"/>
      <c r="L7" s="68"/>
      <c r="M7" s="100"/>
      <c r="N7" s="100"/>
    </row>
    <row r="8" s="40" customFormat="1" ht="15.6" spans="1:14">
      <c r="A8" s="100"/>
      <c r="B8" s="109" t="s">
        <v>149</v>
      </c>
      <c r="C8" s="152" t="s">
        <v>60</v>
      </c>
      <c r="D8" s="152"/>
      <c r="E8" s="168" t="s">
        <v>422</v>
      </c>
      <c r="F8" s="109"/>
      <c r="G8" s="67"/>
      <c r="H8" s="109" t="s">
        <v>21</v>
      </c>
      <c r="I8" s="138"/>
      <c r="J8" s="138"/>
      <c r="K8" s="138"/>
      <c r="L8" s="68"/>
      <c r="M8" s="100"/>
      <c r="N8" s="100"/>
    </row>
    <row r="9" s="40" customFormat="1" ht="15.6" spans="1:14">
      <c r="A9" s="100"/>
      <c r="B9" s="109" t="s">
        <v>149</v>
      </c>
      <c r="C9" s="152" t="s">
        <v>63</v>
      </c>
      <c r="D9" s="152"/>
      <c r="E9" s="168" t="s">
        <v>1536</v>
      </c>
      <c r="F9" s="109"/>
      <c r="G9" s="67"/>
      <c r="H9" s="109" t="s">
        <v>21</v>
      </c>
      <c r="I9" s="138"/>
      <c r="J9" s="138"/>
      <c r="K9" s="138"/>
      <c r="L9" s="68"/>
      <c r="M9" s="100"/>
      <c r="N9" s="100"/>
    </row>
    <row r="10" s="40" customFormat="1" ht="15.6" spans="1:14">
      <c r="A10" s="100"/>
      <c r="B10" s="109" t="s">
        <v>149</v>
      </c>
      <c r="C10" s="67" t="s">
        <v>66</v>
      </c>
      <c r="D10" s="186" t="s">
        <v>4245</v>
      </c>
      <c r="E10" s="109" t="s">
        <v>4241</v>
      </c>
      <c r="F10" s="109"/>
      <c r="G10" s="109"/>
      <c r="H10" s="109" t="s">
        <v>21</v>
      </c>
      <c r="I10" s="138"/>
      <c r="J10" s="138"/>
      <c r="K10" s="138"/>
      <c r="L10" s="68"/>
      <c r="M10" s="100"/>
      <c r="N10" s="100"/>
    </row>
    <row r="11" s="40" customFormat="1" ht="15.6" spans="1:14">
      <c r="A11" s="100"/>
      <c r="B11" s="109" t="s">
        <v>149</v>
      </c>
      <c r="C11" s="67" t="s">
        <v>69</v>
      </c>
      <c r="D11" s="186" t="s">
        <v>4245</v>
      </c>
      <c r="E11" s="109" t="s">
        <v>4246</v>
      </c>
      <c r="F11" s="109"/>
      <c r="G11" s="109"/>
      <c r="H11" s="109" t="s">
        <v>21</v>
      </c>
      <c r="I11" s="138"/>
      <c r="J11" s="138"/>
      <c r="K11" s="138"/>
      <c r="L11" s="68"/>
      <c r="M11" s="100"/>
      <c r="N11" s="100"/>
    </row>
    <row r="12" s="40" customFormat="1" ht="15.6" spans="1:14">
      <c r="A12" s="100"/>
      <c r="B12" s="109" t="s">
        <v>149</v>
      </c>
      <c r="C12" s="152" t="s">
        <v>72</v>
      </c>
      <c r="D12" s="186"/>
      <c r="E12" s="109" t="s">
        <v>4247</v>
      </c>
      <c r="F12" s="109"/>
      <c r="G12" s="109"/>
      <c r="H12" s="109" t="s">
        <v>21</v>
      </c>
      <c r="I12" s="138"/>
      <c r="J12" s="138"/>
      <c r="K12" s="138"/>
      <c r="L12" s="68"/>
      <c r="M12" s="100"/>
      <c r="N12" s="100"/>
    </row>
    <row r="13" s="40" customFormat="1" ht="15.6" spans="1:14">
      <c r="A13" s="100"/>
      <c r="B13" s="109" t="s">
        <v>149</v>
      </c>
      <c r="C13" s="67" t="s">
        <v>4248</v>
      </c>
      <c r="D13" s="109" t="s">
        <v>4249</v>
      </c>
      <c r="E13" s="109" t="s">
        <v>4250</v>
      </c>
      <c r="F13" s="109"/>
      <c r="G13" s="109"/>
      <c r="H13" s="109"/>
      <c r="I13" s="138"/>
      <c r="J13" s="138"/>
      <c r="K13" s="138"/>
      <c r="L13" s="68"/>
      <c r="M13" s="100"/>
      <c r="N13" s="100"/>
    </row>
    <row r="14" s="40" customFormat="1" ht="16.5" customHeight="1" spans="1:14">
      <c r="A14" s="100"/>
      <c r="B14" s="187" t="s">
        <v>158</v>
      </c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00"/>
      <c r="N14" s="100"/>
    </row>
    <row r="15" s="40" customFormat="1" ht="24" spans="1:14">
      <c r="A15" s="100"/>
      <c r="B15" s="188" t="s">
        <v>159</v>
      </c>
      <c r="C15" s="188" t="s">
        <v>160</v>
      </c>
      <c r="D15" s="188" t="s">
        <v>161</v>
      </c>
      <c r="E15" s="188" t="s">
        <v>162</v>
      </c>
      <c r="F15" s="188" t="s">
        <v>163</v>
      </c>
      <c r="G15" s="188" t="s">
        <v>164</v>
      </c>
      <c r="H15" s="188" t="s">
        <v>165</v>
      </c>
      <c r="I15" s="188" t="s">
        <v>13</v>
      </c>
      <c r="J15" s="188" t="s">
        <v>166</v>
      </c>
      <c r="K15" s="188" t="s">
        <v>167</v>
      </c>
      <c r="L15" s="188" t="s">
        <v>168</v>
      </c>
      <c r="M15" s="100"/>
      <c r="N15" s="100"/>
    </row>
    <row r="16" s="40" customFormat="1" ht="15.6" spans="1:14">
      <c r="A16" s="100"/>
      <c r="B16" s="105" t="s">
        <v>174</v>
      </c>
      <c r="C16" s="67" t="s">
        <v>175</v>
      </c>
      <c r="D16" s="67" t="s">
        <v>4251</v>
      </c>
      <c r="E16" s="168" t="s">
        <v>4252</v>
      </c>
      <c r="F16" s="109"/>
      <c r="G16" s="138" t="s">
        <v>174</v>
      </c>
      <c r="H16" s="67"/>
      <c r="I16" s="67"/>
      <c r="J16" s="67"/>
      <c r="K16" s="121"/>
      <c r="L16" s="109"/>
      <c r="M16" s="100"/>
      <c r="N16" s="100"/>
    </row>
    <row r="17" s="40" customFormat="1" ht="15.6" spans="1:14">
      <c r="A17" s="100"/>
      <c r="B17" s="121" t="s">
        <v>1539</v>
      </c>
      <c r="C17" s="67" t="s">
        <v>170</v>
      </c>
      <c r="D17" s="67" t="s">
        <v>4253</v>
      </c>
      <c r="E17" s="168" t="s">
        <v>4252</v>
      </c>
      <c r="F17" s="109"/>
      <c r="G17" s="67" t="s">
        <v>1539</v>
      </c>
      <c r="H17" s="67"/>
      <c r="I17" s="67"/>
      <c r="J17" s="67"/>
      <c r="K17" s="109"/>
      <c r="L17" s="67"/>
      <c r="M17" s="100"/>
      <c r="N17" s="100"/>
    </row>
    <row r="18" ht="15.6" spans="1:14">
      <c r="A18" s="100"/>
      <c r="B18" s="121" t="s">
        <v>661</v>
      </c>
      <c r="C18" s="67" t="s">
        <v>170</v>
      </c>
      <c r="D18" s="67" t="s">
        <v>4254</v>
      </c>
      <c r="E18" s="168" t="s">
        <v>4252</v>
      </c>
      <c r="F18" s="109"/>
      <c r="G18" s="67" t="s">
        <v>661</v>
      </c>
      <c r="H18" s="67"/>
      <c r="I18" s="67"/>
      <c r="J18" s="67"/>
      <c r="K18" s="109"/>
      <c r="L18" s="67"/>
      <c r="M18" s="100"/>
      <c r="N18" s="100"/>
    </row>
    <row r="19" ht="15.6" spans="1:14">
      <c r="A19" s="100"/>
      <c r="B19" s="139" t="s">
        <v>169</v>
      </c>
      <c r="C19" s="67" t="s">
        <v>170</v>
      </c>
      <c r="D19" s="67" t="s">
        <v>1985</v>
      </c>
      <c r="E19" s="168" t="s">
        <v>4252</v>
      </c>
      <c r="F19" s="109"/>
      <c r="G19" s="67" t="s">
        <v>169</v>
      </c>
      <c r="H19" s="67"/>
      <c r="I19" s="67"/>
      <c r="J19" s="67"/>
      <c r="K19" s="109"/>
      <c r="L19" s="67"/>
      <c r="M19" s="100"/>
      <c r="N19" s="100"/>
    </row>
    <row r="20" ht="15.6" spans="1:14">
      <c r="A20" s="100"/>
      <c r="B20" s="139" t="s">
        <v>178</v>
      </c>
      <c r="C20" s="67" t="s">
        <v>170</v>
      </c>
      <c r="D20" s="67" t="s">
        <v>4255</v>
      </c>
      <c r="E20" s="168" t="s">
        <v>4252</v>
      </c>
      <c r="F20" s="109"/>
      <c r="G20" s="67" t="s">
        <v>178</v>
      </c>
      <c r="H20" s="67"/>
      <c r="I20" s="67"/>
      <c r="J20" s="67"/>
      <c r="K20" s="109"/>
      <c r="L20" s="67"/>
      <c r="M20" s="100"/>
      <c r="N20" s="100"/>
    </row>
    <row r="21" ht="15.6" spans="1:14">
      <c r="A21" s="100"/>
      <c r="B21" s="139" t="s">
        <v>180</v>
      </c>
      <c r="C21" s="67" t="s">
        <v>170</v>
      </c>
      <c r="D21" s="67" t="s">
        <v>1547</v>
      </c>
      <c r="E21" s="168" t="s">
        <v>4252</v>
      </c>
      <c r="F21" s="109"/>
      <c r="G21" s="67" t="s">
        <v>180</v>
      </c>
      <c r="H21" s="67"/>
      <c r="I21" s="67"/>
      <c r="J21" s="67"/>
      <c r="K21" s="109"/>
      <c r="L21" s="67"/>
      <c r="M21" s="100"/>
      <c r="N21" s="100"/>
    </row>
    <row r="22" ht="15.6" spans="1:14">
      <c r="A22" s="100"/>
      <c r="B22" s="139" t="s">
        <v>211</v>
      </c>
      <c r="C22" s="67" t="s">
        <v>175</v>
      </c>
      <c r="D22" s="67" t="s">
        <v>4256</v>
      </c>
      <c r="E22" s="168" t="s">
        <v>4252</v>
      </c>
      <c r="F22" s="109"/>
      <c r="G22" s="67" t="s">
        <v>4257</v>
      </c>
      <c r="H22" s="67"/>
      <c r="I22" s="67"/>
      <c r="J22" s="67"/>
      <c r="K22" s="109"/>
      <c r="L22" s="67"/>
      <c r="M22" s="100"/>
      <c r="N22" s="100"/>
    </row>
    <row r="23" ht="15.6" spans="1:14">
      <c r="A23" s="100"/>
      <c r="B23" s="139" t="s">
        <v>191</v>
      </c>
      <c r="C23" s="67" t="s">
        <v>175</v>
      </c>
      <c r="D23" s="67" t="s">
        <v>192</v>
      </c>
      <c r="E23" s="168" t="s">
        <v>4252</v>
      </c>
      <c r="F23" s="109"/>
      <c r="G23" s="67" t="s">
        <v>191</v>
      </c>
      <c r="H23" s="67"/>
      <c r="I23" s="67"/>
      <c r="J23" s="67"/>
      <c r="K23" s="109"/>
      <c r="L23" s="67"/>
      <c r="M23" s="100"/>
      <c r="N23" s="100"/>
    </row>
    <row r="24" ht="15.6" spans="1:14">
      <c r="A24" s="100"/>
      <c r="B24" s="139" t="s">
        <v>188</v>
      </c>
      <c r="C24" s="67" t="s">
        <v>175</v>
      </c>
      <c r="D24" s="67" t="s">
        <v>189</v>
      </c>
      <c r="E24" s="168" t="s">
        <v>4252</v>
      </c>
      <c r="F24" s="109"/>
      <c r="G24" s="67" t="s">
        <v>188</v>
      </c>
      <c r="H24" s="67"/>
      <c r="I24" s="67"/>
      <c r="J24" s="67"/>
      <c r="K24" s="109"/>
      <c r="L24" s="67"/>
      <c r="M24" s="100"/>
      <c r="N24" s="100"/>
    </row>
    <row r="25" s="127" customFormat="1" ht="15.6" spans="1:14">
      <c r="A25" s="100"/>
      <c r="B25" s="139" t="s">
        <v>246</v>
      </c>
      <c r="C25" s="67" t="s">
        <v>175</v>
      </c>
      <c r="D25" s="67" t="s">
        <v>1980</v>
      </c>
      <c r="E25" s="168" t="s">
        <v>4252</v>
      </c>
      <c r="F25" s="109"/>
      <c r="G25" s="67" t="s">
        <v>246</v>
      </c>
      <c r="H25" s="67"/>
      <c r="I25" s="67"/>
      <c r="J25" s="67"/>
      <c r="K25" s="109"/>
      <c r="L25" s="67"/>
      <c r="M25" s="100"/>
      <c r="N25" s="100"/>
    </row>
    <row r="26" ht="15.6" spans="1:14">
      <c r="A26" s="100"/>
      <c r="B26" s="139" t="s">
        <v>252</v>
      </c>
      <c r="C26" s="67" t="s">
        <v>175</v>
      </c>
      <c r="D26" s="67" t="s">
        <v>613</v>
      </c>
      <c r="E26" s="109" t="s">
        <v>4250</v>
      </c>
      <c r="F26" s="109"/>
      <c r="G26" s="68" t="s">
        <v>4258</v>
      </c>
      <c r="H26" s="67"/>
      <c r="I26" s="67"/>
      <c r="J26" s="67"/>
      <c r="K26" s="109"/>
      <c r="L26" s="67"/>
      <c r="M26" s="100"/>
      <c r="N26" s="100"/>
    </row>
    <row r="27" ht="15.6" spans="1:14">
      <c r="A27" s="100"/>
      <c r="B27" s="139" t="s">
        <v>1564</v>
      </c>
      <c r="C27" s="67" t="s">
        <v>175</v>
      </c>
      <c r="D27" s="67" t="s">
        <v>4259</v>
      </c>
      <c r="E27" s="168" t="s">
        <v>4252</v>
      </c>
      <c r="F27" s="109"/>
      <c r="G27" s="67" t="s">
        <v>1564</v>
      </c>
      <c r="H27" s="67"/>
      <c r="I27" s="67"/>
      <c r="J27" s="67"/>
      <c r="K27" s="109"/>
      <c r="L27" s="67"/>
      <c r="M27" s="100"/>
      <c r="N27" s="100"/>
    </row>
    <row r="28" ht="15.6" spans="1:14">
      <c r="A28" s="100"/>
      <c r="B28" s="139" t="s">
        <v>1867</v>
      </c>
      <c r="C28" s="67" t="s">
        <v>175</v>
      </c>
      <c r="D28" s="67" t="s">
        <v>2795</v>
      </c>
      <c r="E28" s="168" t="s">
        <v>4252</v>
      </c>
      <c r="F28" s="109"/>
      <c r="G28" s="67" t="s">
        <v>4260</v>
      </c>
      <c r="H28" s="67"/>
      <c r="I28" s="67"/>
      <c r="J28" s="67"/>
      <c r="K28" s="109"/>
      <c r="L28" s="67"/>
      <c r="M28" s="100"/>
      <c r="N28" s="100"/>
    </row>
    <row r="29" ht="15.6" spans="1:14">
      <c r="A29" s="100"/>
      <c r="B29" s="140" t="s">
        <v>746</v>
      </c>
      <c r="C29" s="67" t="s">
        <v>175</v>
      </c>
      <c r="D29" s="67" t="s">
        <v>4261</v>
      </c>
      <c r="E29" s="168" t="s">
        <v>4252</v>
      </c>
      <c r="F29" s="109"/>
      <c r="G29" s="67" t="s">
        <v>746</v>
      </c>
      <c r="H29" s="67"/>
      <c r="I29" s="67"/>
      <c r="J29" s="67"/>
      <c r="K29" s="109"/>
      <c r="L29" s="67"/>
      <c r="M29" s="100"/>
      <c r="N29" s="100"/>
    </row>
    <row r="30" ht="15.6" spans="1:14">
      <c r="A30" s="100"/>
      <c r="B30" s="67" t="s">
        <v>255</v>
      </c>
      <c r="C30" s="67" t="s">
        <v>229</v>
      </c>
      <c r="D30" s="67" t="s">
        <v>618</v>
      </c>
      <c r="E30" s="168" t="s">
        <v>4252</v>
      </c>
      <c r="F30" s="109" t="s">
        <v>1858</v>
      </c>
      <c r="G30" s="67" t="s">
        <v>4262</v>
      </c>
      <c r="H30" s="67"/>
      <c r="I30" s="67"/>
      <c r="J30" s="67"/>
      <c r="K30" s="109"/>
      <c r="L30" s="67"/>
      <c r="M30" s="100"/>
      <c r="N30" s="100"/>
    </row>
    <row r="31" ht="15.6" spans="1:14">
      <c r="A31" s="100"/>
      <c r="B31" s="67" t="s">
        <v>4263</v>
      </c>
      <c r="C31" s="67" t="s">
        <v>229</v>
      </c>
      <c r="D31" s="67" t="s">
        <v>4264</v>
      </c>
      <c r="E31" s="168" t="s">
        <v>4252</v>
      </c>
      <c r="F31" s="109" t="s">
        <v>3441</v>
      </c>
      <c r="G31" s="67" t="s">
        <v>4265</v>
      </c>
      <c r="H31" s="67"/>
      <c r="I31" s="67"/>
      <c r="J31" s="67"/>
      <c r="K31" s="109"/>
      <c r="L31" s="67"/>
      <c r="M31" s="100"/>
      <c r="N31" s="100"/>
    </row>
    <row r="32" ht="15.6" spans="1:14">
      <c r="A32" s="100"/>
      <c r="B32" s="67" t="s">
        <v>4266</v>
      </c>
      <c r="C32" s="67" t="s">
        <v>203</v>
      </c>
      <c r="D32" s="67" t="s">
        <v>4267</v>
      </c>
      <c r="E32" s="168" t="s">
        <v>4252</v>
      </c>
      <c r="F32" s="109" t="s">
        <v>3441</v>
      </c>
      <c r="G32" s="67" t="s">
        <v>4268</v>
      </c>
      <c r="H32" s="67"/>
      <c r="I32" s="67"/>
      <c r="J32" s="67"/>
      <c r="K32" s="109"/>
      <c r="L32" s="67"/>
      <c r="M32" s="100"/>
      <c r="N32" s="100"/>
    </row>
    <row r="33" ht="15.6" spans="1:14">
      <c r="A33" s="100"/>
      <c r="B33" s="67" t="s">
        <v>4269</v>
      </c>
      <c r="C33" s="67" t="s">
        <v>229</v>
      </c>
      <c r="D33" s="67" t="s">
        <v>1847</v>
      </c>
      <c r="E33" s="168" t="s">
        <v>4252</v>
      </c>
      <c r="F33" s="109"/>
      <c r="G33" s="67" t="s">
        <v>4270</v>
      </c>
      <c r="H33" s="67"/>
      <c r="I33" s="67"/>
      <c r="J33" s="67"/>
      <c r="K33" s="109"/>
      <c r="L33" s="67"/>
      <c r="M33" s="100"/>
      <c r="N33" s="100"/>
    </row>
    <row r="34" ht="15.6" spans="1:14">
      <c r="A34" s="100"/>
      <c r="B34" s="67" t="s">
        <v>4271</v>
      </c>
      <c r="C34" s="67" t="s">
        <v>229</v>
      </c>
      <c r="D34" s="67" t="s">
        <v>1849</v>
      </c>
      <c r="E34" s="168" t="s">
        <v>4252</v>
      </c>
      <c r="F34" s="109"/>
      <c r="G34" s="67" t="s">
        <v>4272</v>
      </c>
      <c r="H34" s="67"/>
      <c r="I34" s="67"/>
      <c r="J34" s="67"/>
      <c r="K34" s="109"/>
      <c r="L34" s="67"/>
      <c r="M34" s="100"/>
      <c r="N34" s="100"/>
    </row>
    <row r="35" ht="15.6" spans="1:14">
      <c r="A35" s="100"/>
      <c r="B35" s="67" t="s">
        <v>4273</v>
      </c>
      <c r="C35" s="67" t="s">
        <v>229</v>
      </c>
      <c r="D35" s="67" t="s">
        <v>1851</v>
      </c>
      <c r="E35" s="168" t="s">
        <v>4252</v>
      </c>
      <c r="F35" s="109"/>
      <c r="G35" s="67" t="s">
        <v>4274</v>
      </c>
      <c r="H35" s="67"/>
      <c r="I35" s="67"/>
      <c r="J35" s="67"/>
      <c r="K35" s="109"/>
      <c r="L35" s="67"/>
      <c r="M35" s="100"/>
      <c r="N35" s="100"/>
    </row>
    <row r="36" ht="15.6" spans="1:14">
      <c r="A36" s="100"/>
      <c r="B36" s="67" t="s">
        <v>4275</v>
      </c>
      <c r="C36" s="67" t="s">
        <v>229</v>
      </c>
      <c r="D36" s="67" t="s">
        <v>1853</v>
      </c>
      <c r="E36" s="168" t="s">
        <v>4252</v>
      </c>
      <c r="F36" s="109"/>
      <c r="G36" s="67" t="s">
        <v>4276</v>
      </c>
      <c r="H36" s="67"/>
      <c r="I36" s="67"/>
      <c r="J36" s="67"/>
      <c r="K36" s="109"/>
      <c r="L36" s="67"/>
      <c r="M36" s="100"/>
      <c r="N36" s="100"/>
    </row>
    <row r="37" ht="15.6" spans="1:14">
      <c r="A37" s="100"/>
      <c r="B37" s="67" t="s">
        <v>4277</v>
      </c>
      <c r="C37" s="67" t="s">
        <v>229</v>
      </c>
      <c r="D37" s="67" t="s">
        <v>1855</v>
      </c>
      <c r="E37" s="168" t="s">
        <v>4252</v>
      </c>
      <c r="F37" s="109"/>
      <c r="G37" s="67" t="s">
        <v>4278</v>
      </c>
      <c r="H37" s="67"/>
      <c r="I37" s="67"/>
      <c r="J37" s="67"/>
      <c r="K37" s="109"/>
      <c r="L37" s="67"/>
      <c r="M37" s="100"/>
      <c r="N37" s="100"/>
    </row>
    <row r="38" ht="15.6" spans="1:14">
      <c r="A38" s="100"/>
      <c r="B38" s="67" t="s">
        <v>4279</v>
      </c>
      <c r="C38" s="67" t="s">
        <v>229</v>
      </c>
      <c r="D38" s="67" t="s">
        <v>1857</v>
      </c>
      <c r="E38" s="168" t="s">
        <v>4252</v>
      </c>
      <c r="F38" s="109"/>
      <c r="G38" s="67" t="s">
        <v>4280</v>
      </c>
      <c r="H38" s="67"/>
      <c r="I38" s="67"/>
      <c r="J38" s="67"/>
      <c r="K38" s="109"/>
      <c r="L38" s="67"/>
      <c r="M38" s="100"/>
      <c r="N38" s="100"/>
    </row>
    <row r="39" ht="15.6" spans="1:14">
      <c r="A39" s="100"/>
      <c r="B39" s="67" t="s">
        <v>257</v>
      </c>
      <c r="C39" s="67" t="s">
        <v>229</v>
      </c>
      <c r="D39" s="67" t="s">
        <v>394</v>
      </c>
      <c r="E39" s="168" t="s">
        <v>4252</v>
      </c>
      <c r="F39" s="138" t="s">
        <v>1572</v>
      </c>
      <c r="G39" s="67" t="s">
        <v>4281</v>
      </c>
      <c r="H39" s="67"/>
      <c r="I39" s="67"/>
      <c r="J39" s="67"/>
      <c r="K39" s="109"/>
      <c r="L39" s="67"/>
      <c r="M39" s="100"/>
      <c r="N39" s="100"/>
    </row>
    <row r="40" ht="15.6" spans="1:14">
      <c r="A40" s="100"/>
      <c r="B40" s="67" t="s">
        <v>264</v>
      </c>
      <c r="C40" s="67" t="s">
        <v>229</v>
      </c>
      <c r="D40" s="67" t="s">
        <v>395</v>
      </c>
      <c r="E40" s="168" t="s">
        <v>4252</v>
      </c>
      <c r="F40" s="109"/>
      <c r="G40" s="152" t="s">
        <v>4282</v>
      </c>
      <c r="H40" s="67"/>
      <c r="I40" s="67"/>
      <c r="J40" s="67"/>
      <c r="K40" s="109"/>
      <c r="L40" s="67"/>
      <c r="M40" s="100"/>
      <c r="N40" s="100"/>
    </row>
    <row r="41" ht="15.6" spans="1:14">
      <c r="A41" s="100"/>
      <c r="B41" s="67" t="s">
        <v>1989</v>
      </c>
      <c r="C41" s="67" t="s">
        <v>229</v>
      </c>
      <c r="D41" s="67" t="s">
        <v>4283</v>
      </c>
      <c r="E41" s="168" t="s">
        <v>4252</v>
      </c>
      <c r="F41" s="109"/>
      <c r="G41" s="67" t="s">
        <v>4284</v>
      </c>
      <c r="H41" s="67"/>
      <c r="I41" s="67"/>
      <c r="J41" s="67"/>
      <c r="K41" s="109"/>
      <c r="L41" s="67"/>
      <c r="M41" s="100"/>
      <c r="N41" s="100"/>
    </row>
    <row r="42" ht="15.6" spans="1:14">
      <c r="A42" s="100"/>
      <c r="B42" s="67" t="s">
        <v>1991</v>
      </c>
      <c r="C42" s="67" t="s">
        <v>229</v>
      </c>
      <c r="D42" s="67" t="s">
        <v>4285</v>
      </c>
      <c r="E42" s="168" t="s">
        <v>4252</v>
      </c>
      <c r="F42" s="109"/>
      <c r="G42" s="67" t="s">
        <v>4286</v>
      </c>
      <c r="H42" s="67"/>
      <c r="I42" s="67"/>
      <c r="J42" s="67"/>
      <c r="K42" s="109"/>
      <c r="L42" s="67"/>
      <c r="M42" s="100"/>
      <c r="N42" s="100"/>
    </row>
    <row r="43" ht="15.6" spans="1:14">
      <c r="A43" s="100"/>
      <c r="B43" s="67" t="s">
        <v>4287</v>
      </c>
      <c r="C43" s="67" t="s">
        <v>229</v>
      </c>
      <c r="D43" s="67" t="s">
        <v>4288</v>
      </c>
      <c r="E43" s="168" t="s">
        <v>4252</v>
      </c>
      <c r="F43" s="109"/>
      <c r="G43" s="67" t="s">
        <v>4289</v>
      </c>
      <c r="H43" s="67"/>
      <c r="I43" s="67"/>
      <c r="J43" s="67"/>
      <c r="K43" s="109"/>
      <c r="L43" s="67"/>
      <c r="M43" s="100"/>
      <c r="N43" s="100"/>
    </row>
    <row r="44" ht="15.6" spans="1:14">
      <c r="A44" s="100"/>
      <c r="B44" s="67" t="s">
        <v>4290</v>
      </c>
      <c r="C44" s="67" t="s">
        <v>229</v>
      </c>
      <c r="D44" s="67" t="s">
        <v>4291</v>
      </c>
      <c r="E44" s="168" t="s">
        <v>4252</v>
      </c>
      <c r="F44" s="109"/>
      <c r="G44" s="67" t="s">
        <v>4292</v>
      </c>
      <c r="H44" s="67"/>
      <c r="I44" s="67"/>
      <c r="J44" s="67"/>
      <c r="K44" s="109"/>
      <c r="L44" s="67"/>
      <c r="M44" s="100"/>
      <c r="N44" s="100"/>
    </row>
    <row r="45" ht="15.6" spans="1:14">
      <c r="A45" s="100"/>
      <c r="B45" s="67" t="s">
        <v>1993</v>
      </c>
      <c r="C45" s="67" t="s">
        <v>229</v>
      </c>
      <c r="D45" s="67" t="s">
        <v>4293</v>
      </c>
      <c r="E45" s="168" t="s">
        <v>4252</v>
      </c>
      <c r="F45" s="109"/>
      <c r="G45" s="67" t="s">
        <v>4294</v>
      </c>
      <c r="H45" s="67"/>
      <c r="I45" s="67"/>
      <c r="J45" s="67"/>
      <c r="K45" s="109"/>
      <c r="L45" s="67"/>
      <c r="M45" s="100"/>
      <c r="N45" s="100"/>
    </row>
    <row r="46" ht="15.6" spans="1:14">
      <c r="A46" s="100"/>
      <c r="B46" s="67" t="s">
        <v>1995</v>
      </c>
      <c r="C46" s="67" t="s">
        <v>229</v>
      </c>
      <c r="D46" s="67" t="s">
        <v>4295</v>
      </c>
      <c r="E46" s="168" t="s">
        <v>4252</v>
      </c>
      <c r="F46" s="109"/>
      <c r="G46" s="67" t="s">
        <v>4296</v>
      </c>
      <c r="H46" s="67"/>
      <c r="I46" s="67"/>
      <c r="J46" s="67"/>
      <c r="K46" s="109"/>
      <c r="L46" s="67"/>
      <c r="M46" s="100"/>
      <c r="N46" s="100"/>
    </row>
    <row r="47" ht="15.6" spans="1:14">
      <c r="A47" s="100"/>
      <c r="B47" s="67" t="s">
        <v>4297</v>
      </c>
      <c r="C47" s="67" t="s">
        <v>203</v>
      </c>
      <c r="D47" s="67" t="s">
        <v>4298</v>
      </c>
      <c r="E47" s="168" t="s">
        <v>4252</v>
      </c>
      <c r="F47" s="109"/>
      <c r="G47" s="67" t="s">
        <v>4299</v>
      </c>
      <c r="H47" s="67"/>
      <c r="I47" s="67"/>
      <c r="J47" s="67"/>
      <c r="K47" s="109"/>
      <c r="L47" s="67"/>
      <c r="M47" s="100"/>
      <c r="N47" s="100"/>
    </row>
    <row r="48" ht="15.6" spans="1:14">
      <c r="A48" s="100"/>
      <c r="B48" s="67" t="s">
        <v>4300</v>
      </c>
      <c r="C48" s="67" t="s">
        <v>203</v>
      </c>
      <c r="D48" s="67" t="s">
        <v>4301</v>
      </c>
      <c r="E48" s="168" t="s">
        <v>4252</v>
      </c>
      <c r="F48" s="109"/>
      <c r="G48" s="67" t="s">
        <v>4302</v>
      </c>
      <c r="H48" s="67"/>
      <c r="I48" s="67"/>
      <c r="J48" s="67"/>
      <c r="K48" s="109"/>
      <c r="L48" s="67"/>
      <c r="M48" s="100"/>
      <c r="N48" s="100"/>
    </row>
    <row r="49" ht="15.6" spans="1:14">
      <c r="A49" s="100"/>
      <c r="B49" s="67" t="s">
        <v>4303</v>
      </c>
      <c r="C49" s="67" t="s">
        <v>203</v>
      </c>
      <c r="D49" s="67" t="s">
        <v>4304</v>
      </c>
      <c r="E49" s="168" t="s">
        <v>4252</v>
      </c>
      <c r="F49" s="109"/>
      <c r="G49" s="67" t="s">
        <v>4305</v>
      </c>
      <c r="H49" s="67"/>
      <c r="I49" s="67"/>
      <c r="J49" s="67"/>
      <c r="K49" s="109"/>
      <c r="L49" s="67"/>
      <c r="M49" s="100"/>
      <c r="N49" s="100"/>
    </row>
    <row r="50" ht="15.6" spans="1:14">
      <c r="A50" s="100"/>
      <c r="B50" s="67" t="s">
        <v>4306</v>
      </c>
      <c r="C50" s="67" t="s">
        <v>203</v>
      </c>
      <c r="D50" s="67" t="s">
        <v>4307</v>
      </c>
      <c r="E50" s="168" t="s">
        <v>4252</v>
      </c>
      <c r="F50" s="109"/>
      <c r="G50" s="67" t="s">
        <v>4308</v>
      </c>
      <c r="H50" s="67"/>
      <c r="I50" s="67"/>
      <c r="J50" s="67"/>
      <c r="K50" s="109"/>
      <c r="L50" s="67"/>
      <c r="M50" s="100"/>
      <c r="N50" s="100"/>
    </row>
    <row r="51" ht="15.6" spans="1:14">
      <c r="A51" s="100"/>
      <c r="B51" s="67" t="s">
        <v>4309</v>
      </c>
      <c r="C51" s="67" t="s">
        <v>203</v>
      </c>
      <c r="D51" s="67" t="s">
        <v>4310</v>
      </c>
      <c r="E51" s="168" t="s">
        <v>4252</v>
      </c>
      <c r="F51" s="109"/>
      <c r="G51" s="67" t="s">
        <v>4311</v>
      </c>
      <c r="H51" s="67"/>
      <c r="I51" s="67"/>
      <c r="J51" s="67"/>
      <c r="K51" s="109"/>
      <c r="L51" s="67"/>
      <c r="M51" s="100"/>
      <c r="N51" s="100"/>
    </row>
    <row r="52" ht="15.6" spans="1:14">
      <c r="A52" s="100"/>
      <c r="B52" s="67" t="s">
        <v>4312</v>
      </c>
      <c r="C52" s="67" t="s">
        <v>203</v>
      </c>
      <c r="D52" s="67" t="s">
        <v>4313</v>
      </c>
      <c r="E52" s="168" t="s">
        <v>4252</v>
      </c>
      <c r="F52" s="109"/>
      <c r="G52" s="67" t="s">
        <v>4314</v>
      </c>
      <c r="H52" s="67"/>
      <c r="I52" s="67"/>
      <c r="J52" s="67"/>
      <c r="K52" s="109"/>
      <c r="L52" s="67"/>
      <c r="M52" s="100"/>
      <c r="N52" s="100"/>
    </row>
    <row r="53" ht="15.6" spans="1:14">
      <c r="A53" s="100"/>
      <c r="B53" s="67" t="s">
        <v>1577</v>
      </c>
      <c r="C53" s="67" t="s">
        <v>229</v>
      </c>
      <c r="D53" s="67" t="s">
        <v>4315</v>
      </c>
      <c r="E53" s="168" t="s">
        <v>4252</v>
      </c>
      <c r="F53" s="121" t="s">
        <v>1577</v>
      </c>
      <c r="G53" s="67" t="s">
        <v>4316</v>
      </c>
      <c r="H53" s="67"/>
      <c r="I53" s="67"/>
      <c r="J53" s="67"/>
      <c r="K53" s="109"/>
      <c r="L53" s="67"/>
      <c r="M53" s="100"/>
      <c r="N53" s="100"/>
    </row>
    <row r="54" ht="15.6" spans="1:14">
      <c r="A54" s="100"/>
      <c r="B54" s="67" t="s">
        <v>1581</v>
      </c>
      <c r="C54" s="67" t="s">
        <v>203</v>
      </c>
      <c r="D54" s="67" t="s">
        <v>4317</v>
      </c>
      <c r="E54" s="168" t="s">
        <v>4252</v>
      </c>
      <c r="F54" s="67" t="s">
        <v>1581</v>
      </c>
      <c r="G54" s="67" t="s">
        <v>4318</v>
      </c>
      <c r="H54" s="67"/>
      <c r="I54" s="67"/>
      <c r="J54" s="67"/>
      <c r="K54" s="109"/>
      <c r="L54" s="67"/>
      <c r="M54" s="100"/>
      <c r="N54" s="100"/>
    </row>
    <row r="55" ht="15.6" spans="1:14">
      <c r="A55" s="100"/>
      <c r="B55" s="67" t="s">
        <v>1796</v>
      </c>
      <c r="C55" s="67" t="s">
        <v>229</v>
      </c>
      <c r="D55" s="67" t="s">
        <v>4319</v>
      </c>
      <c r="E55" s="168" t="s">
        <v>4252</v>
      </c>
      <c r="F55" s="109"/>
      <c r="G55" s="152" t="s">
        <v>4320</v>
      </c>
      <c r="H55" s="67"/>
      <c r="I55" s="67"/>
      <c r="J55" s="67"/>
      <c r="K55" s="109"/>
      <c r="L55" s="67"/>
      <c r="M55" s="100"/>
      <c r="N55" s="100"/>
    </row>
    <row r="56" ht="15.6" spans="1:14">
      <c r="A56" s="100"/>
      <c r="B56" s="67" t="s">
        <v>1798</v>
      </c>
      <c r="C56" s="67" t="s">
        <v>229</v>
      </c>
      <c r="D56" s="67" t="s">
        <v>4321</v>
      </c>
      <c r="E56" s="168" t="s">
        <v>4252</v>
      </c>
      <c r="F56" s="109"/>
      <c r="G56" s="152" t="s">
        <v>4322</v>
      </c>
      <c r="H56" s="67"/>
      <c r="I56" s="67"/>
      <c r="J56" s="67"/>
      <c r="K56" s="109"/>
      <c r="L56" s="67"/>
      <c r="M56" s="100"/>
      <c r="N56" s="100"/>
    </row>
    <row r="57" ht="15.6" spans="1:14">
      <c r="A57" s="100"/>
      <c r="B57" s="67" t="s">
        <v>4323</v>
      </c>
      <c r="C57" s="67" t="s">
        <v>203</v>
      </c>
      <c r="D57" s="67" t="s">
        <v>4324</v>
      </c>
      <c r="E57" s="168" t="s">
        <v>4252</v>
      </c>
      <c r="F57" s="109"/>
      <c r="G57" s="152" t="s">
        <v>4325</v>
      </c>
      <c r="H57" s="67"/>
      <c r="I57" s="67"/>
      <c r="J57" s="67"/>
      <c r="K57" s="109"/>
      <c r="L57" s="67"/>
      <c r="M57" s="100"/>
      <c r="N57" s="100"/>
    </row>
    <row r="58" ht="15.6" spans="1:14">
      <c r="A58" s="100"/>
      <c r="B58" s="67" t="s">
        <v>4326</v>
      </c>
      <c r="C58" s="67" t="s">
        <v>203</v>
      </c>
      <c r="D58" s="67" t="s">
        <v>4327</v>
      </c>
      <c r="E58" s="168" t="s">
        <v>4252</v>
      </c>
      <c r="F58" s="109"/>
      <c r="G58" s="152" t="s">
        <v>4328</v>
      </c>
      <c r="H58" s="67"/>
      <c r="I58" s="67"/>
      <c r="J58" s="67"/>
      <c r="K58" s="109"/>
      <c r="L58" s="67"/>
      <c r="M58" s="100"/>
      <c r="N58" s="100"/>
    </row>
    <row r="59" ht="15.6" spans="1:14">
      <c r="A59" s="100"/>
      <c r="B59" s="67" t="s">
        <v>4329</v>
      </c>
      <c r="C59" s="67" t="s">
        <v>203</v>
      </c>
      <c r="D59" s="67" t="s">
        <v>4330</v>
      </c>
      <c r="E59" s="168" t="s">
        <v>4252</v>
      </c>
      <c r="F59" s="109"/>
      <c r="G59" s="152" t="s">
        <v>4331</v>
      </c>
      <c r="H59" s="67"/>
      <c r="I59" s="67"/>
      <c r="J59" s="67"/>
      <c r="K59" s="109"/>
      <c r="L59" s="67"/>
      <c r="M59" s="100"/>
      <c r="N59" s="100"/>
    </row>
    <row r="60" ht="15.6" spans="1:14">
      <c r="A60" s="100"/>
      <c r="B60" s="67" t="s">
        <v>1622</v>
      </c>
      <c r="C60" s="67" t="s">
        <v>229</v>
      </c>
      <c r="D60" s="67" t="s">
        <v>1623</v>
      </c>
      <c r="E60" s="168" t="s">
        <v>4252</v>
      </c>
      <c r="F60" s="109"/>
      <c r="G60" s="67" t="s">
        <v>4332</v>
      </c>
      <c r="H60" s="67"/>
      <c r="I60" s="67"/>
      <c r="J60" s="67"/>
      <c r="K60" s="109"/>
      <c r="L60" s="67"/>
      <c r="M60" s="100"/>
      <c r="N60" s="100"/>
    </row>
    <row r="61" ht="15.6" spans="1:14">
      <c r="A61" s="100"/>
      <c r="B61" s="67" t="s">
        <v>1627</v>
      </c>
      <c r="C61" s="67" t="s">
        <v>229</v>
      </c>
      <c r="D61" s="67" t="s">
        <v>1628</v>
      </c>
      <c r="E61" s="168" t="s">
        <v>4252</v>
      </c>
      <c r="F61" s="109"/>
      <c r="G61" s="67" t="s">
        <v>4333</v>
      </c>
      <c r="H61" s="67"/>
      <c r="I61" s="67"/>
      <c r="J61" s="67"/>
      <c r="K61" s="109"/>
      <c r="L61" s="67"/>
      <c r="M61" s="100"/>
      <c r="N61" s="100"/>
    </row>
    <row r="62" ht="15.6" spans="1:14">
      <c r="A62" s="100"/>
      <c r="B62" s="67" t="s">
        <v>1631</v>
      </c>
      <c r="C62" s="67" t="s">
        <v>229</v>
      </c>
      <c r="D62" s="67" t="s">
        <v>1632</v>
      </c>
      <c r="E62" s="109" t="s">
        <v>4334</v>
      </c>
      <c r="F62" s="109"/>
      <c r="G62" s="67" t="s">
        <v>4335</v>
      </c>
      <c r="H62" s="67"/>
      <c r="I62" s="67"/>
      <c r="J62" s="67"/>
      <c r="K62" s="109"/>
      <c r="L62" s="67"/>
      <c r="M62" s="100"/>
      <c r="N62" s="100"/>
    </row>
    <row r="63" ht="15.6" spans="1:14">
      <c r="A63" s="100"/>
      <c r="B63" s="67" t="s">
        <v>1635</v>
      </c>
      <c r="C63" s="67" t="s">
        <v>229</v>
      </c>
      <c r="D63" s="67" t="s">
        <v>1636</v>
      </c>
      <c r="E63" s="109" t="s">
        <v>4334</v>
      </c>
      <c r="F63" s="109"/>
      <c r="G63" s="67" t="s">
        <v>4336</v>
      </c>
      <c r="H63" s="67"/>
      <c r="I63" s="67"/>
      <c r="J63" s="67"/>
      <c r="K63" s="109"/>
      <c r="L63" s="67"/>
      <c r="M63" s="100"/>
      <c r="N63" s="100"/>
    </row>
    <row r="64" ht="15.6" spans="1:14">
      <c r="A64" s="100"/>
      <c r="B64" s="67" t="s">
        <v>1639</v>
      </c>
      <c r="C64" s="67" t="s">
        <v>229</v>
      </c>
      <c r="D64" s="67" t="s">
        <v>1640</v>
      </c>
      <c r="E64" s="109" t="s">
        <v>4334</v>
      </c>
      <c r="F64" s="109"/>
      <c r="G64" s="67" t="s">
        <v>4337</v>
      </c>
      <c r="H64" s="67"/>
      <c r="I64" s="67"/>
      <c r="J64" s="67"/>
      <c r="K64" s="109"/>
      <c r="L64" s="67"/>
      <c r="M64" s="100"/>
      <c r="N64" s="100"/>
    </row>
    <row r="65" ht="15.6" spans="1:14">
      <c r="A65" s="100"/>
      <c r="B65" s="67" t="s">
        <v>1643</v>
      </c>
      <c r="C65" s="67" t="s">
        <v>229</v>
      </c>
      <c r="D65" s="67" t="s">
        <v>1644</v>
      </c>
      <c r="E65" s="109" t="s">
        <v>4334</v>
      </c>
      <c r="F65" s="109"/>
      <c r="G65" s="67" t="s">
        <v>4338</v>
      </c>
      <c r="H65" s="67"/>
      <c r="I65" s="67"/>
      <c r="J65" s="67"/>
      <c r="K65" s="109"/>
      <c r="L65" s="67"/>
      <c r="M65" s="100"/>
      <c r="N65" s="100"/>
    </row>
    <row r="66" ht="15.6" spans="1:14">
      <c r="A66" s="100"/>
      <c r="B66" s="67" t="s">
        <v>2909</v>
      </c>
      <c r="C66" s="67" t="s">
        <v>229</v>
      </c>
      <c r="D66" s="67" t="s">
        <v>2910</v>
      </c>
      <c r="E66" s="109" t="s">
        <v>4334</v>
      </c>
      <c r="F66" s="109"/>
      <c r="G66" s="67" t="s">
        <v>4339</v>
      </c>
      <c r="H66" s="67"/>
      <c r="I66" s="67"/>
      <c r="J66" s="67"/>
      <c r="K66" s="109"/>
      <c r="L66" s="67"/>
      <c r="M66" s="100"/>
      <c r="N66" s="100"/>
    </row>
    <row r="67" ht="15.6" spans="1:14">
      <c r="A67" s="100"/>
      <c r="B67" s="67" t="s">
        <v>2912</v>
      </c>
      <c r="C67" s="67" t="s">
        <v>229</v>
      </c>
      <c r="D67" s="67" t="s">
        <v>2913</v>
      </c>
      <c r="E67" s="109" t="s">
        <v>4334</v>
      </c>
      <c r="F67" s="109"/>
      <c r="G67" s="67" t="s">
        <v>4340</v>
      </c>
      <c r="H67" s="67"/>
      <c r="I67" s="67"/>
      <c r="J67" s="67"/>
      <c r="K67" s="109"/>
      <c r="L67" s="67"/>
      <c r="M67" s="100"/>
      <c r="N67" s="100"/>
    </row>
    <row r="68" ht="15.6" spans="1:14">
      <c r="A68" s="100"/>
      <c r="B68" s="67" t="s">
        <v>2915</v>
      </c>
      <c r="C68" s="67" t="s">
        <v>203</v>
      </c>
      <c r="D68" s="67" t="s">
        <v>2916</v>
      </c>
      <c r="E68" s="109" t="s">
        <v>4334</v>
      </c>
      <c r="F68" s="109"/>
      <c r="G68" s="67" t="s">
        <v>4341</v>
      </c>
      <c r="H68" s="67"/>
      <c r="I68" s="67"/>
      <c r="J68" s="67"/>
      <c r="K68" s="109"/>
      <c r="L68" s="67"/>
      <c r="M68" s="100"/>
      <c r="N68" s="100"/>
    </row>
    <row r="69" ht="15.6" spans="1:14">
      <c r="A69" s="100"/>
      <c r="B69" s="67" t="s">
        <v>2917</v>
      </c>
      <c r="C69" s="67" t="s">
        <v>203</v>
      </c>
      <c r="D69" s="67" t="s">
        <v>2918</v>
      </c>
      <c r="E69" s="109" t="s">
        <v>4334</v>
      </c>
      <c r="F69" s="109"/>
      <c r="G69" s="67" t="s">
        <v>4342</v>
      </c>
      <c r="H69" s="67"/>
      <c r="I69" s="67"/>
      <c r="J69" s="67"/>
      <c r="K69" s="109"/>
      <c r="L69" s="67"/>
      <c r="M69" s="100"/>
      <c r="N69" s="100"/>
    </row>
    <row r="70" ht="15.6" spans="1:14">
      <c r="A70" s="100"/>
      <c r="B70" s="67" t="s">
        <v>2921</v>
      </c>
      <c r="C70" s="67" t="s">
        <v>229</v>
      </c>
      <c r="D70" s="67" t="s">
        <v>2922</v>
      </c>
      <c r="E70" s="109" t="s">
        <v>4334</v>
      </c>
      <c r="F70" s="109"/>
      <c r="G70" s="67" t="s">
        <v>4343</v>
      </c>
      <c r="H70" s="67"/>
      <c r="I70" s="67"/>
      <c r="J70" s="67"/>
      <c r="K70" s="109"/>
      <c r="L70" s="67"/>
      <c r="M70" s="100"/>
      <c r="N70" s="100"/>
    </row>
    <row r="71" ht="15.6" spans="1:14">
      <c r="A71" s="100"/>
      <c r="B71" s="67" t="s">
        <v>2925</v>
      </c>
      <c r="C71" s="67" t="s">
        <v>229</v>
      </c>
      <c r="D71" s="67" t="s">
        <v>2926</v>
      </c>
      <c r="E71" s="109" t="s">
        <v>4334</v>
      </c>
      <c r="F71" s="109"/>
      <c r="G71" s="67" t="s">
        <v>4344</v>
      </c>
      <c r="H71" s="67"/>
      <c r="I71" s="67"/>
      <c r="J71" s="67"/>
      <c r="K71" s="109"/>
      <c r="L71" s="67"/>
      <c r="M71" s="100"/>
      <c r="N71" s="100"/>
    </row>
    <row r="72" ht="15.6" spans="1:14">
      <c r="A72" s="100"/>
      <c r="B72" s="67" t="s">
        <v>2929</v>
      </c>
      <c r="C72" s="67" t="s">
        <v>229</v>
      </c>
      <c r="D72" s="67" t="s">
        <v>2930</v>
      </c>
      <c r="E72" s="109" t="s">
        <v>4334</v>
      </c>
      <c r="F72" s="109"/>
      <c r="G72" s="67" t="s">
        <v>4345</v>
      </c>
      <c r="H72" s="67"/>
      <c r="I72" s="67"/>
      <c r="J72" s="67"/>
      <c r="K72" s="109"/>
      <c r="L72" s="67"/>
      <c r="M72" s="100"/>
      <c r="N72" s="100"/>
    </row>
    <row r="73" ht="15.6" spans="1:14">
      <c r="A73" s="100"/>
      <c r="B73" s="67" t="s">
        <v>2933</v>
      </c>
      <c r="C73" s="67" t="s">
        <v>229</v>
      </c>
      <c r="D73" s="67" t="s">
        <v>2934</v>
      </c>
      <c r="E73" s="109" t="s">
        <v>4334</v>
      </c>
      <c r="F73" s="109"/>
      <c r="G73" s="67" t="s">
        <v>4346</v>
      </c>
      <c r="H73" s="67"/>
      <c r="I73" s="67"/>
      <c r="J73" s="67"/>
      <c r="K73" s="109"/>
      <c r="L73" s="67"/>
      <c r="M73" s="100"/>
      <c r="N73" s="100"/>
    </row>
    <row r="74" ht="15.6" spans="1:14">
      <c r="A74" s="100"/>
      <c r="B74" s="67" t="s">
        <v>2937</v>
      </c>
      <c r="C74" s="67" t="s">
        <v>229</v>
      </c>
      <c r="D74" s="67" t="s">
        <v>2938</v>
      </c>
      <c r="E74" s="109" t="s">
        <v>4334</v>
      </c>
      <c r="F74" s="109"/>
      <c r="G74" s="67" t="s">
        <v>4347</v>
      </c>
      <c r="H74" s="67"/>
      <c r="I74" s="67"/>
      <c r="J74" s="67"/>
      <c r="K74" s="109"/>
      <c r="L74" s="67"/>
      <c r="M74" s="100"/>
      <c r="N74" s="100"/>
    </row>
    <row r="75" ht="39.6" spans="1:14">
      <c r="A75" s="100"/>
      <c r="B75" s="67" t="s">
        <v>1647</v>
      </c>
      <c r="C75" s="67" t="s">
        <v>203</v>
      </c>
      <c r="D75" s="67" t="s">
        <v>1648</v>
      </c>
      <c r="E75" s="168" t="s">
        <v>4252</v>
      </c>
      <c r="F75" s="109"/>
      <c r="G75" s="189" t="s">
        <v>4348</v>
      </c>
      <c r="H75" s="67"/>
      <c r="I75" s="67"/>
      <c r="J75" s="67"/>
      <c r="K75" s="109"/>
      <c r="L75" s="67"/>
      <c r="M75" s="100"/>
      <c r="N75" s="100"/>
    </row>
    <row r="76" ht="15.6" spans="1:14">
      <c r="A76" s="100"/>
      <c r="B76" s="67" t="s">
        <v>1756</v>
      </c>
      <c r="C76" s="67" t="s">
        <v>229</v>
      </c>
      <c r="D76" s="67" t="s">
        <v>1757</v>
      </c>
      <c r="E76" s="168" t="s">
        <v>4252</v>
      </c>
      <c r="F76" s="109"/>
      <c r="G76" s="141" t="s">
        <v>4349</v>
      </c>
      <c r="H76" s="67"/>
      <c r="I76" s="67"/>
      <c r="J76" s="67"/>
      <c r="K76" s="109"/>
      <c r="L76" s="67"/>
      <c r="M76" s="100"/>
      <c r="N76" s="100"/>
    </row>
    <row r="77" ht="15.6" spans="1:14">
      <c r="A77" s="100"/>
      <c r="B77" s="67" t="s">
        <v>1760</v>
      </c>
      <c r="C77" s="67" t="s">
        <v>229</v>
      </c>
      <c r="D77" s="67" t="s">
        <v>1761</v>
      </c>
      <c r="E77" s="168" t="s">
        <v>4252</v>
      </c>
      <c r="F77" s="109"/>
      <c r="G77" s="67" t="s">
        <v>4350</v>
      </c>
      <c r="H77" s="67"/>
      <c r="I77" s="67"/>
      <c r="J77" s="67"/>
      <c r="K77" s="109"/>
      <c r="L77" s="67"/>
      <c r="M77" s="100"/>
      <c r="N77" s="100"/>
    </row>
    <row r="78" ht="15.6" spans="1:14">
      <c r="A78" s="100"/>
      <c r="B78" s="67" t="s">
        <v>1764</v>
      </c>
      <c r="C78" s="67" t="s">
        <v>229</v>
      </c>
      <c r="D78" s="67" t="s">
        <v>1765</v>
      </c>
      <c r="E78" s="168" t="s">
        <v>4252</v>
      </c>
      <c r="F78" s="109"/>
      <c r="G78" s="67" t="s">
        <v>4351</v>
      </c>
      <c r="H78" s="67"/>
      <c r="I78" s="67"/>
      <c r="J78" s="67"/>
      <c r="K78" s="109"/>
      <c r="L78" s="67"/>
      <c r="M78" s="100"/>
      <c r="N78" s="100"/>
    </row>
    <row r="79" ht="15.6" spans="1:14">
      <c r="A79" s="100"/>
      <c r="B79" s="67" t="s">
        <v>1768</v>
      </c>
      <c r="C79" s="67" t="s">
        <v>229</v>
      </c>
      <c r="D79" s="67" t="s">
        <v>1769</v>
      </c>
      <c r="E79" s="168" t="s">
        <v>4252</v>
      </c>
      <c r="F79" s="109"/>
      <c r="G79" s="67" t="s">
        <v>4352</v>
      </c>
      <c r="H79" s="67"/>
      <c r="I79" s="67"/>
      <c r="J79" s="67"/>
      <c r="K79" s="109"/>
      <c r="L79" s="67"/>
      <c r="M79" s="100"/>
      <c r="N79" s="100"/>
    </row>
    <row r="80" ht="15.6" spans="1:14">
      <c r="A80" s="100"/>
      <c r="B80" s="67" t="s">
        <v>1772</v>
      </c>
      <c r="C80" s="67" t="s">
        <v>229</v>
      </c>
      <c r="D80" s="67" t="s">
        <v>1773</v>
      </c>
      <c r="E80" s="168" t="s">
        <v>4252</v>
      </c>
      <c r="F80" s="109"/>
      <c r="G80" s="67" t="s">
        <v>4353</v>
      </c>
      <c r="H80" s="67"/>
      <c r="I80" s="67"/>
      <c r="J80" s="67"/>
      <c r="K80" s="109"/>
      <c r="L80" s="67"/>
      <c r="M80" s="100"/>
      <c r="N80" s="100"/>
    </row>
    <row r="81" ht="39.6" spans="1:14">
      <c r="A81" s="100"/>
      <c r="B81" s="67" t="s">
        <v>1651</v>
      </c>
      <c r="C81" s="67" t="s">
        <v>203</v>
      </c>
      <c r="D81" s="67" t="s">
        <v>1652</v>
      </c>
      <c r="E81" s="168" t="s">
        <v>4252</v>
      </c>
      <c r="F81" s="109"/>
      <c r="G81" s="189" t="s">
        <v>4354</v>
      </c>
      <c r="H81" s="67"/>
      <c r="I81" s="67"/>
      <c r="J81" s="67"/>
      <c r="K81" s="109"/>
      <c r="L81" s="67"/>
      <c r="M81" s="100"/>
      <c r="N81" s="100"/>
    </row>
    <row r="82" ht="15.6" spans="1:14">
      <c r="A82" s="100"/>
      <c r="B82" s="67" t="s">
        <v>1776</v>
      </c>
      <c r="C82" s="67" t="s">
        <v>229</v>
      </c>
      <c r="D82" s="67" t="s">
        <v>1777</v>
      </c>
      <c r="E82" s="168" t="s">
        <v>4252</v>
      </c>
      <c r="F82" s="109"/>
      <c r="G82" s="67" t="s">
        <v>4355</v>
      </c>
      <c r="H82" s="67"/>
      <c r="I82" s="67"/>
      <c r="J82" s="67"/>
      <c r="K82" s="109"/>
      <c r="L82" s="67"/>
      <c r="M82" s="100"/>
      <c r="N82" s="100"/>
    </row>
    <row r="83" ht="15.6" spans="1:14">
      <c r="A83" s="100"/>
      <c r="B83" s="67" t="s">
        <v>1780</v>
      </c>
      <c r="C83" s="67" t="s">
        <v>229</v>
      </c>
      <c r="D83" s="67" t="s">
        <v>1781</v>
      </c>
      <c r="E83" s="168" t="s">
        <v>4252</v>
      </c>
      <c r="F83" s="109"/>
      <c r="G83" s="67" t="s">
        <v>4356</v>
      </c>
      <c r="H83" s="67"/>
      <c r="I83" s="67"/>
      <c r="J83" s="67"/>
      <c r="K83" s="109"/>
      <c r="L83" s="67"/>
      <c r="M83" s="100"/>
      <c r="N83" s="100"/>
    </row>
    <row r="84" ht="15.6" spans="1:14">
      <c r="A84" s="100"/>
      <c r="B84" s="67" t="s">
        <v>1784</v>
      </c>
      <c r="C84" s="67" t="s">
        <v>229</v>
      </c>
      <c r="D84" s="67" t="s">
        <v>1785</v>
      </c>
      <c r="E84" s="168" t="s">
        <v>4252</v>
      </c>
      <c r="F84" s="109"/>
      <c r="G84" s="67" t="s">
        <v>4357</v>
      </c>
      <c r="H84" s="67"/>
      <c r="I84" s="67"/>
      <c r="J84" s="67"/>
      <c r="K84" s="109"/>
      <c r="L84" s="67"/>
      <c r="M84" s="100"/>
      <c r="N84" s="100"/>
    </row>
    <row r="85" ht="15.6" spans="1:14">
      <c r="A85" s="100"/>
      <c r="B85" s="67" t="s">
        <v>1788</v>
      </c>
      <c r="C85" s="67" t="s">
        <v>229</v>
      </c>
      <c r="D85" s="67" t="s">
        <v>1789</v>
      </c>
      <c r="E85" s="168" t="s">
        <v>4252</v>
      </c>
      <c r="F85" s="109"/>
      <c r="G85" s="67" t="s">
        <v>4358</v>
      </c>
      <c r="H85" s="67"/>
      <c r="I85" s="67"/>
      <c r="J85" s="67"/>
      <c r="K85" s="109"/>
      <c r="L85" s="67"/>
      <c r="M85" s="100"/>
      <c r="N85" s="100"/>
    </row>
    <row r="86" ht="15.6" spans="1:14">
      <c r="A86" s="100"/>
      <c r="B86" s="67" t="s">
        <v>1792</v>
      </c>
      <c r="C86" s="67" t="s">
        <v>229</v>
      </c>
      <c r="D86" s="67" t="s">
        <v>1793</v>
      </c>
      <c r="E86" s="168" t="s">
        <v>4252</v>
      </c>
      <c r="F86" s="109"/>
      <c r="G86" s="67" t="s">
        <v>4359</v>
      </c>
      <c r="H86" s="67"/>
      <c r="I86" s="67"/>
      <c r="J86" s="67"/>
      <c r="K86" s="109"/>
      <c r="L86" s="67"/>
      <c r="M86" s="100"/>
      <c r="N86" s="100"/>
    </row>
    <row r="87" ht="15.6" spans="1:14">
      <c r="A87" s="100"/>
      <c r="B87" s="67" t="s">
        <v>1655</v>
      </c>
      <c r="C87" s="67" t="s">
        <v>203</v>
      </c>
      <c r="D87" s="67" t="s">
        <v>1656</v>
      </c>
      <c r="E87" s="168" t="s">
        <v>4252</v>
      </c>
      <c r="F87" s="109"/>
      <c r="G87" s="152" t="s">
        <v>4360</v>
      </c>
      <c r="H87" s="67"/>
      <c r="I87" s="67"/>
      <c r="J87" s="67"/>
      <c r="K87" s="109"/>
      <c r="L87" s="67"/>
      <c r="M87" s="100"/>
      <c r="N87" s="100"/>
    </row>
    <row r="88" ht="15.6" spans="1:14">
      <c r="A88" s="100"/>
      <c r="B88" s="67" t="s">
        <v>2214</v>
      </c>
      <c r="C88" s="67" t="s">
        <v>229</v>
      </c>
      <c r="D88" s="67" t="s">
        <v>2215</v>
      </c>
      <c r="E88" s="168" t="s">
        <v>4252</v>
      </c>
      <c r="F88" s="109"/>
      <c r="G88" s="67" t="s">
        <v>4361</v>
      </c>
      <c r="H88" s="67"/>
      <c r="I88" s="67"/>
      <c r="J88" s="67"/>
      <c r="K88" s="109"/>
      <c r="L88" s="67"/>
      <c r="M88" s="100"/>
      <c r="N88" s="100"/>
    </row>
    <row r="89" ht="15.6" spans="1:14">
      <c r="A89" s="100"/>
      <c r="B89" s="67" t="s">
        <v>2218</v>
      </c>
      <c r="C89" s="67" t="s">
        <v>229</v>
      </c>
      <c r="D89" s="67" t="s">
        <v>2219</v>
      </c>
      <c r="E89" s="168" t="s">
        <v>4252</v>
      </c>
      <c r="F89" s="109"/>
      <c r="G89" s="67" t="s">
        <v>4362</v>
      </c>
      <c r="H89" s="67"/>
      <c r="I89" s="67"/>
      <c r="J89" s="67"/>
      <c r="K89" s="109"/>
      <c r="L89" s="67"/>
      <c r="M89" s="100"/>
      <c r="N89" s="100"/>
    </row>
    <row r="90" ht="15.6" spans="1:14">
      <c r="A90" s="100"/>
      <c r="B90" s="67" t="s">
        <v>2222</v>
      </c>
      <c r="C90" s="67" t="s">
        <v>229</v>
      </c>
      <c r="D90" s="67" t="s">
        <v>2223</v>
      </c>
      <c r="E90" s="168" t="s">
        <v>4252</v>
      </c>
      <c r="F90" s="109"/>
      <c r="G90" s="67" t="s">
        <v>4363</v>
      </c>
      <c r="H90" s="67"/>
      <c r="I90" s="67"/>
      <c r="J90" s="67"/>
      <c r="K90" s="109"/>
      <c r="L90" s="67"/>
      <c r="M90" s="100"/>
      <c r="N90" s="100"/>
    </row>
    <row r="91" ht="15.6" spans="1:14">
      <c r="A91" s="100"/>
      <c r="B91" s="67" t="s">
        <v>2226</v>
      </c>
      <c r="C91" s="67" t="s">
        <v>229</v>
      </c>
      <c r="D91" s="67" t="s">
        <v>2227</v>
      </c>
      <c r="E91" s="168" t="s">
        <v>4252</v>
      </c>
      <c r="F91" s="109"/>
      <c r="G91" s="67" t="s">
        <v>4364</v>
      </c>
      <c r="H91" s="67"/>
      <c r="I91" s="67"/>
      <c r="J91" s="67"/>
      <c r="K91" s="109"/>
      <c r="L91" s="67"/>
      <c r="M91" s="100"/>
      <c r="N91" s="100"/>
    </row>
    <row r="92" ht="15.6" spans="1:14">
      <c r="A92" s="100"/>
      <c r="B92" s="67" t="s">
        <v>2230</v>
      </c>
      <c r="C92" s="67" t="s">
        <v>229</v>
      </c>
      <c r="D92" s="67" t="s">
        <v>2231</v>
      </c>
      <c r="E92" s="168" t="s">
        <v>4252</v>
      </c>
      <c r="F92" s="109"/>
      <c r="G92" s="67" t="s">
        <v>4365</v>
      </c>
      <c r="H92" s="67"/>
      <c r="I92" s="67"/>
      <c r="J92" s="67"/>
      <c r="K92" s="109"/>
      <c r="L92" s="67"/>
      <c r="M92" s="100"/>
      <c r="N92" s="100"/>
    </row>
    <row r="93" ht="15.6" spans="1:14">
      <c r="A93" s="100"/>
      <c r="B93" s="67" t="s">
        <v>1659</v>
      </c>
      <c r="C93" s="67" t="s">
        <v>203</v>
      </c>
      <c r="D93" s="67" t="s">
        <v>1660</v>
      </c>
      <c r="E93" s="109" t="s">
        <v>4334</v>
      </c>
      <c r="F93" s="109"/>
      <c r="G93" s="67" t="s">
        <v>4366</v>
      </c>
      <c r="H93" s="67"/>
      <c r="I93" s="67"/>
      <c r="J93" s="67"/>
      <c r="K93" s="109"/>
      <c r="L93" s="67"/>
      <c r="M93" s="100"/>
      <c r="N93" s="100"/>
    </row>
    <row r="94" ht="15.6" spans="1:14">
      <c r="A94" s="100"/>
      <c r="B94" s="67" t="s">
        <v>4367</v>
      </c>
      <c r="C94" s="67" t="s">
        <v>229</v>
      </c>
      <c r="D94" s="67" t="s">
        <v>2972</v>
      </c>
      <c r="E94" s="109" t="s">
        <v>4334</v>
      </c>
      <c r="F94" s="109"/>
      <c r="G94" s="67" t="s">
        <v>4368</v>
      </c>
      <c r="H94" s="67"/>
      <c r="I94" s="67"/>
      <c r="J94" s="67"/>
      <c r="K94" s="109"/>
      <c r="L94" s="67"/>
      <c r="M94" s="100"/>
      <c r="N94" s="100"/>
    </row>
    <row r="95" ht="15.6" spans="1:14">
      <c r="A95" s="100"/>
      <c r="B95" s="67" t="s">
        <v>4369</v>
      </c>
      <c r="C95" s="67" t="s">
        <v>229</v>
      </c>
      <c r="D95" s="67" t="s">
        <v>2976</v>
      </c>
      <c r="E95" s="109" t="s">
        <v>4334</v>
      </c>
      <c r="F95" s="109"/>
      <c r="G95" s="67" t="s">
        <v>4370</v>
      </c>
      <c r="H95" s="67"/>
      <c r="I95" s="67"/>
      <c r="J95" s="67"/>
      <c r="K95" s="109"/>
      <c r="L95" s="67"/>
      <c r="M95" s="100"/>
      <c r="N95" s="100"/>
    </row>
    <row r="96" ht="15.6" spans="1:14">
      <c r="A96" s="100"/>
      <c r="B96" s="67" t="s">
        <v>4371</v>
      </c>
      <c r="C96" s="67" t="s">
        <v>229</v>
      </c>
      <c r="D96" s="67" t="s">
        <v>2980</v>
      </c>
      <c r="E96" s="109" t="s">
        <v>4334</v>
      </c>
      <c r="F96" s="109"/>
      <c r="G96" s="67" t="s">
        <v>4372</v>
      </c>
      <c r="H96" s="67"/>
      <c r="I96" s="67"/>
      <c r="J96" s="67"/>
      <c r="K96" s="109"/>
      <c r="L96" s="67"/>
      <c r="M96" s="100"/>
      <c r="N96" s="100"/>
    </row>
    <row r="97" ht="15.6" spans="1:14">
      <c r="A97" s="100"/>
      <c r="B97" s="67" t="s">
        <v>4373</v>
      </c>
      <c r="C97" s="67" t="s">
        <v>229</v>
      </c>
      <c r="D97" s="67" t="s">
        <v>2984</v>
      </c>
      <c r="E97" s="109" t="s">
        <v>4334</v>
      </c>
      <c r="F97" s="109"/>
      <c r="G97" s="67" t="s">
        <v>4374</v>
      </c>
      <c r="H97" s="67"/>
      <c r="I97" s="67"/>
      <c r="J97" s="67"/>
      <c r="K97" s="109"/>
      <c r="L97" s="67"/>
      <c r="M97" s="100"/>
      <c r="N97" s="100"/>
    </row>
    <row r="98" ht="15.6" spans="1:14">
      <c r="A98" s="100"/>
      <c r="B98" s="67" t="s">
        <v>4375</v>
      </c>
      <c r="C98" s="67" t="s">
        <v>229</v>
      </c>
      <c r="D98" s="67" t="s">
        <v>2988</v>
      </c>
      <c r="E98" s="109" t="s">
        <v>4334</v>
      </c>
      <c r="F98" s="109"/>
      <c r="G98" s="67" t="s">
        <v>4376</v>
      </c>
      <c r="H98" s="67"/>
      <c r="I98" s="67"/>
      <c r="J98" s="67"/>
      <c r="K98" s="109"/>
      <c r="L98" s="67"/>
      <c r="M98" s="100"/>
      <c r="N98" s="100"/>
    </row>
    <row r="99" ht="15.6" spans="1:14">
      <c r="A99" s="100"/>
      <c r="B99" s="67" t="s">
        <v>1663</v>
      </c>
      <c r="C99" s="67" t="s">
        <v>203</v>
      </c>
      <c r="D99" s="67" t="s">
        <v>1664</v>
      </c>
      <c r="E99" s="109" t="s">
        <v>4334</v>
      </c>
      <c r="F99" s="109"/>
      <c r="G99" s="67" t="s">
        <v>4377</v>
      </c>
      <c r="H99" s="67"/>
      <c r="I99" s="67"/>
      <c r="J99" s="67"/>
      <c r="K99" s="109"/>
      <c r="L99" s="67"/>
      <c r="M99" s="100"/>
      <c r="N99" s="100"/>
    </row>
    <row r="100" ht="15.6" spans="1:14">
      <c r="A100" s="100"/>
      <c r="B100" s="67" t="s">
        <v>4378</v>
      </c>
      <c r="C100" s="67" t="s">
        <v>229</v>
      </c>
      <c r="D100" s="67" t="s">
        <v>2995</v>
      </c>
      <c r="E100" s="109" t="s">
        <v>4334</v>
      </c>
      <c r="F100" s="109"/>
      <c r="G100" s="67" t="s">
        <v>4379</v>
      </c>
      <c r="H100" s="67"/>
      <c r="I100" s="67"/>
      <c r="J100" s="67"/>
      <c r="K100" s="109"/>
      <c r="L100" s="67"/>
      <c r="M100" s="100"/>
      <c r="N100" s="100"/>
    </row>
    <row r="101" ht="15.6" spans="1:14">
      <c r="A101" s="100"/>
      <c r="B101" s="67" t="s">
        <v>4380</v>
      </c>
      <c r="C101" s="67" t="s">
        <v>229</v>
      </c>
      <c r="D101" s="67" t="s">
        <v>2999</v>
      </c>
      <c r="E101" s="109" t="s">
        <v>4334</v>
      </c>
      <c r="F101" s="109"/>
      <c r="G101" s="67" t="s">
        <v>4381</v>
      </c>
      <c r="H101" s="67"/>
      <c r="I101" s="67"/>
      <c r="J101" s="67"/>
      <c r="K101" s="109"/>
      <c r="L101" s="67"/>
      <c r="M101" s="100"/>
      <c r="N101" s="100"/>
    </row>
    <row r="102" ht="15.6" spans="1:14">
      <c r="A102" s="100"/>
      <c r="B102" s="67" t="s">
        <v>4382</v>
      </c>
      <c r="C102" s="67" t="s">
        <v>229</v>
      </c>
      <c r="D102" s="67" t="s">
        <v>3003</v>
      </c>
      <c r="E102" s="109" t="s">
        <v>4334</v>
      </c>
      <c r="F102" s="109"/>
      <c r="G102" s="67" t="s">
        <v>4383</v>
      </c>
      <c r="H102" s="67"/>
      <c r="I102" s="67"/>
      <c r="J102" s="67"/>
      <c r="K102" s="109"/>
      <c r="L102" s="67"/>
      <c r="M102" s="100"/>
      <c r="N102" s="100"/>
    </row>
    <row r="103" ht="15.6" spans="1:14">
      <c r="A103" s="100"/>
      <c r="B103" s="67" t="s">
        <v>4384</v>
      </c>
      <c r="C103" s="67" t="s">
        <v>229</v>
      </c>
      <c r="D103" s="67" t="s">
        <v>3007</v>
      </c>
      <c r="E103" s="109" t="s">
        <v>4334</v>
      </c>
      <c r="F103" s="109"/>
      <c r="G103" s="67" t="s">
        <v>4385</v>
      </c>
      <c r="H103" s="67"/>
      <c r="I103" s="67"/>
      <c r="J103" s="67"/>
      <c r="K103" s="109"/>
      <c r="L103" s="67"/>
      <c r="M103" s="100"/>
      <c r="N103" s="100"/>
    </row>
    <row r="104" ht="15.6" spans="1:14">
      <c r="A104" s="100"/>
      <c r="B104" s="67" t="s">
        <v>4386</v>
      </c>
      <c r="C104" s="67" t="s">
        <v>229</v>
      </c>
      <c r="D104" s="67" t="s">
        <v>3010</v>
      </c>
      <c r="E104" s="109" t="s">
        <v>4334</v>
      </c>
      <c r="F104" s="109"/>
      <c r="G104" s="67" t="s">
        <v>4387</v>
      </c>
      <c r="H104" s="67"/>
      <c r="I104" s="67"/>
      <c r="J104" s="67"/>
      <c r="K104" s="109"/>
      <c r="L104" s="67"/>
      <c r="M104" s="100"/>
      <c r="N104" s="100"/>
    </row>
    <row r="105" ht="15.6" spans="1:14">
      <c r="A105" s="100"/>
      <c r="B105" s="67" t="s">
        <v>1671</v>
      </c>
      <c r="C105" s="67" t="s">
        <v>203</v>
      </c>
      <c r="D105" s="67" t="s">
        <v>1672</v>
      </c>
      <c r="E105" s="109" t="s">
        <v>4334</v>
      </c>
      <c r="F105" s="109"/>
      <c r="G105" s="67" t="s">
        <v>4388</v>
      </c>
      <c r="H105" s="67"/>
      <c r="I105" s="67"/>
      <c r="J105" s="67"/>
      <c r="K105" s="109"/>
      <c r="L105" s="67"/>
      <c r="M105" s="100"/>
      <c r="N105" s="100"/>
    </row>
    <row r="106" ht="15.6" spans="1:14">
      <c r="A106" s="100"/>
      <c r="B106" s="67" t="s">
        <v>3018</v>
      </c>
      <c r="C106" s="67" t="s">
        <v>229</v>
      </c>
      <c r="D106" s="67" t="s">
        <v>3019</v>
      </c>
      <c r="E106" s="109" t="s">
        <v>4334</v>
      </c>
      <c r="F106" s="109"/>
      <c r="G106" s="67" t="s">
        <v>4389</v>
      </c>
      <c r="H106" s="67"/>
      <c r="I106" s="67"/>
      <c r="J106" s="67"/>
      <c r="K106" s="109"/>
      <c r="L106" s="67"/>
      <c r="M106" s="100"/>
      <c r="N106" s="100"/>
    </row>
    <row r="107" ht="15.6" spans="1:14">
      <c r="A107" s="100"/>
      <c r="B107" s="67" t="s">
        <v>3022</v>
      </c>
      <c r="C107" s="67" t="s">
        <v>229</v>
      </c>
      <c r="D107" s="67" t="s">
        <v>3023</v>
      </c>
      <c r="E107" s="109" t="s">
        <v>4334</v>
      </c>
      <c r="F107" s="109"/>
      <c r="G107" s="67" t="s">
        <v>4390</v>
      </c>
      <c r="H107" s="67"/>
      <c r="I107" s="67"/>
      <c r="J107" s="67"/>
      <c r="K107" s="109"/>
      <c r="L107" s="67"/>
      <c r="M107" s="100"/>
      <c r="N107" s="100"/>
    </row>
    <row r="108" ht="15.6" spans="1:14">
      <c r="A108" s="100"/>
      <c r="B108" s="67" t="s">
        <v>3025</v>
      </c>
      <c r="C108" s="67" t="s">
        <v>229</v>
      </c>
      <c r="D108" s="67" t="s">
        <v>3026</v>
      </c>
      <c r="E108" s="109" t="s">
        <v>4334</v>
      </c>
      <c r="F108" s="109"/>
      <c r="G108" s="67" t="s">
        <v>4391</v>
      </c>
      <c r="H108" s="67"/>
      <c r="I108" s="67"/>
      <c r="J108" s="67"/>
      <c r="K108" s="109"/>
      <c r="L108" s="67"/>
      <c r="M108" s="100"/>
      <c r="N108" s="100"/>
    </row>
    <row r="109" ht="15.6" spans="1:14">
      <c r="A109" s="100"/>
      <c r="B109" s="67" t="s">
        <v>3028</v>
      </c>
      <c r="C109" s="67" t="s">
        <v>229</v>
      </c>
      <c r="D109" s="67" t="s">
        <v>3029</v>
      </c>
      <c r="E109" s="109" t="s">
        <v>4334</v>
      </c>
      <c r="F109" s="109"/>
      <c r="G109" s="67" t="s">
        <v>4392</v>
      </c>
      <c r="H109" s="67"/>
      <c r="I109" s="67"/>
      <c r="J109" s="67"/>
      <c r="K109" s="109"/>
      <c r="L109" s="67"/>
      <c r="M109" s="100"/>
      <c r="N109" s="100"/>
    </row>
    <row r="110" ht="15.6" spans="1:14">
      <c r="A110" s="100"/>
      <c r="B110" s="67" t="s">
        <v>3031</v>
      </c>
      <c r="C110" s="67" t="s">
        <v>229</v>
      </c>
      <c r="D110" s="67" t="s">
        <v>3032</v>
      </c>
      <c r="E110" s="109" t="s">
        <v>4334</v>
      </c>
      <c r="F110" s="109"/>
      <c r="G110" s="67" t="s">
        <v>4393</v>
      </c>
      <c r="H110" s="67"/>
      <c r="I110" s="67"/>
      <c r="J110" s="67"/>
      <c r="K110" s="109"/>
      <c r="L110" s="67"/>
      <c r="M110" s="100"/>
      <c r="N110" s="100"/>
    </row>
    <row r="111" ht="15.6" spans="1:14">
      <c r="A111" s="100"/>
      <c r="B111" s="67" t="s">
        <v>1675</v>
      </c>
      <c r="C111" s="67" t="s">
        <v>203</v>
      </c>
      <c r="D111" s="67" t="s">
        <v>1676</v>
      </c>
      <c r="E111" s="109" t="s">
        <v>4334</v>
      </c>
      <c r="F111" s="109"/>
      <c r="G111" s="67" t="s">
        <v>4394</v>
      </c>
      <c r="H111" s="67"/>
      <c r="I111" s="67"/>
      <c r="J111" s="67"/>
      <c r="K111" s="109"/>
      <c r="L111" s="67"/>
      <c r="M111" s="100"/>
      <c r="N111" s="100"/>
    </row>
    <row r="112" ht="15.6" spans="1:14">
      <c r="A112" s="100"/>
      <c r="B112" s="67" t="s">
        <v>4395</v>
      </c>
      <c r="C112" s="67" t="s">
        <v>229</v>
      </c>
      <c r="D112" s="67" t="s">
        <v>3041</v>
      </c>
      <c r="E112" s="109" t="s">
        <v>4334</v>
      </c>
      <c r="F112" s="109"/>
      <c r="G112" s="67" t="s">
        <v>4396</v>
      </c>
      <c r="H112" s="67"/>
      <c r="I112" s="67"/>
      <c r="J112" s="67"/>
      <c r="K112" s="109"/>
      <c r="L112" s="67"/>
      <c r="M112" s="100"/>
      <c r="N112" s="100"/>
    </row>
    <row r="113" ht="15.6" spans="1:14">
      <c r="A113" s="100"/>
      <c r="B113" s="67" t="s">
        <v>4397</v>
      </c>
      <c r="C113" s="67" t="s">
        <v>229</v>
      </c>
      <c r="D113" s="67" t="s">
        <v>3045</v>
      </c>
      <c r="E113" s="109" t="s">
        <v>4334</v>
      </c>
      <c r="F113" s="109"/>
      <c r="G113" s="67" t="s">
        <v>4398</v>
      </c>
      <c r="H113" s="67"/>
      <c r="I113" s="67"/>
      <c r="J113" s="67"/>
      <c r="K113" s="109"/>
      <c r="L113" s="67"/>
      <c r="M113" s="100"/>
      <c r="N113" s="100"/>
    </row>
    <row r="114" ht="15.6" spans="1:14">
      <c r="A114" s="100"/>
      <c r="B114" s="67" t="s">
        <v>4399</v>
      </c>
      <c r="C114" s="67" t="s">
        <v>229</v>
      </c>
      <c r="D114" s="67" t="s">
        <v>3049</v>
      </c>
      <c r="E114" s="109" t="s">
        <v>4334</v>
      </c>
      <c r="F114" s="109"/>
      <c r="G114" s="67" t="s">
        <v>4400</v>
      </c>
      <c r="H114" s="67"/>
      <c r="I114" s="67"/>
      <c r="J114" s="67"/>
      <c r="K114" s="109"/>
      <c r="L114" s="67"/>
      <c r="M114" s="100"/>
      <c r="N114" s="100"/>
    </row>
    <row r="115" ht="15.6" spans="1:14">
      <c r="A115" s="100"/>
      <c r="B115" s="67" t="s">
        <v>4401</v>
      </c>
      <c r="C115" s="67" t="s">
        <v>229</v>
      </c>
      <c r="D115" s="67" t="s">
        <v>3053</v>
      </c>
      <c r="E115" s="109" t="s">
        <v>4334</v>
      </c>
      <c r="F115" s="109"/>
      <c r="G115" s="67" t="s">
        <v>4402</v>
      </c>
      <c r="H115" s="67"/>
      <c r="I115" s="67"/>
      <c r="J115" s="67"/>
      <c r="K115" s="109"/>
      <c r="L115" s="67"/>
      <c r="M115" s="100"/>
      <c r="N115" s="100"/>
    </row>
    <row r="116" ht="15.6" spans="1:14">
      <c r="A116" s="100"/>
      <c r="B116" s="67" t="s">
        <v>4403</v>
      </c>
      <c r="C116" s="67" t="s">
        <v>229</v>
      </c>
      <c r="D116" s="67" t="s">
        <v>3057</v>
      </c>
      <c r="E116" s="109" t="s">
        <v>4334</v>
      </c>
      <c r="F116" s="109"/>
      <c r="G116" s="67" t="s">
        <v>4404</v>
      </c>
      <c r="H116" s="67"/>
      <c r="I116" s="67"/>
      <c r="J116" s="67"/>
      <c r="K116" s="109"/>
      <c r="L116" s="67"/>
      <c r="M116" s="100"/>
      <c r="N116" s="100"/>
    </row>
    <row r="117" ht="15.6" spans="1:14">
      <c r="A117" s="100"/>
      <c r="B117" s="67" t="s">
        <v>1679</v>
      </c>
      <c r="C117" s="67" t="s">
        <v>203</v>
      </c>
      <c r="D117" s="67" t="s">
        <v>1680</v>
      </c>
      <c r="E117" s="109" t="s">
        <v>4334</v>
      </c>
      <c r="F117" s="109"/>
      <c r="G117" s="67" t="s">
        <v>4405</v>
      </c>
      <c r="H117" s="67"/>
      <c r="I117" s="67"/>
      <c r="J117" s="67"/>
      <c r="K117" s="109"/>
      <c r="L117" s="67"/>
      <c r="M117" s="100"/>
      <c r="N117" s="100"/>
    </row>
    <row r="118" ht="15.6" spans="1:14">
      <c r="A118" s="100"/>
      <c r="B118" s="67" t="s">
        <v>3064</v>
      </c>
      <c r="C118" s="67" t="s">
        <v>229</v>
      </c>
      <c r="D118" s="67" t="s">
        <v>3065</v>
      </c>
      <c r="E118" s="109" t="s">
        <v>4334</v>
      </c>
      <c r="F118" s="109"/>
      <c r="G118" s="67" t="s">
        <v>4406</v>
      </c>
      <c r="H118" s="67"/>
      <c r="I118" s="67"/>
      <c r="J118" s="67"/>
      <c r="K118" s="109"/>
      <c r="L118" s="67"/>
      <c r="M118" s="100"/>
      <c r="N118" s="100"/>
    </row>
    <row r="119" ht="15.6" spans="1:14">
      <c r="A119" s="100"/>
      <c r="B119" s="67" t="s">
        <v>3068</v>
      </c>
      <c r="C119" s="67" t="s">
        <v>229</v>
      </c>
      <c r="D119" s="67" t="s">
        <v>3069</v>
      </c>
      <c r="E119" s="109" t="s">
        <v>4334</v>
      </c>
      <c r="F119" s="109"/>
      <c r="G119" s="67" t="s">
        <v>4407</v>
      </c>
      <c r="H119" s="67"/>
      <c r="I119" s="67"/>
      <c r="J119" s="67"/>
      <c r="K119" s="109"/>
      <c r="L119" s="67"/>
      <c r="M119" s="100"/>
      <c r="N119" s="100"/>
    </row>
    <row r="120" ht="15.6" spans="1:14">
      <c r="A120" s="100"/>
      <c r="B120" s="67" t="s">
        <v>3072</v>
      </c>
      <c r="C120" s="67" t="s">
        <v>229</v>
      </c>
      <c r="D120" s="67" t="s">
        <v>3073</v>
      </c>
      <c r="E120" s="109" t="s">
        <v>4334</v>
      </c>
      <c r="F120" s="109"/>
      <c r="G120" s="67" t="s">
        <v>4408</v>
      </c>
      <c r="H120" s="67"/>
      <c r="I120" s="67"/>
      <c r="J120" s="67"/>
      <c r="K120" s="109"/>
      <c r="L120" s="67"/>
      <c r="M120" s="100"/>
      <c r="N120" s="100"/>
    </row>
    <row r="121" ht="15.6" spans="1:14">
      <c r="A121" s="100"/>
      <c r="B121" s="67" t="s">
        <v>3076</v>
      </c>
      <c r="C121" s="67" t="s">
        <v>229</v>
      </c>
      <c r="D121" s="67" t="s">
        <v>3077</v>
      </c>
      <c r="E121" s="109" t="s">
        <v>4334</v>
      </c>
      <c r="F121" s="109"/>
      <c r="G121" s="67" t="s">
        <v>4409</v>
      </c>
      <c r="H121" s="67"/>
      <c r="I121" s="67"/>
      <c r="J121" s="67"/>
      <c r="K121" s="109"/>
      <c r="L121" s="67"/>
      <c r="M121" s="100"/>
      <c r="N121" s="100"/>
    </row>
    <row r="122" ht="15.6" spans="1:14">
      <c r="A122" s="100"/>
      <c r="B122" s="67" t="s">
        <v>3080</v>
      </c>
      <c r="C122" s="67" t="s">
        <v>229</v>
      </c>
      <c r="D122" s="67" t="s">
        <v>3081</v>
      </c>
      <c r="E122" s="109" t="s">
        <v>4334</v>
      </c>
      <c r="F122" s="109"/>
      <c r="G122" s="67" t="s">
        <v>4410</v>
      </c>
      <c r="H122" s="67"/>
      <c r="I122" s="67"/>
      <c r="J122" s="67"/>
      <c r="K122" s="109"/>
      <c r="L122" s="67"/>
      <c r="M122" s="100"/>
      <c r="N122" s="100"/>
    </row>
    <row r="123" ht="15.6" spans="1:14">
      <c r="A123" s="100"/>
      <c r="B123" s="67" t="s">
        <v>1683</v>
      </c>
      <c r="C123" s="67" t="s">
        <v>203</v>
      </c>
      <c r="D123" s="67" t="s">
        <v>1684</v>
      </c>
      <c r="E123" s="109" t="s">
        <v>4334</v>
      </c>
      <c r="F123" s="109"/>
      <c r="G123" s="67" t="s">
        <v>4411</v>
      </c>
      <c r="H123" s="67"/>
      <c r="I123" s="67"/>
      <c r="J123" s="67"/>
      <c r="K123" s="109"/>
      <c r="L123" s="67"/>
      <c r="M123" s="100"/>
      <c r="N123" s="100"/>
    </row>
    <row r="124" ht="15.6" spans="1:14">
      <c r="A124" s="100"/>
      <c r="B124" s="67" t="s">
        <v>3089</v>
      </c>
      <c r="C124" s="67" t="s">
        <v>229</v>
      </c>
      <c r="D124" s="67" t="s">
        <v>3090</v>
      </c>
      <c r="E124" s="109" t="s">
        <v>4334</v>
      </c>
      <c r="F124" s="109"/>
      <c r="G124" s="67" t="s">
        <v>4412</v>
      </c>
      <c r="H124" s="67"/>
      <c r="I124" s="67"/>
      <c r="J124" s="67"/>
      <c r="K124" s="109"/>
      <c r="L124" s="67"/>
      <c r="M124" s="100"/>
      <c r="N124" s="100"/>
    </row>
    <row r="125" ht="15.6" spans="1:14">
      <c r="A125" s="100"/>
      <c r="B125" s="67" t="s">
        <v>3093</v>
      </c>
      <c r="C125" s="67" t="s">
        <v>229</v>
      </c>
      <c r="D125" s="67" t="s">
        <v>3094</v>
      </c>
      <c r="E125" s="109" t="s">
        <v>4334</v>
      </c>
      <c r="F125" s="109"/>
      <c r="G125" s="67" t="s">
        <v>4413</v>
      </c>
      <c r="H125" s="67"/>
      <c r="I125" s="67"/>
      <c r="J125" s="67"/>
      <c r="K125" s="109"/>
      <c r="L125" s="67"/>
      <c r="M125" s="100"/>
      <c r="N125" s="100"/>
    </row>
    <row r="126" ht="15.6" spans="1:14">
      <c r="A126" s="100"/>
      <c r="B126" s="67" t="s">
        <v>3097</v>
      </c>
      <c r="C126" s="67" t="s">
        <v>229</v>
      </c>
      <c r="D126" s="67" t="s">
        <v>3098</v>
      </c>
      <c r="E126" s="109" t="s">
        <v>4334</v>
      </c>
      <c r="F126" s="109"/>
      <c r="G126" s="67" t="s">
        <v>4414</v>
      </c>
      <c r="H126" s="67"/>
      <c r="I126" s="67"/>
      <c r="J126" s="67"/>
      <c r="K126" s="109"/>
      <c r="L126" s="67"/>
      <c r="M126" s="100"/>
      <c r="N126" s="100"/>
    </row>
    <row r="127" ht="15.6" spans="1:14">
      <c r="A127" s="100"/>
      <c r="B127" s="67" t="s">
        <v>3101</v>
      </c>
      <c r="C127" s="67" t="s">
        <v>229</v>
      </c>
      <c r="D127" s="67" t="s">
        <v>3102</v>
      </c>
      <c r="E127" s="109" t="s">
        <v>4334</v>
      </c>
      <c r="F127" s="109"/>
      <c r="G127" s="67" t="s">
        <v>4415</v>
      </c>
      <c r="H127" s="67"/>
      <c r="I127" s="67"/>
      <c r="J127" s="67"/>
      <c r="K127" s="109"/>
      <c r="L127" s="67"/>
      <c r="M127" s="100"/>
      <c r="N127" s="100"/>
    </row>
    <row r="128" ht="15.6" spans="1:14">
      <c r="A128" s="100"/>
      <c r="B128" s="67" t="s">
        <v>3105</v>
      </c>
      <c r="C128" s="67" t="s">
        <v>229</v>
      </c>
      <c r="D128" s="67" t="s">
        <v>3106</v>
      </c>
      <c r="E128" s="109" t="s">
        <v>4334</v>
      </c>
      <c r="F128" s="109"/>
      <c r="G128" s="67" t="s">
        <v>4416</v>
      </c>
      <c r="H128" s="67"/>
      <c r="I128" s="67"/>
      <c r="J128" s="67"/>
      <c r="K128" s="109"/>
      <c r="L128" s="67"/>
      <c r="M128" s="100"/>
      <c r="N128" s="100"/>
    </row>
    <row r="129" ht="15.6" spans="1:14">
      <c r="A129" s="100"/>
      <c r="B129" s="67" t="s">
        <v>1687</v>
      </c>
      <c r="C129" s="67" t="s">
        <v>203</v>
      </c>
      <c r="D129" s="67" t="s">
        <v>1688</v>
      </c>
      <c r="E129" s="109" t="s">
        <v>4334</v>
      </c>
      <c r="F129" s="109"/>
      <c r="G129" s="67" t="s">
        <v>4417</v>
      </c>
      <c r="H129" s="67"/>
      <c r="I129" s="67"/>
      <c r="J129" s="67"/>
      <c r="K129" s="109"/>
      <c r="L129" s="67"/>
      <c r="M129" s="100"/>
      <c r="N129" s="100"/>
    </row>
    <row r="130" ht="15.6" spans="1:14">
      <c r="A130" s="100"/>
      <c r="B130" s="67" t="s">
        <v>3117</v>
      </c>
      <c r="C130" s="67" t="s">
        <v>229</v>
      </c>
      <c r="D130" s="67" t="s">
        <v>3118</v>
      </c>
      <c r="E130" s="109" t="s">
        <v>4334</v>
      </c>
      <c r="F130" s="109"/>
      <c r="G130" s="67" t="s">
        <v>4418</v>
      </c>
      <c r="H130" s="67"/>
      <c r="I130" s="67"/>
      <c r="J130" s="67"/>
      <c r="K130" s="109"/>
      <c r="L130" s="67"/>
      <c r="M130" s="100"/>
      <c r="N130" s="100"/>
    </row>
    <row r="131" ht="15.6" spans="1:14">
      <c r="A131" s="100"/>
      <c r="B131" s="67" t="s">
        <v>3121</v>
      </c>
      <c r="C131" s="67" t="s">
        <v>229</v>
      </c>
      <c r="D131" s="67" t="s">
        <v>3122</v>
      </c>
      <c r="E131" s="109" t="s">
        <v>4334</v>
      </c>
      <c r="F131" s="109"/>
      <c r="G131" s="67" t="s">
        <v>4419</v>
      </c>
      <c r="H131" s="67"/>
      <c r="I131" s="67"/>
      <c r="J131" s="67"/>
      <c r="K131" s="109"/>
      <c r="L131" s="67"/>
      <c r="M131" s="100"/>
      <c r="N131" s="100"/>
    </row>
    <row r="132" ht="15.6" spans="1:14">
      <c r="A132" s="100"/>
      <c r="B132" s="67" t="s">
        <v>3125</v>
      </c>
      <c r="C132" s="67" t="s">
        <v>229</v>
      </c>
      <c r="D132" s="67" t="s">
        <v>3126</v>
      </c>
      <c r="E132" s="109" t="s">
        <v>4334</v>
      </c>
      <c r="F132" s="109"/>
      <c r="G132" s="67" t="s">
        <v>4420</v>
      </c>
      <c r="H132" s="67"/>
      <c r="I132" s="67"/>
      <c r="J132" s="67"/>
      <c r="K132" s="109"/>
      <c r="L132" s="67"/>
      <c r="M132" s="100"/>
      <c r="N132" s="100"/>
    </row>
    <row r="133" ht="15.6" spans="1:14">
      <c r="A133" s="100"/>
      <c r="B133" s="67" t="s">
        <v>3129</v>
      </c>
      <c r="C133" s="67" t="s">
        <v>229</v>
      </c>
      <c r="D133" s="67" t="s">
        <v>3130</v>
      </c>
      <c r="E133" s="109" t="s">
        <v>4334</v>
      </c>
      <c r="F133" s="109"/>
      <c r="G133" s="67" t="s">
        <v>4421</v>
      </c>
      <c r="H133" s="67"/>
      <c r="I133" s="67"/>
      <c r="J133" s="67"/>
      <c r="K133" s="109"/>
      <c r="L133" s="67"/>
      <c r="M133" s="100"/>
      <c r="N133" s="100"/>
    </row>
    <row r="134" ht="15.6" spans="1:14">
      <c r="A134" s="100"/>
      <c r="B134" s="67" t="s">
        <v>3133</v>
      </c>
      <c r="C134" s="67" t="s">
        <v>229</v>
      </c>
      <c r="D134" s="67" t="s">
        <v>3134</v>
      </c>
      <c r="E134" s="109" t="s">
        <v>4334</v>
      </c>
      <c r="F134" s="109"/>
      <c r="G134" s="67" t="s">
        <v>4422</v>
      </c>
      <c r="H134" s="67"/>
      <c r="I134" s="67"/>
      <c r="J134" s="67"/>
      <c r="K134" s="109"/>
      <c r="L134" s="67"/>
      <c r="M134" s="100"/>
      <c r="N134" s="100"/>
    </row>
    <row r="135" ht="15.6" spans="1:14">
      <c r="A135" s="100"/>
      <c r="B135" s="67" t="s">
        <v>1691</v>
      </c>
      <c r="C135" s="67" t="s">
        <v>203</v>
      </c>
      <c r="D135" s="67" t="s">
        <v>1692</v>
      </c>
      <c r="E135" s="109" t="s">
        <v>4334</v>
      </c>
      <c r="F135" s="109"/>
      <c r="G135" s="67" t="s">
        <v>4423</v>
      </c>
      <c r="H135" s="67"/>
      <c r="I135" s="67"/>
      <c r="J135" s="67"/>
      <c r="K135" s="109"/>
      <c r="L135" s="67"/>
      <c r="M135" s="100"/>
      <c r="N135" s="100"/>
    </row>
    <row r="136" ht="15.6" spans="1:14">
      <c r="A136" s="100"/>
      <c r="B136" s="67" t="s">
        <v>3142</v>
      </c>
      <c r="C136" s="67" t="s">
        <v>229</v>
      </c>
      <c r="D136" s="67" t="s">
        <v>3143</v>
      </c>
      <c r="E136" s="109" t="s">
        <v>4334</v>
      </c>
      <c r="F136" s="109"/>
      <c r="G136" s="67" t="s">
        <v>4424</v>
      </c>
      <c r="H136" s="67"/>
      <c r="I136" s="67"/>
      <c r="J136" s="67"/>
      <c r="K136" s="109"/>
      <c r="L136" s="67"/>
      <c r="M136" s="100"/>
      <c r="N136" s="100"/>
    </row>
    <row r="137" ht="15.6" spans="1:14">
      <c r="A137" s="100"/>
      <c r="B137" s="67" t="s">
        <v>3146</v>
      </c>
      <c r="C137" s="67" t="s">
        <v>229</v>
      </c>
      <c r="D137" s="67" t="s">
        <v>3147</v>
      </c>
      <c r="E137" s="109" t="s">
        <v>4334</v>
      </c>
      <c r="F137" s="109"/>
      <c r="G137" s="67" t="s">
        <v>4425</v>
      </c>
      <c r="H137" s="67"/>
      <c r="I137" s="67"/>
      <c r="J137" s="67"/>
      <c r="K137" s="109"/>
      <c r="L137" s="67"/>
      <c r="M137" s="100"/>
      <c r="N137" s="100"/>
    </row>
    <row r="138" ht="15.6" spans="1:14">
      <c r="A138" s="100"/>
      <c r="B138" s="67" t="s">
        <v>3150</v>
      </c>
      <c r="C138" s="67" t="s">
        <v>229</v>
      </c>
      <c r="D138" s="67" t="s">
        <v>3151</v>
      </c>
      <c r="E138" s="109" t="s">
        <v>4334</v>
      </c>
      <c r="F138" s="109"/>
      <c r="G138" s="67" t="s">
        <v>4426</v>
      </c>
      <c r="H138" s="67"/>
      <c r="I138" s="67"/>
      <c r="J138" s="67"/>
      <c r="K138" s="109"/>
      <c r="L138" s="67"/>
      <c r="M138" s="100"/>
      <c r="N138" s="100"/>
    </row>
    <row r="139" ht="15.6" spans="1:14">
      <c r="A139" s="100"/>
      <c r="B139" s="67" t="s">
        <v>3154</v>
      </c>
      <c r="C139" s="67" t="s">
        <v>229</v>
      </c>
      <c r="D139" s="67" t="s">
        <v>3155</v>
      </c>
      <c r="E139" s="109" t="s">
        <v>4334</v>
      </c>
      <c r="F139" s="109"/>
      <c r="G139" s="67" t="s">
        <v>4427</v>
      </c>
      <c r="H139" s="67"/>
      <c r="I139" s="67"/>
      <c r="J139" s="67"/>
      <c r="K139" s="109"/>
      <c r="L139" s="67"/>
      <c r="M139" s="100"/>
      <c r="N139" s="100"/>
    </row>
    <row r="140" ht="15.6" spans="1:14">
      <c r="A140" s="100"/>
      <c r="B140" s="67" t="s">
        <v>3158</v>
      </c>
      <c r="C140" s="67" t="s">
        <v>229</v>
      </c>
      <c r="D140" s="67" t="s">
        <v>3159</v>
      </c>
      <c r="E140" s="109" t="s">
        <v>4334</v>
      </c>
      <c r="F140" s="109"/>
      <c r="G140" s="67" t="s">
        <v>4428</v>
      </c>
      <c r="H140" s="67"/>
      <c r="I140" s="67"/>
      <c r="J140" s="67"/>
      <c r="K140" s="109"/>
      <c r="L140" s="67"/>
      <c r="M140" s="100"/>
      <c r="N140" s="100"/>
    </row>
    <row r="141" ht="15.6" spans="1:14">
      <c r="A141" s="100"/>
      <c r="B141" s="67" t="s">
        <v>1695</v>
      </c>
      <c r="C141" s="67" t="s">
        <v>203</v>
      </c>
      <c r="D141" s="67" t="s">
        <v>1696</v>
      </c>
      <c r="E141" s="109" t="s">
        <v>4334</v>
      </c>
      <c r="F141" s="109"/>
      <c r="G141" s="67" t="s">
        <v>4429</v>
      </c>
      <c r="H141" s="67"/>
      <c r="I141" s="67"/>
      <c r="J141" s="67"/>
      <c r="K141" s="109"/>
      <c r="L141" s="67"/>
      <c r="M141" s="100"/>
      <c r="N141" s="100"/>
    </row>
    <row r="142" ht="15.6" spans="1:14">
      <c r="A142" s="100"/>
      <c r="B142" s="67" t="s">
        <v>3166</v>
      </c>
      <c r="C142" s="67" t="s">
        <v>229</v>
      </c>
      <c r="D142" s="67" t="s">
        <v>3167</v>
      </c>
      <c r="E142" s="109" t="s">
        <v>4334</v>
      </c>
      <c r="F142" s="109"/>
      <c r="G142" s="67" t="s">
        <v>4430</v>
      </c>
      <c r="H142" s="67"/>
      <c r="I142" s="67"/>
      <c r="J142" s="67"/>
      <c r="K142" s="109"/>
      <c r="L142" s="67"/>
      <c r="M142" s="100"/>
      <c r="N142" s="100"/>
    </row>
    <row r="143" ht="15.6" spans="1:14">
      <c r="A143" s="100"/>
      <c r="B143" s="67" t="s">
        <v>3170</v>
      </c>
      <c r="C143" s="67" t="s">
        <v>229</v>
      </c>
      <c r="D143" s="67" t="s">
        <v>3171</v>
      </c>
      <c r="E143" s="109" t="s">
        <v>4334</v>
      </c>
      <c r="F143" s="109"/>
      <c r="G143" s="67" t="s">
        <v>4431</v>
      </c>
      <c r="H143" s="67"/>
      <c r="I143" s="67"/>
      <c r="J143" s="67"/>
      <c r="K143" s="109"/>
      <c r="L143" s="67"/>
      <c r="M143" s="100"/>
      <c r="N143" s="100"/>
    </row>
    <row r="144" ht="15.6" spans="1:14">
      <c r="A144" s="100"/>
      <c r="B144" s="67" t="s">
        <v>3174</v>
      </c>
      <c r="C144" s="67" t="s">
        <v>229</v>
      </c>
      <c r="D144" s="67" t="s">
        <v>3175</v>
      </c>
      <c r="E144" s="109" t="s">
        <v>4334</v>
      </c>
      <c r="F144" s="109"/>
      <c r="G144" s="67" t="s">
        <v>4432</v>
      </c>
      <c r="H144" s="67"/>
      <c r="I144" s="67"/>
      <c r="J144" s="67"/>
      <c r="K144" s="109"/>
      <c r="L144" s="67"/>
      <c r="M144" s="100"/>
      <c r="N144" s="100"/>
    </row>
    <row r="145" ht="15.6" spans="1:14">
      <c r="A145" s="100"/>
      <c r="B145" s="67" t="s">
        <v>3178</v>
      </c>
      <c r="C145" s="67" t="s">
        <v>229</v>
      </c>
      <c r="D145" s="67" t="s">
        <v>3179</v>
      </c>
      <c r="E145" s="109" t="s">
        <v>4334</v>
      </c>
      <c r="F145" s="109"/>
      <c r="G145" s="67" t="s">
        <v>4433</v>
      </c>
      <c r="H145" s="67"/>
      <c r="I145" s="67"/>
      <c r="J145" s="67"/>
      <c r="K145" s="109"/>
      <c r="L145" s="67"/>
      <c r="M145" s="100"/>
      <c r="N145" s="100"/>
    </row>
    <row r="146" ht="15.6" spans="1:14">
      <c r="A146" s="100"/>
      <c r="B146" s="67" t="s">
        <v>3182</v>
      </c>
      <c r="C146" s="67" t="s">
        <v>229</v>
      </c>
      <c r="D146" s="67" t="s">
        <v>3183</v>
      </c>
      <c r="E146" s="109" t="s">
        <v>4334</v>
      </c>
      <c r="F146" s="109"/>
      <c r="G146" s="67" t="s">
        <v>4434</v>
      </c>
      <c r="H146" s="67"/>
      <c r="I146" s="67"/>
      <c r="J146" s="67"/>
      <c r="K146" s="109"/>
      <c r="L146" s="67"/>
      <c r="M146" s="100"/>
      <c r="N146" s="100"/>
    </row>
    <row r="147" ht="15.6" spans="1:14">
      <c r="A147" s="100"/>
      <c r="B147" s="67" t="s">
        <v>1698</v>
      </c>
      <c r="C147" s="67" t="s">
        <v>203</v>
      </c>
      <c r="D147" s="67" t="s">
        <v>1699</v>
      </c>
      <c r="E147" s="109" t="s">
        <v>4334</v>
      </c>
      <c r="F147" s="109"/>
      <c r="G147" s="67" t="s">
        <v>4435</v>
      </c>
      <c r="H147" s="67"/>
      <c r="I147" s="67"/>
      <c r="J147" s="67"/>
      <c r="K147" s="109"/>
      <c r="L147" s="67"/>
      <c r="M147" s="100"/>
      <c r="N147" s="100"/>
    </row>
    <row r="148" ht="15.6" spans="1:14">
      <c r="A148" s="100"/>
      <c r="B148" s="67" t="s">
        <v>3191</v>
      </c>
      <c r="C148" s="67" t="s">
        <v>229</v>
      </c>
      <c r="D148" s="67" t="s">
        <v>3192</v>
      </c>
      <c r="E148" s="109" t="s">
        <v>4334</v>
      </c>
      <c r="F148" s="109"/>
      <c r="G148" s="67" t="s">
        <v>4436</v>
      </c>
      <c r="H148" s="67"/>
      <c r="I148" s="67"/>
      <c r="J148" s="67"/>
      <c r="K148" s="109"/>
      <c r="L148" s="67"/>
      <c r="M148" s="100"/>
      <c r="N148" s="100"/>
    </row>
    <row r="149" ht="15.6" spans="1:14">
      <c r="A149" s="100"/>
      <c r="B149" s="67" t="s">
        <v>3194</v>
      </c>
      <c r="C149" s="67" t="s">
        <v>229</v>
      </c>
      <c r="D149" s="67" t="s">
        <v>3195</v>
      </c>
      <c r="E149" s="109" t="s">
        <v>4334</v>
      </c>
      <c r="F149" s="109"/>
      <c r="G149" s="67" t="s">
        <v>4437</v>
      </c>
      <c r="H149" s="67"/>
      <c r="I149" s="67"/>
      <c r="J149" s="67"/>
      <c r="K149" s="109"/>
      <c r="L149" s="67"/>
      <c r="M149" s="100"/>
      <c r="N149" s="100"/>
    </row>
    <row r="150" ht="15.6" spans="1:14">
      <c r="A150" s="100"/>
      <c r="B150" s="67" t="s">
        <v>3197</v>
      </c>
      <c r="C150" s="67" t="s">
        <v>229</v>
      </c>
      <c r="D150" s="67" t="s">
        <v>3198</v>
      </c>
      <c r="E150" s="109" t="s">
        <v>4334</v>
      </c>
      <c r="F150" s="109"/>
      <c r="G150" s="67" t="s">
        <v>4438</v>
      </c>
      <c r="H150" s="67"/>
      <c r="I150" s="67"/>
      <c r="J150" s="67"/>
      <c r="K150" s="109"/>
      <c r="L150" s="67"/>
      <c r="M150" s="100"/>
      <c r="N150" s="100"/>
    </row>
    <row r="151" ht="15.6" spans="1:14">
      <c r="A151" s="100"/>
      <c r="B151" s="67" t="s">
        <v>3200</v>
      </c>
      <c r="C151" s="67" t="s">
        <v>229</v>
      </c>
      <c r="D151" s="67" t="s">
        <v>3201</v>
      </c>
      <c r="E151" s="109" t="s">
        <v>4334</v>
      </c>
      <c r="F151" s="109"/>
      <c r="G151" s="67" t="s">
        <v>4439</v>
      </c>
      <c r="H151" s="67"/>
      <c r="I151" s="67"/>
      <c r="J151" s="67"/>
      <c r="K151" s="109"/>
      <c r="L151" s="67"/>
      <c r="M151" s="100"/>
      <c r="N151" s="100"/>
    </row>
    <row r="152" ht="15.6" spans="1:14">
      <c r="A152" s="100"/>
      <c r="B152" s="67" t="s">
        <v>3203</v>
      </c>
      <c r="C152" s="67" t="s">
        <v>229</v>
      </c>
      <c r="D152" s="67" t="s">
        <v>3204</v>
      </c>
      <c r="E152" s="109" t="s">
        <v>4334</v>
      </c>
      <c r="F152" s="109"/>
      <c r="G152" s="67" t="s">
        <v>4440</v>
      </c>
      <c r="H152" s="67"/>
      <c r="I152" s="67"/>
      <c r="J152" s="67"/>
      <c r="K152" s="109"/>
      <c r="L152" s="67"/>
      <c r="M152" s="100"/>
      <c r="N152" s="100"/>
    </row>
    <row r="153" ht="15.6" spans="1:14">
      <c r="A153" s="100"/>
      <c r="B153" s="67" t="s">
        <v>1701</v>
      </c>
      <c r="C153" s="67" t="s">
        <v>203</v>
      </c>
      <c r="D153" s="67" t="s">
        <v>1702</v>
      </c>
      <c r="E153" s="109" t="s">
        <v>4334</v>
      </c>
      <c r="F153" s="109"/>
      <c r="G153" s="67" t="s">
        <v>4441</v>
      </c>
      <c r="H153" s="67"/>
      <c r="I153" s="67"/>
      <c r="J153" s="67"/>
      <c r="K153" s="109"/>
      <c r="L153" s="67"/>
      <c r="M153" s="100"/>
      <c r="N153" s="100"/>
    </row>
    <row r="154" ht="15.6" spans="1:14">
      <c r="A154" s="100"/>
      <c r="B154" s="67" t="s">
        <v>3211</v>
      </c>
      <c r="C154" s="67" t="s">
        <v>229</v>
      </c>
      <c r="D154" s="67" t="s">
        <v>3212</v>
      </c>
      <c r="E154" s="109" t="s">
        <v>4334</v>
      </c>
      <c r="F154" s="109"/>
      <c r="G154" s="67" t="s">
        <v>4442</v>
      </c>
      <c r="H154" s="67"/>
      <c r="I154" s="67"/>
      <c r="J154" s="67"/>
      <c r="K154" s="109"/>
      <c r="L154" s="67"/>
      <c r="M154" s="100"/>
      <c r="N154" s="100"/>
    </row>
    <row r="155" ht="15.6" spans="1:14">
      <c r="A155" s="100"/>
      <c r="B155" s="67" t="s">
        <v>3215</v>
      </c>
      <c r="C155" s="67" t="s">
        <v>229</v>
      </c>
      <c r="D155" s="67" t="s">
        <v>3216</v>
      </c>
      <c r="E155" s="109" t="s">
        <v>4334</v>
      </c>
      <c r="F155" s="109"/>
      <c r="G155" s="67" t="s">
        <v>4443</v>
      </c>
      <c r="H155" s="67"/>
      <c r="I155" s="67"/>
      <c r="J155" s="67"/>
      <c r="K155" s="109"/>
      <c r="L155" s="67"/>
      <c r="M155" s="100"/>
      <c r="N155" s="100"/>
    </row>
    <row r="156" ht="15.6" spans="1:14">
      <c r="A156" s="100"/>
      <c r="B156" s="67" t="s">
        <v>3219</v>
      </c>
      <c r="C156" s="67" t="s">
        <v>229</v>
      </c>
      <c r="D156" s="67" t="s">
        <v>3220</v>
      </c>
      <c r="E156" s="109" t="s">
        <v>4334</v>
      </c>
      <c r="F156" s="109"/>
      <c r="G156" s="67" t="s">
        <v>4444</v>
      </c>
      <c r="H156" s="67"/>
      <c r="I156" s="67"/>
      <c r="J156" s="67"/>
      <c r="K156" s="109"/>
      <c r="L156" s="67"/>
      <c r="M156" s="100"/>
      <c r="N156" s="100"/>
    </row>
    <row r="157" ht="15.6" spans="1:14">
      <c r="A157" s="100"/>
      <c r="B157" s="67" t="s">
        <v>3222</v>
      </c>
      <c r="C157" s="67" t="s">
        <v>229</v>
      </c>
      <c r="D157" s="67" t="s">
        <v>3223</v>
      </c>
      <c r="E157" s="109" t="s">
        <v>4334</v>
      </c>
      <c r="F157" s="109"/>
      <c r="G157" s="67" t="s">
        <v>4445</v>
      </c>
      <c r="H157" s="67"/>
      <c r="I157" s="67"/>
      <c r="J157" s="67"/>
      <c r="K157" s="109"/>
      <c r="L157" s="67"/>
      <c r="M157" s="100"/>
      <c r="N157" s="100"/>
    </row>
    <row r="158" ht="15.6" spans="1:14">
      <c r="A158" s="100"/>
      <c r="B158" s="67" t="s">
        <v>3225</v>
      </c>
      <c r="C158" s="67" t="s">
        <v>229</v>
      </c>
      <c r="D158" s="67" t="s">
        <v>3226</v>
      </c>
      <c r="E158" s="109" t="s">
        <v>4334</v>
      </c>
      <c r="F158" s="109"/>
      <c r="G158" s="67" t="s">
        <v>4446</v>
      </c>
      <c r="H158" s="67"/>
      <c r="I158" s="67"/>
      <c r="J158" s="67"/>
      <c r="K158" s="109"/>
      <c r="L158" s="67"/>
      <c r="M158" s="100"/>
      <c r="N158" s="100"/>
    </row>
    <row r="159" ht="15.6" spans="1:14">
      <c r="A159" s="100"/>
      <c r="B159" s="67" t="s">
        <v>1704</v>
      </c>
      <c r="C159" s="67" t="s">
        <v>203</v>
      </c>
      <c r="D159" s="67" t="s">
        <v>1705</v>
      </c>
      <c r="E159" s="109" t="s">
        <v>4334</v>
      </c>
      <c r="F159" s="109"/>
      <c r="G159" s="67" t="s">
        <v>4447</v>
      </c>
      <c r="H159" s="67"/>
      <c r="I159" s="67"/>
      <c r="J159" s="67"/>
      <c r="K159" s="109"/>
      <c r="L159" s="67"/>
      <c r="M159" s="100"/>
      <c r="N159" s="100"/>
    </row>
    <row r="160" ht="15.6" spans="1:14">
      <c r="A160" s="100"/>
      <c r="B160" s="67" t="s">
        <v>3233</v>
      </c>
      <c r="C160" s="67" t="s">
        <v>229</v>
      </c>
      <c r="D160" s="67" t="s">
        <v>3234</v>
      </c>
      <c r="E160" s="109" t="s">
        <v>4334</v>
      </c>
      <c r="F160" s="109"/>
      <c r="G160" s="67" t="s">
        <v>4448</v>
      </c>
      <c r="H160" s="67"/>
      <c r="I160" s="67"/>
      <c r="J160" s="67"/>
      <c r="K160" s="109"/>
      <c r="L160" s="67"/>
      <c r="M160" s="100"/>
      <c r="N160" s="100"/>
    </row>
    <row r="161" ht="15.6" spans="1:14">
      <c r="A161" s="100"/>
      <c r="B161" s="67" t="s">
        <v>3237</v>
      </c>
      <c r="C161" s="67" t="s">
        <v>229</v>
      </c>
      <c r="D161" s="67" t="s">
        <v>3238</v>
      </c>
      <c r="E161" s="109" t="s">
        <v>4334</v>
      </c>
      <c r="F161" s="109"/>
      <c r="G161" s="67" t="s">
        <v>4449</v>
      </c>
      <c r="H161" s="67"/>
      <c r="I161" s="67"/>
      <c r="J161" s="67"/>
      <c r="K161" s="109"/>
      <c r="L161" s="67"/>
      <c r="M161" s="100"/>
      <c r="N161" s="100"/>
    </row>
    <row r="162" ht="15.6" spans="1:14">
      <c r="A162" s="100"/>
      <c r="B162" s="67" t="s">
        <v>3241</v>
      </c>
      <c r="C162" s="67" t="s">
        <v>229</v>
      </c>
      <c r="D162" s="67" t="s">
        <v>3242</v>
      </c>
      <c r="E162" s="109" t="s">
        <v>4334</v>
      </c>
      <c r="F162" s="109"/>
      <c r="G162" s="67" t="s">
        <v>4450</v>
      </c>
      <c r="H162" s="67"/>
      <c r="I162" s="67"/>
      <c r="J162" s="67"/>
      <c r="K162" s="109"/>
      <c r="L162" s="67"/>
      <c r="M162" s="100"/>
      <c r="N162" s="100"/>
    </row>
    <row r="163" ht="15.6" spans="1:14">
      <c r="A163" s="100"/>
      <c r="B163" s="67" t="s">
        <v>3245</v>
      </c>
      <c r="C163" s="67" t="s">
        <v>229</v>
      </c>
      <c r="D163" s="67" t="s">
        <v>3246</v>
      </c>
      <c r="E163" s="109" t="s">
        <v>4334</v>
      </c>
      <c r="F163" s="109"/>
      <c r="G163" s="67" t="s">
        <v>4451</v>
      </c>
      <c r="H163" s="67"/>
      <c r="I163" s="67"/>
      <c r="J163" s="67"/>
      <c r="K163" s="109"/>
      <c r="L163" s="67"/>
      <c r="M163" s="100"/>
      <c r="N163" s="100"/>
    </row>
    <row r="164" ht="15.6" spans="1:14">
      <c r="A164" s="100"/>
      <c r="B164" s="67" t="s">
        <v>3249</v>
      </c>
      <c r="C164" s="67" t="s">
        <v>229</v>
      </c>
      <c r="D164" s="67" t="s">
        <v>3250</v>
      </c>
      <c r="E164" s="109" t="s">
        <v>4334</v>
      </c>
      <c r="F164" s="109"/>
      <c r="G164" s="67" t="s">
        <v>4452</v>
      </c>
      <c r="H164" s="67"/>
      <c r="I164" s="67"/>
      <c r="J164" s="67"/>
      <c r="K164" s="109"/>
      <c r="L164" s="67"/>
      <c r="M164" s="100"/>
      <c r="N164" s="100"/>
    </row>
    <row r="165" ht="15.6" spans="1:14">
      <c r="A165" s="100"/>
      <c r="B165" s="67" t="s">
        <v>4453</v>
      </c>
      <c r="C165" s="67" t="s">
        <v>203</v>
      </c>
      <c r="D165" s="67" t="s">
        <v>4454</v>
      </c>
      <c r="E165" s="109" t="s">
        <v>4334</v>
      </c>
      <c r="F165" s="109"/>
      <c r="G165" s="67" t="s">
        <v>4455</v>
      </c>
      <c r="H165" s="67"/>
      <c r="I165" s="67"/>
      <c r="J165" s="67"/>
      <c r="K165" s="109"/>
      <c r="L165" s="67"/>
      <c r="M165" s="100"/>
      <c r="N165" s="100"/>
    </row>
    <row r="166" ht="15.6" spans="1:14">
      <c r="A166" s="100"/>
      <c r="B166" s="67" t="s">
        <v>4456</v>
      </c>
      <c r="C166" s="67" t="s">
        <v>229</v>
      </c>
      <c r="D166" s="67" t="s">
        <v>4457</v>
      </c>
      <c r="E166" s="109" t="s">
        <v>4334</v>
      </c>
      <c r="F166" s="109"/>
      <c r="G166" s="67" t="s">
        <v>4458</v>
      </c>
      <c r="H166" s="67"/>
      <c r="I166" s="67"/>
      <c r="J166" s="67"/>
      <c r="K166" s="109"/>
      <c r="L166" s="67"/>
      <c r="M166" s="100"/>
      <c r="N166" s="100"/>
    </row>
    <row r="167" ht="15.6" spans="1:14">
      <c r="A167" s="100"/>
      <c r="B167" s="67" t="s">
        <v>4459</v>
      </c>
      <c r="C167" s="67" t="s">
        <v>229</v>
      </c>
      <c r="D167" s="67" t="s">
        <v>4460</v>
      </c>
      <c r="E167" s="109" t="s">
        <v>4334</v>
      </c>
      <c r="F167" s="109"/>
      <c r="G167" s="67" t="s">
        <v>4461</v>
      </c>
      <c r="H167" s="67"/>
      <c r="I167" s="67"/>
      <c r="J167" s="67"/>
      <c r="K167" s="109"/>
      <c r="L167" s="67"/>
      <c r="M167" s="100"/>
      <c r="N167" s="100"/>
    </row>
    <row r="168" ht="15.6" spans="1:14">
      <c r="A168" s="100"/>
      <c r="B168" s="67" t="s">
        <v>4462</v>
      </c>
      <c r="C168" s="67" t="s">
        <v>229</v>
      </c>
      <c r="D168" s="67" t="s">
        <v>4463</v>
      </c>
      <c r="E168" s="109" t="s">
        <v>4334</v>
      </c>
      <c r="F168" s="109"/>
      <c r="G168" s="67" t="s">
        <v>4464</v>
      </c>
      <c r="H168" s="67"/>
      <c r="I168" s="67"/>
      <c r="J168" s="67"/>
      <c r="K168" s="109"/>
      <c r="L168" s="67"/>
      <c r="M168" s="100"/>
      <c r="N168" s="100"/>
    </row>
    <row r="169" ht="15.6" spans="1:14">
      <c r="A169" s="100"/>
      <c r="B169" s="67" t="s">
        <v>4465</v>
      </c>
      <c r="C169" s="67" t="s">
        <v>229</v>
      </c>
      <c r="D169" s="67" t="s">
        <v>4466</v>
      </c>
      <c r="E169" s="109" t="s">
        <v>4334</v>
      </c>
      <c r="F169" s="109"/>
      <c r="G169" s="67" t="s">
        <v>4467</v>
      </c>
      <c r="H169" s="67"/>
      <c r="I169" s="67"/>
      <c r="J169" s="67"/>
      <c r="K169" s="109"/>
      <c r="L169" s="67"/>
      <c r="M169" s="100"/>
      <c r="N169" s="100"/>
    </row>
    <row r="170" ht="15.6" spans="1:14">
      <c r="A170" s="100"/>
      <c r="B170" s="67" t="s">
        <v>4468</v>
      </c>
      <c r="C170" s="67" t="s">
        <v>229</v>
      </c>
      <c r="D170" s="67" t="s">
        <v>4469</v>
      </c>
      <c r="E170" s="109" t="s">
        <v>4334</v>
      </c>
      <c r="F170" s="109"/>
      <c r="G170" s="67" t="s">
        <v>4470</v>
      </c>
      <c r="H170" s="67"/>
      <c r="I170" s="67"/>
      <c r="J170" s="67"/>
      <c r="K170" s="109"/>
      <c r="L170" s="67"/>
      <c r="M170" s="100"/>
      <c r="N170" s="100"/>
    </row>
    <row r="171" ht="15.6" spans="1:14">
      <c r="A171" s="100"/>
      <c r="B171" s="67" t="s">
        <v>1707</v>
      </c>
      <c r="C171" s="67" t="s">
        <v>203</v>
      </c>
      <c r="D171" s="67" t="s">
        <v>1708</v>
      </c>
      <c r="E171" s="109" t="s">
        <v>4334</v>
      </c>
      <c r="F171" s="109"/>
      <c r="G171" s="67" t="s">
        <v>4471</v>
      </c>
      <c r="H171" s="67"/>
      <c r="I171" s="67"/>
      <c r="J171" s="67"/>
      <c r="K171" s="109"/>
      <c r="L171" s="67"/>
      <c r="M171" s="100"/>
      <c r="N171" s="100"/>
    </row>
    <row r="172" ht="15.6" spans="1:14">
      <c r="A172" s="100"/>
      <c r="B172" s="67" t="s">
        <v>3258</v>
      </c>
      <c r="C172" s="67" t="s">
        <v>229</v>
      </c>
      <c r="D172" s="67" t="s">
        <v>3259</v>
      </c>
      <c r="E172" s="109" t="s">
        <v>4334</v>
      </c>
      <c r="F172" s="109"/>
      <c r="G172" s="67" t="s">
        <v>4472</v>
      </c>
      <c r="H172" s="67"/>
      <c r="I172" s="67"/>
      <c r="J172" s="67"/>
      <c r="K172" s="109"/>
      <c r="L172" s="67"/>
      <c r="M172" s="100"/>
      <c r="N172" s="100"/>
    </row>
    <row r="173" ht="15.6" spans="1:14">
      <c r="A173" s="100"/>
      <c r="B173" s="67" t="s">
        <v>3262</v>
      </c>
      <c r="C173" s="67" t="s">
        <v>229</v>
      </c>
      <c r="D173" s="67" t="s">
        <v>3263</v>
      </c>
      <c r="E173" s="109" t="s">
        <v>4334</v>
      </c>
      <c r="F173" s="109"/>
      <c r="G173" s="67" t="s">
        <v>4473</v>
      </c>
      <c r="H173" s="67"/>
      <c r="I173" s="67"/>
      <c r="J173" s="67"/>
      <c r="K173" s="109"/>
      <c r="L173" s="67"/>
      <c r="M173" s="100"/>
      <c r="N173" s="100"/>
    </row>
    <row r="174" ht="15.6" spans="1:14">
      <c r="A174" s="100"/>
      <c r="B174" s="67" t="s">
        <v>3266</v>
      </c>
      <c r="C174" s="67" t="s">
        <v>229</v>
      </c>
      <c r="D174" s="67" t="s">
        <v>3267</v>
      </c>
      <c r="E174" s="109" t="s">
        <v>4334</v>
      </c>
      <c r="F174" s="109"/>
      <c r="G174" s="67" t="s">
        <v>4474</v>
      </c>
      <c r="H174" s="67"/>
      <c r="I174" s="67"/>
      <c r="J174" s="67"/>
      <c r="K174" s="109"/>
      <c r="L174" s="67"/>
      <c r="M174" s="100"/>
      <c r="N174" s="100"/>
    </row>
    <row r="175" ht="15.6" spans="1:14">
      <c r="A175" s="100"/>
      <c r="B175" s="67" t="s">
        <v>3270</v>
      </c>
      <c r="C175" s="67" t="s">
        <v>229</v>
      </c>
      <c r="D175" s="67" t="s">
        <v>3271</v>
      </c>
      <c r="E175" s="109" t="s">
        <v>4334</v>
      </c>
      <c r="F175" s="109"/>
      <c r="G175" s="67" t="s">
        <v>4475</v>
      </c>
      <c r="H175" s="67"/>
      <c r="I175" s="67"/>
      <c r="J175" s="67"/>
      <c r="K175" s="109"/>
      <c r="L175" s="67"/>
      <c r="M175" s="100"/>
      <c r="N175" s="100"/>
    </row>
    <row r="176" ht="15.6" spans="1:14">
      <c r="A176" s="100"/>
      <c r="B176" s="67" t="s">
        <v>3274</v>
      </c>
      <c r="C176" s="67" t="s">
        <v>229</v>
      </c>
      <c r="D176" s="67" t="s">
        <v>3275</v>
      </c>
      <c r="E176" s="109" t="s">
        <v>4334</v>
      </c>
      <c r="F176" s="109"/>
      <c r="G176" s="67" t="s">
        <v>4476</v>
      </c>
      <c r="H176" s="67"/>
      <c r="I176" s="67"/>
      <c r="J176" s="67"/>
      <c r="K176" s="109"/>
      <c r="L176" s="67"/>
      <c r="M176" s="100"/>
      <c r="N176" s="100"/>
    </row>
    <row r="177" ht="15.6" spans="1:14">
      <c r="A177" s="100"/>
      <c r="B177" s="67" t="s">
        <v>1709</v>
      </c>
      <c r="C177" s="67" t="s">
        <v>203</v>
      </c>
      <c r="D177" s="67" t="s">
        <v>1710</v>
      </c>
      <c r="E177" s="109" t="s">
        <v>4334</v>
      </c>
      <c r="F177" s="109"/>
      <c r="G177" s="67" t="s">
        <v>4477</v>
      </c>
      <c r="H177" s="67"/>
      <c r="I177" s="67"/>
      <c r="J177" s="67"/>
      <c r="K177" s="109"/>
      <c r="L177" s="67"/>
      <c r="M177" s="100"/>
      <c r="N177" s="100"/>
    </row>
    <row r="178" ht="15.6" spans="1:14">
      <c r="A178" s="100"/>
      <c r="B178" s="67" t="s">
        <v>3283</v>
      </c>
      <c r="C178" s="67" t="s">
        <v>229</v>
      </c>
      <c r="D178" s="67" t="s">
        <v>3284</v>
      </c>
      <c r="E178" s="109" t="s">
        <v>4334</v>
      </c>
      <c r="F178" s="109"/>
      <c r="G178" s="67" t="s">
        <v>4478</v>
      </c>
      <c r="H178" s="67"/>
      <c r="I178" s="67"/>
      <c r="J178" s="67"/>
      <c r="K178" s="109"/>
      <c r="L178" s="67"/>
      <c r="M178" s="100"/>
      <c r="N178" s="100"/>
    </row>
    <row r="179" ht="15.6" spans="1:14">
      <c r="A179" s="100"/>
      <c r="B179" s="67" t="s">
        <v>3287</v>
      </c>
      <c r="C179" s="67" t="s">
        <v>229</v>
      </c>
      <c r="D179" s="67" t="s">
        <v>3288</v>
      </c>
      <c r="E179" s="109" t="s">
        <v>4334</v>
      </c>
      <c r="F179" s="109"/>
      <c r="G179" s="67" t="s">
        <v>4479</v>
      </c>
      <c r="H179" s="67"/>
      <c r="I179" s="67"/>
      <c r="J179" s="67"/>
      <c r="K179" s="109"/>
      <c r="L179" s="67"/>
      <c r="M179" s="100"/>
      <c r="N179" s="100"/>
    </row>
    <row r="180" ht="15.6" spans="1:14">
      <c r="A180" s="100"/>
      <c r="B180" s="67" t="s">
        <v>3291</v>
      </c>
      <c r="C180" s="67" t="s">
        <v>229</v>
      </c>
      <c r="D180" s="67" t="s">
        <v>3292</v>
      </c>
      <c r="E180" s="109" t="s">
        <v>4334</v>
      </c>
      <c r="F180" s="109"/>
      <c r="G180" s="67" t="s">
        <v>4480</v>
      </c>
      <c r="H180" s="67"/>
      <c r="I180" s="67"/>
      <c r="J180" s="67"/>
      <c r="K180" s="109"/>
      <c r="L180" s="67"/>
      <c r="M180" s="100"/>
      <c r="N180" s="100"/>
    </row>
    <row r="181" ht="15.6" spans="1:14">
      <c r="A181" s="100"/>
      <c r="B181" s="67" t="s">
        <v>3295</v>
      </c>
      <c r="C181" s="67" t="s">
        <v>229</v>
      </c>
      <c r="D181" s="67" t="s">
        <v>3296</v>
      </c>
      <c r="E181" s="109" t="s">
        <v>4334</v>
      </c>
      <c r="F181" s="109"/>
      <c r="G181" s="67" t="s">
        <v>4481</v>
      </c>
      <c r="H181" s="67"/>
      <c r="I181" s="67"/>
      <c r="J181" s="67"/>
      <c r="K181" s="109"/>
      <c r="L181" s="67"/>
      <c r="M181" s="100"/>
      <c r="N181" s="100"/>
    </row>
    <row r="182" ht="15.6" spans="1:14">
      <c r="A182" s="100"/>
      <c r="B182" s="67" t="s">
        <v>3299</v>
      </c>
      <c r="C182" s="67" t="s">
        <v>229</v>
      </c>
      <c r="D182" s="67" t="s">
        <v>3300</v>
      </c>
      <c r="E182" s="109" t="s">
        <v>4334</v>
      </c>
      <c r="F182" s="109"/>
      <c r="G182" s="67" t="s">
        <v>4482</v>
      </c>
      <c r="H182" s="67"/>
      <c r="I182" s="67"/>
      <c r="J182" s="67"/>
      <c r="K182" s="109"/>
      <c r="L182" s="67"/>
      <c r="M182" s="100"/>
      <c r="N182" s="100"/>
    </row>
    <row r="183" ht="15.6" spans="1:14">
      <c r="A183" s="100"/>
      <c r="B183" s="67" t="s">
        <v>1712</v>
      </c>
      <c r="C183" s="67" t="s">
        <v>203</v>
      </c>
      <c r="D183" s="67" t="s">
        <v>1713</v>
      </c>
      <c r="E183" s="109" t="s">
        <v>4334</v>
      </c>
      <c r="F183" s="109"/>
      <c r="G183" s="67" t="s">
        <v>4483</v>
      </c>
      <c r="H183" s="67"/>
      <c r="I183" s="67"/>
      <c r="J183" s="67"/>
      <c r="K183" s="109"/>
      <c r="L183" s="67"/>
      <c r="M183" s="100"/>
      <c r="N183" s="100"/>
    </row>
    <row r="184" ht="15.6" spans="1:14">
      <c r="A184" s="100"/>
      <c r="B184" s="67" t="s">
        <v>4484</v>
      </c>
      <c r="C184" s="67" t="s">
        <v>229</v>
      </c>
      <c r="D184" s="67" t="s">
        <v>3310</v>
      </c>
      <c r="E184" s="109" t="s">
        <v>4334</v>
      </c>
      <c r="F184" s="109"/>
      <c r="G184" s="67" t="s">
        <v>4485</v>
      </c>
      <c r="H184" s="67"/>
      <c r="I184" s="67"/>
      <c r="J184" s="67"/>
      <c r="K184" s="109"/>
      <c r="L184" s="67"/>
      <c r="M184" s="100"/>
      <c r="N184" s="100"/>
    </row>
    <row r="185" ht="15.6" spans="1:14">
      <c r="A185" s="100"/>
      <c r="B185" s="67" t="s">
        <v>4486</v>
      </c>
      <c r="C185" s="67" t="s">
        <v>229</v>
      </c>
      <c r="D185" s="67" t="s">
        <v>3313</v>
      </c>
      <c r="E185" s="109" t="s">
        <v>4334</v>
      </c>
      <c r="F185" s="109"/>
      <c r="G185" s="67" t="s">
        <v>4487</v>
      </c>
      <c r="H185" s="67"/>
      <c r="I185" s="67"/>
      <c r="J185" s="67"/>
      <c r="K185" s="109"/>
      <c r="L185" s="67"/>
      <c r="M185" s="100"/>
      <c r="N185" s="100"/>
    </row>
    <row r="186" ht="15.6" spans="1:14">
      <c r="A186" s="100"/>
      <c r="B186" s="67" t="s">
        <v>4488</v>
      </c>
      <c r="C186" s="67" t="s">
        <v>229</v>
      </c>
      <c r="D186" s="67" t="s">
        <v>3315</v>
      </c>
      <c r="E186" s="109" t="s">
        <v>4334</v>
      </c>
      <c r="F186" s="109"/>
      <c r="G186" s="67" t="s">
        <v>4489</v>
      </c>
      <c r="H186" s="67"/>
      <c r="I186" s="67"/>
      <c r="J186" s="67"/>
      <c r="K186" s="109"/>
      <c r="L186" s="67"/>
      <c r="M186" s="100"/>
      <c r="N186" s="100"/>
    </row>
    <row r="187" ht="15.6" spans="1:14">
      <c r="A187" s="100"/>
      <c r="B187" s="67" t="s">
        <v>4490</v>
      </c>
      <c r="C187" s="67" t="s">
        <v>229</v>
      </c>
      <c r="D187" s="67" t="s">
        <v>3318</v>
      </c>
      <c r="E187" s="109" t="s">
        <v>4334</v>
      </c>
      <c r="F187" s="109"/>
      <c r="G187" s="67" t="s">
        <v>4491</v>
      </c>
      <c r="H187" s="67"/>
      <c r="I187" s="67"/>
      <c r="J187" s="67"/>
      <c r="K187" s="109"/>
      <c r="L187" s="67"/>
      <c r="M187" s="100"/>
      <c r="N187" s="100"/>
    </row>
    <row r="188" ht="15.6" spans="1:14">
      <c r="A188" s="100"/>
      <c r="B188" s="67" t="s">
        <v>4492</v>
      </c>
      <c r="C188" s="67" t="s">
        <v>229</v>
      </c>
      <c r="D188" s="67" t="s">
        <v>3321</v>
      </c>
      <c r="E188" s="109" t="s">
        <v>4334</v>
      </c>
      <c r="F188" s="109"/>
      <c r="G188" s="67" t="s">
        <v>4493</v>
      </c>
      <c r="H188" s="67"/>
      <c r="I188" s="67"/>
      <c r="J188" s="67"/>
      <c r="K188" s="109"/>
      <c r="L188" s="67"/>
      <c r="M188" s="100"/>
      <c r="N188" s="100"/>
    </row>
    <row r="189" ht="15.6" spans="1:14">
      <c r="A189" s="100"/>
      <c r="B189" s="67" t="s">
        <v>3602</v>
      </c>
      <c r="C189" s="67" t="s">
        <v>203</v>
      </c>
      <c r="D189" s="67" t="s">
        <v>3328</v>
      </c>
      <c r="E189" s="109" t="s">
        <v>4334</v>
      </c>
      <c r="F189" s="109"/>
      <c r="G189" s="67" t="s">
        <v>4494</v>
      </c>
      <c r="H189" s="67"/>
      <c r="I189" s="67"/>
      <c r="J189" s="67"/>
      <c r="K189" s="109"/>
      <c r="L189" s="67"/>
      <c r="M189" s="100"/>
      <c r="N189" s="100"/>
    </row>
    <row r="190" ht="15.6" spans="1:14">
      <c r="A190" s="100"/>
      <c r="B190" s="67" t="s">
        <v>4495</v>
      </c>
      <c r="C190" s="67" t="s">
        <v>229</v>
      </c>
      <c r="D190" s="67" t="s">
        <v>3331</v>
      </c>
      <c r="E190" s="109" t="s">
        <v>4334</v>
      </c>
      <c r="F190" s="109"/>
      <c r="G190" s="67" t="s">
        <v>4496</v>
      </c>
      <c r="H190" s="67"/>
      <c r="I190" s="67"/>
      <c r="J190" s="67"/>
      <c r="K190" s="109"/>
      <c r="L190" s="67"/>
      <c r="M190" s="100"/>
      <c r="N190" s="100"/>
    </row>
    <row r="191" ht="15.6" spans="1:14">
      <c r="A191" s="100"/>
      <c r="B191" s="67" t="s">
        <v>4497</v>
      </c>
      <c r="C191" s="67" t="s">
        <v>229</v>
      </c>
      <c r="D191" s="67" t="s">
        <v>3335</v>
      </c>
      <c r="E191" s="109" t="s">
        <v>4334</v>
      </c>
      <c r="F191" s="109"/>
      <c r="G191" s="67" t="s">
        <v>4498</v>
      </c>
      <c r="H191" s="67"/>
      <c r="I191" s="67"/>
      <c r="J191" s="67"/>
      <c r="K191" s="109"/>
      <c r="L191" s="67"/>
      <c r="M191" s="100"/>
      <c r="N191" s="100"/>
    </row>
    <row r="192" ht="15.6" spans="1:14">
      <c r="A192" s="100"/>
      <c r="B192" s="67" t="s">
        <v>4499</v>
      </c>
      <c r="C192" s="67" t="s">
        <v>229</v>
      </c>
      <c r="D192" s="67" t="s">
        <v>3338</v>
      </c>
      <c r="E192" s="109" t="s">
        <v>4334</v>
      </c>
      <c r="F192" s="109"/>
      <c r="G192" s="67" t="s">
        <v>4500</v>
      </c>
      <c r="H192" s="67"/>
      <c r="I192" s="67"/>
      <c r="J192" s="67"/>
      <c r="K192" s="109"/>
      <c r="L192" s="67"/>
      <c r="M192" s="100"/>
      <c r="N192" s="100"/>
    </row>
    <row r="193" ht="15.6" spans="1:14">
      <c r="A193" s="100"/>
      <c r="B193" s="67" t="s">
        <v>4501</v>
      </c>
      <c r="C193" s="67" t="s">
        <v>229</v>
      </c>
      <c r="D193" s="67" t="s">
        <v>3341</v>
      </c>
      <c r="E193" s="109" t="s">
        <v>4334</v>
      </c>
      <c r="F193" s="109"/>
      <c r="G193" s="67" t="s">
        <v>4502</v>
      </c>
      <c r="H193" s="67"/>
      <c r="I193" s="67"/>
      <c r="J193" s="67"/>
      <c r="K193" s="109"/>
      <c r="L193" s="67"/>
      <c r="M193" s="100"/>
      <c r="N193" s="100"/>
    </row>
    <row r="194" ht="15.6" spans="1:14">
      <c r="A194" s="100"/>
      <c r="B194" s="67" t="s">
        <v>4503</v>
      </c>
      <c r="C194" s="67" t="s">
        <v>229</v>
      </c>
      <c r="D194" s="67" t="s">
        <v>3344</v>
      </c>
      <c r="E194" s="109" t="s">
        <v>4334</v>
      </c>
      <c r="F194" s="109"/>
      <c r="G194" s="67" t="s">
        <v>4504</v>
      </c>
      <c r="H194" s="67"/>
      <c r="I194" s="67"/>
      <c r="J194" s="67"/>
      <c r="K194" s="109"/>
      <c r="L194" s="67"/>
      <c r="M194" s="100"/>
      <c r="N194" s="100"/>
    </row>
    <row r="195" ht="15.6" spans="1:14">
      <c r="A195" s="100"/>
      <c r="B195" s="67" t="s">
        <v>1715</v>
      </c>
      <c r="C195" s="67" t="s">
        <v>203</v>
      </c>
      <c r="D195" s="67" t="s">
        <v>1716</v>
      </c>
      <c r="E195" s="168" t="s">
        <v>4252</v>
      </c>
      <c r="F195" s="109"/>
      <c r="G195" s="67" t="s">
        <v>4505</v>
      </c>
      <c r="H195" s="67"/>
      <c r="I195" s="67"/>
      <c r="J195" s="67"/>
      <c r="K195" s="109"/>
      <c r="L195" s="67"/>
      <c r="M195" s="100"/>
      <c r="N195" s="100"/>
    </row>
    <row r="196" ht="15.6" spans="1:14">
      <c r="A196" s="100"/>
      <c r="B196" s="67" t="s">
        <v>4506</v>
      </c>
      <c r="C196" s="67" t="s">
        <v>229</v>
      </c>
      <c r="D196" s="67" t="s">
        <v>2401</v>
      </c>
      <c r="E196" s="168" t="s">
        <v>4252</v>
      </c>
      <c r="F196" s="109"/>
      <c r="G196" s="67" t="s">
        <v>4507</v>
      </c>
      <c r="H196" s="67"/>
      <c r="I196" s="67"/>
      <c r="J196" s="67"/>
      <c r="K196" s="109"/>
      <c r="L196" s="67"/>
      <c r="M196" s="100"/>
      <c r="N196" s="100"/>
    </row>
    <row r="197" ht="15.6" spans="1:14">
      <c r="A197" s="100"/>
      <c r="B197" s="67" t="s">
        <v>4508</v>
      </c>
      <c r="C197" s="67" t="s">
        <v>229</v>
      </c>
      <c r="D197" s="67" t="s">
        <v>2405</v>
      </c>
      <c r="E197" s="168" t="s">
        <v>4252</v>
      </c>
      <c r="F197" s="109"/>
      <c r="G197" s="67" t="s">
        <v>4509</v>
      </c>
      <c r="H197" s="67"/>
      <c r="I197" s="67"/>
      <c r="J197" s="67"/>
      <c r="K197" s="109"/>
      <c r="L197" s="67"/>
      <c r="M197" s="100"/>
      <c r="N197" s="100"/>
    </row>
    <row r="198" ht="15.6" spans="1:14">
      <c r="A198" s="100"/>
      <c r="B198" s="67" t="s">
        <v>4510</v>
      </c>
      <c r="C198" s="67" t="s">
        <v>229</v>
      </c>
      <c r="D198" s="67" t="s">
        <v>2409</v>
      </c>
      <c r="E198" s="168" t="s">
        <v>4252</v>
      </c>
      <c r="F198" s="109"/>
      <c r="G198" s="67" t="s">
        <v>4511</v>
      </c>
      <c r="H198" s="67"/>
      <c r="I198" s="67"/>
      <c r="J198" s="67"/>
      <c r="K198" s="109"/>
      <c r="L198" s="67"/>
      <c r="M198" s="100"/>
      <c r="N198" s="100"/>
    </row>
    <row r="199" ht="15.6" spans="1:14">
      <c r="A199" s="100"/>
      <c r="B199" s="67" t="s">
        <v>4512</v>
      </c>
      <c r="C199" s="67" t="s">
        <v>229</v>
      </c>
      <c r="D199" s="67" t="s">
        <v>2413</v>
      </c>
      <c r="E199" s="168" t="s">
        <v>4252</v>
      </c>
      <c r="F199" s="109"/>
      <c r="G199" s="67" t="s">
        <v>4513</v>
      </c>
      <c r="H199" s="67"/>
      <c r="I199" s="67"/>
      <c r="J199" s="67"/>
      <c r="K199" s="109"/>
      <c r="L199" s="67"/>
      <c r="M199" s="100"/>
      <c r="N199" s="100"/>
    </row>
    <row r="200" ht="15.6" spans="1:14">
      <c r="A200" s="100"/>
      <c r="B200" s="67" t="s">
        <v>4514</v>
      </c>
      <c r="C200" s="67" t="s">
        <v>229</v>
      </c>
      <c r="D200" s="67" t="s">
        <v>2417</v>
      </c>
      <c r="E200" s="168" t="s">
        <v>4252</v>
      </c>
      <c r="F200" s="109"/>
      <c r="G200" s="67" t="s">
        <v>4515</v>
      </c>
      <c r="H200" s="67"/>
      <c r="I200" s="67"/>
      <c r="J200" s="67"/>
      <c r="K200" s="109"/>
      <c r="L200" s="67"/>
      <c r="M200" s="100"/>
      <c r="N200" s="100"/>
    </row>
    <row r="201" ht="15.6" spans="1:14">
      <c r="A201" s="100"/>
      <c r="B201" s="67" t="s">
        <v>1720</v>
      </c>
      <c r="C201" s="67" t="s">
        <v>203</v>
      </c>
      <c r="D201" s="67" t="s">
        <v>1721</v>
      </c>
      <c r="E201" s="168" t="s">
        <v>4252</v>
      </c>
      <c r="F201" s="109"/>
      <c r="G201" s="67" t="s">
        <v>4516</v>
      </c>
      <c r="H201" s="67"/>
      <c r="I201" s="67"/>
      <c r="J201" s="67"/>
      <c r="K201" s="109"/>
      <c r="L201" s="67"/>
      <c r="M201" s="100"/>
      <c r="N201" s="100"/>
    </row>
    <row r="202" ht="15.6" spans="1:14">
      <c r="A202" s="100"/>
      <c r="B202" s="67" t="s">
        <v>4517</v>
      </c>
      <c r="C202" s="67" t="s">
        <v>229</v>
      </c>
      <c r="D202" s="67" t="s">
        <v>2423</v>
      </c>
      <c r="E202" s="168" t="s">
        <v>4252</v>
      </c>
      <c r="F202" s="109"/>
      <c r="G202" s="67" t="s">
        <v>4518</v>
      </c>
      <c r="H202" s="67"/>
      <c r="I202" s="67"/>
      <c r="J202" s="67"/>
      <c r="K202" s="109"/>
      <c r="L202" s="67"/>
      <c r="M202" s="100"/>
      <c r="N202" s="100"/>
    </row>
    <row r="203" ht="15.6" spans="1:14">
      <c r="A203" s="100"/>
      <c r="B203" s="67" t="s">
        <v>4519</v>
      </c>
      <c r="C203" s="67" t="s">
        <v>229</v>
      </c>
      <c r="D203" s="67" t="s">
        <v>2427</v>
      </c>
      <c r="E203" s="168" t="s">
        <v>4252</v>
      </c>
      <c r="F203" s="109"/>
      <c r="G203" s="67" t="s">
        <v>4520</v>
      </c>
      <c r="H203" s="67"/>
      <c r="I203" s="67"/>
      <c r="J203" s="67"/>
      <c r="K203" s="109"/>
      <c r="L203" s="67"/>
      <c r="M203" s="100"/>
      <c r="N203" s="100"/>
    </row>
    <row r="204" ht="15.6" spans="1:14">
      <c r="A204" s="100"/>
      <c r="B204" s="67" t="s">
        <v>4521</v>
      </c>
      <c r="C204" s="67" t="s">
        <v>229</v>
      </c>
      <c r="D204" s="67" t="s">
        <v>2431</v>
      </c>
      <c r="E204" s="168" t="s">
        <v>4252</v>
      </c>
      <c r="F204" s="109"/>
      <c r="G204" s="67" t="s">
        <v>4522</v>
      </c>
      <c r="H204" s="67"/>
      <c r="I204" s="67"/>
      <c r="J204" s="67"/>
      <c r="K204" s="109"/>
      <c r="L204" s="67"/>
      <c r="M204" s="100"/>
      <c r="N204" s="100"/>
    </row>
    <row r="205" ht="15.6" spans="1:14">
      <c r="A205" s="100"/>
      <c r="B205" s="67" t="s">
        <v>4523</v>
      </c>
      <c r="C205" s="67" t="s">
        <v>229</v>
      </c>
      <c r="D205" s="67" t="s">
        <v>2435</v>
      </c>
      <c r="E205" s="168" t="s">
        <v>4252</v>
      </c>
      <c r="F205" s="109"/>
      <c r="G205" s="67" t="s">
        <v>4524</v>
      </c>
      <c r="H205" s="67"/>
      <c r="I205" s="67"/>
      <c r="J205" s="67"/>
      <c r="K205" s="109"/>
      <c r="L205" s="67"/>
      <c r="M205" s="100"/>
      <c r="N205" s="100"/>
    </row>
    <row r="206" ht="15.6" spans="1:14">
      <c r="A206" s="100"/>
      <c r="B206" s="67" t="s">
        <v>4525</v>
      </c>
      <c r="C206" s="67" t="s">
        <v>229</v>
      </c>
      <c r="D206" s="67" t="s">
        <v>2439</v>
      </c>
      <c r="E206" s="168" t="s">
        <v>4252</v>
      </c>
      <c r="F206" s="109"/>
      <c r="G206" s="67" t="s">
        <v>4526</v>
      </c>
      <c r="H206" s="67"/>
      <c r="I206" s="67"/>
      <c r="J206" s="67"/>
      <c r="K206" s="109"/>
      <c r="L206" s="67"/>
      <c r="M206" s="100"/>
      <c r="N206" s="100"/>
    </row>
    <row r="207" ht="15.6" spans="1:14">
      <c r="A207" s="100"/>
      <c r="B207" s="67" t="s">
        <v>1723</v>
      </c>
      <c r="C207" s="67" t="s">
        <v>203</v>
      </c>
      <c r="D207" s="67" t="s">
        <v>1724</v>
      </c>
      <c r="E207" s="168" t="s">
        <v>4252</v>
      </c>
      <c r="F207" s="109"/>
      <c r="G207" s="67" t="s">
        <v>4527</v>
      </c>
      <c r="H207" s="67"/>
      <c r="I207" s="67"/>
      <c r="J207" s="67"/>
      <c r="K207" s="109"/>
      <c r="L207" s="67"/>
      <c r="M207" s="100"/>
      <c r="N207" s="100"/>
    </row>
    <row r="208" ht="15.6" spans="1:14">
      <c r="A208" s="100"/>
      <c r="B208" s="67" t="s">
        <v>4528</v>
      </c>
      <c r="C208" s="67" t="s">
        <v>229</v>
      </c>
      <c r="D208" s="67" t="s">
        <v>2445</v>
      </c>
      <c r="E208" s="168" t="s">
        <v>4252</v>
      </c>
      <c r="F208" s="109"/>
      <c r="G208" s="67" t="s">
        <v>4529</v>
      </c>
      <c r="H208" s="67"/>
      <c r="I208" s="67"/>
      <c r="J208" s="67"/>
      <c r="K208" s="109"/>
      <c r="L208" s="67"/>
      <c r="M208" s="100"/>
      <c r="N208" s="100"/>
    </row>
    <row r="209" ht="15.6" spans="1:14">
      <c r="A209" s="100"/>
      <c r="B209" s="67" t="s">
        <v>4530</v>
      </c>
      <c r="C209" s="67" t="s">
        <v>229</v>
      </c>
      <c r="D209" s="67" t="s">
        <v>2449</v>
      </c>
      <c r="E209" s="168" t="s">
        <v>4252</v>
      </c>
      <c r="F209" s="109"/>
      <c r="G209" s="67" t="s">
        <v>4531</v>
      </c>
      <c r="H209" s="67"/>
      <c r="I209" s="67"/>
      <c r="J209" s="67"/>
      <c r="K209" s="109"/>
      <c r="L209" s="67"/>
      <c r="M209" s="100"/>
      <c r="N209" s="100"/>
    </row>
    <row r="210" ht="15.6" spans="1:14">
      <c r="A210" s="100"/>
      <c r="B210" s="67" t="s">
        <v>4532</v>
      </c>
      <c r="C210" s="67" t="s">
        <v>229</v>
      </c>
      <c r="D210" s="67" t="s">
        <v>2453</v>
      </c>
      <c r="E210" s="168" t="s">
        <v>4252</v>
      </c>
      <c r="F210" s="109"/>
      <c r="G210" s="67" t="s">
        <v>4533</v>
      </c>
      <c r="H210" s="67"/>
      <c r="I210" s="67"/>
      <c r="J210" s="67"/>
      <c r="K210" s="109"/>
      <c r="L210" s="67"/>
      <c r="M210" s="100"/>
      <c r="N210" s="100"/>
    </row>
    <row r="211" ht="15.6" spans="1:14">
      <c r="A211" s="100"/>
      <c r="B211" s="67" t="s">
        <v>4534</v>
      </c>
      <c r="C211" s="67" t="s">
        <v>229</v>
      </c>
      <c r="D211" s="67" t="s">
        <v>2457</v>
      </c>
      <c r="E211" s="168" t="s">
        <v>4252</v>
      </c>
      <c r="F211" s="109"/>
      <c r="G211" s="67" t="s">
        <v>4535</v>
      </c>
      <c r="H211" s="67"/>
      <c r="I211" s="67"/>
      <c r="J211" s="67"/>
      <c r="K211" s="109"/>
      <c r="L211" s="67"/>
      <c r="M211" s="100"/>
      <c r="N211" s="100"/>
    </row>
    <row r="212" ht="15.6" spans="1:14">
      <c r="A212" s="100"/>
      <c r="B212" s="67" t="s">
        <v>4536</v>
      </c>
      <c r="C212" s="67" t="s">
        <v>229</v>
      </c>
      <c r="D212" s="67" t="s">
        <v>2461</v>
      </c>
      <c r="E212" s="168" t="s">
        <v>4252</v>
      </c>
      <c r="F212" s="109"/>
      <c r="G212" s="67" t="s">
        <v>4537</v>
      </c>
      <c r="H212" s="67"/>
      <c r="I212" s="67"/>
      <c r="J212" s="67"/>
      <c r="K212" s="109"/>
      <c r="L212" s="67"/>
      <c r="M212" s="100"/>
      <c r="N212" s="100"/>
    </row>
    <row r="213" ht="15.6" spans="1:14">
      <c r="A213" s="100"/>
      <c r="B213" s="67" t="s">
        <v>1726</v>
      </c>
      <c r="C213" s="67" t="s">
        <v>203</v>
      </c>
      <c r="D213" s="67" t="s">
        <v>1727</v>
      </c>
      <c r="E213" s="168" t="s">
        <v>4252</v>
      </c>
      <c r="F213" s="109"/>
      <c r="G213" s="67" t="s">
        <v>4538</v>
      </c>
      <c r="H213" s="67"/>
      <c r="I213" s="67"/>
      <c r="J213" s="67"/>
      <c r="K213" s="109"/>
      <c r="L213" s="67"/>
      <c r="M213" s="100"/>
      <c r="N213" s="100"/>
    </row>
    <row r="214" ht="15.6" spans="1:14">
      <c r="A214" s="100"/>
      <c r="B214" s="67" t="s">
        <v>4539</v>
      </c>
      <c r="C214" s="67" t="s">
        <v>229</v>
      </c>
      <c r="D214" s="67" t="s">
        <v>2468</v>
      </c>
      <c r="E214" s="168" t="s">
        <v>4252</v>
      </c>
      <c r="F214" s="109"/>
      <c r="G214" s="152" t="s">
        <v>4540</v>
      </c>
      <c r="H214" s="67"/>
      <c r="I214" s="67"/>
      <c r="J214" s="67"/>
      <c r="K214" s="109"/>
      <c r="L214" s="67"/>
      <c r="M214" s="100"/>
      <c r="N214" s="100"/>
    </row>
    <row r="215" ht="15.6" spans="1:14">
      <c r="A215" s="100"/>
      <c r="B215" s="67" t="s">
        <v>4541</v>
      </c>
      <c r="C215" s="67" t="s">
        <v>229</v>
      </c>
      <c r="D215" s="67" t="s">
        <v>2472</v>
      </c>
      <c r="E215" s="168" t="s">
        <v>4252</v>
      </c>
      <c r="F215" s="109"/>
      <c r="G215" s="152" t="s">
        <v>4542</v>
      </c>
      <c r="H215" s="67"/>
      <c r="I215" s="67"/>
      <c r="J215" s="67"/>
      <c r="K215" s="109"/>
      <c r="L215" s="67"/>
      <c r="M215" s="100"/>
      <c r="N215" s="100"/>
    </row>
    <row r="216" ht="15.6" spans="1:14">
      <c r="A216" s="100"/>
      <c r="B216" s="67" t="s">
        <v>4543</v>
      </c>
      <c r="C216" s="67" t="s">
        <v>229</v>
      </c>
      <c r="D216" s="67" t="s">
        <v>2476</v>
      </c>
      <c r="E216" s="168" t="s">
        <v>4252</v>
      </c>
      <c r="F216" s="109"/>
      <c r="G216" s="152" t="s">
        <v>4544</v>
      </c>
      <c r="H216" s="67"/>
      <c r="I216" s="67"/>
      <c r="J216" s="67"/>
      <c r="K216" s="109"/>
      <c r="L216" s="67"/>
      <c r="M216" s="100"/>
      <c r="N216" s="100"/>
    </row>
    <row r="217" ht="15.6" spans="1:14">
      <c r="A217" s="100"/>
      <c r="B217" s="67" t="s">
        <v>4545</v>
      </c>
      <c r="C217" s="67" t="s">
        <v>229</v>
      </c>
      <c r="D217" s="67" t="s">
        <v>2480</v>
      </c>
      <c r="E217" s="168" t="s">
        <v>4252</v>
      </c>
      <c r="F217" s="109"/>
      <c r="G217" s="152" t="s">
        <v>4546</v>
      </c>
      <c r="H217" s="67"/>
      <c r="I217" s="67"/>
      <c r="J217" s="67"/>
      <c r="K217" s="109"/>
      <c r="L217" s="67"/>
      <c r="M217" s="100"/>
      <c r="N217" s="100"/>
    </row>
    <row r="218" ht="15.6" spans="1:14">
      <c r="A218" s="100"/>
      <c r="B218" s="67" t="s">
        <v>4547</v>
      </c>
      <c r="C218" s="67" t="s">
        <v>229</v>
      </c>
      <c r="D218" s="67" t="s">
        <v>2484</v>
      </c>
      <c r="E218" s="168" t="s">
        <v>4252</v>
      </c>
      <c r="F218" s="109"/>
      <c r="G218" s="152" t="s">
        <v>4548</v>
      </c>
      <c r="H218" s="67"/>
      <c r="I218" s="67"/>
      <c r="J218" s="67"/>
      <c r="K218" s="109"/>
      <c r="L218" s="67"/>
      <c r="M218" s="100"/>
      <c r="N218" s="100"/>
    </row>
    <row r="219" ht="15.6" spans="1:14">
      <c r="A219" s="100"/>
      <c r="B219" s="67" t="s">
        <v>1730</v>
      </c>
      <c r="C219" s="67" t="s">
        <v>203</v>
      </c>
      <c r="D219" s="67" t="s">
        <v>1731</v>
      </c>
      <c r="E219" s="168" t="s">
        <v>4252</v>
      </c>
      <c r="F219" s="109"/>
      <c r="G219" s="67" t="s">
        <v>4549</v>
      </c>
      <c r="H219" s="67"/>
      <c r="I219" s="67"/>
      <c r="J219" s="67"/>
      <c r="K219" s="109"/>
      <c r="L219" s="67"/>
      <c r="M219" s="100"/>
      <c r="N219" s="100"/>
    </row>
    <row r="220" ht="15.6" spans="1:14">
      <c r="A220" s="100"/>
      <c r="B220" s="67" t="s">
        <v>4550</v>
      </c>
      <c r="C220" s="67" t="s">
        <v>229</v>
      </c>
      <c r="D220" s="67" t="s">
        <v>2491</v>
      </c>
      <c r="E220" s="168" t="s">
        <v>4252</v>
      </c>
      <c r="F220" s="109"/>
      <c r="G220" s="152" t="s">
        <v>4551</v>
      </c>
      <c r="H220" s="67"/>
      <c r="I220" s="67"/>
      <c r="J220" s="67"/>
      <c r="K220" s="109"/>
      <c r="L220" s="67"/>
      <c r="M220" s="100"/>
      <c r="N220" s="100"/>
    </row>
    <row r="221" ht="15.6" spans="1:14">
      <c r="A221" s="100"/>
      <c r="B221" s="67" t="s">
        <v>4552</v>
      </c>
      <c r="C221" s="67" t="s">
        <v>229</v>
      </c>
      <c r="D221" s="67" t="s">
        <v>2495</v>
      </c>
      <c r="E221" s="168" t="s">
        <v>4252</v>
      </c>
      <c r="F221" s="109"/>
      <c r="G221" s="152" t="s">
        <v>4553</v>
      </c>
      <c r="H221" s="67"/>
      <c r="I221" s="67"/>
      <c r="J221" s="67"/>
      <c r="K221" s="109"/>
      <c r="L221" s="67"/>
      <c r="M221" s="100"/>
      <c r="N221" s="100"/>
    </row>
    <row r="222" ht="15.6" spans="1:14">
      <c r="A222" s="100"/>
      <c r="B222" s="67" t="s">
        <v>4554</v>
      </c>
      <c r="C222" s="67" t="s">
        <v>229</v>
      </c>
      <c r="D222" s="67" t="s">
        <v>2499</v>
      </c>
      <c r="E222" s="168" t="s">
        <v>4252</v>
      </c>
      <c r="F222" s="109"/>
      <c r="G222" s="152" t="s">
        <v>4555</v>
      </c>
      <c r="H222" s="67"/>
      <c r="I222" s="67"/>
      <c r="J222" s="67"/>
      <c r="K222" s="109"/>
      <c r="L222" s="67"/>
      <c r="M222" s="100"/>
      <c r="N222" s="100"/>
    </row>
    <row r="223" ht="15.6" spans="1:14">
      <c r="A223" s="100"/>
      <c r="B223" s="67" t="s">
        <v>4556</v>
      </c>
      <c r="C223" s="67" t="s">
        <v>229</v>
      </c>
      <c r="D223" s="67" t="s">
        <v>2503</v>
      </c>
      <c r="E223" s="168" t="s">
        <v>4252</v>
      </c>
      <c r="F223" s="109"/>
      <c r="G223" s="152" t="s">
        <v>4557</v>
      </c>
      <c r="H223" s="67"/>
      <c r="I223" s="67"/>
      <c r="J223" s="67"/>
      <c r="K223" s="109"/>
      <c r="L223" s="67"/>
      <c r="M223" s="100"/>
      <c r="N223" s="100"/>
    </row>
    <row r="224" ht="15.6" spans="1:14">
      <c r="A224" s="100"/>
      <c r="B224" s="67" t="s">
        <v>4558</v>
      </c>
      <c r="C224" s="67" t="s">
        <v>229</v>
      </c>
      <c r="D224" s="67" t="s">
        <v>2507</v>
      </c>
      <c r="E224" s="168" t="s">
        <v>4252</v>
      </c>
      <c r="F224" s="109"/>
      <c r="G224" s="152" t="s">
        <v>4559</v>
      </c>
      <c r="H224" s="67"/>
      <c r="I224" s="67"/>
      <c r="J224" s="67"/>
      <c r="K224" s="109"/>
      <c r="L224" s="67"/>
      <c r="M224" s="100"/>
      <c r="N224" s="100"/>
    </row>
    <row r="225" ht="15.6" spans="1:14">
      <c r="A225" s="100"/>
      <c r="B225" s="67" t="s">
        <v>1734</v>
      </c>
      <c r="C225" s="67" t="s">
        <v>203</v>
      </c>
      <c r="D225" s="67" t="s">
        <v>1735</v>
      </c>
      <c r="E225" s="168" t="s">
        <v>4252</v>
      </c>
      <c r="F225" s="109"/>
      <c r="G225" s="67" t="s">
        <v>4560</v>
      </c>
      <c r="H225" s="67"/>
      <c r="I225" s="67"/>
      <c r="J225" s="67"/>
      <c r="K225" s="109"/>
      <c r="L225" s="67"/>
      <c r="M225" s="100"/>
      <c r="N225" s="100"/>
    </row>
    <row r="226" ht="15.6" spans="1:14">
      <c r="A226" s="100"/>
      <c r="B226" s="67" t="s">
        <v>4561</v>
      </c>
      <c r="C226" s="67" t="s">
        <v>229</v>
      </c>
      <c r="D226" s="67" t="s">
        <v>2514</v>
      </c>
      <c r="E226" s="168" t="s">
        <v>4252</v>
      </c>
      <c r="F226" s="109"/>
      <c r="G226" s="152" t="s">
        <v>4562</v>
      </c>
      <c r="H226" s="67"/>
      <c r="I226" s="67"/>
      <c r="J226" s="67"/>
      <c r="K226" s="109"/>
      <c r="L226" s="67"/>
      <c r="M226" s="100"/>
      <c r="N226" s="100"/>
    </row>
    <row r="227" ht="15.6" spans="1:14">
      <c r="A227" s="100"/>
      <c r="B227" s="67" t="s">
        <v>4563</v>
      </c>
      <c r="C227" s="67" t="s">
        <v>229</v>
      </c>
      <c r="D227" s="67" t="s">
        <v>2518</v>
      </c>
      <c r="E227" s="168" t="s">
        <v>4252</v>
      </c>
      <c r="F227" s="109"/>
      <c r="G227" s="152" t="s">
        <v>4564</v>
      </c>
      <c r="H227" s="67"/>
      <c r="I227" s="67"/>
      <c r="J227" s="67"/>
      <c r="K227" s="109"/>
      <c r="L227" s="67"/>
      <c r="M227" s="100"/>
      <c r="N227" s="100"/>
    </row>
    <row r="228" ht="15.6" spans="1:14">
      <c r="A228" s="100"/>
      <c r="B228" s="67" t="s">
        <v>4565</v>
      </c>
      <c r="C228" s="67" t="s">
        <v>229</v>
      </c>
      <c r="D228" s="67" t="s">
        <v>2522</v>
      </c>
      <c r="E228" s="168" t="s">
        <v>4252</v>
      </c>
      <c r="F228" s="109"/>
      <c r="G228" s="152" t="s">
        <v>4566</v>
      </c>
      <c r="H228" s="67"/>
      <c r="I228" s="67"/>
      <c r="J228" s="67"/>
      <c r="K228" s="109"/>
      <c r="L228" s="67"/>
      <c r="M228" s="100"/>
      <c r="N228" s="100"/>
    </row>
    <row r="229" ht="15.6" spans="1:14">
      <c r="A229" s="100"/>
      <c r="B229" s="67" t="s">
        <v>4567</v>
      </c>
      <c r="C229" s="67" t="s">
        <v>229</v>
      </c>
      <c r="D229" s="67" t="s">
        <v>2526</v>
      </c>
      <c r="E229" s="168" t="s">
        <v>4252</v>
      </c>
      <c r="F229" s="109"/>
      <c r="G229" s="152" t="s">
        <v>4568</v>
      </c>
      <c r="H229" s="67"/>
      <c r="I229" s="67"/>
      <c r="J229" s="67"/>
      <c r="K229" s="109"/>
      <c r="L229" s="67"/>
      <c r="M229" s="100"/>
      <c r="N229" s="100"/>
    </row>
    <row r="230" ht="15.6" spans="1:14">
      <c r="A230" s="100"/>
      <c r="B230" s="67" t="s">
        <v>4569</v>
      </c>
      <c r="C230" s="67" t="s">
        <v>229</v>
      </c>
      <c r="D230" s="67" t="s">
        <v>2530</v>
      </c>
      <c r="E230" s="168" t="s">
        <v>4252</v>
      </c>
      <c r="F230" s="109"/>
      <c r="G230" s="152" t="s">
        <v>4570</v>
      </c>
      <c r="H230" s="67"/>
      <c r="I230" s="67"/>
      <c r="J230" s="67"/>
      <c r="K230" s="109"/>
      <c r="L230" s="67"/>
      <c r="M230" s="100"/>
      <c r="N230" s="100"/>
    </row>
    <row r="231" ht="13.8" spans="2:12">
      <c r="B231" s="153" t="s">
        <v>4571</v>
      </c>
      <c r="C231" s="167" t="s">
        <v>229</v>
      </c>
      <c r="D231" s="153" t="s">
        <v>1586</v>
      </c>
      <c r="E231" s="168" t="s">
        <v>4252</v>
      </c>
      <c r="F231" s="169"/>
      <c r="G231" s="153" t="s">
        <v>4572</v>
      </c>
      <c r="H231" s="118"/>
      <c r="I231" s="55"/>
      <c r="J231" s="55"/>
      <c r="K231" s="55"/>
      <c r="L231" s="55"/>
    </row>
    <row r="232" ht="13.8" spans="2:12">
      <c r="B232" s="153" t="s">
        <v>4573</v>
      </c>
      <c r="C232" s="167" t="s">
        <v>229</v>
      </c>
      <c r="D232" s="153" t="s">
        <v>1591</v>
      </c>
      <c r="E232" s="168" t="s">
        <v>4252</v>
      </c>
      <c r="F232" s="169"/>
      <c r="G232" s="153" t="s">
        <v>4574</v>
      </c>
      <c r="H232" s="118"/>
      <c r="I232" s="55"/>
      <c r="J232" s="55"/>
      <c r="K232" s="55"/>
      <c r="L232" s="55"/>
    </row>
    <row r="233" ht="13.8" spans="2:12">
      <c r="B233" s="153" t="s">
        <v>4575</v>
      </c>
      <c r="C233" s="167" t="s">
        <v>229</v>
      </c>
      <c r="D233" s="153" t="s">
        <v>1599</v>
      </c>
      <c r="E233" s="168" t="s">
        <v>4252</v>
      </c>
      <c r="F233" s="169"/>
      <c r="G233" s="170" t="s">
        <v>4576</v>
      </c>
      <c r="H233" s="118"/>
      <c r="I233" s="55"/>
      <c r="J233" s="55"/>
      <c r="K233" s="55"/>
      <c r="L233" s="55"/>
    </row>
    <row r="234" ht="13.8" spans="2:12">
      <c r="B234" s="153" t="s">
        <v>4577</v>
      </c>
      <c r="C234" s="167" t="s">
        <v>229</v>
      </c>
      <c r="D234" s="153" t="s">
        <v>4578</v>
      </c>
      <c r="E234" s="168" t="s">
        <v>4252</v>
      </c>
      <c r="F234" s="169"/>
      <c r="G234" s="170" t="s">
        <v>4579</v>
      </c>
      <c r="H234" s="118"/>
      <c r="I234" s="55"/>
      <c r="J234" s="55"/>
      <c r="K234" s="55"/>
      <c r="L234" s="55"/>
    </row>
    <row r="235" ht="13.8" spans="2:12">
      <c r="B235" s="159" t="s">
        <v>3427</v>
      </c>
      <c r="C235" s="159" t="s">
        <v>229</v>
      </c>
      <c r="D235" s="159" t="s">
        <v>4580</v>
      </c>
      <c r="E235" s="172" t="s">
        <v>4334</v>
      </c>
      <c r="F235" s="173"/>
      <c r="G235" s="159" t="s">
        <v>4581</v>
      </c>
      <c r="H235" s="118"/>
      <c r="I235" s="55"/>
      <c r="J235" s="55"/>
      <c r="K235" s="55"/>
      <c r="L235" s="55"/>
    </row>
    <row r="236" ht="13.8" spans="2:12">
      <c r="B236" s="159" t="s">
        <v>3431</v>
      </c>
      <c r="C236" s="159" t="s">
        <v>229</v>
      </c>
      <c r="D236" s="159" t="s">
        <v>4582</v>
      </c>
      <c r="E236" s="172" t="s">
        <v>4334</v>
      </c>
      <c r="F236" s="173"/>
      <c r="G236" s="159" t="s">
        <v>4583</v>
      </c>
      <c r="H236" s="118"/>
      <c r="I236" s="55"/>
      <c r="J236" s="55"/>
      <c r="K236" s="55"/>
      <c r="L236" s="55"/>
    </row>
    <row r="237" ht="13.8" spans="2:12">
      <c r="B237" s="159" t="s">
        <v>3435</v>
      </c>
      <c r="C237" s="159" t="s">
        <v>229</v>
      </c>
      <c r="D237" s="159" t="s">
        <v>4584</v>
      </c>
      <c r="E237" s="172" t="s">
        <v>4334</v>
      </c>
      <c r="F237" s="173"/>
      <c r="G237" s="159" t="s">
        <v>4585</v>
      </c>
      <c r="H237" s="118"/>
      <c r="I237" s="55"/>
      <c r="J237" s="55"/>
      <c r="K237" s="55"/>
      <c r="L237" s="55"/>
    </row>
    <row r="238" ht="13.8" spans="2:12">
      <c r="B238" s="159" t="s">
        <v>3399</v>
      </c>
      <c r="C238" s="174" t="s">
        <v>229</v>
      </c>
      <c r="D238" s="159" t="s">
        <v>3400</v>
      </c>
      <c r="E238" s="172" t="s">
        <v>4334</v>
      </c>
      <c r="F238" s="159"/>
      <c r="G238" s="159" t="s">
        <v>4586</v>
      </c>
      <c r="H238" s="118"/>
      <c r="I238" s="55"/>
      <c r="J238" s="55"/>
      <c r="K238" s="55"/>
      <c r="L238" s="55"/>
    </row>
    <row r="239" ht="13.8" spans="2:12">
      <c r="B239" s="159" t="s">
        <v>3403</v>
      </c>
      <c r="C239" s="174" t="s">
        <v>229</v>
      </c>
      <c r="D239" s="159" t="s">
        <v>3404</v>
      </c>
      <c r="E239" s="172" t="s">
        <v>4334</v>
      </c>
      <c r="F239" s="159"/>
      <c r="G239" s="159" t="s">
        <v>4587</v>
      </c>
      <c r="H239" s="55"/>
      <c r="I239" s="55"/>
      <c r="J239" s="55"/>
      <c r="K239" s="55"/>
      <c r="L239" s="55"/>
    </row>
    <row r="240" ht="13.8" spans="2:12">
      <c r="B240" s="159" t="s">
        <v>3407</v>
      </c>
      <c r="C240" s="174" t="s">
        <v>229</v>
      </c>
      <c r="D240" s="159" t="s">
        <v>3408</v>
      </c>
      <c r="E240" s="172" t="s">
        <v>4334</v>
      </c>
      <c r="F240" s="159"/>
      <c r="G240" s="159" t="s">
        <v>4588</v>
      </c>
      <c r="H240" s="55"/>
      <c r="I240" s="55"/>
      <c r="J240" s="55"/>
      <c r="K240" s="55"/>
      <c r="L240" s="55"/>
    </row>
    <row r="241" ht="13.8" spans="2:12">
      <c r="B241" s="159" t="s">
        <v>3411</v>
      </c>
      <c r="C241" s="174" t="s">
        <v>229</v>
      </c>
      <c r="D241" s="159" t="s">
        <v>3412</v>
      </c>
      <c r="E241" s="172" t="s">
        <v>4334</v>
      </c>
      <c r="F241" s="159"/>
      <c r="G241" s="159" t="s">
        <v>4589</v>
      </c>
      <c r="H241" s="55"/>
      <c r="I241" s="55"/>
      <c r="J241" s="55"/>
      <c r="K241" s="55"/>
      <c r="L241" s="55"/>
    </row>
    <row r="242" ht="13.8" spans="2:12">
      <c r="B242" s="159" t="s">
        <v>3414</v>
      </c>
      <c r="C242" s="174" t="s">
        <v>229</v>
      </c>
      <c r="D242" s="159" t="s">
        <v>3415</v>
      </c>
      <c r="E242" s="172" t="s">
        <v>4334</v>
      </c>
      <c r="F242" s="159"/>
      <c r="G242" s="159" t="s">
        <v>4590</v>
      </c>
      <c r="H242" s="55"/>
      <c r="I242" s="55"/>
      <c r="J242" s="55"/>
      <c r="K242" s="55"/>
      <c r="L242" s="55"/>
    </row>
    <row r="243" ht="13.8" spans="2:12">
      <c r="B243" s="159" t="s">
        <v>3418</v>
      </c>
      <c r="C243" s="174" t="s">
        <v>229</v>
      </c>
      <c r="D243" s="159" t="s">
        <v>3419</v>
      </c>
      <c r="E243" s="172" t="s">
        <v>4334</v>
      </c>
      <c r="F243" s="159"/>
      <c r="G243" s="159" t="s">
        <v>4591</v>
      </c>
      <c r="H243" s="55"/>
      <c r="I243" s="55"/>
      <c r="J243" s="55"/>
      <c r="K243" s="55"/>
      <c r="L243" s="55"/>
    </row>
    <row r="244" ht="13.8" spans="2:12">
      <c r="B244" s="152" t="s">
        <v>3494</v>
      </c>
      <c r="C244" s="176" t="s">
        <v>229</v>
      </c>
      <c r="D244" s="152" t="s">
        <v>4592</v>
      </c>
      <c r="E244" s="172" t="s">
        <v>4334</v>
      </c>
      <c r="F244" s="168"/>
      <c r="G244" s="189" t="s">
        <v>4593</v>
      </c>
      <c r="H244" s="55"/>
      <c r="I244" s="55"/>
      <c r="J244" s="55"/>
      <c r="K244" s="55"/>
      <c r="L244" s="55"/>
    </row>
    <row r="245" ht="13.8" spans="2:12">
      <c r="B245" s="152" t="s">
        <v>3497</v>
      </c>
      <c r="C245" s="176" t="s">
        <v>229</v>
      </c>
      <c r="D245" s="152" t="s">
        <v>4594</v>
      </c>
      <c r="E245" s="172" t="s">
        <v>4334</v>
      </c>
      <c r="F245" s="168"/>
      <c r="G245" s="189" t="s">
        <v>4595</v>
      </c>
      <c r="H245" s="55"/>
      <c r="I245" s="55"/>
      <c r="J245" s="55"/>
      <c r="K245" s="55"/>
      <c r="L245" s="55"/>
    </row>
    <row r="246" ht="13.8" spans="2:12">
      <c r="B246" s="152" t="s">
        <v>3500</v>
      </c>
      <c r="C246" s="176" t="s">
        <v>229</v>
      </c>
      <c r="D246" s="152" t="s">
        <v>4596</v>
      </c>
      <c r="E246" s="172" t="s">
        <v>4334</v>
      </c>
      <c r="F246" s="168"/>
      <c r="G246" s="189" t="s">
        <v>4597</v>
      </c>
      <c r="H246" s="55"/>
      <c r="I246" s="55"/>
      <c r="J246" s="55"/>
      <c r="K246" s="55"/>
      <c r="L246" s="55"/>
    </row>
    <row r="247" ht="13.8" spans="2:12">
      <c r="B247" s="152" t="s">
        <v>3503</v>
      </c>
      <c r="C247" s="176" t="s">
        <v>229</v>
      </c>
      <c r="D247" s="152" t="s">
        <v>4598</v>
      </c>
      <c r="E247" s="172" t="s">
        <v>4334</v>
      </c>
      <c r="F247" s="168"/>
      <c r="G247" s="189" t="s">
        <v>4599</v>
      </c>
      <c r="H247" s="55"/>
      <c r="I247" s="55"/>
      <c r="J247" s="55"/>
      <c r="K247" s="55"/>
      <c r="L247" s="55"/>
    </row>
    <row r="248" ht="13.8" spans="2:12">
      <c r="B248" s="152" t="s">
        <v>3506</v>
      </c>
      <c r="C248" s="176" t="s">
        <v>229</v>
      </c>
      <c r="D248" s="152" t="s">
        <v>4600</v>
      </c>
      <c r="E248" s="172" t="s">
        <v>4334</v>
      </c>
      <c r="F248" s="168"/>
      <c r="G248" s="189" t="s">
        <v>4601</v>
      </c>
      <c r="H248" s="55"/>
      <c r="I248" s="55"/>
      <c r="J248" s="55"/>
      <c r="K248" s="55"/>
      <c r="L248" s="55"/>
    </row>
    <row r="249" ht="13.8" spans="2:12">
      <c r="B249" s="152" t="s">
        <v>3509</v>
      </c>
      <c r="C249" s="176" t="s">
        <v>229</v>
      </c>
      <c r="D249" s="152" t="s">
        <v>4602</v>
      </c>
      <c r="E249" s="172" t="s">
        <v>4334</v>
      </c>
      <c r="F249" s="168"/>
      <c r="G249" s="189" t="s">
        <v>4603</v>
      </c>
      <c r="H249" s="55"/>
      <c r="I249" s="55"/>
      <c r="J249" s="55"/>
      <c r="K249" s="55"/>
      <c r="L249" s="55"/>
    </row>
    <row r="250" ht="13.8" spans="2:12">
      <c r="B250" s="152" t="s">
        <v>3422</v>
      </c>
      <c r="C250" s="176" t="s">
        <v>229</v>
      </c>
      <c r="D250" s="152" t="s">
        <v>4604</v>
      </c>
      <c r="E250" s="172" t="s">
        <v>4334</v>
      </c>
      <c r="F250" s="168"/>
      <c r="G250" s="152" t="s">
        <v>4605</v>
      </c>
      <c r="H250" s="55"/>
      <c r="I250" s="55"/>
      <c r="J250" s="55"/>
      <c r="K250" s="55"/>
      <c r="L250" s="55"/>
    </row>
    <row r="251" ht="13.8" spans="2:12">
      <c r="B251" s="152" t="s">
        <v>3424</v>
      </c>
      <c r="C251" s="176" t="s">
        <v>229</v>
      </c>
      <c r="D251" s="152" t="s">
        <v>4606</v>
      </c>
      <c r="E251" s="172" t="s">
        <v>4334</v>
      </c>
      <c r="F251" s="168"/>
      <c r="G251" s="152" t="s">
        <v>4607</v>
      </c>
      <c r="H251" s="55"/>
      <c r="I251" s="55"/>
      <c r="J251" s="55"/>
      <c r="K251" s="55"/>
      <c r="L251" s="55"/>
    </row>
    <row r="252" ht="13.8" spans="2:12">
      <c r="B252" s="153" t="s">
        <v>3512</v>
      </c>
      <c r="C252" s="177" t="s">
        <v>229</v>
      </c>
      <c r="D252" s="153" t="s">
        <v>4608</v>
      </c>
      <c r="E252" s="172" t="s">
        <v>4334</v>
      </c>
      <c r="F252" s="169"/>
      <c r="G252" s="153" t="s">
        <v>4609</v>
      </c>
      <c r="H252" s="55"/>
      <c r="I252" s="55"/>
      <c r="J252" s="55"/>
      <c r="K252" s="55"/>
      <c r="L252" s="55"/>
    </row>
    <row r="253" ht="13.8" spans="1:12">
      <c r="A253" s="123"/>
      <c r="B253" s="172" t="s">
        <v>2026</v>
      </c>
      <c r="C253" s="176" t="s">
        <v>2724</v>
      </c>
      <c r="D253" s="172" t="s">
        <v>2027</v>
      </c>
      <c r="E253" s="179" t="s">
        <v>4247</v>
      </c>
      <c r="F253" s="179"/>
      <c r="G253" s="179" t="s">
        <v>831</v>
      </c>
      <c r="H253" s="55"/>
      <c r="I253" s="55"/>
      <c r="J253" s="55"/>
      <c r="K253" s="55"/>
      <c r="L253" s="55"/>
    </row>
    <row r="254" ht="13.8" spans="1:12">
      <c r="A254" s="123"/>
      <c r="B254" s="172" t="s">
        <v>2029</v>
      </c>
      <c r="C254" s="176" t="s">
        <v>2724</v>
      </c>
      <c r="D254" s="172" t="s">
        <v>2030</v>
      </c>
      <c r="E254" s="179" t="s">
        <v>4247</v>
      </c>
      <c r="F254" s="179"/>
      <c r="G254" s="180" t="s">
        <v>4610</v>
      </c>
      <c r="H254" s="55"/>
      <c r="I254" s="55"/>
      <c r="J254" s="55"/>
      <c r="K254" s="55"/>
      <c r="L254" s="55"/>
    </row>
    <row r="255" ht="13.8" spans="1:12">
      <c r="A255" s="123"/>
      <c r="B255" s="172" t="s">
        <v>2034</v>
      </c>
      <c r="C255" s="176" t="s">
        <v>2724</v>
      </c>
      <c r="D255" s="172" t="s">
        <v>2035</v>
      </c>
      <c r="E255" s="179" t="s">
        <v>4247</v>
      </c>
      <c r="F255" s="179"/>
      <c r="G255" s="179" t="s">
        <v>4611</v>
      </c>
      <c r="H255" s="55"/>
      <c r="I255" s="55"/>
      <c r="J255" s="55"/>
      <c r="K255" s="55"/>
      <c r="L255" s="55"/>
    </row>
    <row r="256" ht="13.8" spans="1:12">
      <c r="A256" s="123"/>
      <c r="B256" s="172" t="s">
        <v>2041</v>
      </c>
      <c r="C256" s="172" t="s">
        <v>229</v>
      </c>
      <c r="D256" s="172" t="s">
        <v>2042</v>
      </c>
      <c r="E256" s="179" t="s">
        <v>4247</v>
      </c>
      <c r="F256" s="179"/>
      <c r="G256" s="179" t="str">
        <f>"sum("&amp;B256&amp;")"</f>
        <v>sum(videoplayhaltcount)</v>
      </c>
      <c r="H256" s="118"/>
      <c r="I256" s="55"/>
      <c r="J256" s="55"/>
      <c r="K256" s="55"/>
      <c r="L256" s="55"/>
    </row>
    <row r="257" ht="13.8" spans="1:12">
      <c r="A257" s="123"/>
      <c r="B257" s="172" t="s">
        <v>2045</v>
      </c>
      <c r="C257" s="172" t="s">
        <v>229</v>
      </c>
      <c r="D257" s="172" t="s">
        <v>2046</v>
      </c>
      <c r="E257" s="179" t="s">
        <v>4247</v>
      </c>
      <c r="F257" s="179"/>
      <c r="G257" s="179" t="str">
        <f>"sum("&amp;B257&amp;")"</f>
        <v>sum(videoplaynohaltcount)</v>
      </c>
      <c r="H257" s="118"/>
      <c r="I257" s="55"/>
      <c r="J257" s="55"/>
      <c r="K257" s="55"/>
      <c r="L257" s="55"/>
    </row>
    <row r="258" ht="13.8" spans="1:12">
      <c r="A258" s="123"/>
      <c r="B258" s="172" t="s">
        <v>2177</v>
      </c>
      <c r="C258" s="172" t="s">
        <v>229</v>
      </c>
      <c r="D258" s="172" t="s">
        <v>2178</v>
      </c>
      <c r="E258" s="179" t="s">
        <v>4247</v>
      </c>
      <c r="F258" s="179"/>
      <c r="G258" s="172" t="s">
        <v>4612</v>
      </c>
      <c r="H258" s="118"/>
      <c r="I258" s="55"/>
      <c r="J258" s="55"/>
      <c r="K258" s="55"/>
      <c r="L258" s="55"/>
    </row>
    <row r="259" ht="13.8" spans="1:12">
      <c r="A259" s="123"/>
      <c r="B259" s="172" t="s">
        <v>2181</v>
      </c>
      <c r="C259" s="172" t="s">
        <v>229</v>
      </c>
      <c r="D259" s="172" t="s">
        <v>2182</v>
      </c>
      <c r="E259" s="179" t="s">
        <v>4247</v>
      </c>
      <c r="F259" s="179"/>
      <c r="G259" s="172" t="s">
        <v>4613</v>
      </c>
      <c r="H259" s="118"/>
      <c r="I259" s="55"/>
      <c r="J259" s="55"/>
      <c r="K259" s="55"/>
      <c r="L259" s="55"/>
    </row>
    <row r="260" ht="13.8" spans="1:12">
      <c r="A260" s="123"/>
      <c r="B260" s="172" t="s">
        <v>2185</v>
      </c>
      <c r="C260" s="172" t="s">
        <v>229</v>
      </c>
      <c r="D260" s="172" t="s">
        <v>2186</v>
      </c>
      <c r="E260" s="179" t="s">
        <v>4247</v>
      </c>
      <c r="F260" s="179"/>
      <c r="G260" s="172" t="s">
        <v>4614</v>
      </c>
      <c r="H260" s="118"/>
      <c r="I260" s="55"/>
      <c r="J260" s="55"/>
      <c r="K260" s="55"/>
      <c r="L260" s="55"/>
    </row>
    <row r="261" ht="13.8" spans="1:12">
      <c r="A261" s="123"/>
      <c r="B261" s="172" t="s">
        <v>2189</v>
      </c>
      <c r="C261" s="172" t="s">
        <v>229</v>
      </c>
      <c r="D261" s="172" t="s">
        <v>2190</v>
      </c>
      <c r="E261" s="179" t="s">
        <v>4247</v>
      </c>
      <c r="F261" s="179"/>
      <c r="G261" s="172" t="s">
        <v>4615</v>
      </c>
      <c r="H261" s="118"/>
      <c r="I261" s="55"/>
      <c r="J261" s="55"/>
      <c r="K261" s="55"/>
      <c r="L261" s="55"/>
    </row>
    <row r="262" ht="13.8" spans="1:12">
      <c r="A262" s="123"/>
      <c r="B262" s="172" t="s">
        <v>2193</v>
      </c>
      <c r="C262" s="172" t="s">
        <v>229</v>
      </c>
      <c r="D262" s="172" t="s">
        <v>2194</v>
      </c>
      <c r="E262" s="179" t="s">
        <v>4247</v>
      </c>
      <c r="F262" s="179"/>
      <c r="G262" s="172" t="s">
        <v>4616</v>
      </c>
      <c r="H262" s="118"/>
      <c r="I262" s="55"/>
      <c r="J262" s="55"/>
      <c r="K262" s="55"/>
      <c r="L262" s="55"/>
    </row>
    <row r="263" ht="13.8" spans="1:12">
      <c r="A263" s="123"/>
      <c r="B263" s="172" t="s">
        <v>2197</v>
      </c>
      <c r="C263" s="172" t="s">
        <v>229</v>
      </c>
      <c r="D263" s="172" t="s">
        <v>2198</v>
      </c>
      <c r="E263" s="179" t="s">
        <v>4247</v>
      </c>
      <c r="F263" s="179"/>
      <c r="G263" s="172" t="s">
        <v>4617</v>
      </c>
      <c r="H263" s="118"/>
      <c r="I263" s="55"/>
      <c r="J263" s="55"/>
      <c r="K263" s="55"/>
      <c r="L263" s="55"/>
    </row>
    <row r="264" ht="13.8" spans="1:12">
      <c r="A264" s="123"/>
      <c r="B264" s="172" t="s">
        <v>2049</v>
      </c>
      <c r="C264" s="176" t="s">
        <v>229</v>
      </c>
      <c r="D264" s="172" t="s">
        <v>3837</v>
      </c>
      <c r="E264" s="179" t="s">
        <v>4247</v>
      </c>
      <c r="F264" s="172"/>
      <c r="G264" s="172" t="s">
        <v>4618</v>
      </c>
      <c r="H264" s="118"/>
      <c r="I264" s="55"/>
      <c r="J264" s="55"/>
      <c r="K264" s="55"/>
      <c r="L264" s="55"/>
    </row>
    <row r="265" ht="13.8" spans="1:12">
      <c r="A265" s="123"/>
      <c r="B265" s="179" t="s">
        <v>3839</v>
      </c>
      <c r="C265" s="176" t="s">
        <v>229</v>
      </c>
      <c r="D265" s="172" t="s">
        <v>4619</v>
      </c>
      <c r="E265" s="179" t="s">
        <v>4247</v>
      </c>
      <c r="F265" s="179"/>
      <c r="G265" s="180" t="s">
        <v>4620</v>
      </c>
      <c r="H265" s="118"/>
      <c r="I265" s="55"/>
      <c r="J265" s="55"/>
      <c r="K265" s="55"/>
      <c r="L265" s="55"/>
    </row>
    <row r="266" ht="13.8" spans="1:12">
      <c r="A266" s="123"/>
      <c r="B266" s="179" t="s">
        <v>3840</v>
      </c>
      <c r="C266" s="176" t="s">
        <v>229</v>
      </c>
      <c r="D266" s="172" t="s">
        <v>4621</v>
      </c>
      <c r="E266" s="179" t="s">
        <v>4247</v>
      </c>
      <c r="F266" s="179"/>
      <c r="G266" s="180" t="s">
        <v>4622</v>
      </c>
      <c r="H266" s="118"/>
      <c r="I266" s="55"/>
      <c r="J266" s="55"/>
      <c r="K266" s="55"/>
      <c r="L266" s="55"/>
    </row>
    <row r="267" s="40" customFormat="1" spans="1:12">
      <c r="A267" s="123"/>
      <c r="B267" s="179" t="s">
        <v>3993</v>
      </c>
      <c r="C267" s="182" t="s">
        <v>203</v>
      </c>
      <c r="D267" s="182" t="s">
        <v>2537</v>
      </c>
      <c r="E267" s="179" t="s">
        <v>4247</v>
      </c>
      <c r="F267" s="179"/>
      <c r="G267" s="180" t="s">
        <v>4623</v>
      </c>
      <c r="H267" s="118"/>
      <c r="I267" s="118"/>
      <c r="J267" s="118"/>
      <c r="K267" s="118"/>
      <c r="L267" s="118"/>
    </row>
    <row r="268" s="40" customFormat="1" spans="1:12">
      <c r="A268" s="123"/>
      <c r="B268" s="180" t="s">
        <v>4018</v>
      </c>
      <c r="C268" s="182" t="s">
        <v>203</v>
      </c>
      <c r="D268" s="182" t="s">
        <v>4624</v>
      </c>
      <c r="E268" s="179" t="s">
        <v>4247</v>
      </c>
      <c r="F268" s="179"/>
      <c r="G268" s="180" t="s">
        <v>4625</v>
      </c>
      <c r="H268" s="118"/>
      <c r="I268" s="118"/>
      <c r="J268" s="118"/>
      <c r="K268" s="118"/>
      <c r="L268" s="118"/>
    </row>
    <row r="269" s="40" customFormat="1" spans="1:12">
      <c r="A269" s="123"/>
      <c r="B269" s="180" t="s">
        <v>3857</v>
      </c>
      <c r="C269" s="176" t="s">
        <v>229</v>
      </c>
      <c r="D269" s="182" t="s">
        <v>4626</v>
      </c>
      <c r="E269" s="179" t="s">
        <v>4247</v>
      </c>
      <c r="F269" s="179"/>
      <c r="G269" s="180" t="s">
        <v>4627</v>
      </c>
      <c r="H269" s="118"/>
      <c r="I269" s="118"/>
      <c r="J269" s="118"/>
      <c r="K269" s="118"/>
      <c r="L269" s="118"/>
    </row>
    <row r="270" ht="15.6" spans="1:14">
      <c r="A270" s="100"/>
      <c r="B270" s="67" t="s">
        <v>239</v>
      </c>
      <c r="C270" s="67" t="s">
        <v>170</v>
      </c>
      <c r="D270" s="67" t="s">
        <v>240</v>
      </c>
      <c r="E270" s="109"/>
      <c r="F270" s="109"/>
      <c r="G270" s="109"/>
      <c r="H270" s="109"/>
      <c r="I270" s="109"/>
      <c r="J270" s="109"/>
      <c r="K270" s="109"/>
      <c r="L270" s="67"/>
      <c r="M270" s="100"/>
      <c r="N270" s="100"/>
    </row>
    <row r="271" ht="15.6" spans="1:14">
      <c r="A271" s="100"/>
      <c r="B271" s="67" t="s">
        <v>177</v>
      </c>
      <c r="C271" s="67" t="s">
        <v>175</v>
      </c>
      <c r="D271" s="67" t="s">
        <v>599</v>
      </c>
      <c r="E271" s="109"/>
      <c r="F271" s="109"/>
      <c r="G271" s="109"/>
      <c r="H271" s="109"/>
      <c r="I271" s="109"/>
      <c r="J271" s="109"/>
      <c r="K271" s="109"/>
      <c r="L271" s="67"/>
      <c r="M271" s="100"/>
      <c r="N271" s="100"/>
    </row>
    <row r="272" ht="15.6" spans="1:14">
      <c r="A272" s="100"/>
      <c r="B272" s="67" t="s">
        <v>693</v>
      </c>
      <c r="C272" s="67" t="s">
        <v>170</v>
      </c>
      <c r="D272" s="67" t="s">
        <v>1859</v>
      </c>
      <c r="E272" s="109"/>
      <c r="F272" s="109"/>
      <c r="G272" s="109"/>
      <c r="H272" s="109"/>
      <c r="I272" s="109"/>
      <c r="J272" s="109"/>
      <c r="K272" s="109"/>
      <c r="L272" s="67"/>
      <c r="M272" s="100"/>
      <c r="N272" s="100"/>
    </row>
    <row r="273" ht="13.8" spans="2:12">
      <c r="B273" s="118" t="s">
        <v>696</v>
      </c>
      <c r="C273" s="67" t="s">
        <v>170</v>
      </c>
      <c r="D273" s="67" t="s">
        <v>1534</v>
      </c>
      <c r="E273" s="190"/>
      <c r="F273" s="118"/>
      <c r="G273" s="118"/>
      <c r="H273" s="118"/>
      <c r="I273" s="55"/>
      <c r="J273" s="55"/>
      <c r="K273" s="55"/>
      <c r="L273" s="55"/>
    </row>
  </sheetData>
  <autoFilter xmlns:etc="http://www.wps.cn/officeDocument/2017/etCustomData" ref="A15:N273" etc:filterBottomFollowUsedRange="0">
    <extLst/>
  </autoFilter>
  <mergeCells count="3">
    <mergeCell ref="B2:H2"/>
    <mergeCell ref="B6:H6"/>
    <mergeCell ref="B14:L14"/>
  </mergeCells>
  <hyperlinks>
    <hyperlink ref="B1" location="导航!B1" display="=HYPERLINK(&quot;#&quot;&amp;&quot;导航应用&quot;&amp;&quot;!B1&quot;,&quot;返回&quot;)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277"/>
  <sheetViews>
    <sheetView workbookViewId="0">
      <selection activeCell="J27" sqref="J27"/>
    </sheetView>
  </sheetViews>
  <sheetFormatPr defaultColWidth="9" defaultRowHeight="15.6"/>
  <cols>
    <col min="1" max="1" width="5" style="41" customWidth="1"/>
    <col min="2" max="2" width="29.75" style="41" customWidth="1"/>
    <col min="3" max="3" width="28.5" style="41" customWidth="1"/>
    <col min="4" max="4" width="20.5" style="41" customWidth="1"/>
    <col min="5" max="5" width="16.25" style="41" customWidth="1"/>
    <col min="6" max="6" width="11.1296296296296" style="41" customWidth="1"/>
    <col min="7" max="7" width="69.5" style="41" customWidth="1"/>
    <col min="8" max="8" width="12" style="41" customWidth="1"/>
    <col min="9" max="9" width="10.8796296296296" style="41" customWidth="1"/>
    <col min="10" max="10" width="12.5" style="41" customWidth="1"/>
    <col min="11" max="11" width="14.1296296296296" style="41" customWidth="1"/>
    <col min="12" max="12" width="12.3796296296296" style="42" customWidth="1"/>
    <col min="13" max="16384" width="9" style="42"/>
  </cols>
  <sheetData>
    <row r="1" s="40" customFormat="1" ht="15" spans="2:8">
      <c r="B1" s="43" t="str">
        <f>HYPERLINK("#"&amp;"导航应用"&amp;"!B1","返回")</f>
        <v>返回</v>
      </c>
      <c r="C1" s="106" t="str">
        <f>HYPERLINK("#D2!A2","D2")</f>
        <v>D2</v>
      </c>
      <c r="D1" s="44"/>
      <c r="E1" s="45"/>
      <c r="F1" s="46"/>
      <c r="G1" s="46"/>
      <c r="H1" s="47"/>
    </row>
    <row r="2" ht="17.4" spans="2:8">
      <c r="B2" s="48" t="s">
        <v>132</v>
      </c>
      <c r="C2" s="48"/>
      <c r="D2" s="48"/>
      <c r="E2" s="48"/>
      <c r="F2" s="48"/>
      <c r="G2" s="48"/>
      <c r="H2" s="48"/>
    </row>
    <row r="3" spans="2:8">
      <c r="B3" s="49" t="s">
        <v>133</v>
      </c>
      <c r="C3" s="49" t="s">
        <v>134</v>
      </c>
      <c r="D3" s="49" t="s">
        <v>135</v>
      </c>
      <c r="E3" s="49" t="s">
        <v>136</v>
      </c>
      <c r="F3" s="49" t="s">
        <v>137</v>
      </c>
      <c r="G3" s="49" t="s">
        <v>138</v>
      </c>
      <c r="H3" s="49" t="s">
        <v>139</v>
      </c>
    </row>
    <row r="4" spans="2:14">
      <c r="B4" s="12"/>
      <c r="C4" s="107" t="s">
        <v>99</v>
      </c>
      <c r="D4" s="55" t="s">
        <v>4628</v>
      </c>
      <c r="E4" s="12" t="s">
        <v>661</v>
      </c>
      <c r="F4" s="51" t="s">
        <v>141</v>
      </c>
      <c r="G4" s="108"/>
      <c r="H4" s="108"/>
      <c r="N4" s="41"/>
    </row>
    <row r="5" spans="2:8">
      <c r="B5" s="52"/>
      <c r="C5" s="52"/>
      <c r="D5" s="52"/>
      <c r="E5" s="52"/>
      <c r="F5" s="52"/>
      <c r="G5" s="52"/>
      <c r="H5" s="52"/>
    </row>
    <row r="6" ht="17.4" spans="2:8">
      <c r="B6" s="48" t="s">
        <v>142</v>
      </c>
      <c r="C6" s="48"/>
      <c r="D6" s="48"/>
      <c r="E6" s="48"/>
      <c r="F6" s="48"/>
      <c r="G6" s="48"/>
      <c r="H6" s="48"/>
    </row>
    <row r="7" spans="2:8">
      <c r="B7" s="53" t="s">
        <v>143</v>
      </c>
      <c r="C7" s="53" t="s">
        <v>144</v>
      </c>
      <c r="D7" s="53" t="s">
        <v>145</v>
      </c>
      <c r="E7" s="53" t="s">
        <v>146</v>
      </c>
      <c r="F7" s="53" t="s">
        <v>147</v>
      </c>
      <c r="G7" s="53" t="s">
        <v>13</v>
      </c>
      <c r="H7" s="53" t="s">
        <v>148</v>
      </c>
    </row>
    <row r="8" spans="2:8">
      <c r="B8" s="109"/>
      <c r="C8" s="67" t="s">
        <v>81</v>
      </c>
      <c r="D8" s="67"/>
      <c r="E8" s="109" t="s">
        <v>422</v>
      </c>
      <c r="F8" s="109"/>
      <c r="G8" s="67" t="s">
        <v>4629</v>
      </c>
      <c r="H8" s="16" t="s">
        <v>21</v>
      </c>
    </row>
    <row r="9" spans="2:8">
      <c r="B9" s="109"/>
      <c r="C9" s="67" t="s">
        <v>84</v>
      </c>
      <c r="D9" s="67"/>
      <c r="E9" s="109" t="s">
        <v>1536</v>
      </c>
      <c r="F9" s="109"/>
      <c r="G9" s="110"/>
      <c r="H9" s="16" t="s">
        <v>21</v>
      </c>
    </row>
    <row r="10" spans="2:8">
      <c r="B10" s="109"/>
      <c r="C10" s="67" t="s">
        <v>4630</v>
      </c>
      <c r="D10" s="109"/>
      <c r="E10" s="109" t="s">
        <v>4241</v>
      </c>
      <c r="F10" s="109"/>
      <c r="G10" s="110"/>
      <c r="H10" s="16"/>
    </row>
    <row r="11" spans="2:8">
      <c r="B11" s="109"/>
      <c r="C11" s="142" t="s">
        <v>87</v>
      </c>
      <c r="D11" s="55"/>
      <c r="E11" s="55" t="s">
        <v>4246</v>
      </c>
      <c r="F11" s="109"/>
      <c r="G11" s="109"/>
      <c r="H11" s="16" t="s">
        <v>21</v>
      </c>
    </row>
    <row r="12" spans="2:12">
      <c r="B12" s="56" t="s">
        <v>158</v>
      </c>
      <c r="C12" s="57"/>
      <c r="D12" s="57"/>
      <c r="E12" s="57"/>
      <c r="F12" s="57"/>
      <c r="G12" s="57"/>
      <c r="H12" s="57"/>
      <c r="I12" s="57"/>
      <c r="J12" s="57"/>
      <c r="K12" s="57"/>
      <c r="L12" s="62"/>
    </row>
    <row r="13" ht="24" spans="2:12">
      <c r="B13" s="58" t="s">
        <v>159</v>
      </c>
      <c r="C13" s="58" t="s">
        <v>160</v>
      </c>
      <c r="D13" s="58" t="s">
        <v>161</v>
      </c>
      <c r="E13" s="58" t="s">
        <v>162</v>
      </c>
      <c r="F13" s="58" t="s">
        <v>163</v>
      </c>
      <c r="G13" s="58" t="s">
        <v>164</v>
      </c>
      <c r="H13" s="58" t="s">
        <v>165</v>
      </c>
      <c r="I13" s="58" t="s">
        <v>13</v>
      </c>
      <c r="J13" s="58" t="s">
        <v>166</v>
      </c>
      <c r="K13" s="58" t="s">
        <v>167</v>
      </c>
      <c r="L13" s="58" t="s">
        <v>168</v>
      </c>
    </row>
    <row r="14" spans="2:12">
      <c r="B14" s="163" t="s">
        <v>174</v>
      </c>
      <c r="C14" s="113" t="s">
        <v>175</v>
      </c>
      <c r="D14" s="113" t="s">
        <v>4251</v>
      </c>
      <c r="E14" s="144" t="s">
        <v>4631</v>
      </c>
      <c r="F14" s="12"/>
      <c r="G14" s="67" t="s">
        <v>174</v>
      </c>
      <c r="H14" s="67"/>
      <c r="I14" s="55"/>
      <c r="J14" s="12"/>
      <c r="K14" s="12"/>
      <c r="L14" s="12"/>
    </row>
    <row r="15" spans="2:12">
      <c r="B15" s="114" t="s">
        <v>1539</v>
      </c>
      <c r="C15" s="12" t="s">
        <v>170</v>
      </c>
      <c r="D15" s="12" t="s">
        <v>4253</v>
      </c>
      <c r="E15" s="144" t="s">
        <v>4631</v>
      </c>
      <c r="F15" s="12"/>
      <c r="G15" s="67" t="s">
        <v>1539</v>
      </c>
      <c r="H15" s="67"/>
      <c r="I15" s="12"/>
      <c r="J15" s="12"/>
      <c r="K15" s="12"/>
      <c r="L15" s="55"/>
    </row>
    <row r="16" spans="2:12">
      <c r="B16" s="114" t="s">
        <v>661</v>
      </c>
      <c r="C16" s="12" t="s">
        <v>170</v>
      </c>
      <c r="D16" s="12" t="s">
        <v>4254</v>
      </c>
      <c r="E16" s="144" t="s">
        <v>4631</v>
      </c>
      <c r="F16" s="12"/>
      <c r="G16" s="67" t="s">
        <v>661</v>
      </c>
      <c r="H16" s="67"/>
      <c r="I16" s="12"/>
      <c r="J16" s="12"/>
      <c r="K16" s="12"/>
      <c r="L16" s="55"/>
    </row>
    <row r="17" spans="2:12">
      <c r="B17" s="114" t="s">
        <v>169</v>
      </c>
      <c r="C17" s="12" t="s">
        <v>170</v>
      </c>
      <c r="D17" s="12" t="s">
        <v>1985</v>
      </c>
      <c r="E17" s="144" t="s">
        <v>4631</v>
      </c>
      <c r="F17" s="12"/>
      <c r="G17" s="67" t="s">
        <v>169</v>
      </c>
      <c r="H17" s="67"/>
      <c r="I17" s="12"/>
      <c r="J17" s="12"/>
      <c r="K17" s="12"/>
      <c r="L17" s="55"/>
    </row>
    <row r="18" spans="2:12">
      <c r="B18" s="114" t="s">
        <v>178</v>
      </c>
      <c r="C18" s="12" t="s">
        <v>170</v>
      </c>
      <c r="D18" s="12" t="s">
        <v>4255</v>
      </c>
      <c r="E18" s="144" t="s">
        <v>4631</v>
      </c>
      <c r="F18" s="12"/>
      <c r="G18" s="67" t="s">
        <v>178</v>
      </c>
      <c r="H18" s="67"/>
      <c r="I18" s="12"/>
      <c r="J18" s="12"/>
      <c r="K18" s="12"/>
      <c r="L18" s="55"/>
    </row>
    <row r="19" spans="2:12">
      <c r="B19" s="114" t="s">
        <v>180</v>
      </c>
      <c r="C19" s="12" t="s">
        <v>170</v>
      </c>
      <c r="D19" s="12" t="s">
        <v>1547</v>
      </c>
      <c r="E19" s="144" t="s">
        <v>4631</v>
      </c>
      <c r="F19" s="12"/>
      <c r="G19" s="67" t="s">
        <v>180</v>
      </c>
      <c r="H19" s="67"/>
      <c r="I19" s="12"/>
      <c r="J19" s="12"/>
      <c r="K19" s="12"/>
      <c r="L19" s="55"/>
    </row>
    <row r="20" spans="2:12">
      <c r="B20" s="114" t="s">
        <v>211</v>
      </c>
      <c r="C20" s="12" t="s">
        <v>175</v>
      </c>
      <c r="D20" s="12" t="s">
        <v>4256</v>
      </c>
      <c r="E20" s="144" t="s">
        <v>4631</v>
      </c>
      <c r="F20" s="12"/>
      <c r="G20" s="67" t="s">
        <v>4632</v>
      </c>
      <c r="H20" s="67"/>
      <c r="I20" s="12"/>
      <c r="J20" s="12"/>
      <c r="K20" s="12"/>
      <c r="L20" s="55"/>
    </row>
    <row r="21" spans="2:12">
      <c r="B21" s="114" t="s">
        <v>191</v>
      </c>
      <c r="C21" s="12" t="s">
        <v>175</v>
      </c>
      <c r="D21" s="12" t="s">
        <v>192</v>
      </c>
      <c r="E21" s="144" t="s">
        <v>4631</v>
      </c>
      <c r="F21" s="12"/>
      <c r="G21" s="67" t="s">
        <v>4633</v>
      </c>
      <c r="H21" s="67"/>
      <c r="I21" s="12"/>
      <c r="J21" s="12"/>
      <c r="K21" s="12"/>
      <c r="L21" s="55"/>
    </row>
    <row r="22" spans="2:12">
      <c r="B22" s="114" t="s">
        <v>188</v>
      </c>
      <c r="C22" s="12" t="s">
        <v>175</v>
      </c>
      <c r="D22" s="12" t="s">
        <v>189</v>
      </c>
      <c r="E22" s="144" t="s">
        <v>4631</v>
      </c>
      <c r="F22" s="12"/>
      <c r="G22" s="67" t="s">
        <v>188</v>
      </c>
      <c r="H22" s="67"/>
      <c r="I22" s="12"/>
      <c r="J22" s="12"/>
      <c r="K22" s="12"/>
      <c r="L22" s="55"/>
    </row>
    <row r="23" spans="2:12">
      <c r="B23" s="114" t="s">
        <v>246</v>
      </c>
      <c r="C23" s="12" t="s">
        <v>175</v>
      </c>
      <c r="D23" s="12" t="s">
        <v>1980</v>
      </c>
      <c r="E23" s="144" t="s">
        <v>4631</v>
      </c>
      <c r="F23" s="12"/>
      <c r="G23" s="67" t="s">
        <v>4634</v>
      </c>
      <c r="H23" s="67"/>
      <c r="I23" s="12"/>
      <c r="J23" s="12"/>
      <c r="K23" s="12"/>
      <c r="L23" s="55"/>
    </row>
    <row r="24" spans="2:12">
      <c r="B24" s="114" t="s">
        <v>248</v>
      </c>
      <c r="C24" s="12" t="s">
        <v>175</v>
      </c>
      <c r="D24" s="12" t="s">
        <v>4635</v>
      </c>
      <c r="E24" s="144" t="s">
        <v>4631</v>
      </c>
      <c r="F24" s="12"/>
      <c r="G24" s="67" t="s">
        <v>248</v>
      </c>
      <c r="H24" s="67"/>
      <c r="I24" s="12"/>
      <c r="J24" s="12"/>
      <c r="K24" s="12"/>
      <c r="L24" s="55"/>
    </row>
    <row r="25" spans="2:12">
      <c r="B25" s="114" t="s">
        <v>252</v>
      </c>
      <c r="C25" s="12" t="s">
        <v>175</v>
      </c>
      <c r="D25" s="12" t="s">
        <v>613</v>
      </c>
      <c r="E25" s="12" t="s">
        <v>4241</v>
      </c>
      <c r="F25" s="12"/>
      <c r="G25" s="67" t="s">
        <v>4636</v>
      </c>
      <c r="H25" s="67"/>
      <c r="I25" s="12"/>
      <c r="J25" s="12"/>
      <c r="K25" s="12"/>
      <c r="L25" s="55"/>
    </row>
    <row r="26" spans="2:12">
      <c r="B26" s="114" t="s">
        <v>4637</v>
      </c>
      <c r="C26" s="12" t="s">
        <v>175</v>
      </c>
      <c r="D26" s="12" t="e">
        <v>#N/A</v>
      </c>
      <c r="E26" s="144" t="s">
        <v>4631</v>
      </c>
      <c r="F26" s="12"/>
      <c r="G26" s="67" t="s">
        <v>1564</v>
      </c>
      <c r="H26" s="67"/>
      <c r="I26" s="12"/>
      <c r="J26" s="12"/>
      <c r="K26" s="12"/>
      <c r="L26" s="55"/>
    </row>
    <row r="27" spans="2:12">
      <c r="B27" s="114" t="s">
        <v>1867</v>
      </c>
      <c r="C27" s="12" t="s">
        <v>175</v>
      </c>
      <c r="D27" s="12" t="s">
        <v>2795</v>
      </c>
      <c r="E27" s="144" t="s">
        <v>4631</v>
      </c>
      <c r="F27" s="12"/>
      <c r="G27" s="67" t="s">
        <v>4638</v>
      </c>
      <c r="H27" s="67"/>
      <c r="I27" s="12"/>
      <c r="J27" s="12"/>
      <c r="K27" s="12"/>
      <c r="L27" s="55"/>
    </row>
    <row r="28" spans="2:12">
      <c r="B28" s="114" t="s">
        <v>746</v>
      </c>
      <c r="C28" s="12" t="s">
        <v>175</v>
      </c>
      <c r="D28" s="12" t="s">
        <v>4261</v>
      </c>
      <c r="E28" s="144" t="s">
        <v>4631</v>
      </c>
      <c r="F28" s="12"/>
      <c r="G28" s="67" t="s">
        <v>746</v>
      </c>
      <c r="H28" s="67"/>
      <c r="I28" s="12"/>
      <c r="J28" s="12"/>
      <c r="K28" s="12"/>
      <c r="L28" s="55"/>
    </row>
    <row r="29" spans="2:12">
      <c r="B29" s="12" t="s">
        <v>255</v>
      </c>
      <c r="C29" s="12" t="s">
        <v>229</v>
      </c>
      <c r="D29" s="12" t="s">
        <v>618</v>
      </c>
      <c r="E29" s="144" t="s">
        <v>4631</v>
      </c>
      <c r="F29" s="12"/>
      <c r="G29" s="67" t="s">
        <v>4639</v>
      </c>
      <c r="H29" s="67"/>
      <c r="I29" s="12"/>
      <c r="J29" s="12"/>
      <c r="K29" s="12"/>
      <c r="L29" s="55"/>
    </row>
    <row r="30" spans="2:12">
      <c r="B30" s="12" t="s">
        <v>4263</v>
      </c>
      <c r="C30" s="12" t="s">
        <v>229</v>
      </c>
      <c r="D30" s="12" t="s">
        <v>4264</v>
      </c>
      <c r="E30" s="144" t="s">
        <v>4631</v>
      </c>
      <c r="F30" s="12"/>
      <c r="G30" s="67" t="s">
        <v>4640</v>
      </c>
      <c r="H30" s="67"/>
      <c r="I30" s="12"/>
      <c r="J30" s="12"/>
      <c r="K30" s="12"/>
      <c r="L30" s="55"/>
    </row>
    <row r="31" spans="2:12">
      <c r="B31" s="12" t="s">
        <v>4266</v>
      </c>
      <c r="C31" s="12" t="s">
        <v>229</v>
      </c>
      <c r="D31" s="12" t="s">
        <v>4267</v>
      </c>
      <c r="E31" s="144" t="s">
        <v>4631</v>
      </c>
      <c r="F31" s="12"/>
      <c r="G31" s="67" t="s">
        <v>4641</v>
      </c>
      <c r="H31" s="67"/>
      <c r="I31" s="12"/>
      <c r="J31" s="12"/>
      <c r="K31" s="12"/>
      <c r="L31" s="55"/>
    </row>
    <row r="32" spans="2:12">
      <c r="B32" s="12" t="s">
        <v>4269</v>
      </c>
      <c r="C32" s="12" t="s">
        <v>229</v>
      </c>
      <c r="D32" s="12" t="s">
        <v>1847</v>
      </c>
      <c r="E32" s="144" t="s">
        <v>4631</v>
      </c>
      <c r="F32" s="12"/>
      <c r="G32" s="67" t="s">
        <v>4642</v>
      </c>
      <c r="H32" s="67"/>
      <c r="I32" s="12"/>
      <c r="J32" s="12"/>
      <c r="K32" s="12"/>
      <c r="L32" s="55"/>
    </row>
    <row r="33" spans="2:12">
      <c r="B33" s="12" t="s">
        <v>4271</v>
      </c>
      <c r="C33" s="12" t="s">
        <v>229</v>
      </c>
      <c r="D33" s="12" t="s">
        <v>1849</v>
      </c>
      <c r="E33" s="144" t="s">
        <v>4631</v>
      </c>
      <c r="F33" s="12"/>
      <c r="G33" s="67" t="s">
        <v>4643</v>
      </c>
      <c r="H33" s="67"/>
      <c r="I33" s="12"/>
      <c r="J33" s="12"/>
      <c r="K33" s="12"/>
      <c r="L33" s="55"/>
    </row>
    <row r="34" spans="2:12">
      <c r="B34" s="12" t="s">
        <v>4273</v>
      </c>
      <c r="C34" s="12" t="s">
        <v>229</v>
      </c>
      <c r="D34" s="12" t="s">
        <v>1851</v>
      </c>
      <c r="E34" s="144" t="s">
        <v>4631</v>
      </c>
      <c r="F34" s="12"/>
      <c r="G34" s="67" t="s">
        <v>4644</v>
      </c>
      <c r="H34" s="67"/>
      <c r="I34" s="12"/>
      <c r="J34" s="12"/>
      <c r="K34" s="12"/>
      <c r="L34" s="55"/>
    </row>
    <row r="35" spans="2:12">
      <c r="B35" s="12" t="s">
        <v>4275</v>
      </c>
      <c r="C35" s="12" t="s">
        <v>229</v>
      </c>
      <c r="D35" s="12" t="s">
        <v>1853</v>
      </c>
      <c r="E35" s="144" t="s">
        <v>4631</v>
      </c>
      <c r="F35" s="12"/>
      <c r="G35" s="67" t="s">
        <v>4645</v>
      </c>
      <c r="H35" s="67"/>
      <c r="I35" s="12"/>
      <c r="J35" s="12"/>
      <c r="K35" s="12"/>
      <c r="L35" s="55"/>
    </row>
    <row r="36" spans="2:12">
      <c r="B36" s="12" t="s">
        <v>4277</v>
      </c>
      <c r="C36" s="12" t="s">
        <v>229</v>
      </c>
      <c r="D36" s="12" t="s">
        <v>1855</v>
      </c>
      <c r="E36" s="144" t="s">
        <v>4631</v>
      </c>
      <c r="F36" s="12"/>
      <c r="G36" s="67" t="s">
        <v>4646</v>
      </c>
      <c r="H36" s="67"/>
      <c r="I36" s="12"/>
      <c r="J36" s="12"/>
      <c r="K36" s="12"/>
      <c r="L36" s="55"/>
    </row>
    <row r="37" spans="2:12">
      <c r="B37" s="12" t="s">
        <v>4279</v>
      </c>
      <c r="C37" s="12" t="s">
        <v>229</v>
      </c>
      <c r="D37" s="12" t="s">
        <v>1857</v>
      </c>
      <c r="E37" s="144" t="s">
        <v>4631</v>
      </c>
      <c r="F37" s="12"/>
      <c r="G37" s="67" t="s">
        <v>4280</v>
      </c>
      <c r="H37" s="67"/>
      <c r="I37" s="12"/>
      <c r="J37" s="12"/>
      <c r="K37" s="12"/>
      <c r="L37" s="55"/>
    </row>
    <row r="38" spans="2:12">
      <c r="B38" s="12" t="s">
        <v>257</v>
      </c>
      <c r="C38" s="12" t="s">
        <v>229</v>
      </c>
      <c r="D38" s="12" t="s">
        <v>394</v>
      </c>
      <c r="E38" s="144" t="s">
        <v>4631</v>
      </c>
      <c r="F38" s="12"/>
      <c r="G38" s="67" t="s">
        <v>4647</v>
      </c>
      <c r="H38" s="67"/>
      <c r="I38" s="12"/>
      <c r="J38" s="12"/>
      <c r="K38" s="12"/>
      <c r="L38" s="55"/>
    </row>
    <row r="39" spans="2:12">
      <c r="B39" s="12" t="s">
        <v>264</v>
      </c>
      <c r="C39" s="12" t="s">
        <v>229</v>
      </c>
      <c r="D39" s="12" t="s">
        <v>395</v>
      </c>
      <c r="E39" s="144" t="s">
        <v>4631</v>
      </c>
      <c r="F39" s="12"/>
      <c r="G39" s="152" t="s">
        <v>4648</v>
      </c>
      <c r="H39" s="67"/>
      <c r="I39" s="12"/>
      <c r="J39" s="12"/>
      <c r="K39" s="12"/>
      <c r="L39" s="55"/>
    </row>
    <row r="40" spans="2:12">
      <c r="B40" s="12" t="s">
        <v>1989</v>
      </c>
      <c r="C40" s="12" t="s">
        <v>229</v>
      </c>
      <c r="D40" s="12" t="s">
        <v>3821</v>
      </c>
      <c r="E40" s="144" t="s">
        <v>4631</v>
      </c>
      <c r="F40" s="12"/>
      <c r="G40" s="67" t="s">
        <v>4649</v>
      </c>
      <c r="H40" s="67"/>
      <c r="I40" s="12"/>
      <c r="J40" s="12"/>
      <c r="K40" s="12"/>
      <c r="L40" s="55"/>
    </row>
    <row r="41" spans="2:12">
      <c r="B41" s="12" t="s">
        <v>1991</v>
      </c>
      <c r="C41" s="12" t="s">
        <v>229</v>
      </c>
      <c r="D41" s="12" t="s">
        <v>3822</v>
      </c>
      <c r="E41" s="144" t="s">
        <v>4631</v>
      </c>
      <c r="F41" s="12"/>
      <c r="G41" s="67" t="s">
        <v>4650</v>
      </c>
      <c r="H41" s="67"/>
      <c r="I41" s="12"/>
      <c r="J41" s="12"/>
      <c r="K41" s="12"/>
      <c r="L41" s="55"/>
    </row>
    <row r="42" spans="2:12">
      <c r="B42" s="12" t="s">
        <v>4287</v>
      </c>
      <c r="C42" s="12" t="s">
        <v>229</v>
      </c>
      <c r="D42" s="12" t="s">
        <v>4651</v>
      </c>
      <c r="E42" s="144" t="s">
        <v>4631</v>
      </c>
      <c r="F42" s="12"/>
      <c r="G42" s="67" t="s">
        <v>4652</v>
      </c>
      <c r="H42" s="67"/>
      <c r="I42" s="12"/>
      <c r="J42" s="12"/>
      <c r="K42" s="12"/>
      <c r="L42" s="55"/>
    </row>
    <row r="43" spans="2:12">
      <c r="B43" s="12" t="s">
        <v>4290</v>
      </c>
      <c r="C43" s="12" t="s">
        <v>229</v>
      </c>
      <c r="D43" s="12" t="s">
        <v>4653</v>
      </c>
      <c r="E43" s="144" t="s">
        <v>4631</v>
      </c>
      <c r="F43" s="12"/>
      <c r="G43" s="67" t="s">
        <v>4654</v>
      </c>
      <c r="H43" s="67"/>
      <c r="I43" s="12"/>
      <c r="J43" s="12"/>
      <c r="K43" s="12"/>
      <c r="L43" s="55"/>
    </row>
    <row r="44" spans="2:12">
      <c r="B44" s="12" t="s">
        <v>1993</v>
      </c>
      <c r="C44" s="12" t="s">
        <v>229</v>
      </c>
      <c r="D44" s="12" t="s">
        <v>4655</v>
      </c>
      <c r="E44" s="144" t="s">
        <v>4631</v>
      </c>
      <c r="F44" s="12"/>
      <c r="G44" s="67" t="s">
        <v>4656</v>
      </c>
      <c r="H44" s="67"/>
      <c r="I44" s="12"/>
      <c r="J44" s="12"/>
      <c r="K44" s="12"/>
      <c r="L44" s="55"/>
    </row>
    <row r="45" spans="2:12">
      <c r="B45" s="12" t="s">
        <v>1995</v>
      </c>
      <c r="C45" s="12" t="s">
        <v>229</v>
      </c>
      <c r="D45" s="12" t="s">
        <v>4657</v>
      </c>
      <c r="E45" s="144" t="s">
        <v>4631</v>
      </c>
      <c r="F45" s="12"/>
      <c r="G45" s="67" t="s">
        <v>4658</v>
      </c>
      <c r="H45" s="67"/>
      <c r="I45" s="12"/>
      <c r="J45" s="12"/>
      <c r="K45" s="12"/>
      <c r="L45" s="55"/>
    </row>
    <row r="46" spans="2:12">
      <c r="B46" s="12" t="s">
        <v>4297</v>
      </c>
      <c r="C46" s="12" t="s">
        <v>229</v>
      </c>
      <c r="D46" s="12" t="s">
        <v>4298</v>
      </c>
      <c r="E46" s="144" t="s">
        <v>4631</v>
      </c>
      <c r="F46" s="12"/>
      <c r="G46" s="67" t="s">
        <v>4659</v>
      </c>
      <c r="H46" s="67"/>
      <c r="I46" s="12"/>
      <c r="J46" s="12"/>
      <c r="K46" s="12"/>
      <c r="L46" s="55"/>
    </row>
    <row r="47" spans="2:12">
      <c r="B47" s="12" t="s">
        <v>4300</v>
      </c>
      <c r="C47" s="12" t="s">
        <v>229</v>
      </c>
      <c r="D47" s="12" t="s">
        <v>4301</v>
      </c>
      <c r="E47" s="144" t="s">
        <v>4631</v>
      </c>
      <c r="F47" s="12"/>
      <c r="G47" s="67" t="s">
        <v>4660</v>
      </c>
      <c r="H47" s="67"/>
      <c r="I47" s="12"/>
      <c r="J47" s="12"/>
      <c r="K47" s="12"/>
      <c r="L47" s="55"/>
    </row>
    <row r="48" spans="2:12">
      <c r="B48" s="12" t="s">
        <v>4303</v>
      </c>
      <c r="C48" s="12" t="s">
        <v>229</v>
      </c>
      <c r="D48" s="12" t="s">
        <v>4304</v>
      </c>
      <c r="E48" s="144" t="s">
        <v>4631</v>
      </c>
      <c r="F48" s="12"/>
      <c r="G48" s="67" t="s">
        <v>4305</v>
      </c>
      <c r="H48" s="67"/>
      <c r="I48" s="12"/>
      <c r="J48" s="12"/>
      <c r="K48" s="12"/>
      <c r="L48" s="55"/>
    </row>
    <row r="49" spans="2:12">
      <c r="B49" s="12" t="s">
        <v>4306</v>
      </c>
      <c r="C49" s="12" t="s">
        <v>229</v>
      </c>
      <c r="D49" s="12" t="s">
        <v>4307</v>
      </c>
      <c r="E49" s="144" t="s">
        <v>4631</v>
      </c>
      <c r="F49" s="12"/>
      <c r="G49" s="67" t="s">
        <v>4661</v>
      </c>
      <c r="H49" s="67"/>
      <c r="I49" s="12"/>
      <c r="J49" s="12"/>
      <c r="K49" s="12"/>
      <c r="L49" s="55"/>
    </row>
    <row r="50" spans="2:12">
      <c r="B50" s="12" t="s">
        <v>4309</v>
      </c>
      <c r="C50" s="12" t="s">
        <v>229</v>
      </c>
      <c r="D50" s="12" t="s">
        <v>4310</v>
      </c>
      <c r="E50" s="144" t="s">
        <v>4631</v>
      </c>
      <c r="F50" s="12"/>
      <c r="G50" s="67" t="s">
        <v>4662</v>
      </c>
      <c r="H50" s="67"/>
      <c r="I50" s="12"/>
      <c r="J50" s="12"/>
      <c r="K50" s="12"/>
      <c r="L50" s="55"/>
    </row>
    <row r="51" spans="2:12">
      <c r="B51" s="12" t="s">
        <v>4312</v>
      </c>
      <c r="C51" s="12" t="s">
        <v>229</v>
      </c>
      <c r="D51" s="12" t="s">
        <v>4313</v>
      </c>
      <c r="E51" s="144" t="s">
        <v>4631</v>
      </c>
      <c r="F51" s="12"/>
      <c r="G51" s="67" t="s">
        <v>4314</v>
      </c>
      <c r="H51" s="67"/>
      <c r="I51" s="12"/>
      <c r="J51" s="12"/>
      <c r="K51" s="12"/>
      <c r="L51" s="55"/>
    </row>
    <row r="52" spans="2:12">
      <c r="B52" s="12" t="s">
        <v>1577</v>
      </c>
      <c r="C52" s="12" t="s">
        <v>229</v>
      </c>
      <c r="D52" s="12" t="s">
        <v>4315</v>
      </c>
      <c r="E52" s="144" t="s">
        <v>4631</v>
      </c>
      <c r="F52" s="12"/>
      <c r="G52" s="67" t="s">
        <v>4663</v>
      </c>
      <c r="H52" s="67"/>
      <c r="I52" s="12"/>
      <c r="J52" s="12"/>
      <c r="K52" s="12"/>
      <c r="L52" s="55"/>
    </row>
    <row r="53" spans="2:12">
      <c r="B53" s="12" t="s">
        <v>1581</v>
      </c>
      <c r="C53" s="12" t="s">
        <v>229</v>
      </c>
      <c r="D53" s="12" t="s">
        <v>4317</v>
      </c>
      <c r="E53" s="144" t="s">
        <v>4631</v>
      </c>
      <c r="F53" s="12"/>
      <c r="G53" s="67" t="s">
        <v>4664</v>
      </c>
      <c r="H53" s="67"/>
      <c r="I53" s="12"/>
      <c r="J53" s="12"/>
      <c r="K53" s="12"/>
      <c r="L53" s="55"/>
    </row>
    <row r="54" spans="2:12">
      <c r="B54" s="12" t="s">
        <v>1796</v>
      </c>
      <c r="C54" s="12" t="s">
        <v>229</v>
      </c>
      <c r="D54" s="12" t="s">
        <v>4319</v>
      </c>
      <c r="E54" s="144" t="s">
        <v>4631</v>
      </c>
      <c r="F54" s="12"/>
      <c r="G54" s="164" t="s">
        <v>4320</v>
      </c>
      <c r="H54" s="67"/>
      <c r="I54" s="12"/>
      <c r="J54" s="12"/>
      <c r="K54" s="12"/>
      <c r="L54" s="55"/>
    </row>
    <row r="55" spans="2:12">
      <c r="B55" s="12" t="s">
        <v>1798</v>
      </c>
      <c r="C55" s="12" t="s">
        <v>229</v>
      </c>
      <c r="D55" s="12" t="s">
        <v>4321</v>
      </c>
      <c r="E55" s="144" t="s">
        <v>4631</v>
      </c>
      <c r="F55" s="12"/>
      <c r="G55" s="164" t="s">
        <v>4322</v>
      </c>
      <c r="H55" s="67"/>
      <c r="I55" s="12"/>
      <c r="J55" s="12"/>
      <c r="K55" s="12"/>
      <c r="L55" s="55"/>
    </row>
    <row r="56" spans="2:12">
      <c r="B56" s="12" t="s">
        <v>4323</v>
      </c>
      <c r="C56" s="12" t="s">
        <v>229</v>
      </c>
      <c r="D56" s="12" t="s">
        <v>4324</v>
      </c>
      <c r="E56" s="144" t="s">
        <v>4631</v>
      </c>
      <c r="F56" s="12"/>
      <c r="G56" s="164" t="s">
        <v>4325</v>
      </c>
      <c r="H56" s="67"/>
      <c r="I56" s="12"/>
      <c r="J56" s="12"/>
      <c r="K56" s="12"/>
      <c r="L56" s="55"/>
    </row>
    <row r="57" spans="2:12">
      <c r="B57" s="12" t="s">
        <v>4326</v>
      </c>
      <c r="C57" s="12" t="s">
        <v>229</v>
      </c>
      <c r="D57" s="12" t="s">
        <v>4327</v>
      </c>
      <c r="E57" s="144" t="s">
        <v>4631</v>
      </c>
      <c r="F57" s="12"/>
      <c r="G57" s="164" t="s">
        <v>4328</v>
      </c>
      <c r="H57" s="67"/>
      <c r="I57" s="12"/>
      <c r="J57" s="12"/>
      <c r="K57" s="12"/>
      <c r="L57" s="55"/>
    </row>
    <row r="58" spans="2:12">
      <c r="B58" s="12" t="s">
        <v>4329</v>
      </c>
      <c r="C58" s="12" t="s">
        <v>229</v>
      </c>
      <c r="D58" s="12" t="s">
        <v>4330</v>
      </c>
      <c r="E58" s="144" t="s">
        <v>4631</v>
      </c>
      <c r="F58" s="12"/>
      <c r="G58" s="164" t="s">
        <v>4331</v>
      </c>
      <c r="H58" s="67"/>
      <c r="I58" s="12"/>
      <c r="J58" s="12"/>
      <c r="K58" s="12"/>
      <c r="L58" s="55"/>
    </row>
    <row r="59" spans="2:12">
      <c r="B59" s="12" t="s">
        <v>1622</v>
      </c>
      <c r="C59" s="12" t="s">
        <v>229</v>
      </c>
      <c r="D59" s="12" t="s">
        <v>1623</v>
      </c>
      <c r="E59" s="144" t="s">
        <v>4631</v>
      </c>
      <c r="F59" s="12"/>
      <c r="G59" s="67" t="s">
        <v>4332</v>
      </c>
      <c r="H59" s="67"/>
      <c r="I59" s="12"/>
      <c r="J59" s="12"/>
      <c r="K59" s="12"/>
      <c r="L59" s="55"/>
    </row>
    <row r="60" spans="2:12">
      <c r="B60" s="12" t="s">
        <v>1627</v>
      </c>
      <c r="C60" s="12" t="s">
        <v>229</v>
      </c>
      <c r="D60" s="12" t="s">
        <v>1628</v>
      </c>
      <c r="E60" s="144" t="s">
        <v>4631</v>
      </c>
      <c r="F60" s="12"/>
      <c r="G60" s="67" t="s">
        <v>4665</v>
      </c>
      <c r="H60" s="67"/>
      <c r="I60" s="12"/>
      <c r="J60" s="12"/>
      <c r="K60" s="12"/>
      <c r="L60" s="55"/>
    </row>
    <row r="61" spans="2:12">
      <c r="B61" s="12" t="s">
        <v>1631</v>
      </c>
      <c r="C61" s="12" t="s">
        <v>229</v>
      </c>
      <c r="D61" s="12" t="s">
        <v>1632</v>
      </c>
      <c r="E61" s="12" t="s">
        <v>2697</v>
      </c>
      <c r="F61" s="12"/>
      <c r="G61" s="67" t="s">
        <v>4335</v>
      </c>
      <c r="H61" s="67"/>
      <c r="I61" s="12"/>
      <c r="J61" s="12"/>
      <c r="K61" s="12"/>
      <c r="L61" s="55"/>
    </row>
    <row r="62" spans="2:12">
      <c r="B62" s="12" t="s">
        <v>1635</v>
      </c>
      <c r="C62" s="12" t="s">
        <v>229</v>
      </c>
      <c r="D62" s="12" t="s">
        <v>1636</v>
      </c>
      <c r="E62" s="12" t="s">
        <v>2697</v>
      </c>
      <c r="F62" s="12"/>
      <c r="G62" s="67" t="s">
        <v>4336</v>
      </c>
      <c r="H62" s="67"/>
      <c r="I62" s="12"/>
      <c r="J62" s="12"/>
      <c r="K62" s="12"/>
      <c r="L62" s="55"/>
    </row>
    <row r="63" spans="2:12">
      <c r="B63" s="12" t="s">
        <v>1639</v>
      </c>
      <c r="C63" s="12" t="s">
        <v>229</v>
      </c>
      <c r="D63" s="12" t="s">
        <v>1640</v>
      </c>
      <c r="E63" s="12" t="s">
        <v>2697</v>
      </c>
      <c r="F63" s="12"/>
      <c r="G63" s="67" t="s">
        <v>4666</v>
      </c>
      <c r="H63" s="67"/>
      <c r="I63" s="12"/>
      <c r="J63" s="12"/>
      <c r="K63" s="12"/>
      <c r="L63" s="55"/>
    </row>
    <row r="64" spans="2:12">
      <c r="B64" s="12" t="s">
        <v>1643</v>
      </c>
      <c r="C64" s="12" t="s">
        <v>229</v>
      </c>
      <c r="D64" s="12" t="s">
        <v>1644</v>
      </c>
      <c r="E64" s="12" t="s">
        <v>2697</v>
      </c>
      <c r="F64" s="12"/>
      <c r="G64" s="67" t="s">
        <v>4667</v>
      </c>
      <c r="H64" s="67"/>
      <c r="I64" s="12"/>
      <c r="J64" s="12"/>
      <c r="K64" s="12"/>
      <c r="L64" s="55"/>
    </row>
    <row r="65" spans="2:12">
      <c r="B65" s="12" t="s">
        <v>2909</v>
      </c>
      <c r="C65" s="12" t="s">
        <v>229</v>
      </c>
      <c r="D65" s="12" t="s">
        <v>2910</v>
      </c>
      <c r="E65" s="12" t="s">
        <v>2697</v>
      </c>
      <c r="F65" s="12"/>
      <c r="G65" s="67" t="s">
        <v>4668</v>
      </c>
      <c r="H65" s="67"/>
      <c r="I65" s="12"/>
      <c r="J65" s="12"/>
      <c r="K65" s="12"/>
      <c r="L65" s="55"/>
    </row>
    <row r="66" spans="2:12">
      <c r="B66" s="12" t="s">
        <v>2912</v>
      </c>
      <c r="C66" s="12" t="s">
        <v>229</v>
      </c>
      <c r="D66" s="12" t="s">
        <v>2913</v>
      </c>
      <c r="E66" s="12" t="s">
        <v>2697</v>
      </c>
      <c r="F66" s="12"/>
      <c r="G66" s="67" t="s">
        <v>4669</v>
      </c>
      <c r="H66" s="67"/>
      <c r="I66" s="12"/>
      <c r="J66" s="12"/>
      <c r="K66" s="12"/>
      <c r="L66" s="55"/>
    </row>
    <row r="67" spans="2:12">
      <c r="B67" s="12" t="s">
        <v>2915</v>
      </c>
      <c r="C67" s="12" t="s">
        <v>229</v>
      </c>
      <c r="D67" s="12" t="s">
        <v>2916</v>
      </c>
      <c r="E67" s="12" t="s">
        <v>2697</v>
      </c>
      <c r="F67" s="12"/>
      <c r="G67" s="67" t="s">
        <v>4341</v>
      </c>
      <c r="H67" s="67"/>
      <c r="I67" s="12"/>
      <c r="J67" s="12"/>
      <c r="K67" s="12"/>
      <c r="L67" s="55"/>
    </row>
    <row r="68" spans="2:12">
      <c r="B68" s="12" t="s">
        <v>2917</v>
      </c>
      <c r="C68" s="12" t="s">
        <v>229</v>
      </c>
      <c r="D68" s="12" t="s">
        <v>2918</v>
      </c>
      <c r="E68" s="12" t="s">
        <v>2697</v>
      </c>
      <c r="F68" s="12"/>
      <c r="G68" s="67" t="s">
        <v>4670</v>
      </c>
      <c r="H68" s="67"/>
      <c r="I68" s="12"/>
      <c r="J68" s="12"/>
      <c r="K68" s="12"/>
      <c r="L68" s="55"/>
    </row>
    <row r="69" spans="2:12">
      <c r="B69" s="12" t="s">
        <v>2921</v>
      </c>
      <c r="C69" s="12" t="s">
        <v>229</v>
      </c>
      <c r="D69" s="12" t="s">
        <v>2922</v>
      </c>
      <c r="E69" s="12" t="s">
        <v>2697</v>
      </c>
      <c r="F69" s="12"/>
      <c r="G69" s="67" t="s">
        <v>4671</v>
      </c>
      <c r="H69" s="67"/>
      <c r="I69" s="12"/>
      <c r="J69" s="12"/>
      <c r="K69" s="12"/>
      <c r="L69" s="55"/>
    </row>
    <row r="70" spans="2:12">
      <c r="B70" s="12" t="s">
        <v>2925</v>
      </c>
      <c r="C70" s="12" t="s">
        <v>229</v>
      </c>
      <c r="D70" s="12" t="s">
        <v>2926</v>
      </c>
      <c r="E70" s="12" t="s">
        <v>2697</v>
      </c>
      <c r="F70" s="12"/>
      <c r="G70" s="67" t="s">
        <v>4672</v>
      </c>
      <c r="H70" s="67"/>
      <c r="I70" s="12"/>
      <c r="J70" s="12"/>
      <c r="K70" s="12"/>
      <c r="L70" s="55"/>
    </row>
    <row r="71" spans="2:12">
      <c r="B71" s="12" t="s">
        <v>2929</v>
      </c>
      <c r="C71" s="12" t="s">
        <v>229</v>
      </c>
      <c r="D71" s="12" t="s">
        <v>2930</v>
      </c>
      <c r="E71" s="12" t="s">
        <v>2697</v>
      </c>
      <c r="F71" s="12"/>
      <c r="G71" s="67" t="s">
        <v>4673</v>
      </c>
      <c r="H71" s="67"/>
      <c r="I71" s="12"/>
      <c r="J71" s="12"/>
      <c r="K71" s="12"/>
      <c r="L71" s="55"/>
    </row>
    <row r="72" spans="2:12">
      <c r="B72" s="12" t="s">
        <v>2933</v>
      </c>
      <c r="C72" s="12" t="s">
        <v>229</v>
      </c>
      <c r="D72" s="12" t="s">
        <v>2934</v>
      </c>
      <c r="E72" s="12" t="s">
        <v>2697</v>
      </c>
      <c r="F72" s="12"/>
      <c r="G72" s="67" t="s">
        <v>4674</v>
      </c>
      <c r="H72" s="67"/>
      <c r="I72" s="12"/>
      <c r="J72" s="12"/>
      <c r="K72" s="12"/>
      <c r="L72" s="55"/>
    </row>
    <row r="73" spans="2:12">
      <c r="B73" s="12" t="s">
        <v>2937</v>
      </c>
      <c r="C73" s="12" t="s">
        <v>229</v>
      </c>
      <c r="D73" s="12" t="s">
        <v>2938</v>
      </c>
      <c r="E73" s="12" t="s">
        <v>2697</v>
      </c>
      <c r="F73" s="12"/>
      <c r="G73" s="67" t="s">
        <v>4675</v>
      </c>
      <c r="H73" s="67"/>
      <c r="I73" s="12"/>
      <c r="J73" s="12"/>
      <c r="K73" s="12"/>
      <c r="L73" s="55"/>
    </row>
    <row r="74" spans="2:12">
      <c r="B74" s="12" t="s">
        <v>1647</v>
      </c>
      <c r="C74" s="12" t="s">
        <v>229</v>
      </c>
      <c r="D74" s="12" t="s">
        <v>1648</v>
      </c>
      <c r="E74" s="144" t="s">
        <v>4631</v>
      </c>
      <c r="G74" s="164" t="s">
        <v>4348</v>
      </c>
      <c r="H74" s="67"/>
      <c r="I74" s="12"/>
      <c r="J74" s="12"/>
      <c r="K74" s="12"/>
      <c r="L74" s="55"/>
    </row>
    <row r="75" spans="2:12">
      <c r="B75" s="12" t="s">
        <v>1756</v>
      </c>
      <c r="C75" s="12" t="s">
        <v>229</v>
      </c>
      <c r="D75" s="12" t="s">
        <v>1757</v>
      </c>
      <c r="E75" s="144" t="s">
        <v>4631</v>
      </c>
      <c r="F75" s="12"/>
      <c r="G75" s="67" t="s">
        <v>4349</v>
      </c>
      <c r="H75" s="67"/>
      <c r="I75" s="12"/>
      <c r="J75" s="12"/>
      <c r="K75" s="12"/>
      <c r="L75" s="55"/>
    </row>
    <row r="76" spans="2:12">
      <c r="B76" s="12" t="s">
        <v>1760</v>
      </c>
      <c r="C76" s="12" t="s">
        <v>229</v>
      </c>
      <c r="D76" s="12" t="s">
        <v>1761</v>
      </c>
      <c r="E76" s="144" t="s">
        <v>4631</v>
      </c>
      <c r="F76" s="12"/>
      <c r="G76" s="67" t="s">
        <v>4350</v>
      </c>
      <c r="H76" s="67"/>
      <c r="I76" s="12"/>
      <c r="J76" s="12"/>
      <c r="K76" s="12"/>
      <c r="L76" s="55"/>
    </row>
    <row r="77" spans="2:12">
      <c r="B77" s="12" t="s">
        <v>1764</v>
      </c>
      <c r="C77" s="12" t="s">
        <v>229</v>
      </c>
      <c r="D77" s="12" t="s">
        <v>1765</v>
      </c>
      <c r="E77" s="144" t="s">
        <v>4631</v>
      </c>
      <c r="F77" s="12"/>
      <c r="G77" s="67" t="s">
        <v>4351</v>
      </c>
      <c r="H77" s="67"/>
      <c r="I77" s="12"/>
      <c r="J77" s="12"/>
      <c r="K77" s="12"/>
      <c r="L77" s="55"/>
    </row>
    <row r="78" spans="2:12">
      <c r="B78" s="12" t="s">
        <v>1768</v>
      </c>
      <c r="C78" s="12" t="s">
        <v>229</v>
      </c>
      <c r="D78" s="12" t="s">
        <v>1769</v>
      </c>
      <c r="E78" s="144" t="s">
        <v>4631</v>
      </c>
      <c r="F78" s="12"/>
      <c r="G78" s="67" t="s">
        <v>4352</v>
      </c>
      <c r="H78" s="67"/>
      <c r="I78" s="12"/>
      <c r="J78" s="12"/>
      <c r="K78" s="12"/>
      <c r="L78" s="55"/>
    </row>
    <row r="79" spans="2:12">
      <c r="B79" s="12" t="s">
        <v>1772</v>
      </c>
      <c r="C79" s="12" t="s">
        <v>229</v>
      </c>
      <c r="D79" s="12" t="s">
        <v>1773</v>
      </c>
      <c r="E79" s="144" t="s">
        <v>4631</v>
      </c>
      <c r="F79" s="12"/>
      <c r="G79" s="67" t="s">
        <v>4353</v>
      </c>
      <c r="H79" s="67"/>
      <c r="I79" s="12"/>
      <c r="J79" s="12"/>
      <c r="K79" s="12"/>
      <c r="L79" s="55"/>
    </row>
    <row r="80" spans="2:12">
      <c r="B80" s="12" t="s">
        <v>1651</v>
      </c>
      <c r="C80" s="12" t="s">
        <v>229</v>
      </c>
      <c r="D80" s="12" t="s">
        <v>1652</v>
      </c>
      <c r="E80" s="144" t="s">
        <v>4631</v>
      </c>
      <c r="F80" s="12"/>
      <c r="G80" s="164" t="s">
        <v>4354</v>
      </c>
      <c r="H80" s="67"/>
      <c r="I80" s="12"/>
      <c r="J80" s="12"/>
      <c r="K80" s="12"/>
      <c r="L80" s="55"/>
    </row>
    <row r="81" spans="2:12">
      <c r="B81" s="12" t="s">
        <v>1776</v>
      </c>
      <c r="C81" s="12" t="s">
        <v>229</v>
      </c>
      <c r="D81" s="12" t="s">
        <v>1777</v>
      </c>
      <c r="E81" s="144" t="s">
        <v>4631</v>
      </c>
      <c r="F81" s="12"/>
      <c r="G81" s="67" t="s">
        <v>4355</v>
      </c>
      <c r="H81" s="67"/>
      <c r="I81" s="12"/>
      <c r="J81" s="12"/>
      <c r="K81" s="12"/>
      <c r="L81" s="55"/>
    </row>
    <row r="82" spans="2:12">
      <c r="B82" s="12" t="s">
        <v>1780</v>
      </c>
      <c r="C82" s="12" t="s">
        <v>229</v>
      </c>
      <c r="D82" s="12" t="s">
        <v>1781</v>
      </c>
      <c r="E82" s="144" t="s">
        <v>4631</v>
      </c>
      <c r="F82" s="12"/>
      <c r="G82" s="67" t="s">
        <v>4356</v>
      </c>
      <c r="H82" s="67"/>
      <c r="I82" s="12"/>
      <c r="J82" s="12"/>
      <c r="K82" s="12"/>
      <c r="L82" s="55"/>
    </row>
    <row r="83" spans="2:12">
      <c r="B83" s="12" t="s">
        <v>1784</v>
      </c>
      <c r="C83" s="12" t="s">
        <v>229</v>
      </c>
      <c r="D83" s="12" t="s">
        <v>1785</v>
      </c>
      <c r="E83" s="144" t="s">
        <v>4631</v>
      </c>
      <c r="F83" s="12"/>
      <c r="G83" s="67" t="s">
        <v>4357</v>
      </c>
      <c r="H83" s="67"/>
      <c r="I83" s="12"/>
      <c r="J83" s="12"/>
      <c r="K83" s="12"/>
      <c r="L83" s="55"/>
    </row>
    <row r="84" spans="2:12">
      <c r="B84" s="12" t="s">
        <v>1788</v>
      </c>
      <c r="C84" s="12" t="s">
        <v>229</v>
      </c>
      <c r="D84" s="12" t="s">
        <v>1789</v>
      </c>
      <c r="E84" s="144" t="s">
        <v>4631</v>
      </c>
      <c r="F84" s="12"/>
      <c r="G84" s="67" t="s">
        <v>4358</v>
      </c>
      <c r="H84" s="67"/>
      <c r="I84" s="12"/>
      <c r="J84" s="12"/>
      <c r="K84" s="12"/>
      <c r="L84" s="55"/>
    </row>
    <row r="85" spans="2:12">
      <c r="B85" s="12" t="s">
        <v>1792</v>
      </c>
      <c r="C85" s="12" t="s">
        <v>229</v>
      </c>
      <c r="D85" s="12" t="s">
        <v>1793</v>
      </c>
      <c r="E85" s="144" t="s">
        <v>4631</v>
      </c>
      <c r="F85" s="12"/>
      <c r="G85" s="67" t="s">
        <v>4359</v>
      </c>
      <c r="H85" s="67"/>
      <c r="I85" s="12"/>
      <c r="J85" s="12"/>
      <c r="K85" s="12"/>
      <c r="L85" s="55"/>
    </row>
    <row r="86" spans="2:12">
      <c r="B86" s="12" t="s">
        <v>1655</v>
      </c>
      <c r="C86" s="12" t="s">
        <v>229</v>
      </c>
      <c r="D86" s="12" t="s">
        <v>1656</v>
      </c>
      <c r="E86" s="144" t="s">
        <v>4631</v>
      </c>
      <c r="F86" s="12"/>
      <c r="G86" s="164" t="s">
        <v>4360</v>
      </c>
      <c r="H86" s="67"/>
      <c r="I86" s="12"/>
      <c r="J86" s="12"/>
      <c r="K86" s="12"/>
      <c r="L86" s="55"/>
    </row>
    <row r="87" spans="2:12">
      <c r="B87" s="12" t="s">
        <v>2214</v>
      </c>
      <c r="C87" s="12" t="s">
        <v>229</v>
      </c>
      <c r="D87" s="12" t="s">
        <v>2215</v>
      </c>
      <c r="E87" s="144" t="s">
        <v>4631</v>
      </c>
      <c r="F87" s="12"/>
      <c r="G87" s="67" t="s">
        <v>4676</v>
      </c>
      <c r="H87" s="67"/>
      <c r="I87" s="12"/>
      <c r="J87" s="12"/>
      <c r="K87" s="12"/>
      <c r="L87" s="55"/>
    </row>
    <row r="88" spans="2:12">
      <c r="B88" s="12" t="s">
        <v>2218</v>
      </c>
      <c r="C88" s="12" t="s">
        <v>229</v>
      </c>
      <c r="D88" s="12" t="s">
        <v>2219</v>
      </c>
      <c r="E88" s="144" t="s">
        <v>4631</v>
      </c>
      <c r="F88" s="12"/>
      <c r="G88" s="67" t="s">
        <v>4677</v>
      </c>
      <c r="H88" s="67"/>
      <c r="I88" s="12"/>
      <c r="J88" s="12"/>
      <c r="K88" s="12"/>
      <c r="L88" s="55"/>
    </row>
    <row r="89" spans="2:12">
      <c r="B89" s="12" t="s">
        <v>2222</v>
      </c>
      <c r="C89" s="12" t="s">
        <v>229</v>
      </c>
      <c r="D89" s="12" t="s">
        <v>2223</v>
      </c>
      <c r="E89" s="144" t="s">
        <v>4631</v>
      </c>
      <c r="F89" s="12"/>
      <c r="G89" s="67" t="s">
        <v>4678</v>
      </c>
      <c r="H89" s="67"/>
      <c r="I89" s="12"/>
      <c r="J89" s="12"/>
      <c r="K89" s="12"/>
      <c r="L89" s="55"/>
    </row>
    <row r="90" spans="2:12">
      <c r="B90" s="12" t="s">
        <v>2226</v>
      </c>
      <c r="C90" s="12" t="s">
        <v>229</v>
      </c>
      <c r="D90" s="12" t="s">
        <v>2227</v>
      </c>
      <c r="E90" s="144" t="s">
        <v>4631</v>
      </c>
      <c r="F90" s="12"/>
      <c r="G90" s="67" t="s">
        <v>4679</v>
      </c>
      <c r="H90" s="67"/>
      <c r="I90" s="12"/>
      <c r="J90" s="12"/>
      <c r="K90" s="12"/>
      <c r="L90" s="55"/>
    </row>
    <row r="91" spans="2:12">
      <c r="B91" s="12" t="s">
        <v>2230</v>
      </c>
      <c r="C91" s="12" t="s">
        <v>229</v>
      </c>
      <c r="D91" s="12" t="s">
        <v>2231</v>
      </c>
      <c r="E91" s="144" t="s">
        <v>4631</v>
      </c>
      <c r="F91" s="12"/>
      <c r="G91" s="67" t="s">
        <v>4680</v>
      </c>
      <c r="H91" s="67"/>
      <c r="I91" s="12"/>
      <c r="J91" s="12"/>
      <c r="K91" s="12"/>
      <c r="L91" s="55"/>
    </row>
    <row r="92" spans="2:12">
      <c r="B92" s="12" t="s">
        <v>1659</v>
      </c>
      <c r="C92" s="12" t="s">
        <v>229</v>
      </c>
      <c r="D92" s="12" t="s">
        <v>1660</v>
      </c>
      <c r="E92" s="12" t="s">
        <v>2697</v>
      </c>
      <c r="F92" s="12"/>
      <c r="G92" s="67" t="s">
        <v>4366</v>
      </c>
      <c r="H92" s="67"/>
      <c r="I92" s="12"/>
      <c r="J92" s="12"/>
      <c r="K92" s="12"/>
      <c r="L92" s="55"/>
    </row>
    <row r="93" spans="2:12">
      <c r="B93" s="12" t="s">
        <v>4367</v>
      </c>
      <c r="C93" s="12" t="s">
        <v>229</v>
      </c>
      <c r="D93" s="12" t="s">
        <v>2972</v>
      </c>
      <c r="E93" s="12" t="s">
        <v>2697</v>
      </c>
      <c r="F93" s="12"/>
      <c r="G93" s="67" t="s">
        <v>4368</v>
      </c>
      <c r="H93" s="67"/>
      <c r="I93" s="12"/>
      <c r="J93" s="12"/>
      <c r="K93" s="12"/>
      <c r="L93" s="55"/>
    </row>
    <row r="94" spans="2:12">
      <c r="B94" s="12" t="s">
        <v>4369</v>
      </c>
      <c r="C94" s="12" t="s">
        <v>229</v>
      </c>
      <c r="D94" s="12" t="s">
        <v>2976</v>
      </c>
      <c r="E94" s="12" t="s">
        <v>2697</v>
      </c>
      <c r="F94" s="12"/>
      <c r="G94" s="67" t="s">
        <v>4370</v>
      </c>
      <c r="H94" s="67"/>
      <c r="I94" s="12"/>
      <c r="J94" s="12"/>
      <c r="K94" s="12"/>
      <c r="L94" s="55"/>
    </row>
    <row r="95" spans="2:12">
      <c r="B95" s="12" t="s">
        <v>4371</v>
      </c>
      <c r="C95" s="12" t="s">
        <v>229</v>
      </c>
      <c r="D95" s="12" t="s">
        <v>2980</v>
      </c>
      <c r="E95" s="12" t="s">
        <v>2697</v>
      </c>
      <c r="F95" s="12"/>
      <c r="G95" s="67" t="s">
        <v>4372</v>
      </c>
      <c r="H95" s="67"/>
      <c r="I95" s="12"/>
      <c r="J95" s="12"/>
      <c r="K95" s="12"/>
      <c r="L95" s="55"/>
    </row>
    <row r="96" spans="2:12">
      <c r="B96" s="12" t="s">
        <v>4373</v>
      </c>
      <c r="C96" s="12" t="s">
        <v>229</v>
      </c>
      <c r="D96" s="12" t="s">
        <v>2984</v>
      </c>
      <c r="E96" s="12" t="s">
        <v>2697</v>
      </c>
      <c r="F96" s="12"/>
      <c r="G96" s="67" t="s">
        <v>4374</v>
      </c>
      <c r="H96" s="67"/>
      <c r="I96" s="12"/>
      <c r="J96" s="12"/>
      <c r="K96" s="12"/>
      <c r="L96" s="55"/>
    </row>
    <row r="97" spans="2:12">
      <c r="B97" s="12" t="s">
        <v>4375</v>
      </c>
      <c r="C97" s="12" t="s">
        <v>229</v>
      </c>
      <c r="D97" s="12" t="s">
        <v>2988</v>
      </c>
      <c r="E97" s="12" t="s">
        <v>2697</v>
      </c>
      <c r="F97" s="12"/>
      <c r="G97" s="67" t="s">
        <v>4376</v>
      </c>
      <c r="H97" s="67"/>
      <c r="I97" s="12"/>
      <c r="J97" s="12"/>
      <c r="K97" s="12"/>
      <c r="L97" s="55"/>
    </row>
    <row r="98" spans="2:12">
      <c r="B98" s="12" t="s">
        <v>1663</v>
      </c>
      <c r="C98" s="12" t="s">
        <v>229</v>
      </c>
      <c r="D98" s="12" t="s">
        <v>1664</v>
      </c>
      <c r="E98" s="12" t="s">
        <v>2697</v>
      </c>
      <c r="F98" s="12"/>
      <c r="G98" s="67" t="s">
        <v>4377</v>
      </c>
      <c r="H98" s="67"/>
      <c r="I98" s="12"/>
      <c r="J98" s="12"/>
      <c r="K98" s="12"/>
      <c r="L98" s="55"/>
    </row>
    <row r="99" spans="2:12">
      <c r="B99" s="12" t="s">
        <v>4378</v>
      </c>
      <c r="C99" s="12" t="s">
        <v>229</v>
      </c>
      <c r="D99" s="12" t="s">
        <v>2995</v>
      </c>
      <c r="E99" s="12" t="s">
        <v>2697</v>
      </c>
      <c r="F99" s="12"/>
      <c r="G99" s="67" t="s">
        <v>4379</v>
      </c>
      <c r="H99" s="67"/>
      <c r="I99" s="12"/>
      <c r="J99" s="12"/>
      <c r="K99" s="12"/>
      <c r="L99" s="55"/>
    </row>
    <row r="100" spans="2:12">
      <c r="B100" s="12" t="s">
        <v>4380</v>
      </c>
      <c r="C100" s="12" t="s">
        <v>229</v>
      </c>
      <c r="D100" s="12" t="s">
        <v>2999</v>
      </c>
      <c r="E100" s="12" t="s">
        <v>2697</v>
      </c>
      <c r="F100" s="12"/>
      <c r="G100" s="67" t="s">
        <v>4381</v>
      </c>
      <c r="H100" s="67"/>
      <c r="I100" s="12"/>
      <c r="J100" s="12"/>
      <c r="K100" s="12"/>
      <c r="L100" s="55"/>
    </row>
    <row r="101" spans="2:12">
      <c r="B101" s="12" t="s">
        <v>4382</v>
      </c>
      <c r="C101" s="12" t="s">
        <v>229</v>
      </c>
      <c r="D101" s="12" t="s">
        <v>3003</v>
      </c>
      <c r="E101" s="12" t="s">
        <v>2697</v>
      </c>
      <c r="F101" s="12"/>
      <c r="G101" s="67" t="s">
        <v>4383</v>
      </c>
      <c r="H101" s="67"/>
      <c r="I101" s="12"/>
      <c r="J101" s="12"/>
      <c r="K101" s="12"/>
      <c r="L101" s="55"/>
    </row>
    <row r="102" spans="2:12">
      <c r="B102" s="12" t="s">
        <v>4384</v>
      </c>
      <c r="C102" s="12" t="s">
        <v>229</v>
      </c>
      <c r="D102" s="12" t="s">
        <v>3007</v>
      </c>
      <c r="E102" s="12" t="s">
        <v>2697</v>
      </c>
      <c r="F102" s="12"/>
      <c r="G102" s="67" t="s">
        <v>4385</v>
      </c>
      <c r="H102" s="67"/>
      <c r="I102" s="12"/>
      <c r="J102" s="12"/>
      <c r="K102" s="12"/>
      <c r="L102" s="55"/>
    </row>
    <row r="103" spans="2:12">
      <c r="B103" s="12" t="s">
        <v>4386</v>
      </c>
      <c r="C103" s="12" t="s">
        <v>229</v>
      </c>
      <c r="D103" s="12" t="s">
        <v>3010</v>
      </c>
      <c r="E103" s="12" t="s">
        <v>2697</v>
      </c>
      <c r="F103" s="12"/>
      <c r="G103" s="67" t="s">
        <v>4387</v>
      </c>
      <c r="H103" s="67"/>
      <c r="I103" s="12"/>
      <c r="J103" s="12"/>
      <c r="K103" s="12"/>
      <c r="L103" s="55"/>
    </row>
    <row r="104" spans="2:12">
      <c r="B104" s="12" t="s">
        <v>1671</v>
      </c>
      <c r="C104" s="12" t="s">
        <v>229</v>
      </c>
      <c r="D104" s="12" t="s">
        <v>1672</v>
      </c>
      <c r="E104" s="12" t="s">
        <v>2697</v>
      </c>
      <c r="F104" s="12"/>
      <c r="G104" s="67" t="s">
        <v>4388</v>
      </c>
      <c r="H104" s="67"/>
      <c r="I104" s="12"/>
      <c r="J104" s="12"/>
      <c r="K104" s="12"/>
      <c r="L104" s="55"/>
    </row>
    <row r="105" spans="2:12">
      <c r="B105" s="12" t="s">
        <v>3018</v>
      </c>
      <c r="C105" s="12" t="s">
        <v>229</v>
      </c>
      <c r="D105" s="12" t="s">
        <v>3019</v>
      </c>
      <c r="E105" s="12" t="s">
        <v>2697</v>
      </c>
      <c r="F105" s="12"/>
      <c r="G105" s="67" t="s">
        <v>4389</v>
      </c>
      <c r="H105" s="67"/>
      <c r="I105" s="12"/>
      <c r="J105" s="12"/>
      <c r="K105" s="12"/>
      <c r="L105" s="55"/>
    </row>
    <row r="106" spans="2:12">
      <c r="B106" s="12" t="s">
        <v>3022</v>
      </c>
      <c r="C106" s="12" t="s">
        <v>229</v>
      </c>
      <c r="D106" s="12" t="s">
        <v>3023</v>
      </c>
      <c r="E106" s="12" t="s">
        <v>2697</v>
      </c>
      <c r="F106" s="12"/>
      <c r="G106" s="67" t="s">
        <v>4390</v>
      </c>
      <c r="H106" s="67"/>
      <c r="I106" s="12"/>
      <c r="J106" s="12"/>
      <c r="K106" s="12"/>
      <c r="L106" s="55"/>
    </row>
    <row r="107" spans="2:12">
      <c r="B107" s="12" t="s">
        <v>3025</v>
      </c>
      <c r="C107" s="12" t="s">
        <v>229</v>
      </c>
      <c r="D107" s="12" t="s">
        <v>3026</v>
      </c>
      <c r="E107" s="12" t="s">
        <v>2697</v>
      </c>
      <c r="F107" s="12"/>
      <c r="G107" s="67" t="s">
        <v>4391</v>
      </c>
      <c r="H107" s="67"/>
      <c r="I107" s="12"/>
      <c r="J107" s="12"/>
      <c r="K107" s="12"/>
      <c r="L107" s="55"/>
    </row>
    <row r="108" spans="2:12">
      <c r="B108" s="12" t="s">
        <v>3028</v>
      </c>
      <c r="C108" s="12" t="s">
        <v>229</v>
      </c>
      <c r="D108" s="12" t="s">
        <v>3029</v>
      </c>
      <c r="E108" s="12" t="s">
        <v>2697</v>
      </c>
      <c r="F108" s="12"/>
      <c r="G108" s="67" t="s">
        <v>4392</v>
      </c>
      <c r="H108" s="67"/>
      <c r="I108" s="12"/>
      <c r="J108" s="12"/>
      <c r="K108" s="12"/>
      <c r="L108" s="55"/>
    </row>
    <row r="109" spans="2:12">
      <c r="B109" s="12" t="s">
        <v>3031</v>
      </c>
      <c r="C109" s="12" t="s">
        <v>229</v>
      </c>
      <c r="D109" s="12" t="s">
        <v>3032</v>
      </c>
      <c r="E109" s="12" t="s">
        <v>2697</v>
      </c>
      <c r="F109" s="12"/>
      <c r="G109" s="67" t="s">
        <v>4393</v>
      </c>
      <c r="H109" s="67"/>
      <c r="I109" s="12"/>
      <c r="J109" s="12"/>
      <c r="K109" s="12"/>
      <c r="L109" s="55"/>
    </row>
    <row r="110" spans="2:12">
      <c r="B110" s="12" t="s">
        <v>1675</v>
      </c>
      <c r="C110" s="12" t="s">
        <v>229</v>
      </c>
      <c r="D110" s="12" t="s">
        <v>1676</v>
      </c>
      <c r="E110" s="12" t="s">
        <v>2697</v>
      </c>
      <c r="F110" s="12"/>
      <c r="G110" s="67" t="s">
        <v>4394</v>
      </c>
      <c r="H110" s="67"/>
      <c r="I110" s="12"/>
      <c r="J110" s="12"/>
      <c r="K110" s="12"/>
      <c r="L110" s="55"/>
    </row>
    <row r="111" spans="2:12">
      <c r="B111" s="12" t="s">
        <v>4395</v>
      </c>
      <c r="C111" s="12" t="s">
        <v>229</v>
      </c>
      <c r="D111" s="12" t="s">
        <v>3041</v>
      </c>
      <c r="E111" s="12" t="s">
        <v>2697</v>
      </c>
      <c r="F111" s="12"/>
      <c r="G111" s="67" t="s">
        <v>4396</v>
      </c>
      <c r="H111" s="67"/>
      <c r="I111" s="12"/>
      <c r="J111" s="12"/>
      <c r="K111" s="12"/>
      <c r="L111" s="55"/>
    </row>
    <row r="112" spans="2:12">
      <c r="B112" s="12" t="s">
        <v>4397</v>
      </c>
      <c r="C112" s="12" t="s">
        <v>229</v>
      </c>
      <c r="D112" s="12" t="s">
        <v>3045</v>
      </c>
      <c r="E112" s="12" t="s">
        <v>2697</v>
      </c>
      <c r="F112" s="12"/>
      <c r="G112" s="67" t="s">
        <v>4398</v>
      </c>
      <c r="H112" s="67"/>
      <c r="I112" s="12"/>
      <c r="J112" s="12"/>
      <c r="K112" s="12"/>
      <c r="L112" s="55"/>
    </row>
    <row r="113" spans="2:12">
      <c r="B113" s="12" t="s">
        <v>4399</v>
      </c>
      <c r="C113" s="12" t="s">
        <v>229</v>
      </c>
      <c r="D113" s="12" t="s">
        <v>3049</v>
      </c>
      <c r="E113" s="12" t="s">
        <v>2697</v>
      </c>
      <c r="F113" s="12"/>
      <c r="G113" s="67" t="s">
        <v>4400</v>
      </c>
      <c r="H113" s="67"/>
      <c r="I113" s="12"/>
      <c r="J113" s="12"/>
      <c r="K113" s="12"/>
      <c r="L113" s="55"/>
    </row>
    <row r="114" spans="2:12">
      <c r="B114" s="12" t="s">
        <v>4401</v>
      </c>
      <c r="C114" s="12" t="s">
        <v>229</v>
      </c>
      <c r="D114" s="12" t="s">
        <v>3053</v>
      </c>
      <c r="E114" s="12" t="s">
        <v>2697</v>
      </c>
      <c r="F114" s="12"/>
      <c r="G114" s="67" t="s">
        <v>4402</v>
      </c>
      <c r="H114" s="67"/>
      <c r="I114" s="12"/>
      <c r="J114" s="12"/>
      <c r="K114" s="12"/>
      <c r="L114" s="55"/>
    </row>
    <row r="115" spans="2:12">
      <c r="B115" s="12" t="s">
        <v>4403</v>
      </c>
      <c r="C115" s="12" t="s">
        <v>229</v>
      </c>
      <c r="D115" s="12" t="s">
        <v>3057</v>
      </c>
      <c r="E115" s="12" t="s">
        <v>2697</v>
      </c>
      <c r="F115" s="12"/>
      <c r="G115" s="67" t="s">
        <v>4404</v>
      </c>
      <c r="H115" s="67"/>
      <c r="I115" s="12"/>
      <c r="J115" s="12"/>
      <c r="K115" s="12"/>
      <c r="L115" s="55"/>
    </row>
    <row r="116" spans="2:12">
      <c r="B116" s="12" t="s">
        <v>1679</v>
      </c>
      <c r="C116" s="12" t="s">
        <v>229</v>
      </c>
      <c r="D116" s="12" t="s">
        <v>1680</v>
      </c>
      <c r="E116" s="12" t="s">
        <v>2697</v>
      </c>
      <c r="F116" s="12"/>
      <c r="G116" s="67" t="s">
        <v>4405</v>
      </c>
      <c r="H116" s="67"/>
      <c r="I116" s="12"/>
      <c r="J116" s="12"/>
      <c r="K116" s="12"/>
      <c r="L116" s="55"/>
    </row>
    <row r="117" spans="2:12">
      <c r="B117" s="12" t="s">
        <v>3064</v>
      </c>
      <c r="C117" s="12" t="s">
        <v>229</v>
      </c>
      <c r="D117" s="12" t="s">
        <v>3065</v>
      </c>
      <c r="E117" s="12" t="s">
        <v>2697</v>
      </c>
      <c r="F117" s="12"/>
      <c r="G117" s="67" t="s">
        <v>4406</v>
      </c>
      <c r="H117" s="67"/>
      <c r="I117" s="12"/>
      <c r="J117" s="12"/>
      <c r="K117" s="12"/>
      <c r="L117" s="55"/>
    </row>
    <row r="118" spans="2:12">
      <c r="B118" s="12" t="s">
        <v>3068</v>
      </c>
      <c r="C118" s="12" t="s">
        <v>229</v>
      </c>
      <c r="D118" s="12" t="s">
        <v>3069</v>
      </c>
      <c r="E118" s="12" t="s">
        <v>2697</v>
      </c>
      <c r="F118" s="12"/>
      <c r="G118" s="67" t="s">
        <v>4407</v>
      </c>
      <c r="H118" s="67"/>
      <c r="I118" s="12"/>
      <c r="J118" s="12"/>
      <c r="K118" s="12"/>
      <c r="L118" s="55"/>
    </row>
    <row r="119" spans="2:12">
      <c r="B119" s="12" t="s">
        <v>3072</v>
      </c>
      <c r="C119" s="12" t="s">
        <v>229</v>
      </c>
      <c r="D119" s="12" t="s">
        <v>3073</v>
      </c>
      <c r="E119" s="12" t="s">
        <v>2697</v>
      </c>
      <c r="F119" s="12"/>
      <c r="G119" s="67" t="s">
        <v>4408</v>
      </c>
      <c r="H119" s="67"/>
      <c r="I119" s="12"/>
      <c r="J119" s="12"/>
      <c r="K119" s="12"/>
      <c r="L119" s="55"/>
    </row>
    <row r="120" spans="2:12">
      <c r="B120" s="12" t="s">
        <v>3076</v>
      </c>
      <c r="C120" s="12" t="s">
        <v>229</v>
      </c>
      <c r="D120" s="12" t="s">
        <v>3077</v>
      </c>
      <c r="E120" s="12" t="s">
        <v>2697</v>
      </c>
      <c r="F120" s="12"/>
      <c r="G120" s="67" t="s">
        <v>4409</v>
      </c>
      <c r="H120" s="67"/>
      <c r="I120" s="12"/>
      <c r="J120" s="12"/>
      <c r="K120" s="12"/>
      <c r="L120" s="55"/>
    </row>
    <row r="121" spans="2:12">
      <c r="B121" s="12" t="s">
        <v>3080</v>
      </c>
      <c r="C121" s="12" t="s">
        <v>229</v>
      </c>
      <c r="D121" s="12" t="s">
        <v>3081</v>
      </c>
      <c r="E121" s="12" t="s">
        <v>2697</v>
      </c>
      <c r="F121" s="12"/>
      <c r="G121" s="67" t="s">
        <v>4410</v>
      </c>
      <c r="H121" s="67"/>
      <c r="I121" s="12"/>
      <c r="J121" s="12"/>
      <c r="K121" s="12"/>
      <c r="L121" s="55"/>
    </row>
    <row r="122" spans="2:12">
      <c r="B122" s="12" t="s">
        <v>1683</v>
      </c>
      <c r="C122" s="12" t="s">
        <v>229</v>
      </c>
      <c r="D122" s="12" t="s">
        <v>1684</v>
      </c>
      <c r="E122" s="12" t="s">
        <v>2697</v>
      </c>
      <c r="F122" s="12"/>
      <c r="G122" s="67" t="s">
        <v>4411</v>
      </c>
      <c r="H122" s="67"/>
      <c r="I122" s="12"/>
      <c r="J122" s="12"/>
      <c r="K122" s="12"/>
      <c r="L122" s="55"/>
    </row>
    <row r="123" spans="2:12">
      <c r="B123" s="12" t="s">
        <v>3089</v>
      </c>
      <c r="C123" s="12" t="s">
        <v>229</v>
      </c>
      <c r="D123" s="12" t="s">
        <v>3090</v>
      </c>
      <c r="E123" s="12" t="s">
        <v>2697</v>
      </c>
      <c r="F123" s="12"/>
      <c r="G123" s="67" t="s">
        <v>4412</v>
      </c>
      <c r="H123" s="67"/>
      <c r="I123" s="12"/>
      <c r="J123" s="12"/>
      <c r="K123" s="12"/>
      <c r="L123" s="55"/>
    </row>
    <row r="124" spans="2:12">
      <c r="B124" s="12" t="s">
        <v>3093</v>
      </c>
      <c r="C124" s="12" t="s">
        <v>229</v>
      </c>
      <c r="D124" s="12" t="s">
        <v>3094</v>
      </c>
      <c r="E124" s="12" t="s">
        <v>2697</v>
      </c>
      <c r="F124" s="12"/>
      <c r="G124" s="67" t="s">
        <v>4413</v>
      </c>
      <c r="H124" s="67"/>
      <c r="I124" s="12"/>
      <c r="J124" s="12"/>
      <c r="K124" s="12"/>
      <c r="L124" s="55"/>
    </row>
    <row r="125" spans="2:12">
      <c r="B125" s="12" t="s">
        <v>3097</v>
      </c>
      <c r="C125" s="12" t="s">
        <v>229</v>
      </c>
      <c r="D125" s="12" t="s">
        <v>3098</v>
      </c>
      <c r="E125" s="12" t="s">
        <v>2697</v>
      </c>
      <c r="F125" s="12"/>
      <c r="G125" s="67" t="s">
        <v>4414</v>
      </c>
      <c r="H125" s="67"/>
      <c r="I125" s="12"/>
      <c r="J125" s="12"/>
      <c r="K125" s="12"/>
      <c r="L125" s="55"/>
    </row>
    <row r="126" spans="2:12">
      <c r="B126" s="12" t="s">
        <v>3101</v>
      </c>
      <c r="C126" s="12" t="s">
        <v>229</v>
      </c>
      <c r="D126" s="12" t="s">
        <v>3102</v>
      </c>
      <c r="E126" s="12" t="s">
        <v>2697</v>
      </c>
      <c r="F126" s="12"/>
      <c r="G126" s="67" t="s">
        <v>4415</v>
      </c>
      <c r="H126" s="67"/>
      <c r="I126" s="12"/>
      <c r="J126" s="12"/>
      <c r="K126" s="12"/>
      <c r="L126" s="55"/>
    </row>
    <row r="127" spans="2:12">
      <c r="B127" s="12" t="s">
        <v>3105</v>
      </c>
      <c r="C127" s="12" t="s">
        <v>229</v>
      </c>
      <c r="D127" s="12" t="s">
        <v>3106</v>
      </c>
      <c r="E127" s="12" t="s">
        <v>2697</v>
      </c>
      <c r="F127" s="12"/>
      <c r="G127" s="67" t="s">
        <v>4416</v>
      </c>
      <c r="H127" s="67"/>
      <c r="I127" s="12"/>
      <c r="J127" s="12"/>
      <c r="K127" s="12"/>
      <c r="L127" s="55"/>
    </row>
    <row r="128" spans="2:12">
      <c r="B128" s="12" t="s">
        <v>1687</v>
      </c>
      <c r="C128" s="12" t="s">
        <v>229</v>
      </c>
      <c r="D128" s="12" t="s">
        <v>1688</v>
      </c>
      <c r="E128" s="12" t="s">
        <v>2697</v>
      </c>
      <c r="F128" s="12"/>
      <c r="G128" s="67" t="s">
        <v>4417</v>
      </c>
      <c r="H128" s="67"/>
      <c r="I128" s="12"/>
      <c r="J128" s="12"/>
      <c r="K128" s="12"/>
      <c r="L128" s="55"/>
    </row>
    <row r="129" spans="2:12">
      <c r="B129" s="12" t="s">
        <v>3117</v>
      </c>
      <c r="C129" s="12" t="s">
        <v>229</v>
      </c>
      <c r="D129" s="12" t="s">
        <v>3118</v>
      </c>
      <c r="E129" s="12" t="s">
        <v>2697</v>
      </c>
      <c r="F129" s="12"/>
      <c r="G129" s="67" t="s">
        <v>4418</v>
      </c>
      <c r="H129" s="67"/>
      <c r="I129" s="12"/>
      <c r="J129" s="12"/>
      <c r="K129" s="12"/>
      <c r="L129" s="55"/>
    </row>
    <row r="130" spans="2:12">
      <c r="B130" s="12" t="s">
        <v>3121</v>
      </c>
      <c r="C130" s="12" t="s">
        <v>229</v>
      </c>
      <c r="D130" s="12" t="s">
        <v>3122</v>
      </c>
      <c r="E130" s="12" t="s">
        <v>2697</v>
      </c>
      <c r="F130" s="12"/>
      <c r="G130" s="67" t="s">
        <v>4419</v>
      </c>
      <c r="H130" s="67"/>
      <c r="I130" s="12"/>
      <c r="J130" s="12"/>
      <c r="K130" s="12"/>
      <c r="L130" s="55"/>
    </row>
    <row r="131" spans="2:12">
      <c r="B131" s="12" t="s">
        <v>3125</v>
      </c>
      <c r="C131" s="12" t="s">
        <v>229</v>
      </c>
      <c r="D131" s="12" t="s">
        <v>3126</v>
      </c>
      <c r="E131" s="12" t="s">
        <v>2697</v>
      </c>
      <c r="F131" s="12"/>
      <c r="G131" s="67" t="s">
        <v>4420</v>
      </c>
      <c r="H131" s="67"/>
      <c r="I131" s="12"/>
      <c r="J131" s="12"/>
      <c r="K131" s="12"/>
      <c r="L131" s="55"/>
    </row>
    <row r="132" spans="2:12">
      <c r="B132" s="12" t="s">
        <v>3129</v>
      </c>
      <c r="C132" s="12" t="s">
        <v>229</v>
      </c>
      <c r="D132" s="12" t="s">
        <v>3130</v>
      </c>
      <c r="E132" s="12" t="s">
        <v>2697</v>
      </c>
      <c r="F132" s="12"/>
      <c r="G132" s="67" t="s">
        <v>4421</v>
      </c>
      <c r="H132" s="67"/>
      <c r="I132" s="12"/>
      <c r="J132" s="12"/>
      <c r="K132" s="12"/>
      <c r="L132" s="55"/>
    </row>
    <row r="133" spans="2:12">
      <c r="B133" s="12" t="s">
        <v>3133</v>
      </c>
      <c r="C133" s="12" t="s">
        <v>229</v>
      </c>
      <c r="D133" s="12" t="s">
        <v>3134</v>
      </c>
      <c r="E133" s="12" t="s">
        <v>2697</v>
      </c>
      <c r="F133" s="12"/>
      <c r="G133" s="67" t="s">
        <v>4422</v>
      </c>
      <c r="H133" s="67"/>
      <c r="I133" s="12"/>
      <c r="J133" s="12"/>
      <c r="K133" s="12"/>
      <c r="L133" s="55"/>
    </row>
    <row r="134" spans="2:12">
      <c r="B134" s="12" t="s">
        <v>1691</v>
      </c>
      <c r="C134" s="12" t="s">
        <v>229</v>
      </c>
      <c r="D134" s="12" t="s">
        <v>1692</v>
      </c>
      <c r="E134" s="12" t="s">
        <v>2697</v>
      </c>
      <c r="F134" s="12"/>
      <c r="G134" s="67" t="s">
        <v>4681</v>
      </c>
      <c r="H134" s="67"/>
      <c r="I134" s="12"/>
      <c r="J134" s="12"/>
      <c r="K134" s="12"/>
      <c r="L134" s="55"/>
    </row>
    <row r="135" spans="2:12">
      <c r="B135" s="12" t="s">
        <v>3142</v>
      </c>
      <c r="C135" s="12" t="s">
        <v>229</v>
      </c>
      <c r="D135" s="12" t="s">
        <v>3143</v>
      </c>
      <c r="E135" s="12" t="s">
        <v>2697</v>
      </c>
      <c r="F135" s="12"/>
      <c r="G135" s="67" t="s">
        <v>4424</v>
      </c>
      <c r="H135" s="67"/>
      <c r="I135" s="12"/>
      <c r="J135" s="12"/>
      <c r="K135" s="12"/>
      <c r="L135" s="55"/>
    </row>
    <row r="136" spans="2:12">
      <c r="B136" s="12" t="s">
        <v>3146</v>
      </c>
      <c r="C136" s="12" t="s">
        <v>229</v>
      </c>
      <c r="D136" s="12" t="s">
        <v>3147</v>
      </c>
      <c r="E136" s="12" t="s">
        <v>2697</v>
      </c>
      <c r="F136" s="12"/>
      <c r="G136" s="67" t="s">
        <v>4425</v>
      </c>
      <c r="H136" s="67"/>
      <c r="I136" s="12"/>
      <c r="J136" s="12"/>
      <c r="K136" s="12"/>
      <c r="L136" s="55"/>
    </row>
    <row r="137" spans="2:12">
      <c r="B137" s="12" t="s">
        <v>3150</v>
      </c>
      <c r="C137" s="12" t="s">
        <v>229</v>
      </c>
      <c r="D137" s="12" t="s">
        <v>3151</v>
      </c>
      <c r="E137" s="12" t="s">
        <v>2697</v>
      </c>
      <c r="F137" s="12"/>
      <c r="G137" s="67" t="s">
        <v>4426</v>
      </c>
      <c r="H137" s="67"/>
      <c r="I137" s="12"/>
      <c r="J137" s="12"/>
      <c r="K137" s="12"/>
      <c r="L137" s="55"/>
    </row>
    <row r="138" spans="2:12">
      <c r="B138" s="12" t="s">
        <v>3154</v>
      </c>
      <c r="C138" s="12" t="s">
        <v>229</v>
      </c>
      <c r="D138" s="12" t="s">
        <v>3155</v>
      </c>
      <c r="E138" s="12" t="s">
        <v>2697</v>
      </c>
      <c r="F138" s="12"/>
      <c r="G138" s="67" t="s">
        <v>4427</v>
      </c>
      <c r="H138" s="67"/>
      <c r="I138" s="12"/>
      <c r="J138" s="12"/>
      <c r="K138" s="12"/>
      <c r="L138" s="55"/>
    </row>
    <row r="139" spans="2:12">
      <c r="B139" s="12" t="s">
        <v>3158</v>
      </c>
      <c r="C139" s="12" t="s">
        <v>229</v>
      </c>
      <c r="D139" s="12" t="s">
        <v>3159</v>
      </c>
      <c r="E139" s="12" t="s">
        <v>2697</v>
      </c>
      <c r="F139" s="12"/>
      <c r="G139" s="67" t="s">
        <v>4428</v>
      </c>
      <c r="H139" s="67"/>
      <c r="I139" s="12"/>
      <c r="J139" s="12"/>
      <c r="K139" s="12"/>
      <c r="L139" s="55"/>
    </row>
    <row r="140" spans="2:12">
      <c r="B140" s="12" t="s">
        <v>1695</v>
      </c>
      <c r="C140" s="12" t="s">
        <v>229</v>
      </c>
      <c r="D140" s="12" t="s">
        <v>1696</v>
      </c>
      <c r="E140" s="12" t="s">
        <v>2697</v>
      </c>
      <c r="F140" s="12"/>
      <c r="G140" s="67" t="s">
        <v>4429</v>
      </c>
      <c r="H140" s="67"/>
      <c r="I140" s="12"/>
      <c r="J140" s="12"/>
      <c r="K140" s="12"/>
      <c r="L140" s="55"/>
    </row>
    <row r="141" spans="2:12">
      <c r="B141" s="12" t="s">
        <v>3166</v>
      </c>
      <c r="C141" s="12" t="s">
        <v>229</v>
      </c>
      <c r="D141" s="12" t="s">
        <v>3167</v>
      </c>
      <c r="E141" s="12" t="s">
        <v>2697</v>
      </c>
      <c r="F141" s="12"/>
      <c r="G141" s="67" t="s">
        <v>4430</v>
      </c>
      <c r="H141" s="67"/>
      <c r="I141" s="12"/>
      <c r="J141" s="12"/>
      <c r="K141" s="12"/>
      <c r="L141" s="55"/>
    </row>
    <row r="142" spans="2:12">
      <c r="B142" s="12" t="s">
        <v>3170</v>
      </c>
      <c r="C142" s="12" t="s">
        <v>229</v>
      </c>
      <c r="D142" s="12" t="s">
        <v>3171</v>
      </c>
      <c r="E142" s="12" t="s">
        <v>2697</v>
      </c>
      <c r="F142" s="12"/>
      <c r="G142" s="67" t="s">
        <v>4431</v>
      </c>
      <c r="H142" s="67"/>
      <c r="I142" s="12"/>
      <c r="J142" s="12"/>
      <c r="K142" s="12"/>
      <c r="L142" s="55"/>
    </row>
    <row r="143" spans="2:12">
      <c r="B143" s="12" t="s">
        <v>3174</v>
      </c>
      <c r="C143" s="12" t="s">
        <v>229</v>
      </c>
      <c r="D143" s="12" t="s">
        <v>3175</v>
      </c>
      <c r="E143" s="12" t="s">
        <v>2697</v>
      </c>
      <c r="F143" s="12"/>
      <c r="G143" s="67" t="s">
        <v>4432</v>
      </c>
      <c r="H143" s="67"/>
      <c r="I143" s="12"/>
      <c r="J143" s="12"/>
      <c r="K143" s="12"/>
      <c r="L143" s="55"/>
    </row>
    <row r="144" spans="2:12">
      <c r="B144" s="12" t="s">
        <v>3178</v>
      </c>
      <c r="C144" s="12" t="s">
        <v>229</v>
      </c>
      <c r="D144" s="12" t="s">
        <v>3179</v>
      </c>
      <c r="E144" s="12" t="s">
        <v>2697</v>
      </c>
      <c r="F144" s="12"/>
      <c r="G144" s="67" t="s">
        <v>4433</v>
      </c>
      <c r="H144" s="67"/>
      <c r="I144" s="12"/>
      <c r="J144" s="12"/>
      <c r="K144" s="12"/>
      <c r="L144" s="55"/>
    </row>
    <row r="145" spans="2:12">
      <c r="B145" s="12" t="s">
        <v>3182</v>
      </c>
      <c r="C145" s="12" t="s">
        <v>229</v>
      </c>
      <c r="D145" s="12" t="s">
        <v>3183</v>
      </c>
      <c r="E145" s="12" t="s">
        <v>2697</v>
      </c>
      <c r="F145" s="12"/>
      <c r="G145" s="67" t="s">
        <v>4434</v>
      </c>
      <c r="H145" s="67"/>
      <c r="I145" s="12"/>
      <c r="J145" s="12"/>
      <c r="K145" s="12"/>
      <c r="L145" s="55"/>
    </row>
    <row r="146" spans="2:12">
      <c r="B146" s="12" t="s">
        <v>1698</v>
      </c>
      <c r="C146" s="12" t="s">
        <v>229</v>
      </c>
      <c r="D146" s="12" t="s">
        <v>1699</v>
      </c>
      <c r="E146" s="12" t="s">
        <v>2697</v>
      </c>
      <c r="F146" s="12"/>
      <c r="G146" s="67" t="s">
        <v>4435</v>
      </c>
      <c r="H146" s="67"/>
      <c r="I146" s="12"/>
      <c r="J146" s="12"/>
      <c r="K146" s="12"/>
      <c r="L146" s="55"/>
    </row>
    <row r="147" spans="2:12">
      <c r="B147" s="12" t="s">
        <v>3191</v>
      </c>
      <c r="C147" s="12" t="s">
        <v>229</v>
      </c>
      <c r="D147" s="12" t="s">
        <v>3192</v>
      </c>
      <c r="E147" s="12" t="s">
        <v>2697</v>
      </c>
      <c r="F147" s="12"/>
      <c r="G147" s="67" t="s">
        <v>4682</v>
      </c>
      <c r="H147" s="67"/>
      <c r="I147" s="12"/>
      <c r="J147" s="12"/>
      <c r="K147" s="12"/>
      <c r="L147" s="55"/>
    </row>
    <row r="148" spans="2:12">
      <c r="B148" s="12" t="s">
        <v>3194</v>
      </c>
      <c r="C148" s="12" t="s">
        <v>229</v>
      </c>
      <c r="D148" s="12" t="s">
        <v>3195</v>
      </c>
      <c r="E148" s="12" t="s">
        <v>2697</v>
      </c>
      <c r="F148" s="12"/>
      <c r="G148" s="67" t="s">
        <v>4683</v>
      </c>
      <c r="H148" s="67"/>
      <c r="I148" s="12"/>
      <c r="J148" s="12"/>
      <c r="K148" s="12"/>
      <c r="L148" s="55"/>
    </row>
    <row r="149" spans="2:12">
      <c r="B149" s="12" t="s">
        <v>3197</v>
      </c>
      <c r="C149" s="12" t="s">
        <v>229</v>
      </c>
      <c r="D149" s="12" t="s">
        <v>3198</v>
      </c>
      <c r="E149" s="12" t="s">
        <v>2697</v>
      </c>
      <c r="F149" s="12"/>
      <c r="G149" s="67" t="s">
        <v>4684</v>
      </c>
      <c r="H149" s="67"/>
      <c r="I149" s="12"/>
      <c r="J149" s="12"/>
      <c r="K149" s="12"/>
      <c r="L149" s="55"/>
    </row>
    <row r="150" spans="2:12">
      <c r="B150" s="12" t="s">
        <v>3200</v>
      </c>
      <c r="C150" s="12" t="s">
        <v>229</v>
      </c>
      <c r="D150" s="12" t="s">
        <v>3201</v>
      </c>
      <c r="E150" s="12" t="s">
        <v>2697</v>
      </c>
      <c r="F150" s="12"/>
      <c r="G150" s="67" t="s">
        <v>4685</v>
      </c>
      <c r="H150" s="67"/>
      <c r="I150" s="12"/>
      <c r="J150" s="12"/>
      <c r="K150" s="12"/>
      <c r="L150" s="55"/>
    </row>
    <row r="151" spans="2:12">
      <c r="B151" s="12" t="s">
        <v>3203</v>
      </c>
      <c r="C151" s="12" t="s">
        <v>229</v>
      </c>
      <c r="D151" s="12" t="s">
        <v>3204</v>
      </c>
      <c r="E151" s="12" t="s">
        <v>2697</v>
      </c>
      <c r="F151" s="12"/>
      <c r="G151" s="67" t="s">
        <v>4686</v>
      </c>
      <c r="H151" s="67"/>
      <c r="I151" s="12"/>
      <c r="J151" s="12"/>
      <c r="K151" s="12"/>
      <c r="L151" s="55"/>
    </row>
    <row r="152" spans="2:12">
      <c r="B152" s="12" t="s">
        <v>1701</v>
      </c>
      <c r="C152" s="12" t="s">
        <v>229</v>
      </c>
      <c r="D152" s="12" t="s">
        <v>1702</v>
      </c>
      <c r="E152" s="12" t="s">
        <v>2697</v>
      </c>
      <c r="F152" s="12"/>
      <c r="G152" s="67" t="s">
        <v>4687</v>
      </c>
      <c r="H152" s="67"/>
      <c r="I152" s="12"/>
      <c r="J152" s="12"/>
      <c r="K152" s="12"/>
      <c r="L152" s="55"/>
    </row>
    <row r="153" spans="2:12">
      <c r="B153" s="12" t="s">
        <v>3211</v>
      </c>
      <c r="C153" s="12" t="s">
        <v>229</v>
      </c>
      <c r="D153" s="12" t="s">
        <v>3212</v>
      </c>
      <c r="E153" s="12" t="s">
        <v>2697</v>
      </c>
      <c r="F153" s="12"/>
      <c r="G153" s="67" t="s">
        <v>4442</v>
      </c>
      <c r="H153" s="67"/>
      <c r="I153" s="12"/>
      <c r="J153" s="12"/>
      <c r="K153" s="12"/>
      <c r="L153" s="55"/>
    </row>
    <row r="154" spans="2:12">
      <c r="B154" s="12" t="s">
        <v>3215</v>
      </c>
      <c r="C154" s="12" t="s">
        <v>229</v>
      </c>
      <c r="D154" s="12" t="s">
        <v>3216</v>
      </c>
      <c r="E154" s="12" t="s">
        <v>2697</v>
      </c>
      <c r="F154" s="12"/>
      <c r="G154" s="67" t="s">
        <v>4443</v>
      </c>
      <c r="H154" s="67"/>
      <c r="I154" s="12"/>
      <c r="J154" s="12"/>
      <c r="K154" s="12"/>
      <c r="L154" s="55"/>
    </row>
    <row r="155" spans="2:12">
      <c r="B155" s="12" t="s">
        <v>3219</v>
      </c>
      <c r="C155" s="12" t="s">
        <v>229</v>
      </c>
      <c r="D155" s="12" t="s">
        <v>3220</v>
      </c>
      <c r="E155" s="12" t="s">
        <v>2697</v>
      </c>
      <c r="F155" s="12"/>
      <c r="G155" s="67" t="s">
        <v>4444</v>
      </c>
      <c r="H155" s="67"/>
      <c r="I155" s="12"/>
      <c r="J155" s="12"/>
      <c r="K155" s="12"/>
      <c r="L155" s="55"/>
    </row>
    <row r="156" spans="2:12">
      <c r="B156" s="12" t="s">
        <v>3222</v>
      </c>
      <c r="C156" s="12" t="s">
        <v>229</v>
      </c>
      <c r="D156" s="12" t="s">
        <v>3223</v>
      </c>
      <c r="E156" s="12" t="s">
        <v>2697</v>
      </c>
      <c r="F156" s="12"/>
      <c r="G156" s="67" t="s">
        <v>4445</v>
      </c>
      <c r="H156" s="67"/>
      <c r="I156" s="12"/>
      <c r="J156" s="12"/>
      <c r="K156" s="12"/>
      <c r="L156" s="55"/>
    </row>
    <row r="157" spans="2:12">
      <c r="B157" s="12" t="s">
        <v>3225</v>
      </c>
      <c r="C157" s="12" t="s">
        <v>229</v>
      </c>
      <c r="D157" s="12" t="s">
        <v>3226</v>
      </c>
      <c r="E157" s="12" t="s">
        <v>2697</v>
      </c>
      <c r="F157" s="12"/>
      <c r="G157" s="67" t="s">
        <v>4446</v>
      </c>
      <c r="H157" s="67"/>
      <c r="I157" s="12"/>
      <c r="J157" s="12"/>
      <c r="K157" s="12"/>
      <c r="L157" s="55"/>
    </row>
    <row r="158" spans="2:12">
      <c r="B158" s="12" t="s">
        <v>1704</v>
      </c>
      <c r="C158" s="12" t="s">
        <v>229</v>
      </c>
      <c r="D158" s="12" t="s">
        <v>1705</v>
      </c>
      <c r="E158" s="12" t="s">
        <v>2697</v>
      </c>
      <c r="F158" s="12"/>
      <c r="G158" s="67" t="s">
        <v>4688</v>
      </c>
      <c r="H158" s="67"/>
      <c r="I158" s="12"/>
      <c r="J158" s="12"/>
      <c r="K158" s="12"/>
      <c r="L158" s="55"/>
    </row>
    <row r="159" spans="2:12">
      <c r="B159" s="12" t="s">
        <v>3233</v>
      </c>
      <c r="C159" s="12" t="s">
        <v>229</v>
      </c>
      <c r="D159" s="12" t="s">
        <v>3234</v>
      </c>
      <c r="E159" s="12" t="s">
        <v>2697</v>
      </c>
      <c r="F159" s="12"/>
      <c r="G159" s="67" t="s">
        <v>4689</v>
      </c>
      <c r="H159" s="67"/>
      <c r="I159" s="12"/>
      <c r="J159" s="12"/>
      <c r="K159" s="12"/>
      <c r="L159" s="55"/>
    </row>
    <row r="160" spans="2:12">
      <c r="B160" s="12" t="s">
        <v>3237</v>
      </c>
      <c r="C160" s="12" t="s">
        <v>229</v>
      </c>
      <c r="D160" s="12" t="s">
        <v>3238</v>
      </c>
      <c r="E160" s="12" t="s">
        <v>2697</v>
      </c>
      <c r="F160" s="12"/>
      <c r="G160" s="67" t="s">
        <v>4690</v>
      </c>
      <c r="H160" s="67"/>
      <c r="I160" s="12"/>
      <c r="J160" s="12"/>
      <c r="K160" s="12"/>
      <c r="L160" s="55"/>
    </row>
    <row r="161" spans="2:12">
      <c r="B161" s="12" t="s">
        <v>3241</v>
      </c>
      <c r="C161" s="12" t="s">
        <v>229</v>
      </c>
      <c r="D161" s="12" t="s">
        <v>3242</v>
      </c>
      <c r="E161" s="12" t="s">
        <v>2697</v>
      </c>
      <c r="F161" s="12"/>
      <c r="G161" s="67" t="s">
        <v>4691</v>
      </c>
      <c r="H161" s="67"/>
      <c r="I161" s="12"/>
      <c r="J161" s="12"/>
      <c r="K161" s="12"/>
      <c r="L161" s="55"/>
    </row>
    <row r="162" spans="2:12">
      <c r="B162" s="12" t="s">
        <v>3245</v>
      </c>
      <c r="C162" s="12" t="s">
        <v>229</v>
      </c>
      <c r="D162" s="12" t="s">
        <v>3246</v>
      </c>
      <c r="E162" s="12" t="s">
        <v>2697</v>
      </c>
      <c r="F162" s="12"/>
      <c r="G162" s="67" t="s">
        <v>4692</v>
      </c>
      <c r="H162" s="67"/>
      <c r="I162" s="12"/>
      <c r="J162" s="12"/>
      <c r="K162" s="12"/>
      <c r="L162" s="55"/>
    </row>
    <row r="163" spans="2:12">
      <c r="B163" s="12" t="s">
        <v>3249</v>
      </c>
      <c r="C163" s="12" t="s">
        <v>229</v>
      </c>
      <c r="D163" s="12" t="s">
        <v>3250</v>
      </c>
      <c r="E163" s="12" t="s">
        <v>2697</v>
      </c>
      <c r="F163" s="12"/>
      <c r="G163" s="67" t="s">
        <v>4693</v>
      </c>
      <c r="H163" s="67"/>
      <c r="I163" s="12"/>
      <c r="J163" s="12"/>
      <c r="K163" s="12"/>
      <c r="L163" s="55"/>
    </row>
    <row r="164" spans="2:12">
      <c r="B164" s="12" t="s">
        <v>4453</v>
      </c>
      <c r="C164" s="12" t="s">
        <v>229</v>
      </c>
      <c r="D164" s="12" t="s">
        <v>4454</v>
      </c>
      <c r="E164" s="12" t="s">
        <v>2697</v>
      </c>
      <c r="F164" s="12"/>
      <c r="G164" s="67" t="s">
        <v>4694</v>
      </c>
      <c r="H164" s="67"/>
      <c r="I164" s="12"/>
      <c r="J164" s="12"/>
      <c r="K164" s="12"/>
      <c r="L164" s="55"/>
    </row>
    <row r="165" spans="2:12">
      <c r="B165" s="12" t="s">
        <v>4456</v>
      </c>
      <c r="C165" s="12" t="s">
        <v>229</v>
      </c>
      <c r="D165" s="12" t="s">
        <v>4457</v>
      </c>
      <c r="E165" s="12" t="s">
        <v>2697</v>
      </c>
      <c r="F165" s="12"/>
      <c r="G165" s="67" t="s">
        <v>4695</v>
      </c>
      <c r="H165" s="67"/>
      <c r="I165" s="12"/>
      <c r="J165" s="12"/>
      <c r="K165" s="12"/>
      <c r="L165" s="55"/>
    </row>
    <row r="166" spans="2:12">
      <c r="B166" s="12" t="s">
        <v>4459</v>
      </c>
      <c r="C166" s="12" t="s">
        <v>229</v>
      </c>
      <c r="D166" s="12" t="s">
        <v>4460</v>
      </c>
      <c r="E166" s="12" t="s">
        <v>2697</v>
      </c>
      <c r="F166" s="12"/>
      <c r="G166" s="67" t="s">
        <v>4696</v>
      </c>
      <c r="H166" s="67"/>
      <c r="I166" s="12"/>
      <c r="J166" s="12"/>
      <c r="K166" s="12"/>
      <c r="L166" s="55"/>
    </row>
    <row r="167" spans="2:12">
      <c r="B167" s="12" t="s">
        <v>4462</v>
      </c>
      <c r="C167" s="12" t="s">
        <v>229</v>
      </c>
      <c r="D167" s="12" t="s">
        <v>4463</v>
      </c>
      <c r="E167" s="12" t="s">
        <v>2697</v>
      </c>
      <c r="F167" s="12"/>
      <c r="G167" s="67" t="s">
        <v>4697</v>
      </c>
      <c r="H167" s="67"/>
      <c r="I167" s="12"/>
      <c r="J167" s="12"/>
      <c r="K167" s="12"/>
      <c r="L167" s="55"/>
    </row>
    <row r="168" spans="2:12">
      <c r="B168" s="12" t="s">
        <v>4465</v>
      </c>
      <c r="C168" s="12" t="s">
        <v>229</v>
      </c>
      <c r="D168" s="12" t="s">
        <v>4466</v>
      </c>
      <c r="E168" s="12" t="s">
        <v>2697</v>
      </c>
      <c r="F168" s="12"/>
      <c r="G168" s="67" t="s">
        <v>4698</v>
      </c>
      <c r="H168" s="67"/>
      <c r="I168" s="12"/>
      <c r="J168" s="12"/>
      <c r="K168" s="12"/>
      <c r="L168" s="55"/>
    </row>
    <row r="169" spans="2:12">
      <c r="B169" s="12" t="s">
        <v>4468</v>
      </c>
      <c r="C169" s="12" t="s">
        <v>229</v>
      </c>
      <c r="D169" s="12" t="s">
        <v>4469</v>
      </c>
      <c r="E169" s="12" t="s">
        <v>2697</v>
      </c>
      <c r="F169" s="12"/>
      <c r="G169" s="67" t="s">
        <v>4699</v>
      </c>
      <c r="H169" s="67"/>
      <c r="I169" s="12"/>
      <c r="J169" s="12"/>
      <c r="K169" s="12"/>
      <c r="L169" s="55"/>
    </row>
    <row r="170" spans="2:12">
      <c r="B170" s="12" t="s">
        <v>1707</v>
      </c>
      <c r="C170" s="12" t="s">
        <v>229</v>
      </c>
      <c r="D170" s="12" t="s">
        <v>1708</v>
      </c>
      <c r="E170" s="12" t="s">
        <v>2697</v>
      </c>
      <c r="F170" s="12"/>
      <c r="G170" s="67" t="s">
        <v>4471</v>
      </c>
      <c r="H170" s="67"/>
      <c r="I170" s="12"/>
      <c r="J170" s="12"/>
      <c r="K170" s="12"/>
      <c r="L170" s="55"/>
    </row>
    <row r="171" spans="2:12">
      <c r="B171" s="12" t="s">
        <v>3258</v>
      </c>
      <c r="C171" s="12" t="s">
        <v>229</v>
      </c>
      <c r="D171" s="12" t="s">
        <v>3259</v>
      </c>
      <c r="E171" s="12" t="s">
        <v>2697</v>
      </c>
      <c r="F171" s="12"/>
      <c r="G171" s="67" t="s">
        <v>4472</v>
      </c>
      <c r="H171" s="67"/>
      <c r="I171" s="12"/>
      <c r="J171" s="12"/>
      <c r="K171" s="12"/>
      <c r="L171" s="55"/>
    </row>
    <row r="172" spans="2:12">
      <c r="B172" s="12" t="s">
        <v>3262</v>
      </c>
      <c r="C172" s="12" t="s">
        <v>229</v>
      </c>
      <c r="D172" s="12" t="s">
        <v>3263</v>
      </c>
      <c r="E172" s="12" t="s">
        <v>2697</v>
      </c>
      <c r="F172" s="12"/>
      <c r="G172" s="67" t="s">
        <v>4473</v>
      </c>
      <c r="H172" s="67"/>
      <c r="I172" s="12"/>
      <c r="J172" s="12"/>
      <c r="K172" s="12"/>
      <c r="L172" s="55"/>
    </row>
    <row r="173" spans="2:12">
      <c r="B173" s="12" t="s">
        <v>3266</v>
      </c>
      <c r="C173" s="12" t="s">
        <v>229</v>
      </c>
      <c r="D173" s="12" t="s">
        <v>3267</v>
      </c>
      <c r="E173" s="12" t="s">
        <v>2697</v>
      </c>
      <c r="F173" s="12"/>
      <c r="G173" s="67" t="s">
        <v>4474</v>
      </c>
      <c r="H173" s="67"/>
      <c r="I173" s="12"/>
      <c r="J173" s="12"/>
      <c r="K173" s="12"/>
      <c r="L173" s="55"/>
    </row>
    <row r="174" spans="2:12">
      <c r="B174" s="12" t="s">
        <v>3270</v>
      </c>
      <c r="C174" s="12" t="s">
        <v>229</v>
      </c>
      <c r="D174" s="12" t="s">
        <v>3271</v>
      </c>
      <c r="E174" s="12" t="s">
        <v>2697</v>
      </c>
      <c r="F174" s="12"/>
      <c r="G174" s="67" t="s">
        <v>4475</v>
      </c>
      <c r="H174" s="67"/>
      <c r="I174" s="12"/>
      <c r="J174" s="12"/>
      <c r="K174" s="12"/>
      <c r="L174" s="55"/>
    </row>
    <row r="175" spans="2:12">
      <c r="B175" s="12" t="s">
        <v>3274</v>
      </c>
      <c r="C175" s="12" t="s">
        <v>229</v>
      </c>
      <c r="D175" s="12" t="s">
        <v>3275</v>
      </c>
      <c r="E175" s="12" t="s">
        <v>2697</v>
      </c>
      <c r="F175" s="12"/>
      <c r="G175" s="67" t="s">
        <v>4476</v>
      </c>
      <c r="H175" s="67"/>
      <c r="I175" s="12"/>
      <c r="J175" s="12"/>
      <c r="K175" s="12"/>
      <c r="L175" s="55"/>
    </row>
    <row r="176" spans="2:12">
      <c r="B176" s="12" t="s">
        <v>1709</v>
      </c>
      <c r="C176" s="12" t="s">
        <v>229</v>
      </c>
      <c r="D176" s="12" t="s">
        <v>1710</v>
      </c>
      <c r="E176" s="12" t="s">
        <v>2697</v>
      </c>
      <c r="F176" s="12"/>
      <c r="G176" s="67" t="s">
        <v>4700</v>
      </c>
      <c r="H176" s="67"/>
      <c r="I176" s="12"/>
      <c r="J176" s="12"/>
      <c r="K176" s="12"/>
      <c r="L176" s="55"/>
    </row>
    <row r="177" spans="2:12">
      <c r="B177" s="12" t="s">
        <v>3283</v>
      </c>
      <c r="C177" s="12" t="s">
        <v>229</v>
      </c>
      <c r="D177" s="12" t="s">
        <v>3284</v>
      </c>
      <c r="E177" s="12" t="s">
        <v>2697</v>
      </c>
      <c r="F177" s="12"/>
      <c r="G177" s="67" t="s">
        <v>4478</v>
      </c>
      <c r="H177" s="67"/>
      <c r="I177" s="12"/>
      <c r="J177" s="12"/>
      <c r="K177" s="12"/>
      <c r="L177" s="55"/>
    </row>
    <row r="178" spans="2:12">
      <c r="B178" s="12" t="s">
        <v>3287</v>
      </c>
      <c r="C178" s="12" t="s">
        <v>229</v>
      </c>
      <c r="D178" s="12" t="s">
        <v>3288</v>
      </c>
      <c r="E178" s="12" t="s">
        <v>2697</v>
      </c>
      <c r="F178" s="12"/>
      <c r="G178" s="67" t="s">
        <v>4479</v>
      </c>
      <c r="H178" s="67"/>
      <c r="I178" s="12"/>
      <c r="J178" s="12"/>
      <c r="K178" s="12"/>
      <c r="L178" s="55"/>
    </row>
    <row r="179" spans="2:12">
      <c r="B179" s="12" t="s">
        <v>3291</v>
      </c>
      <c r="C179" s="12" t="s">
        <v>229</v>
      </c>
      <c r="D179" s="12" t="s">
        <v>3292</v>
      </c>
      <c r="E179" s="12" t="s">
        <v>2697</v>
      </c>
      <c r="F179" s="12"/>
      <c r="G179" s="67" t="s">
        <v>4480</v>
      </c>
      <c r="H179" s="67"/>
      <c r="I179" s="12"/>
      <c r="J179" s="12"/>
      <c r="K179" s="12"/>
      <c r="L179" s="55"/>
    </row>
    <row r="180" spans="2:12">
      <c r="B180" s="12" t="s">
        <v>3295</v>
      </c>
      <c r="C180" s="12" t="s">
        <v>229</v>
      </c>
      <c r="D180" s="12" t="s">
        <v>3296</v>
      </c>
      <c r="E180" s="12" t="s">
        <v>2697</v>
      </c>
      <c r="F180" s="12"/>
      <c r="G180" s="67" t="s">
        <v>4481</v>
      </c>
      <c r="H180" s="67"/>
      <c r="I180" s="12"/>
      <c r="J180" s="12"/>
      <c r="K180" s="12"/>
      <c r="L180" s="55"/>
    </row>
    <row r="181" spans="2:12">
      <c r="B181" s="12" t="s">
        <v>3299</v>
      </c>
      <c r="C181" s="12" t="s">
        <v>229</v>
      </c>
      <c r="D181" s="12" t="s">
        <v>3300</v>
      </c>
      <c r="E181" s="12" t="s">
        <v>2697</v>
      </c>
      <c r="F181" s="12"/>
      <c r="G181" s="67" t="s">
        <v>4482</v>
      </c>
      <c r="H181" s="67"/>
      <c r="I181" s="12"/>
      <c r="J181" s="12"/>
      <c r="K181" s="12"/>
      <c r="L181" s="55"/>
    </row>
    <row r="182" spans="2:12">
      <c r="B182" s="12" t="s">
        <v>1712</v>
      </c>
      <c r="C182" s="12" t="s">
        <v>229</v>
      </c>
      <c r="D182" s="12" t="s">
        <v>1713</v>
      </c>
      <c r="E182" s="12" t="s">
        <v>2697</v>
      </c>
      <c r="F182" s="12"/>
      <c r="G182" s="67" t="s">
        <v>4483</v>
      </c>
      <c r="H182" s="67"/>
      <c r="I182" s="12"/>
      <c r="J182" s="12"/>
      <c r="K182" s="12"/>
      <c r="L182" s="55"/>
    </row>
    <row r="183" spans="2:12">
      <c r="B183" s="12" t="s">
        <v>4484</v>
      </c>
      <c r="C183" s="12" t="s">
        <v>229</v>
      </c>
      <c r="D183" s="12" t="s">
        <v>3310</v>
      </c>
      <c r="E183" s="12" t="s">
        <v>2697</v>
      </c>
      <c r="F183" s="12"/>
      <c r="G183" s="67" t="s">
        <v>4485</v>
      </c>
      <c r="H183" s="67"/>
      <c r="I183" s="12"/>
      <c r="J183" s="12"/>
      <c r="K183" s="12"/>
      <c r="L183" s="55"/>
    </row>
    <row r="184" spans="2:12">
      <c r="B184" s="12" t="s">
        <v>4486</v>
      </c>
      <c r="C184" s="12" t="s">
        <v>229</v>
      </c>
      <c r="D184" s="12" t="s">
        <v>3313</v>
      </c>
      <c r="E184" s="12" t="s">
        <v>2697</v>
      </c>
      <c r="F184" s="12"/>
      <c r="G184" s="67" t="s">
        <v>4487</v>
      </c>
      <c r="H184" s="67"/>
      <c r="I184" s="12"/>
      <c r="J184" s="12"/>
      <c r="K184" s="12"/>
      <c r="L184" s="55"/>
    </row>
    <row r="185" spans="2:12">
      <c r="B185" s="12" t="s">
        <v>4488</v>
      </c>
      <c r="C185" s="12" t="s">
        <v>229</v>
      </c>
      <c r="D185" s="12" t="s">
        <v>3315</v>
      </c>
      <c r="E185" s="12" t="s">
        <v>2697</v>
      </c>
      <c r="F185" s="12"/>
      <c r="G185" s="67" t="s">
        <v>4489</v>
      </c>
      <c r="H185" s="67"/>
      <c r="I185" s="12"/>
      <c r="J185" s="12"/>
      <c r="K185" s="12"/>
      <c r="L185" s="55"/>
    </row>
    <row r="186" spans="2:12">
      <c r="B186" s="12" t="s">
        <v>4490</v>
      </c>
      <c r="C186" s="12" t="s">
        <v>229</v>
      </c>
      <c r="D186" s="12" t="s">
        <v>3318</v>
      </c>
      <c r="E186" s="12" t="s">
        <v>2697</v>
      </c>
      <c r="F186" s="12"/>
      <c r="G186" s="67" t="s">
        <v>4491</v>
      </c>
      <c r="H186" s="67"/>
      <c r="I186" s="12"/>
      <c r="J186" s="12"/>
      <c r="K186" s="12"/>
      <c r="L186" s="55"/>
    </row>
    <row r="187" spans="2:12">
      <c r="B187" s="12" t="s">
        <v>4492</v>
      </c>
      <c r="C187" s="12" t="s">
        <v>229</v>
      </c>
      <c r="D187" s="12" t="s">
        <v>3321</v>
      </c>
      <c r="E187" s="12" t="s">
        <v>2697</v>
      </c>
      <c r="F187" s="12"/>
      <c r="G187" s="67" t="s">
        <v>4493</v>
      </c>
      <c r="H187" s="67"/>
      <c r="I187" s="12"/>
      <c r="J187" s="12"/>
      <c r="K187" s="12"/>
      <c r="L187" s="55"/>
    </row>
    <row r="188" spans="2:12">
      <c r="B188" s="12" t="s">
        <v>3602</v>
      </c>
      <c r="C188" s="12" t="s">
        <v>229</v>
      </c>
      <c r="D188" s="12" t="s">
        <v>3328</v>
      </c>
      <c r="E188" s="12" t="s">
        <v>2697</v>
      </c>
      <c r="F188" s="12"/>
      <c r="G188" s="67" t="s">
        <v>4494</v>
      </c>
      <c r="H188" s="67"/>
      <c r="I188" s="12"/>
      <c r="J188" s="12"/>
      <c r="K188" s="12"/>
      <c r="L188" s="55"/>
    </row>
    <row r="189" spans="2:12">
      <c r="B189" s="12" t="s">
        <v>4495</v>
      </c>
      <c r="C189" s="12" t="s">
        <v>229</v>
      </c>
      <c r="D189" s="12" t="s">
        <v>3331</v>
      </c>
      <c r="E189" s="12" t="s">
        <v>2697</v>
      </c>
      <c r="F189" s="12"/>
      <c r="G189" s="67" t="s">
        <v>4496</v>
      </c>
      <c r="H189" s="67"/>
      <c r="I189" s="12"/>
      <c r="J189" s="12"/>
      <c r="K189" s="12"/>
      <c r="L189" s="55"/>
    </row>
    <row r="190" spans="2:12">
      <c r="B190" s="12" t="s">
        <v>4497</v>
      </c>
      <c r="C190" s="12" t="s">
        <v>229</v>
      </c>
      <c r="D190" s="12" t="s">
        <v>3335</v>
      </c>
      <c r="E190" s="12" t="s">
        <v>2697</v>
      </c>
      <c r="F190" s="12"/>
      <c r="G190" s="67" t="s">
        <v>4498</v>
      </c>
      <c r="H190" s="67"/>
      <c r="I190" s="12"/>
      <c r="J190" s="12"/>
      <c r="K190" s="12"/>
      <c r="L190" s="55"/>
    </row>
    <row r="191" spans="2:12">
      <c r="B191" s="12" t="s">
        <v>4499</v>
      </c>
      <c r="C191" s="12" t="s">
        <v>229</v>
      </c>
      <c r="D191" s="12" t="s">
        <v>3338</v>
      </c>
      <c r="E191" s="12" t="s">
        <v>2697</v>
      </c>
      <c r="F191" s="12"/>
      <c r="G191" s="67" t="s">
        <v>4500</v>
      </c>
      <c r="H191" s="67"/>
      <c r="I191" s="12"/>
      <c r="J191" s="12"/>
      <c r="K191" s="12"/>
      <c r="L191" s="55"/>
    </row>
    <row r="192" spans="2:12">
      <c r="B192" s="12" t="s">
        <v>4501</v>
      </c>
      <c r="C192" s="12" t="s">
        <v>229</v>
      </c>
      <c r="D192" s="12" t="s">
        <v>3341</v>
      </c>
      <c r="E192" s="12" t="s">
        <v>2697</v>
      </c>
      <c r="F192" s="12"/>
      <c r="G192" s="67" t="s">
        <v>4502</v>
      </c>
      <c r="H192" s="67"/>
      <c r="I192" s="12"/>
      <c r="J192" s="12"/>
      <c r="K192" s="12"/>
      <c r="L192" s="55"/>
    </row>
    <row r="193" spans="2:12">
      <c r="B193" s="12" t="s">
        <v>4503</v>
      </c>
      <c r="C193" s="12" t="s">
        <v>229</v>
      </c>
      <c r="D193" s="12" t="s">
        <v>3344</v>
      </c>
      <c r="E193" s="12" t="s">
        <v>2697</v>
      </c>
      <c r="F193" s="12"/>
      <c r="G193" s="67" t="s">
        <v>4504</v>
      </c>
      <c r="H193" s="67"/>
      <c r="I193" s="12"/>
      <c r="J193" s="12"/>
      <c r="K193" s="12"/>
      <c r="L193" s="55"/>
    </row>
    <row r="194" spans="2:12">
      <c r="B194" s="12" t="s">
        <v>1715</v>
      </c>
      <c r="C194" s="12" t="s">
        <v>203</v>
      </c>
      <c r="D194" s="12" t="s">
        <v>1716</v>
      </c>
      <c r="E194" s="144" t="s">
        <v>4631</v>
      </c>
      <c r="F194" s="12"/>
      <c r="G194" s="67" t="s">
        <v>4505</v>
      </c>
      <c r="H194" s="67"/>
      <c r="I194" s="12"/>
      <c r="J194" s="12"/>
      <c r="K194" s="12"/>
      <c r="L194" s="55"/>
    </row>
    <row r="195" spans="2:12">
      <c r="B195" s="12" t="s">
        <v>4506</v>
      </c>
      <c r="C195" s="12" t="s">
        <v>229</v>
      </c>
      <c r="D195" s="12" t="s">
        <v>2401</v>
      </c>
      <c r="E195" s="144" t="s">
        <v>4631</v>
      </c>
      <c r="F195" s="12"/>
      <c r="G195" s="67" t="s">
        <v>4701</v>
      </c>
      <c r="H195" s="67"/>
      <c r="I195" s="12"/>
      <c r="J195" s="12"/>
      <c r="K195" s="12"/>
      <c r="L195" s="55"/>
    </row>
    <row r="196" spans="2:12">
      <c r="B196" s="12" t="s">
        <v>4508</v>
      </c>
      <c r="C196" s="12" t="s">
        <v>229</v>
      </c>
      <c r="D196" s="12" t="s">
        <v>2405</v>
      </c>
      <c r="E196" s="144" t="s">
        <v>4631</v>
      </c>
      <c r="F196" s="12"/>
      <c r="G196" s="67" t="s">
        <v>4702</v>
      </c>
      <c r="H196" s="67"/>
      <c r="I196" s="12"/>
      <c r="J196" s="12"/>
      <c r="K196" s="12"/>
      <c r="L196" s="55"/>
    </row>
    <row r="197" spans="2:12">
      <c r="B197" s="12" t="s">
        <v>4510</v>
      </c>
      <c r="C197" s="12" t="s">
        <v>229</v>
      </c>
      <c r="D197" s="12" t="s">
        <v>2409</v>
      </c>
      <c r="E197" s="144" t="s">
        <v>4631</v>
      </c>
      <c r="F197" s="12"/>
      <c r="G197" s="67" t="s">
        <v>4703</v>
      </c>
      <c r="H197" s="67"/>
      <c r="I197" s="12"/>
      <c r="J197" s="12"/>
      <c r="K197" s="12"/>
      <c r="L197" s="55"/>
    </row>
    <row r="198" spans="2:12">
      <c r="B198" s="12" t="s">
        <v>4512</v>
      </c>
      <c r="C198" s="12" t="s">
        <v>229</v>
      </c>
      <c r="D198" s="12" t="s">
        <v>2413</v>
      </c>
      <c r="E198" s="144" t="s">
        <v>4631</v>
      </c>
      <c r="F198" s="12"/>
      <c r="G198" s="67" t="s">
        <v>4704</v>
      </c>
      <c r="H198" s="67"/>
      <c r="I198" s="12"/>
      <c r="J198" s="12"/>
      <c r="K198" s="12"/>
      <c r="L198" s="55"/>
    </row>
    <row r="199" spans="2:12">
      <c r="B199" s="12" t="s">
        <v>4514</v>
      </c>
      <c r="C199" s="12" t="s">
        <v>229</v>
      </c>
      <c r="D199" s="12" t="s">
        <v>2417</v>
      </c>
      <c r="E199" s="144" t="s">
        <v>4631</v>
      </c>
      <c r="F199" s="12"/>
      <c r="G199" s="67" t="s">
        <v>4705</v>
      </c>
      <c r="H199" s="67"/>
      <c r="I199" s="12"/>
      <c r="J199" s="12"/>
      <c r="K199" s="12"/>
      <c r="L199" s="55"/>
    </row>
    <row r="200" spans="2:12">
      <c r="B200" s="12" t="s">
        <v>1720</v>
      </c>
      <c r="C200" s="12" t="s">
        <v>203</v>
      </c>
      <c r="D200" s="12" t="s">
        <v>1721</v>
      </c>
      <c r="E200" s="144" t="s">
        <v>4631</v>
      </c>
      <c r="F200" s="12"/>
      <c r="G200" s="67" t="s">
        <v>4516</v>
      </c>
      <c r="H200" s="67"/>
      <c r="I200" s="12"/>
      <c r="J200" s="12"/>
      <c r="K200" s="12"/>
      <c r="L200" s="55"/>
    </row>
    <row r="201" spans="2:12">
      <c r="B201" s="12" t="s">
        <v>4517</v>
      </c>
      <c r="C201" s="12" t="s">
        <v>229</v>
      </c>
      <c r="D201" s="12" t="s">
        <v>2423</v>
      </c>
      <c r="E201" s="144" t="s">
        <v>4631</v>
      </c>
      <c r="F201" s="12"/>
      <c r="G201" s="67" t="s">
        <v>4518</v>
      </c>
      <c r="H201" s="67"/>
      <c r="I201" s="12"/>
      <c r="J201" s="12"/>
      <c r="K201" s="12"/>
      <c r="L201" s="55"/>
    </row>
    <row r="202" spans="2:12">
      <c r="B202" s="12" t="s">
        <v>4519</v>
      </c>
      <c r="C202" s="12" t="s">
        <v>229</v>
      </c>
      <c r="D202" s="12" t="s">
        <v>2427</v>
      </c>
      <c r="E202" s="144" t="s">
        <v>4631</v>
      </c>
      <c r="F202" s="12"/>
      <c r="G202" s="67" t="s">
        <v>4520</v>
      </c>
      <c r="H202" s="67"/>
      <c r="I202" s="12"/>
      <c r="J202" s="12"/>
      <c r="K202" s="12"/>
      <c r="L202" s="55"/>
    </row>
    <row r="203" spans="2:12">
      <c r="B203" s="12" t="s">
        <v>4521</v>
      </c>
      <c r="C203" s="12" t="s">
        <v>229</v>
      </c>
      <c r="D203" s="12" t="s">
        <v>2431</v>
      </c>
      <c r="E203" s="144" t="s">
        <v>4631</v>
      </c>
      <c r="F203" s="12"/>
      <c r="G203" s="67" t="s">
        <v>4522</v>
      </c>
      <c r="H203" s="67"/>
      <c r="I203" s="12"/>
      <c r="J203" s="12"/>
      <c r="K203" s="12"/>
      <c r="L203" s="55"/>
    </row>
    <row r="204" spans="2:12">
      <c r="B204" s="12" t="s">
        <v>4523</v>
      </c>
      <c r="C204" s="12" t="s">
        <v>229</v>
      </c>
      <c r="D204" s="12" t="s">
        <v>2435</v>
      </c>
      <c r="E204" s="144" t="s">
        <v>4631</v>
      </c>
      <c r="F204" s="12"/>
      <c r="G204" s="67" t="s">
        <v>4524</v>
      </c>
      <c r="H204" s="67"/>
      <c r="I204" s="12"/>
      <c r="J204" s="12"/>
      <c r="K204" s="12"/>
      <c r="L204" s="55"/>
    </row>
    <row r="205" spans="2:12">
      <c r="B205" s="12" t="s">
        <v>4525</v>
      </c>
      <c r="C205" s="12" t="s">
        <v>229</v>
      </c>
      <c r="D205" s="12" t="s">
        <v>2439</v>
      </c>
      <c r="E205" s="144" t="s">
        <v>4631</v>
      </c>
      <c r="F205" s="12"/>
      <c r="G205" s="67" t="s">
        <v>4526</v>
      </c>
      <c r="H205" s="67"/>
      <c r="I205" s="12"/>
      <c r="J205" s="12"/>
      <c r="K205" s="12"/>
      <c r="L205" s="55"/>
    </row>
    <row r="206" spans="2:12">
      <c r="B206" s="12" t="s">
        <v>1723</v>
      </c>
      <c r="C206" s="12" t="s">
        <v>203</v>
      </c>
      <c r="D206" s="12" t="s">
        <v>1724</v>
      </c>
      <c r="E206" s="144" t="s">
        <v>4631</v>
      </c>
      <c r="F206" s="12"/>
      <c r="G206" s="67" t="s">
        <v>4706</v>
      </c>
      <c r="H206" s="67"/>
      <c r="I206" s="12"/>
      <c r="J206" s="12"/>
      <c r="K206" s="12"/>
      <c r="L206" s="55"/>
    </row>
    <row r="207" spans="2:12">
      <c r="B207" s="12" t="s">
        <v>4528</v>
      </c>
      <c r="C207" s="12" t="s">
        <v>229</v>
      </c>
      <c r="D207" s="12" t="s">
        <v>2445</v>
      </c>
      <c r="E207" s="144" t="s">
        <v>4631</v>
      </c>
      <c r="F207" s="12"/>
      <c r="G207" s="67" t="s">
        <v>4707</v>
      </c>
      <c r="H207" s="67"/>
      <c r="I207" s="12"/>
      <c r="J207" s="12"/>
      <c r="K207" s="12"/>
      <c r="L207" s="55"/>
    </row>
    <row r="208" spans="2:12">
      <c r="B208" s="12" t="s">
        <v>4530</v>
      </c>
      <c r="C208" s="12" t="s">
        <v>229</v>
      </c>
      <c r="D208" s="12" t="s">
        <v>2449</v>
      </c>
      <c r="E208" s="144" t="s">
        <v>4631</v>
      </c>
      <c r="F208" s="12"/>
      <c r="G208" s="67" t="s">
        <v>4708</v>
      </c>
      <c r="H208" s="67"/>
      <c r="I208" s="12"/>
      <c r="J208" s="12"/>
      <c r="K208" s="12"/>
      <c r="L208" s="55"/>
    </row>
    <row r="209" spans="2:12">
      <c r="B209" s="12" t="s">
        <v>4532</v>
      </c>
      <c r="C209" s="12" t="s">
        <v>229</v>
      </c>
      <c r="D209" s="12" t="s">
        <v>2453</v>
      </c>
      <c r="E209" s="144" t="s">
        <v>4631</v>
      </c>
      <c r="F209" s="12"/>
      <c r="G209" s="67" t="s">
        <v>4709</v>
      </c>
      <c r="H209" s="67"/>
      <c r="I209" s="12"/>
      <c r="J209" s="12"/>
      <c r="K209" s="12"/>
      <c r="L209" s="55"/>
    </row>
    <row r="210" spans="2:12">
      <c r="B210" s="12" t="s">
        <v>4534</v>
      </c>
      <c r="C210" s="12" t="s">
        <v>229</v>
      </c>
      <c r="D210" s="12" t="s">
        <v>2457</v>
      </c>
      <c r="E210" s="144" t="s">
        <v>4631</v>
      </c>
      <c r="F210" s="12"/>
      <c r="G210" s="67" t="s">
        <v>4710</v>
      </c>
      <c r="H210" s="67"/>
      <c r="I210" s="12"/>
      <c r="J210" s="12"/>
      <c r="K210" s="12"/>
      <c r="L210" s="55"/>
    </row>
    <row r="211" spans="2:12">
      <c r="B211" s="12" t="s">
        <v>4536</v>
      </c>
      <c r="C211" s="12" t="s">
        <v>229</v>
      </c>
      <c r="D211" s="12" t="s">
        <v>2461</v>
      </c>
      <c r="E211" s="144" t="s">
        <v>4631</v>
      </c>
      <c r="F211" s="12"/>
      <c r="G211" s="67" t="s">
        <v>4711</v>
      </c>
      <c r="H211" s="67"/>
      <c r="I211" s="12"/>
      <c r="J211" s="12"/>
      <c r="K211" s="12"/>
      <c r="L211" s="55"/>
    </row>
    <row r="212" spans="2:12">
      <c r="B212" s="12" t="s">
        <v>1726</v>
      </c>
      <c r="C212" s="12" t="s">
        <v>203</v>
      </c>
      <c r="D212" s="12" t="s">
        <v>1727</v>
      </c>
      <c r="E212" s="144" t="s">
        <v>4631</v>
      </c>
      <c r="F212" s="12"/>
      <c r="G212" s="67" t="s">
        <v>4712</v>
      </c>
      <c r="H212" s="67"/>
      <c r="I212" s="12"/>
      <c r="J212" s="12"/>
      <c r="K212" s="12"/>
      <c r="L212" s="55"/>
    </row>
    <row r="213" spans="2:12">
      <c r="B213" s="12" t="s">
        <v>4539</v>
      </c>
      <c r="C213" s="12" t="s">
        <v>229</v>
      </c>
      <c r="D213" s="12" t="s">
        <v>2468</v>
      </c>
      <c r="E213" s="144" t="s">
        <v>4631</v>
      </c>
      <c r="F213" s="12"/>
      <c r="G213" s="67" t="s">
        <v>4713</v>
      </c>
      <c r="H213" s="67"/>
      <c r="I213" s="12"/>
      <c r="J213" s="12"/>
      <c r="K213" s="12"/>
      <c r="L213" s="55"/>
    </row>
    <row r="214" spans="2:12">
      <c r="B214" s="12" t="s">
        <v>4541</v>
      </c>
      <c r="C214" s="12" t="s">
        <v>229</v>
      </c>
      <c r="D214" s="12" t="s">
        <v>2472</v>
      </c>
      <c r="E214" s="144" t="s">
        <v>4631</v>
      </c>
      <c r="F214" s="12"/>
      <c r="G214" s="67" t="s">
        <v>4714</v>
      </c>
      <c r="H214" s="67"/>
      <c r="I214" s="12"/>
      <c r="J214" s="12"/>
      <c r="K214" s="12"/>
      <c r="L214" s="55"/>
    </row>
    <row r="215" spans="2:12">
      <c r="B215" s="12" t="s">
        <v>4543</v>
      </c>
      <c r="C215" s="12" t="s">
        <v>229</v>
      </c>
      <c r="D215" s="12" t="s">
        <v>2476</v>
      </c>
      <c r="E215" s="144" t="s">
        <v>4631</v>
      </c>
      <c r="F215" s="12"/>
      <c r="G215" s="67" t="s">
        <v>4715</v>
      </c>
      <c r="H215" s="67"/>
      <c r="I215" s="12"/>
      <c r="J215" s="12"/>
      <c r="K215" s="12"/>
      <c r="L215" s="55"/>
    </row>
    <row r="216" spans="2:12">
      <c r="B216" s="12" t="s">
        <v>4545</v>
      </c>
      <c r="C216" s="12" t="s">
        <v>229</v>
      </c>
      <c r="D216" s="12" t="s">
        <v>2480</v>
      </c>
      <c r="E216" s="144" t="s">
        <v>4631</v>
      </c>
      <c r="F216" s="12"/>
      <c r="G216" s="67" t="s">
        <v>4716</v>
      </c>
      <c r="H216" s="67"/>
      <c r="I216" s="12"/>
      <c r="J216" s="12"/>
      <c r="K216" s="12"/>
      <c r="L216" s="55"/>
    </row>
    <row r="217" spans="2:12">
      <c r="B217" s="12" t="s">
        <v>4547</v>
      </c>
      <c r="C217" s="12" t="s">
        <v>229</v>
      </c>
      <c r="D217" s="12" t="s">
        <v>2484</v>
      </c>
      <c r="E217" s="144" t="s">
        <v>4631</v>
      </c>
      <c r="F217" s="12"/>
      <c r="G217" s="67" t="s">
        <v>4717</v>
      </c>
      <c r="H217" s="67"/>
      <c r="I217" s="12"/>
      <c r="J217" s="12"/>
      <c r="K217" s="12"/>
      <c r="L217" s="55"/>
    </row>
    <row r="218" spans="2:12">
      <c r="B218" s="12" t="s">
        <v>1730</v>
      </c>
      <c r="C218" s="12" t="s">
        <v>203</v>
      </c>
      <c r="D218" s="12" t="s">
        <v>1731</v>
      </c>
      <c r="E218" s="144" t="s">
        <v>4631</v>
      </c>
      <c r="F218" s="12"/>
      <c r="G218" s="67" t="s">
        <v>4718</v>
      </c>
      <c r="H218" s="67"/>
      <c r="I218" s="12"/>
      <c r="J218" s="12"/>
      <c r="K218" s="12"/>
      <c r="L218" s="55"/>
    </row>
    <row r="219" spans="2:12">
      <c r="B219" s="12" t="s">
        <v>4550</v>
      </c>
      <c r="C219" s="12" t="s">
        <v>229</v>
      </c>
      <c r="D219" s="12" t="s">
        <v>2491</v>
      </c>
      <c r="E219" s="144" t="s">
        <v>4631</v>
      </c>
      <c r="F219" s="12"/>
      <c r="G219" s="67" t="s">
        <v>4719</v>
      </c>
      <c r="H219" s="67"/>
      <c r="I219" s="12"/>
      <c r="J219" s="12"/>
      <c r="K219" s="12"/>
      <c r="L219" s="55"/>
    </row>
    <row r="220" spans="2:12">
      <c r="B220" s="12" t="s">
        <v>4552</v>
      </c>
      <c r="C220" s="12" t="s">
        <v>229</v>
      </c>
      <c r="D220" s="12" t="s">
        <v>2495</v>
      </c>
      <c r="E220" s="144" t="s">
        <v>4631</v>
      </c>
      <c r="F220" s="12"/>
      <c r="G220" s="67" t="s">
        <v>4720</v>
      </c>
      <c r="H220" s="67"/>
      <c r="I220" s="12"/>
      <c r="J220" s="12"/>
      <c r="K220" s="12"/>
      <c r="L220" s="55"/>
    </row>
    <row r="221" spans="2:12">
      <c r="B221" s="12" t="s">
        <v>4554</v>
      </c>
      <c r="C221" s="12" t="s">
        <v>229</v>
      </c>
      <c r="D221" s="12" t="s">
        <v>2499</v>
      </c>
      <c r="E221" s="144" t="s">
        <v>4631</v>
      </c>
      <c r="F221" s="12"/>
      <c r="G221" s="67" t="s">
        <v>4721</v>
      </c>
      <c r="H221" s="67"/>
      <c r="I221" s="12"/>
      <c r="J221" s="12"/>
      <c r="K221" s="12"/>
      <c r="L221" s="55"/>
    </row>
    <row r="222" spans="2:12">
      <c r="B222" s="12" t="s">
        <v>4556</v>
      </c>
      <c r="C222" s="12" t="s">
        <v>229</v>
      </c>
      <c r="D222" s="12" t="s">
        <v>2503</v>
      </c>
      <c r="E222" s="144" t="s">
        <v>4631</v>
      </c>
      <c r="F222" s="12"/>
      <c r="G222" s="67" t="s">
        <v>4722</v>
      </c>
      <c r="H222" s="67"/>
      <c r="I222" s="12"/>
      <c r="J222" s="12"/>
      <c r="K222" s="12"/>
      <c r="L222" s="55"/>
    </row>
    <row r="223" spans="2:12">
      <c r="B223" s="12" t="s">
        <v>4558</v>
      </c>
      <c r="C223" s="12" t="s">
        <v>229</v>
      </c>
      <c r="D223" s="12" t="s">
        <v>2507</v>
      </c>
      <c r="E223" s="144" t="s">
        <v>4631</v>
      </c>
      <c r="F223" s="12"/>
      <c r="G223" s="67" t="s">
        <v>4723</v>
      </c>
      <c r="H223" s="67"/>
      <c r="I223" s="12"/>
      <c r="J223" s="12"/>
      <c r="K223" s="12"/>
      <c r="L223" s="55"/>
    </row>
    <row r="224" spans="2:12">
      <c r="B224" s="12" t="s">
        <v>1734</v>
      </c>
      <c r="C224" s="12" t="s">
        <v>203</v>
      </c>
      <c r="D224" s="12" t="s">
        <v>1735</v>
      </c>
      <c r="E224" s="144" t="s">
        <v>4631</v>
      </c>
      <c r="F224" s="12"/>
      <c r="G224" s="67" t="s">
        <v>4724</v>
      </c>
      <c r="H224" s="67"/>
      <c r="I224" s="12"/>
      <c r="J224" s="12"/>
      <c r="K224" s="12"/>
      <c r="L224" s="55"/>
    </row>
    <row r="225" spans="2:12">
      <c r="B225" s="12" t="s">
        <v>4561</v>
      </c>
      <c r="C225" s="12" t="s">
        <v>229</v>
      </c>
      <c r="D225" s="12" t="s">
        <v>2514</v>
      </c>
      <c r="E225" s="144" t="s">
        <v>4631</v>
      </c>
      <c r="F225" s="12"/>
      <c r="G225" s="67" t="s">
        <v>4725</v>
      </c>
      <c r="H225" s="67"/>
      <c r="I225" s="12"/>
      <c r="J225" s="12"/>
      <c r="K225" s="12"/>
      <c r="L225" s="55"/>
    </row>
    <row r="226" spans="2:12">
      <c r="B226" s="12" t="s">
        <v>4563</v>
      </c>
      <c r="C226" s="12" t="s">
        <v>229</v>
      </c>
      <c r="D226" s="12" t="s">
        <v>2518</v>
      </c>
      <c r="E226" s="144" t="s">
        <v>4631</v>
      </c>
      <c r="F226" s="12"/>
      <c r="G226" s="67" t="s">
        <v>4726</v>
      </c>
      <c r="H226" s="67"/>
      <c r="I226" s="12"/>
      <c r="J226" s="12"/>
      <c r="K226" s="12"/>
      <c r="L226" s="55"/>
    </row>
    <row r="227" spans="2:12">
      <c r="B227" s="12" t="s">
        <v>4565</v>
      </c>
      <c r="C227" s="12" t="s">
        <v>229</v>
      </c>
      <c r="D227" s="12" t="s">
        <v>2522</v>
      </c>
      <c r="E227" s="144" t="s">
        <v>4631</v>
      </c>
      <c r="F227" s="12"/>
      <c r="G227" s="67" t="s">
        <v>4727</v>
      </c>
      <c r="H227" s="67"/>
      <c r="I227" s="12"/>
      <c r="J227" s="12"/>
      <c r="K227" s="12"/>
      <c r="L227" s="55"/>
    </row>
    <row r="228" spans="2:12">
      <c r="B228" s="12" t="s">
        <v>4567</v>
      </c>
      <c r="C228" s="12" t="s">
        <v>229</v>
      </c>
      <c r="D228" s="12" t="s">
        <v>2526</v>
      </c>
      <c r="E228" s="144" t="s">
        <v>4631</v>
      </c>
      <c r="F228" s="12"/>
      <c r="G228" s="67" t="s">
        <v>4728</v>
      </c>
      <c r="H228" s="67"/>
      <c r="I228" s="12"/>
      <c r="J228" s="12"/>
      <c r="K228" s="12"/>
      <c r="L228" s="55"/>
    </row>
    <row r="229" spans="2:12">
      <c r="B229" s="12" t="s">
        <v>4569</v>
      </c>
      <c r="C229" s="12" t="s">
        <v>229</v>
      </c>
      <c r="D229" s="12" t="s">
        <v>2530</v>
      </c>
      <c r="E229" s="144" t="s">
        <v>4631</v>
      </c>
      <c r="F229" s="12"/>
      <c r="G229" s="67" t="s">
        <v>4729</v>
      </c>
      <c r="H229" s="67"/>
      <c r="I229" s="12"/>
      <c r="J229" s="12"/>
      <c r="K229" s="12"/>
      <c r="L229" s="55"/>
    </row>
    <row r="230" spans="2:12">
      <c r="B230" s="12" t="s">
        <v>1854</v>
      </c>
      <c r="C230" s="12" t="s">
        <v>170</v>
      </c>
      <c r="D230" s="12" t="s">
        <v>2554</v>
      </c>
      <c r="E230" s="144" t="s">
        <v>4631</v>
      </c>
      <c r="F230" s="12"/>
      <c r="G230" s="67" t="s">
        <v>4730</v>
      </c>
      <c r="H230" s="67"/>
      <c r="I230" s="12"/>
      <c r="J230" s="12"/>
      <c r="K230" s="12"/>
      <c r="L230" s="55"/>
    </row>
    <row r="231" spans="2:12">
      <c r="B231" s="12" t="s">
        <v>1856</v>
      </c>
      <c r="C231" s="12" t="s">
        <v>170</v>
      </c>
      <c r="D231" s="12" t="s">
        <v>2556</v>
      </c>
      <c r="E231" s="144" t="s">
        <v>4631</v>
      </c>
      <c r="F231" s="12"/>
      <c r="G231" s="67" t="s">
        <v>4731</v>
      </c>
      <c r="H231" s="67"/>
      <c r="I231" s="12"/>
      <c r="J231" s="12"/>
      <c r="K231" s="12"/>
      <c r="L231" s="55"/>
    </row>
    <row r="232" spans="2:12">
      <c r="B232" s="12" t="s">
        <v>1504</v>
      </c>
      <c r="C232" s="12" t="s">
        <v>170</v>
      </c>
      <c r="D232" s="12" t="s">
        <v>2558</v>
      </c>
      <c r="E232" s="144" t="s">
        <v>4631</v>
      </c>
      <c r="F232" s="12"/>
      <c r="G232" s="67" t="s">
        <v>4732</v>
      </c>
      <c r="H232" s="67"/>
      <c r="I232" s="12"/>
      <c r="J232" s="12"/>
      <c r="K232" s="12"/>
      <c r="L232" s="55"/>
    </row>
    <row r="233" spans="2:12">
      <c r="B233" s="12" t="s">
        <v>1848</v>
      </c>
      <c r="C233" s="12" t="s">
        <v>170</v>
      </c>
      <c r="D233" s="12" t="s">
        <v>2560</v>
      </c>
      <c r="E233" s="144" t="s">
        <v>4631</v>
      </c>
      <c r="F233" s="12"/>
      <c r="G233" s="67" t="s">
        <v>4733</v>
      </c>
      <c r="H233" s="67"/>
      <c r="I233" s="12"/>
      <c r="J233" s="12"/>
      <c r="K233" s="12"/>
      <c r="L233" s="55"/>
    </row>
    <row r="234" spans="2:12">
      <c r="B234" s="12" t="s">
        <v>1850</v>
      </c>
      <c r="C234" s="12" t="s">
        <v>170</v>
      </c>
      <c r="D234" s="12" t="s">
        <v>2562</v>
      </c>
      <c r="E234" s="144" t="s">
        <v>4631</v>
      </c>
      <c r="F234" s="12"/>
      <c r="G234" s="67" t="s">
        <v>4734</v>
      </c>
      <c r="H234" s="67"/>
      <c r="I234" s="12"/>
      <c r="J234" s="12"/>
      <c r="K234" s="12"/>
      <c r="L234" s="55"/>
    </row>
    <row r="235" spans="2:12">
      <c r="B235" s="165" t="s">
        <v>1852</v>
      </c>
      <c r="C235" s="12" t="s">
        <v>170</v>
      </c>
      <c r="D235" s="12" t="s">
        <v>2564</v>
      </c>
      <c r="E235" s="144" t="s">
        <v>4631</v>
      </c>
      <c r="F235" s="12"/>
      <c r="G235" s="67" t="s">
        <v>4735</v>
      </c>
      <c r="H235" s="67"/>
      <c r="I235" s="12"/>
      <c r="J235" s="12"/>
      <c r="K235" s="12"/>
      <c r="L235" s="55"/>
    </row>
    <row r="236" s="75" customFormat="1" ht="15" spans="1:8">
      <c r="A236" s="116"/>
      <c r="B236" s="166" t="s">
        <v>4571</v>
      </c>
      <c r="C236" s="167" t="s">
        <v>229</v>
      </c>
      <c r="D236" s="153" t="s">
        <v>1586</v>
      </c>
      <c r="E236" s="168" t="s">
        <v>4631</v>
      </c>
      <c r="F236" s="169"/>
      <c r="G236" s="153" t="s">
        <v>4572</v>
      </c>
      <c r="H236" s="40"/>
    </row>
    <row r="237" s="75" customFormat="1" ht="15" spans="1:8">
      <c r="A237" s="116"/>
      <c r="B237" s="166" t="s">
        <v>4573</v>
      </c>
      <c r="C237" s="167" t="s">
        <v>229</v>
      </c>
      <c r="D237" s="153" t="s">
        <v>1591</v>
      </c>
      <c r="E237" s="168" t="s">
        <v>4631</v>
      </c>
      <c r="F237" s="169"/>
      <c r="G237" s="153" t="s">
        <v>4574</v>
      </c>
      <c r="H237" s="40"/>
    </row>
    <row r="238" s="75" customFormat="1" ht="15" spans="1:8">
      <c r="A238" s="116"/>
      <c r="B238" s="166" t="s">
        <v>4575</v>
      </c>
      <c r="C238" s="167" t="s">
        <v>229</v>
      </c>
      <c r="D238" s="153" t="s">
        <v>1599</v>
      </c>
      <c r="E238" s="168" t="s">
        <v>4631</v>
      </c>
      <c r="F238" s="169"/>
      <c r="G238" s="170" t="s">
        <v>4576</v>
      </c>
      <c r="H238" s="40"/>
    </row>
    <row r="239" s="75" customFormat="1" ht="15" spans="1:8">
      <c r="A239" s="116"/>
      <c r="B239" s="166" t="s">
        <v>4577</v>
      </c>
      <c r="C239" s="167" t="s">
        <v>229</v>
      </c>
      <c r="D239" s="153" t="s">
        <v>4578</v>
      </c>
      <c r="E239" s="168" t="s">
        <v>4631</v>
      </c>
      <c r="F239" s="169"/>
      <c r="G239" s="170" t="s">
        <v>4579</v>
      </c>
      <c r="H239" s="40"/>
    </row>
    <row r="240" s="75" customFormat="1" ht="15" spans="1:8">
      <c r="A240" s="116"/>
      <c r="B240" s="171" t="s">
        <v>3427</v>
      </c>
      <c r="C240" s="159" t="s">
        <v>229</v>
      </c>
      <c r="D240" s="159" t="s">
        <v>4580</v>
      </c>
      <c r="E240" s="172" t="s">
        <v>2697</v>
      </c>
      <c r="F240" s="173"/>
      <c r="G240" s="159" t="s">
        <v>4581</v>
      </c>
      <c r="H240" s="40"/>
    </row>
    <row r="241" s="75" customFormat="1" ht="15" spans="1:8">
      <c r="A241" s="116"/>
      <c r="B241" s="171" t="s">
        <v>3431</v>
      </c>
      <c r="C241" s="159" t="s">
        <v>229</v>
      </c>
      <c r="D241" s="159" t="s">
        <v>4582</v>
      </c>
      <c r="E241" s="172" t="s">
        <v>2697</v>
      </c>
      <c r="F241" s="173"/>
      <c r="G241" s="159" t="s">
        <v>4583</v>
      </c>
      <c r="H241" s="40"/>
    </row>
    <row r="242" s="75" customFormat="1" ht="15" spans="1:8">
      <c r="A242" s="116"/>
      <c r="B242" s="171" t="s">
        <v>3435</v>
      </c>
      <c r="C242" s="159" t="s">
        <v>229</v>
      </c>
      <c r="D242" s="159" t="s">
        <v>4584</v>
      </c>
      <c r="E242" s="172" t="s">
        <v>2697</v>
      </c>
      <c r="F242" s="173"/>
      <c r="G242" s="159" t="s">
        <v>4585</v>
      </c>
      <c r="H242" s="40"/>
    </row>
    <row r="243" s="75" customFormat="1" ht="15" spans="1:8">
      <c r="A243" s="116"/>
      <c r="B243" s="171" t="s">
        <v>3399</v>
      </c>
      <c r="C243" s="174" t="s">
        <v>229</v>
      </c>
      <c r="D243" s="159" t="s">
        <v>3400</v>
      </c>
      <c r="E243" s="172" t="s">
        <v>2697</v>
      </c>
      <c r="F243" s="159"/>
      <c r="G243" s="159" t="s">
        <v>4586</v>
      </c>
      <c r="H243" s="40"/>
    </row>
    <row r="244" s="75" customFormat="1" ht="15" spans="1:8">
      <c r="A244" s="116"/>
      <c r="B244" s="171" t="s">
        <v>3403</v>
      </c>
      <c r="C244" s="174" t="s">
        <v>229</v>
      </c>
      <c r="D244" s="159" t="s">
        <v>3404</v>
      </c>
      <c r="E244" s="172" t="s">
        <v>2697</v>
      </c>
      <c r="F244" s="159"/>
      <c r="G244" s="159" t="s">
        <v>4587</v>
      </c>
      <c r="H244" s="40"/>
    </row>
    <row r="245" s="75" customFormat="1" ht="15" spans="1:8">
      <c r="A245" s="116"/>
      <c r="B245" s="171" t="s">
        <v>3407</v>
      </c>
      <c r="C245" s="174" t="s">
        <v>229</v>
      </c>
      <c r="D245" s="159" t="s">
        <v>3408</v>
      </c>
      <c r="E245" s="172" t="s">
        <v>2697</v>
      </c>
      <c r="F245" s="159"/>
      <c r="G245" s="159" t="s">
        <v>4588</v>
      </c>
      <c r="H245" s="40"/>
    </row>
    <row r="246" s="75" customFormat="1" ht="15" spans="1:8">
      <c r="A246" s="116"/>
      <c r="B246" s="171" t="s">
        <v>3411</v>
      </c>
      <c r="C246" s="174" t="s">
        <v>229</v>
      </c>
      <c r="D246" s="159" t="s">
        <v>3412</v>
      </c>
      <c r="E246" s="172" t="s">
        <v>2697</v>
      </c>
      <c r="F246" s="159"/>
      <c r="G246" s="159" t="s">
        <v>4589</v>
      </c>
      <c r="H246" s="40"/>
    </row>
    <row r="247" s="75" customFormat="1" ht="15" spans="1:8">
      <c r="A247" s="116"/>
      <c r="B247" s="171" t="s">
        <v>3414</v>
      </c>
      <c r="C247" s="174" t="s">
        <v>229</v>
      </c>
      <c r="D247" s="159" t="s">
        <v>3415</v>
      </c>
      <c r="E247" s="172" t="s">
        <v>2697</v>
      </c>
      <c r="F247" s="159"/>
      <c r="G247" s="159" t="s">
        <v>4590</v>
      </c>
      <c r="H247" s="40"/>
    </row>
    <row r="248" s="75" customFormat="1" ht="15" spans="1:8">
      <c r="A248" s="116"/>
      <c r="B248" s="171" t="s">
        <v>3418</v>
      </c>
      <c r="C248" s="174" t="s">
        <v>229</v>
      </c>
      <c r="D248" s="159" t="s">
        <v>3419</v>
      </c>
      <c r="E248" s="172" t="s">
        <v>2697</v>
      </c>
      <c r="F248" s="159"/>
      <c r="G248" s="159" t="s">
        <v>4591</v>
      </c>
      <c r="H248" s="40"/>
    </row>
    <row r="249" s="75" customFormat="1" ht="15" spans="1:8">
      <c r="A249" s="116"/>
      <c r="B249" s="175" t="s">
        <v>3494</v>
      </c>
      <c r="C249" s="176" t="s">
        <v>229</v>
      </c>
      <c r="D249" s="152" t="s">
        <v>4592</v>
      </c>
      <c r="E249" s="172" t="s">
        <v>2697</v>
      </c>
      <c r="F249" s="168"/>
      <c r="G249" s="152" t="s">
        <v>4593</v>
      </c>
      <c r="H249" s="40"/>
    </row>
    <row r="250" s="75" customFormat="1" ht="15" spans="1:8">
      <c r="A250" s="116"/>
      <c r="B250" s="175" t="s">
        <v>3497</v>
      </c>
      <c r="C250" s="176" t="s">
        <v>229</v>
      </c>
      <c r="D250" s="152" t="s">
        <v>4594</v>
      </c>
      <c r="E250" s="172" t="s">
        <v>2697</v>
      </c>
      <c r="F250" s="168"/>
      <c r="G250" s="152" t="s">
        <v>4595</v>
      </c>
      <c r="H250" s="40"/>
    </row>
    <row r="251" s="75" customFormat="1" ht="15" spans="1:8">
      <c r="A251" s="116"/>
      <c r="B251" s="175" t="s">
        <v>3500</v>
      </c>
      <c r="C251" s="176" t="s">
        <v>229</v>
      </c>
      <c r="D251" s="152" t="s">
        <v>4596</v>
      </c>
      <c r="E251" s="172" t="s">
        <v>2697</v>
      </c>
      <c r="F251" s="168"/>
      <c r="G251" s="152" t="s">
        <v>4597</v>
      </c>
      <c r="H251" s="40"/>
    </row>
    <row r="252" s="75" customFormat="1" ht="15" spans="1:8">
      <c r="A252" s="116"/>
      <c r="B252" s="175" t="s">
        <v>3503</v>
      </c>
      <c r="C252" s="176" t="s">
        <v>229</v>
      </c>
      <c r="D252" s="152" t="s">
        <v>4598</v>
      </c>
      <c r="E252" s="172" t="s">
        <v>2697</v>
      </c>
      <c r="F252" s="168"/>
      <c r="G252" s="152" t="s">
        <v>4599</v>
      </c>
      <c r="H252" s="40"/>
    </row>
    <row r="253" s="75" customFormat="1" ht="15" spans="1:8">
      <c r="A253" s="116"/>
      <c r="B253" s="175" t="s">
        <v>3506</v>
      </c>
      <c r="C253" s="176" t="s">
        <v>229</v>
      </c>
      <c r="D253" s="152" t="s">
        <v>4600</v>
      </c>
      <c r="E253" s="172" t="s">
        <v>2697</v>
      </c>
      <c r="F253" s="168"/>
      <c r="G253" s="152" t="s">
        <v>4601</v>
      </c>
      <c r="H253" s="40"/>
    </row>
    <row r="254" s="75" customFormat="1" ht="15" spans="1:8">
      <c r="A254" s="116"/>
      <c r="B254" s="175" t="s">
        <v>3509</v>
      </c>
      <c r="C254" s="176" t="s">
        <v>229</v>
      </c>
      <c r="D254" s="152" t="s">
        <v>4602</v>
      </c>
      <c r="E254" s="172" t="s">
        <v>2697</v>
      </c>
      <c r="F254" s="168"/>
      <c r="G254" s="152" t="s">
        <v>4603</v>
      </c>
      <c r="H254" s="40"/>
    </row>
    <row r="255" s="75" customFormat="1" ht="15" spans="1:8">
      <c r="A255" s="116"/>
      <c r="B255" s="175" t="s">
        <v>3422</v>
      </c>
      <c r="C255" s="176" t="s">
        <v>229</v>
      </c>
      <c r="D255" s="152" t="s">
        <v>4604</v>
      </c>
      <c r="E255" s="172" t="s">
        <v>2697</v>
      </c>
      <c r="F255" s="168"/>
      <c r="G255" s="152" t="s">
        <v>4605</v>
      </c>
      <c r="H255" s="40"/>
    </row>
    <row r="256" s="75" customFormat="1" ht="15" spans="1:8">
      <c r="A256" s="116"/>
      <c r="B256" s="175" t="s">
        <v>3424</v>
      </c>
      <c r="C256" s="176" t="s">
        <v>229</v>
      </c>
      <c r="D256" s="152" t="s">
        <v>4606</v>
      </c>
      <c r="E256" s="172" t="s">
        <v>2697</v>
      </c>
      <c r="F256" s="168"/>
      <c r="G256" s="152" t="s">
        <v>4607</v>
      </c>
      <c r="H256" s="40"/>
    </row>
    <row r="257" s="75" customFormat="1" ht="15" spans="1:8">
      <c r="A257" s="116"/>
      <c r="B257" s="166" t="s">
        <v>3512</v>
      </c>
      <c r="C257" s="177" t="s">
        <v>229</v>
      </c>
      <c r="D257" s="153" t="s">
        <v>4608</v>
      </c>
      <c r="E257" s="172" t="s">
        <v>2697</v>
      </c>
      <c r="F257" s="169"/>
      <c r="G257" s="153" t="s">
        <v>4609</v>
      </c>
      <c r="H257" s="40"/>
    </row>
    <row r="258" s="75" customFormat="1" ht="13.8" spans="1:7">
      <c r="A258" s="123"/>
      <c r="B258" s="178" t="s">
        <v>2026</v>
      </c>
      <c r="C258" s="176" t="s">
        <v>2724</v>
      </c>
      <c r="D258" s="172" t="s">
        <v>2027</v>
      </c>
      <c r="E258" s="179" t="s">
        <v>4246</v>
      </c>
      <c r="F258" s="179"/>
      <c r="G258" s="179" t="s">
        <v>831</v>
      </c>
    </row>
    <row r="259" s="75" customFormat="1" ht="13.8" spans="1:7">
      <c r="A259" s="123"/>
      <c r="B259" s="178" t="s">
        <v>2029</v>
      </c>
      <c r="C259" s="176" t="s">
        <v>2724</v>
      </c>
      <c r="D259" s="172" t="s">
        <v>2030</v>
      </c>
      <c r="E259" s="179" t="s">
        <v>4246</v>
      </c>
      <c r="F259" s="179"/>
      <c r="G259" s="180" t="s">
        <v>4610</v>
      </c>
    </row>
    <row r="260" s="75" customFormat="1" ht="13.8" spans="1:7">
      <c r="A260" s="123"/>
      <c r="B260" s="178" t="s">
        <v>2034</v>
      </c>
      <c r="C260" s="176" t="s">
        <v>2724</v>
      </c>
      <c r="D260" s="172" t="s">
        <v>2035</v>
      </c>
      <c r="E260" s="179" t="s">
        <v>4246</v>
      </c>
      <c r="F260" s="179"/>
      <c r="G260" s="179" t="s">
        <v>4611</v>
      </c>
    </row>
    <row r="261" s="75" customFormat="1" ht="15" spans="1:8">
      <c r="A261" s="123"/>
      <c r="B261" s="178" t="s">
        <v>2041</v>
      </c>
      <c r="C261" s="172" t="s">
        <v>229</v>
      </c>
      <c r="D261" s="172" t="s">
        <v>2042</v>
      </c>
      <c r="E261" s="179" t="s">
        <v>4246</v>
      </c>
      <c r="F261" s="179"/>
      <c r="G261" s="179" t="str">
        <f>"sum("&amp;B261&amp;")"</f>
        <v>sum(videoplayhaltcount)</v>
      </c>
      <c r="H261" s="40"/>
    </row>
    <row r="262" s="75" customFormat="1" ht="15" spans="1:8">
      <c r="A262" s="123"/>
      <c r="B262" s="178" t="s">
        <v>2045</v>
      </c>
      <c r="C262" s="172" t="s">
        <v>229</v>
      </c>
      <c r="D262" s="172" t="s">
        <v>2046</v>
      </c>
      <c r="E262" s="179" t="s">
        <v>4246</v>
      </c>
      <c r="F262" s="179"/>
      <c r="G262" s="179" t="str">
        <f>"sum("&amp;B262&amp;")"</f>
        <v>sum(videoplaynohaltcount)</v>
      </c>
      <c r="H262" s="40"/>
    </row>
    <row r="263" s="75" customFormat="1" ht="15" spans="1:8">
      <c r="A263" s="123"/>
      <c r="B263" s="178" t="s">
        <v>2177</v>
      </c>
      <c r="C263" s="172" t="s">
        <v>229</v>
      </c>
      <c r="D263" s="172" t="s">
        <v>2178</v>
      </c>
      <c r="E263" s="179" t="s">
        <v>4246</v>
      </c>
      <c r="F263" s="179"/>
      <c r="G263" s="172" t="s">
        <v>4612</v>
      </c>
      <c r="H263" s="40"/>
    </row>
    <row r="264" s="75" customFormat="1" ht="15" spans="1:8">
      <c r="A264" s="123"/>
      <c r="B264" s="178" t="s">
        <v>2181</v>
      </c>
      <c r="C264" s="172" t="s">
        <v>229</v>
      </c>
      <c r="D264" s="172" t="s">
        <v>2182</v>
      </c>
      <c r="E264" s="179" t="s">
        <v>4246</v>
      </c>
      <c r="F264" s="179"/>
      <c r="G264" s="172" t="s">
        <v>4613</v>
      </c>
      <c r="H264" s="40"/>
    </row>
    <row r="265" s="75" customFormat="1" ht="15" spans="1:8">
      <c r="A265" s="123"/>
      <c r="B265" s="178" t="s">
        <v>2185</v>
      </c>
      <c r="C265" s="172" t="s">
        <v>229</v>
      </c>
      <c r="D265" s="172" t="s">
        <v>2186</v>
      </c>
      <c r="E265" s="179" t="s">
        <v>4246</v>
      </c>
      <c r="F265" s="179"/>
      <c r="G265" s="172" t="s">
        <v>4614</v>
      </c>
      <c r="H265" s="40"/>
    </row>
    <row r="266" s="75" customFormat="1" ht="15" spans="1:8">
      <c r="A266" s="123"/>
      <c r="B266" s="178" t="s">
        <v>2189</v>
      </c>
      <c r="C266" s="172" t="s">
        <v>229</v>
      </c>
      <c r="D266" s="172" t="s">
        <v>2190</v>
      </c>
      <c r="E266" s="179" t="s">
        <v>4246</v>
      </c>
      <c r="F266" s="179"/>
      <c r="G266" s="172" t="s">
        <v>4615</v>
      </c>
      <c r="H266" s="40"/>
    </row>
    <row r="267" s="75" customFormat="1" ht="15" spans="1:8">
      <c r="A267" s="123"/>
      <c r="B267" s="178" t="s">
        <v>2193</v>
      </c>
      <c r="C267" s="172" t="s">
        <v>229</v>
      </c>
      <c r="D267" s="172" t="s">
        <v>2194</v>
      </c>
      <c r="E267" s="179" t="s">
        <v>4246</v>
      </c>
      <c r="F267" s="179"/>
      <c r="G267" s="172" t="s">
        <v>4616</v>
      </c>
      <c r="H267" s="40"/>
    </row>
    <row r="268" s="75" customFormat="1" ht="15" spans="1:8">
      <c r="A268" s="123"/>
      <c r="B268" s="178" t="s">
        <v>2197</v>
      </c>
      <c r="C268" s="172" t="s">
        <v>229</v>
      </c>
      <c r="D268" s="172" t="s">
        <v>2198</v>
      </c>
      <c r="E268" s="179" t="s">
        <v>4246</v>
      </c>
      <c r="F268" s="179"/>
      <c r="G268" s="172" t="s">
        <v>4617</v>
      </c>
      <c r="H268" s="40"/>
    </row>
    <row r="269" s="75" customFormat="1" ht="15" spans="1:8">
      <c r="A269" s="123"/>
      <c r="B269" s="178" t="s">
        <v>2049</v>
      </c>
      <c r="C269" s="176" t="s">
        <v>229</v>
      </c>
      <c r="D269" s="172" t="s">
        <v>3837</v>
      </c>
      <c r="E269" s="179" t="s">
        <v>4246</v>
      </c>
      <c r="F269" s="172"/>
      <c r="G269" s="172" t="s">
        <v>4618</v>
      </c>
      <c r="H269" s="40"/>
    </row>
    <row r="270" s="75" customFormat="1" ht="15" spans="1:8">
      <c r="A270" s="123"/>
      <c r="B270" s="181" t="s">
        <v>3839</v>
      </c>
      <c r="C270" s="176" t="s">
        <v>229</v>
      </c>
      <c r="D270" s="172" t="s">
        <v>4619</v>
      </c>
      <c r="E270" s="179" t="s">
        <v>4246</v>
      </c>
      <c r="F270" s="179"/>
      <c r="G270" s="180" t="s">
        <v>4620</v>
      </c>
      <c r="H270" s="40"/>
    </row>
    <row r="271" s="75" customFormat="1" ht="15" spans="1:8">
      <c r="A271" s="123"/>
      <c r="B271" s="181" t="s">
        <v>3840</v>
      </c>
      <c r="C271" s="176" t="s">
        <v>229</v>
      </c>
      <c r="D271" s="172" t="s">
        <v>4621</v>
      </c>
      <c r="E271" s="179" t="s">
        <v>4246</v>
      </c>
      <c r="F271" s="179"/>
      <c r="G271" s="180" t="s">
        <v>4622</v>
      </c>
      <c r="H271" s="40"/>
    </row>
    <row r="272" s="40" customFormat="1" ht="15" spans="1:7">
      <c r="A272" s="123"/>
      <c r="B272" s="181" t="s">
        <v>3993</v>
      </c>
      <c r="C272" s="182" t="s">
        <v>203</v>
      </c>
      <c r="D272" s="182" t="s">
        <v>2537</v>
      </c>
      <c r="E272" s="179" t="s">
        <v>4246</v>
      </c>
      <c r="F272" s="179"/>
      <c r="G272" s="180" t="s">
        <v>4623</v>
      </c>
    </row>
    <row r="273" s="40" customFormat="1" ht="15" spans="1:7">
      <c r="A273" s="123"/>
      <c r="B273" s="183" t="s">
        <v>4018</v>
      </c>
      <c r="C273" s="182" t="s">
        <v>203</v>
      </c>
      <c r="D273" s="182" t="s">
        <v>4624</v>
      </c>
      <c r="E273" s="179" t="s">
        <v>4246</v>
      </c>
      <c r="F273" s="179"/>
      <c r="G273" s="180" t="s">
        <v>4625</v>
      </c>
    </row>
    <row r="274" s="40" customFormat="1" ht="15" spans="1:7">
      <c r="A274" s="123"/>
      <c r="B274" s="183" t="s">
        <v>3857</v>
      </c>
      <c r="C274" s="176" t="s">
        <v>229</v>
      </c>
      <c r="D274" s="182" t="s">
        <v>4626</v>
      </c>
      <c r="E274" s="179" t="s">
        <v>4246</v>
      </c>
      <c r="F274" s="179"/>
      <c r="G274" s="180" t="s">
        <v>4627</v>
      </c>
    </row>
    <row r="275" spans="2:12">
      <c r="B275" s="165" t="s">
        <v>239</v>
      </c>
      <c r="C275" s="12" t="s">
        <v>170</v>
      </c>
      <c r="D275" s="12" t="s">
        <v>240</v>
      </c>
      <c r="E275" s="12"/>
      <c r="F275" s="12"/>
      <c r="G275" s="12"/>
      <c r="H275" s="12"/>
      <c r="I275" s="12"/>
      <c r="J275" s="12"/>
      <c r="K275" s="12"/>
      <c r="L275" s="55"/>
    </row>
    <row r="276" spans="2:12">
      <c r="B276" s="12" t="s">
        <v>177</v>
      </c>
      <c r="C276" s="12" t="s">
        <v>175</v>
      </c>
      <c r="D276" s="12" t="s">
        <v>599</v>
      </c>
      <c r="E276" s="12"/>
      <c r="F276" s="12"/>
      <c r="G276" s="12"/>
      <c r="H276" s="12"/>
      <c r="I276" s="12"/>
      <c r="J276" s="12"/>
      <c r="K276" s="12"/>
      <c r="L276" s="55"/>
    </row>
    <row r="277" spans="2:12">
      <c r="B277" s="12" t="s">
        <v>693</v>
      </c>
      <c r="C277" s="12" t="s">
        <v>170</v>
      </c>
      <c r="D277" s="12" t="s">
        <v>1859</v>
      </c>
      <c r="E277" s="12"/>
      <c r="F277" s="12"/>
      <c r="G277" s="12"/>
      <c r="H277" s="12"/>
      <c r="I277" s="12"/>
      <c r="J277" s="12"/>
      <c r="K277" s="12"/>
      <c r="L277" s="55"/>
    </row>
  </sheetData>
  <autoFilter xmlns:etc="http://www.wps.cn/officeDocument/2017/etCustomData" ref="A13:N277" etc:filterBottomFollowUsedRange="0">
    <extLst/>
  </autoFilter>
  <mergeCells count="3">
    <mergeCell ref="B2:H2"/>
    <mergeCell ref="B6:H6"/>
    <mergeCell ref="B12:L12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hyperlinks>
    <hyperlink ref="B1" location="导航!A1" display="=HYPERLINK(&quot;#&quot;&amp;&quot;导航应用&quot;&amp;&quot;!B1&quot;,&quot;返回&quot;)"/>
  </hyperlinks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461"/>
  <sheetViews>
    <sheetView topLeftCell="A8" workbookViewId="0">
      <selection activeCell="J27" sqref="J27"/>
    </sheetView>
  </sheetViews>
  <sheetFormatPr defaultColWidth="9" defaultRowHeight="13.8"/>
  <cols>
    <col min="1" max="1" width="9" style="75"/>
    <col min="2" max="2" width="31.3796296296296" style="75" customWidth="1"/>
    <col min="3" max="3" width="33.5" style="75" customWidth="1"/>
    <col min="4" max="4" width="25.8796296296296" style="75" customWidth="1"/>
    <col min="5" max="5" width="20.3796296296296" style="75" customWidth="1"/>
    <col min="6" max="6" width="30.25" style="75" customWidth="1"/>
    <col min="7" max="7" width="30.6296296296296" style="75" customWidth="1"/>
    <col min="8" max="8" width="20.3796296296296" style="75" customWidth="1"/>
    <col min="9" max="16384" width="9" style="75"/>
  </cols>
  <sheetData>
    <row r="1" ht="15.6" spans="1:14">
      <c r="A1" s="76"/>
      <c r="B1" s="77" t="str">
        <f>HYPERLINK("#"&amp;"导航应用"&amp;"!B1","返回")</f>
        <v>返回</v>
      </c>
      <c r="C1" s="78"/>
      <c r="D1" s="78"/>
      <c r="E1" s="78"/>
      <c r="F1" s="78"/>
      <c r="G1" s="78"/>
      <c r="H1" s="78"/>
      <c r="I1" s="76"/>
      <c r="J1" s="76"/>
      <c r="K1" s="76"/>
      <c r="L1" s="100"/>
      <c r="M1" s="100"/>
      <c r="N1" s="100"/>
    </row>
    <row r="2" ht="18" customHeight="1" spans="1:14">
      <c r="A2" s="76"/>
      <c r="B2" s="79" t="s">
        <v>653</v>
      </c>
      <c r="C2" s="79"/>
      <c r="D2" s="79"/>
      <c r="E2" s="79"/>
      <c r="F2" s="79"/>
      <c r="G2" s="79"/>
      <c r="H2" s="79"/>
      <c r="I2" s="76"/>
      <c r="J2" s="76"/>
      <c r="K2" s="76"/>
      <c r="L2" s="100"/>
      <c r="M2" s="100"/>
      <c r="N2" s="100"/>
    </row>
    <row r="3" ht="15.6" spans="1:14">
      <c r="A3" s="76"/>
      <c r="B3" s="80" t="s">
        <v>654</v>
      </c>
      <c r="C3" s="81" t="s">
        <v>655</v>
      </c>
      <c r="D3" s="81" t="s">
        <v>656</v>
      </c>
      <c r="E3" s="81" t="s">
        <v>657</v>
      </c>
      <c r="F3" s="81" t="s">
        <v>658</v>
      </c>
      <c r="G3" s="81" t="s">
        <v>659</v>
      </c>
      <c r="H3" s="81" t="s">
        <v>660</v>
      </c>
      <c r="I3" s="76"/>
      <c r="J3" s="76"/>
      <c r="K3" s="76"/>
      <c r="L3" s="100"/>
      <c r="M3" s="100"/>
      <c r="N3" s="100"/>
    </row>
    <row r="4" ht="26.4" spans="1:14">
      <c r="A4" s="76"/>
      <c r="B4" s="82" t="s">
        <v>14</v>
      </c>
      <c r="C4" s="83" t="s">
        <v>102</v>
      </c>
      <c r="D4" s="83" t="s">
        <v>103</v>
      </c>
      <c r="E4" s="64" t="s">
        <v>661</v>
      </c>
      <c r="F4" s="158"/>
      <c r="G4" s="64"/>
      <c r="H4" s="64"/>
      <c r="I4" s="76"/>
      <c r="J4" s="76"/>
      <c r="K4" s="76"/>
      <c r="L4" s="100"/>
      <c r="M4" s="100"/>
      <c r="N4" s="76"/>
    </row>
    <row r="5" ht="15.6" spans="1:14">
      <c r="A5" s="76"/>
      <c r="B5" s="86"/>
      <c r="C5" s="87"/>
      <c r="D5" s="87"/>
      <c r="E5" s="87"/>
      <c r="F5" s="87"/>
      <c r="G5" s="87"/>
      <c r="H5" s="87"/>
      <c r="I5" s="76"/>
      <c r="J5" s="76"/>
      <c r="K5" s="76"/>
      <c r="L5" s="100"/>
      <c r="M5" s="100"/>
      <c r="N5" s="100"/>
    </row>
    <row r="6" ht="18" customHeight="1" spans="1:14">
      <c r="A6" s="76"/>
      <c r="B6" s="79" t="s">
        <v>662</v>
      </c>
      <c r="C6" s="79"/>
      <c r="D6" s="79"/>
      <c r="E6" s="79"/>
      <c r="F6" s="79"/>
      <c r="G6" s="79"/>
      <c r="H6" s="79"/>
      <c r="I6" s="76"/>
      <c r="J6" s="76"/>
      <c r="K6" s="76"/>
      <c r="L6" s="100"/>
      <c r="M6" s="100"/>
      <c r="N6" s="100"/>
    </row>
    <row r="7" ht="15.6" spans="1:14">
      <c r="A7" s="76"/>
      <c r="B7" s="88" t="s">
        <v>663</v>
      </c>
      <c r="C7" s="89" t="s">
        <v>664</v>
      </c>
      <c r="D7" s="89" t="s">
        <v>665</v>
      </c>
      <c r="E7" s="89" t="s">
        <v>666</v>
      </c>
      <c r="F7" s="89" t="s">
        <v>667</v>
      </c>
      <c r="G7" s="89" t="s">
        <v>668</v>
      </c>
      <c r="H7" s="89" t="s">
        <v>669</v>
      </c>
      <c r="I7" s="76"/>
      <c r="J7" s="76"/>
      <c r="K7" s="76"/>
      <c r="L7" s="100"/>
      <c r="M7" s="100"/>
      <c r="N7" s="100"/>
    </row>
    <row r="8" ht="46.5" customHeight="1" spans="1:14">
      <c r="A8" s="76"/>
      <c r="B8" s="82" t="s">
        <v>4736</v>
      </c>
      <c r="C8" s="148" t="s">
        <v>96</v>
      </c>
      <c r="D8" s="101" t="s">
        <v>4243</v>
      </c>
      <c r="E8" s="64" t="s">
        <v>4737</v>
      </c>
      <c r="F8" s="64"/>
      <c r="G8" s="90" t="s">
        <v>4738</v>
      </c>
      <c r="H8" s="64" t="s">
        <v>4739</v>
      </c>
      <c r="I8" s="76"/>
      <c r="J8" s="76"/>
      <c r="K8" s="76"/>
      <c r="L8" s="100"/>
      <c r="M8" s="100"/>
      <c r="N8" s="100"/>
    </row>
    <row r="9" ht="15.6" spans="1:14">
      <c r="A9" s="76"/>
      <c r="B9" s="82" t="s">
        <v>4736</v>
      </c>
      <c r="C9" s="159" t="s">
        <v>75</v>
      </c>
      <c r="D9" s="101" t="s">
        <v>2569</v>
      </c>
      <c r="E9" s="64" t="s">
        <v>4740</v>
      </c>
      <c r="F9" s="64"/>
      <c r="G9" s="90"/>
      <c r="H9" s="64"/>
      <c r="I9" s="76"/>
      <c r="J9" s="76"/>
      <c r="K9" s="76"/>
      <c r="L9" s="100"/>
      <c r="M9" s="100"/>
      <c r="N9" s="100"/>
    </row>
    <row r="10" ht="15.6" spans="1:14">
      <c r="A10" s="76"/>
      <c r="B10" s="82" t="s">
        <v>4736</v>
      </c>
      <c r="C10" s="159" t="s">
        <v>78</v>
      </c>
      <c r="D10" s="64"/>
      <c r="E10" s="64" t="s">
        <v>4741</v>
      </c>
      <c r="F10" s="64"/>
      <c r="G10" s="90"/>
      <c r="H10" s="64"/>
      <c r="I10" s="76"/>
      <c r="J10" s="76"/>
      <c r="K10" s="76"/>
      <c r="L10" s="100"/>
      <c r="M10" s="100"/>
      <c r="N10" s="100"/>
    </row>
    <row r="11" ht="15.6" spans="1:14">
      <c r="A11" s="76"/>
      <c r="B11" s="82" t="s">
        <v>4736</v>
      </c>
      <c r="C11" s="159" t="s">
        <v>4742</v>
      </c>
      <c r="D11" s="160" t="s">
        <v>4743</v>
      </c>
      <c r="E11" s="64" t="s">
        <v>4744</v>
      </c>
      <c r="F11" s="64" t="s">
        <v>4745</v>
      </c>
      <c r="G11" s="90"/>
      <c r="H11" s="64"/>
      <c r="I11" s="76"/>
      <c r="J11" s="76"/>
      <c r="K11" s="76"/>
      <c r="L11" s="100"/>
      <c r="M11" s="100"/>
      <c r="N11" s="100"/>
    </row>
    <row r="12" ht="15.6" spans="1:14">
      <c r="A12" s="76"/>
      <c r="B12" s="82"/>
      <c r="C12" s="159" t="s">
        <v>4746</v>
      </c>
      <c r="D12" s="64"/>
      <c r="E12" s="64"/>
      <c r="F12" s="64"/>
      <c r="G12" s="90"/>
      <c r="H12" s="64"/>
      <c r="I12" s="76"/>
      <c r="J12" s="76"/>
      <c r="K12" s="76"/>
      <c r="L12" s="100"/>
      <c r="M12" s="100"/>
      <c r="N12" s="100"/>
    </row>
    <row r="13" ht="15.6" spans="1:14">
      <c r="A13" s="76"/>
      <c r="B13" s="76"/>
      <c r="C13" s="91"/>
      <c r="D13" s="76"/>
      <c r="E13" s="76"/>
      <c r="F13" s="76"/>
      <c r="G13" s="76"/>
      <c r="H13" s="76"/>
      <c r="I13" s="76"/>
      <c r="J13" s="76"/>
      <c r="K13" s="76"/>
      <c r="L13" s="100"/>
      <c r="M13" s="100"/>
      <c r="N13" s="100"/>
    </row>
    <row r="14" ht="15.6" spans="1:14">
      <c r="A14" s="76"/>
      <c r="B14" s="76"/>
      <c r="C14" s="91"/>
      <c r="D14" s="76"/>
      <c r="E14" s="76"/>
      <c r="F14" s="76"/>
      <c r="G14" s="76"/>
      <c r="H14" s="76"/>
      <c r="I14" s="76"/>
      <c r="J14" s="76"/>
      <c r="K14" s="76"/>
      <c r="L14" s="100"/>
      <c r="M14" s="100"/>
      <c r="N14" s="100"/>
    </row>
    <row r="15" ht="16.5" customHeight="1" spans="1:14">
      <c r="A15" s="76"/>
      <c r="B15" s="92" t="s">
        <v>673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100"/>
      <c r="N15" s="100"/>
    </row>
    <row r="16" ht="15.6" spans="1:14">
      <c r="A16" s="76"/>
      <c r="B16" s="93" t="s">
        <v>674</v>
      </c>
      <c r="C16" s="94" t="s">
        <v>675</v>
      </c>
      <c r="D16" s="94" t="s">
        <v>676</v>
      </c>
      <c r="E16" s="94" t="s">
        <v>677</v>
      </c>
      <c r="F16" s="94" t="s">
        <v>678</v>
      </c>
      <c r="G16" s="94" t="s">
        <v>679</v>
      </c>
      <c r="H16" s="94" t="s">
        <v>680</v>
      </c>
      <c r="I16" s="94" t="s">
        <v>681</v>
      </c>
      <c r="J16" s="94" t="s">
        <v>682</v>
      </c>
      <c r="K16" s="94" t="s">
        <v>683</v>
      </c>
      <c r="L16" s="94" t="s">
        <v>684</v>
      </c>
      <c r="M16" s="100"/>
      <c r="N16" s="100"/>
    </row>
    <row r="17" ht="15.6" spans="1:14">
      <c r="A17" s="95"/>
      <c r="B17" s="69" t="s">
        <v>174</v>
      </c>
      <c r="C17" s="96" t="s">
        <v>175</v>
      </c>
      <c r="D17" s="61" t="s">
        <v>4747</v>
      </c>
      <c r="E17" s="64" t="s">
        <v>4748</v>
      </c>
      <c r="F17" s="61" t="s">
        <v>1530</v>
      </c>
      <c r="G17" s="150" t="s">
        <v>4749</v>
      </c>
      <c r="H17" s="64"/>
      <c r="I17" s="64"/>
      <c r="J17" s="64"/>
      <c r="K17" s="64"/>
      <c r="L17" s="64"/>
      <c r="M17" s="100"/>
      <c r="N17" s="100"/>
    </row>
    <row r="18" ht="15.6" spans="1:14">
      <c r="A18" s="95"/>
      <c r="B18" s="69" t="s">
        <v>690</v>
      </c>
      <c r="C18" s="96" t="s">
        <v>170</v>
      </c>
      <c r="D18" s="67" t="s">
        <v>4750</v>
      </c>
      <c r="E18" s="64" t="s">
        <v>4748</v>
      </c>
      <c r="F18" s="61" t="s">
        <v>1532</v>
      </c>
      <c r="G18" s="150" t="s">
        <v>4749</v>
      </c>
      <c r="H18" s="64"/>
      <c r="I18" s="64"/>
      <c r="J18" s="64"/>
      <c r="K18" s="64"/>
      <c r="L18" s="61"/>
      <c r="M18" s="100"/>
      <c r="N18" s="100"/>
    </row>
    <row r="19" ht="15.6" spans="1:14">
      <c r="A19" s="95"/>
      <c r="B19" s="69" t="s">
        <v>694</v>
      </c>
      <c r="C19" s="96" t="s">
        <v>170</v>
      </c>
      <c r="D19" s="98" t="s">
        <v>4751</v>
      </c>
      <c r="E19" s="64" t="s">
        <v>4748</v>
      </c>
      <c r="F19" s="61" t="s">
        <v>694</v>
      </c>
      <c r="G19" s="150" t="s">
        <v>4749</v>
      </c>
      <c r="H19" s="64"/>
      <c r="I19" s="64"/>
      <c r="J19" s="64"/>
      <c r="K19" s="64"/>
      <c r="L19" s="61"/>
      <c r="M19" s="100"/>
      <c r="N19" s="100"/>
    </row>
    <row r="20" ht="15.6" spans="1:14">
      <c r="A20" s="95"/>
      <c r="B20" s="161" t="s">
        <v>697</v>
      </c>
      <c r="C20" s="96" t="s">
        <v>170</v>
      </c>
      <c r="D20" s="67" t="s">
        <v>4752</v>
      </c>
      <c r="E20" s="64" t="s">
        <v>4748</v>
      </c>
      <c r="F20" s="61" t="s">
        <v>697</v>
      </c>
      <c r="G20" s="150" t="s">
        <v>4749</v>
      </c>
      <c r="H20" s="64"/>
      <c r="I20" s="64"/>
      <c r="J20" s="64"/>
      <c r="K20" s="64"/>
      <c r="L20" s="61"/>
      <c r="M20" s="100"/>
      <c r="N20" s="100"/>
    </row>
    <row r="21" ht="15.6" spans="1:14">
      <c r="A21" s="95"/>
      <c r="B21" s="161" t="s">
        <v>699</v>
      </c>
      <c r="C21" s="96" t="s">
        <v>170</v>
      </c>
      <c r="D21" s="98" t="s">
        <v>4753</v>
      </c>
      <c r="E21" s="64" t="s">
        <v>4748</v>
      </c>
      <c r="F21" s="61" t="s">
        <v>699</v>
      </c>
      <c r="G21" s="150" t="s">
        <v>4749</v>
      </c>
      <c r="H21" s="64"/>
      <c r="I21" s="64"/>
      <c r="J21" s="64"/>
      <c r="K21" s="64"/>
      <c r="L21" s="61"/>
      <c r="M21" s="100"/>
      <c r="N21" s="100"/>
    </row>
    <row r="22" ht="15.6" spans="1:14">
      <c r="A22" s="95"/>
      <c r="B22" s="161" t="s">
        <v>701</v>
      </c>
      <c r="C22" s="96" t="s">
        <v>170</v>
      </c>
      <c r="D22" s="98" t="s">
        <v>4754</v>
      </c>
      <c r="E22" s="64" t="s">
        <v>4748</v>
      </c>
      <c r="F22" s="61" t="s">
        <v>701</v>
      </c>
      <c r="G22" s="150" t="s">
        <v>4749</v>
      </c>
      <c r="H22" s="64"/>
      <c r="I22" s="64"/>
      <c r="J22" s="64"/>
      <c r="K22" s="64"/>
      <c r="L22" s="61"/>
      <c r="M22" s="100"/>
      <c r="N22" s="100"/>
    </row>
    <row r="23" ht="15.6" spans="1:14">
      <c r="A23" s="95"/>
      <c r="B23" s="161" t="s">
        <v>703</v>
      </c>
      <c r="C23" s="96" t="s">
        <v>175</v>
      </c>
      <c r="D23" s="61" t="s">
        <v>704</v>
      </c>
      <c r="E23" s="64"/>
      <c r="F23" s="61"/>
      <c r="G23" s="150" t="s">
        <v>4755</v>
      </c>
      <c r="H23" s="64"/>
      <c r="I23" s="64"/>
      <c r="J23" s="64"/>
      <c r="K23" s="64"/>
      <c r="L23" s="61"/>
      <c r="M23" s="100"/>
      <c r="N23" s="100"/>
    </row>
    <row r="24" ht="15.6" spans="1:14">
      <c r="A24" s="95"/>
      <c r="B24" s="161" t="s">
        <v>4756</v>
      </c>
      <c r="C24" s="96" t="s">
        <v>175</v>
      </c>
      <c r="D24" s="61" t="s">
        <v>4757</v>
      </c>
      <c r="E24" s="64" t="s">
        <v>4748</v>
      </c>
      <c r="F24" s="61" t="s">
        <v>4756</v>
      </c>
      <c r="G24" s="150" t="s">
        <v>4749</v>
      </c>
      <c r="H24" s="64"/>
      <c r="I24" s="64"/>
      <c r="J24" s="64"/>
      <c r="K24" s="64"/>
      <c r="L24" s="61"/>
      <c r="M24" s="100"/>
      <c r="N24" s="100"/>
    </row>
    <row r="25" ht="15.6" spans="1:14">
      <c r="A25" s="95"/>
      <c r="B25" s="161" t="s">
        <v>715</v>
      </c>
      <c r="C25" s="96" t="s">
        <v>175</v>
      </c>
      <c r="D25" s="61" t="s">
        <v>4758</v>
      </c>
      <c r="E25" s="64" t="s">
        <v>4748</v>
      </c>
      <c r="F25" s="61" t="s">
        <v>715</v>
      </c>
      <c r="G25" s="150" t="s">
        <v>4749</v>
      </c>
      <c r="H25" s="64"/>
      <c r="I25" s="64"/>
      <c r="J25" s="64"/>
      <c r="K25" s="64"/>
      <c r="L25" s="61"/>
      <c r="M25" s="100"/>
      <c r="N25" s="100"/>
    </row>
    <row r="26" ht="15.6" spans="1:14">
      <c r="A26" s="95"/>
      <c r="B26" s="161" t="s">
        <v>717</v>
      </c>
      <c r="C26" s="96" t="s">
        <v>175</v>
      </c>
      <c r="D26" s="61" t="s">
        <v>4759</v>
      </c>
      <c r="E26" s="64" t="s">
        <v>4748</v>
      </c>
      <c r="F26" s="61" t="s">
        <v>717</v>
      </c>
      <c r="G26" s="150" t="s">
        <v>4749</v>
      </c>
      <c r="H26" s="64"/>
      <c r="I26" s="64"/>
      <c r="J26" s="64"/>
      <c r="K26" s="64"/>
      <c r="L26" s="61"/>
      <c r="M26" s="100"/>
      <c r="N26" s="100"/>
    </row>
    <row r="27" ht="15.6" spans="1:14">
      <c r="A27" s="95"/>
      <c r="B27" s="161" t="s">
        <v>721</v>
      </c>
      <c r="C27" s="96" t="s">
        <v>175</v>
      </c>
      <c r="D27" s="61" t="s">
        <v>722</v>
      </c>
      <c r="E27" s="64" t="s">
        <v>4748</v>
      </c>
      <c r="F27" s="61" t="s">
        <v>721</v>
      </c>
      <c r="G27" s="150" t="s">
        <v>4749</v>
      </c>
      <c r="H27" s="64"/>
      <c r="I27" s="64"/>
      <c r="J27" s="64"/>
      <c r="K27" s="64"/>
      <c r="L27" s="61"/>
      <c r="M27" s="100"/>
      <c r="N27" s="100"/>
    </row>
    <row r="28" ht="15.6" spans="1:14">
      <c r="A28" s="95"/>
      <c r="B28" s="161" t="s">
        <v>2575</v>
      </c>
      <c r="C28" s="96" t="s">
        <v>175</v>
      </c>
      <c r="D28" s="61" t="s">
        <v>2575</v>
      </c>
      <c r="E28" s="64" t="s">
        <v>4748</v>
      </c>
      <c r="F28" s="61" t="s">
        <v>2575</v>
      </c>
      <c r="G28" s="150" t="s">
        <v>4749</v>
      </c>
      <c r="H28" s="64"/>
      <c r="I28" s="64"/>
      <c r="J28" s="64"/>
      <c r="K28" s="64"/>
      <c r="L28" s="61"/>
      <c r="M28" s="100"/>
      <c r="N28" s="100"/>
    </row>
    <row r="29" ht="16.5" customHeight="1" spans="1:14">
      <c r="A29" s="95"/>
      <c r="B29" s="69" t="s">
        <v>4760</v>
      </c>
      <c r="C29" s="96" t="s">
        <v>229</v>
      </c>
      <c r="D29" s="61" t="s">
        <v>1527</v>
      </c>
      <c r="E29" s="64" t="s">
        <v>4737</v>
      </c>
      <c r="F29" s="64"/>
      <c r="G29" s="148" t="s">
        <v>4761</v>
      </c>
      <c r="H29" s="99"/>
      <c r="I29" s="64"/>
      <c r="J29" s="64"/>
      <c r="K29" s="64"/>
      <c r="L29" s="61"/>
      <c r="M29" s="100"/>
      <c r="N29" s="100"/>
    </row>
    <row r="30" ht="15.6" spans="1:14">
      <c r="A30" s="95"/>
      <c r="B30" s="69" t="s">
        <v>4762</v>
      </c>
      <c r="C30" s="96" t="s">
        <v>229</v>
      </c>
      <c r="D30" s="61" t="s">
        <v>4763</v>
      </c>
      <c r="E30" s="64" t="s">
        <v>4737</v>
      </c>
      <c r="F30" s="64"/>
      <c r="G30" s="148" t="s">
        <v>4764</v>
      </c>
      <c r="H30" s="99"/>
      <c r="I30" s="64"/>
      <c r="J30" s="64"/>
      <c r="K30" s="64"/>
      <c r="L30" s="61"/>
      <c r="M30" s="100"/>
      <c r="N30" s="100"/>
    </row>
    <row r="31" ht="15.6" spans="1:14">
      <c r="A31" s="95"/>
      <c r="B31" s="69" t="s">
        <v>4765</v>
      </c>
      <c r="C31" s="96" t="s">
        <v>203</v>
      </c>
      <c r="D31" s="61" t="s">
        <v>4766</v>
      </c>
      <c r="E31" s="64" t="s">
        <v>4737</v>
      </c>
      <c r="F31" s="64"/>
      <c r="G31" s="148" t="s">
        <v>4767</v>
      </c>
      <c r="H31" s="99"/>
      <c r="I31" s="64"/>
      <c r="J31" s="64"/>
      <c r="K31" s="64"/>
      <c r="L31" s="61"/>
      <c r="M31" s="100"/>
      <c r="N31" s="100"/>
    </row>
    <row r="32" ht="15.6" spans="1:14">
      <c r="A32" s="95"/>
      <c r="B32" s="69" t="s">
        <v>4768</v>
      </c>
      <c r="C32" s="96" t="s">
        <v>229</v>
      </c>
      <c r="D32" s="61" t="s">
        <v>4769</v>
      </c>
      <c r="E32" s="64" t="s">
        <v>4737</v>
      </c>
      <c r="F32" s="64"/>
      <c r="G32" s="148" t="s">
        <v>4770</v>
      </c>
      <c r="H32" s="99"/>
      <c r="I32" s="64"/>
      <c r="J32" s="64"/>
      <c r="K32" s="64"/>
      <c r="L32" s="61"/>
      <c r="M32" s="100"/>
      <c r="N32" s="100"/>
    </row>
    <row r="33" ht="15.6" spans="1:14">
      <c r="A33" s="95"/>
      <c r="B33" s="69" t="s">
        <v>4771</v>
      </c>
      <c r="C33" s="96" t="s">
        <v>229</v>
      </c>
      <c r="D33" s="61" t="s">
        <v>4772</v>
      </c>
      <c r="E33" s="64" t="s">
        <v>4737</v>
      </c>
      <c r="F33" s="64"/>
      <c r="G33" s="148" t="s">
        <v>4773</v>
      </c>
      <c r="H33" s="99"/>
      <c r="I33" s="64"/>
      <c r="J33" s="64"/>
      <c r="K33" s="64"/>
      <c r="L33" s="61"/>
      <c r="M33" s="100"/>
      <c r="N33" s="100"/>
    </row>
    <row r="34" ht="15.6" spans="1:14">
      <c r="A34" s="95"/>
      <c r="B34" s="69" t="s">
        <v>4774</v>
      </c>
      <c r="C34" s="96" t="s">
        <v>229</v>
      </c>
      <c r="D34" s="61" t="s">
        <v>4775</v>
      </c>
      <c r="E34" s="64" t="s">
        <v>4737</v>
      </c>
      <c r="F34" s="64"/>
      <c r="G34" s="148" t="s">
        <v>4776</v>
      </c>
      <c r="H34" s="99"/>
      <c r="I34" s="64"/>
      <c r="J34" s="64"/>
      <c r="K34" s="64"/>
      <c r="L34" s="61"/>
      <c r="M34" s="100"/>
      <c r="N34" s="100"/>
    </row>
    <row r="35" ht="15.6" spans="1:14">
      <c r="A35" s="95"/>
      <c r="B35" s="69" t="s">
        <v>4777</v>
      </c>
      <c r="C35" s="96" t="s">
        <v>229</v>
      </c>
      <c r="D35" s="61" t="s">
        <v>4778</v>
      </c>
      <c r="E35" s="64" t="s">
        <v>4737</v>
      </c>
      <c r="F35" s="64"/>
      <c r="G35" s="148" t="s">
        <v>4779</v>
      </c>
      <c r="H35" s="99"/>
      <c r="I35" s="64"/>
      <c r="J35" s="64"/>
      <c r="K35" s="64"/>
      <c r="L35" s="61"/>
      <c r="M35" s="100"/>
      <c r="N35" s="100"/>
    </row>
    <row r="36" ht="15.6" spans="1:14">
      <c r="A36" s="95"/>
      <c r="B36" s="69" t="s">
        <v>4780</v>
      </c>
      <c r="C36" s="96" t="s">
        <v>229</v>
      </c>
      <c r="D36" s="61" t="s">
        <v>4781</v>
      </c>
      <c r="E36" s="64" t="s">
        <v>4737</v>
      </c>
      <c r="F36" s="64"/>
      <c r="G36" s="148" t="s">
        <v>4782</v>
      </c>
      <c r="H36" s="99"/>
      <c r="I36" s="64"/>
      <c r="J36" s="64"/>
      <c r="K36" s="64"/>
      <c r="L36" s="61"/>
      <c r="M36" s="100"/>
      <c r="N36" s="100"/>
    </row>
    <row r="37" ht="15.6" spans="1:14">
      <c r="A37" s="95"/>
      <c r="B37" s="69" t="s">
        <v>4783</v>
      </c>
      <c r="C37" s="96" t="s">
        <v>229</v>
      </c>
      <c r="D37" s="61" t="s">
        <v>4784</v>
      </c>
      <c r="E37" s="64" t="s">
        <v>4737</v>
      </c>
      <c r="F37" s="64"/>
      <c r="G37" s="148" t="s">
        <v>4785</v>
      </c>
      <c r="H37" s="99"/>
      <c r="I37" s="64"/>
      <c r="J37" s="64"/>
      <c r="K37" s="64"/>
      <c r="L37" s="61"/>
      <c r="M37" s="100"/>
      <c r="N37" s="100"/>
    </row>
    <row r="38" ht="15.6" spans="1:14">
      <c r="A38" s="95"/>
      <c r="B38" s="69" t="s">
        <v>4786</v>
      </c>
      <c r="C38" s="96" t="s">
        <v>229</v>
      </c>
      <c r="D38" s="61" t="s">
        <v>4787</v>
      </c>
      <c r="E38" s="64" t="s">
        <v>4737</v>
      </c>
      <c r="F38" s="64"/>
      <c r="G38" s="148" t="s">
        <v>4788</v>
      </c>
      <c r="H38" s="99"/>
      <c r="I38" s="64"/>
      <c r="J38" s="64"/>
      <c r="K38" s="64"/>
      <c r="L38" s="61"/>
      <c r="M38" s="100"/>
      <c r="N38" s="100"/>
    </row>
    <row r="39" ht="15.6" spans="1:14">
      <c r="A39" s="95"/>
      <c r="B39" s="69" t="s">
        <v>4789</v>
      </c>
      <c r="C39" s="96" t="s">
        <v>229</v>
      </c>
      <c r="D39" s="61" t="s">
        <v>4790</v>
      </c>
      <c r="E39" s="64" t="s">
        <v>4737</v>
      </c>
      <c r="F39" s="64"/>
      <c r="G39" s="148" t="s">
        <v>4791</v>
      </c>
      <c r="H39" s="99"/>
      <c r="I39" s="64"/>
      <c r="J39" s="64"/>
      <c r="K39" s="64"/>
      <c r="L39" s="61"/>
      <c r="M39" s="100"/>
      <c r="N39" s="100"/>
    </row>
    <row r="40" ht="15.6" spans="1:14">
      <c r="A40" s="95"/>
      <c r="B40" s="69" t="s">
        <v>4792</v>
      </c>
      <c r="C40" s="96" t="s">
        <v>229</v>
      </c>
      <c r="D40" s="61" t="s">
        <v>4793</v>
      </c>
      <c r="E40" s="64" t="s">
        <v>4737</v>
      </c>
      <c r="F40" s="64"/>
      <c r="G40" s="148" t="s">
        <v>4794</v>
      </c>
      <c r="H40" s="99"/>
      <c r="I40" s="64"/>
      <c r="J40" s="64"/>
      <c r="K40" s="64"/>
      <c r="L40" s="61"/>
      <c r="M40" s="100"/>
      <c r="N40" s="100"/>
    </row>
    <row r="41" ht="15.6" spans="1:14">
      <c r="A41" s="95"/>
      <c r="B41" s="69" t="s">
        <v>4795</v>
      </c>
      <c r="C41" s="96" t="s">
        <v>229</v>
      </c>
      <c r="D41" s="61" t="s">
        <v>4796</v>
      </c>
      <c r="E41" s="64" t="s">
        <v>4737</v>
      </c>
      <c r="F41" s="64"/>
      <c r="G41" s="148" t="s">
        <v>4797</v>
      </c>
      <c r="H41" s="99"/>
      <c r="I41" s="64"/>
      <c r="J41" s="64"/>
      <c r="K41" s="64"/>
      <c r="L41" s="61"/>
      <c r="M41" s="100"/>
      <c r="N41" s="100"/>
    </row>
    <row r="42" ht="15.6" spans="1:14">
      <c r="A42" s="95"/>
      <c r="B42" s="69" t="s">
        <v>4798</v>
      </c>
      <c r="C42" s="96" t="s">
        <v>229</v>
      </c>
      <c r="D42" s="61" t="s">
        <v>4799</v>
      </c>
      <c r="E42" s="64" t="s">
        <v>4737</v>
      </c>
      <c r="F42" s="64"/>
      <c r="G42" s="148" t="s">
        <v>4800</v>
      </c>
      <c r="H42" s="99"/>
      <c r="I42" s="64"/>
      <c r="J42" s="64"/>
      <c r="K42" s="64"/>
      <c r="L42" s="61"/>
      <c r="M42" s="100"/>
      <c r="N42" s="100"/>
    </row>
    <row r="43" ht="15.6" spans="1:14">
      <c r="A43" s="95"/>
      <c r="B43" s="69" t="s">
        <v>4801</v>
      </c>
      <c r="C43" s="96" t="s">
        <v>229</v>
      </c>
      <c r="D43" s="61" t="s">
        <v>4802</v>
      </c>
      <c r="E43" s="64" t="s">
        <v>4737</v>
      </c>
      <c r="F43" s="64"/>
      <c r="G43" s="148" t="s">
        <v>4803</v>
      </c>
      <c r="H43" s="99"/>
      <c r="I43" s="64"/>
      <c r="J43" s="64"/>
      <c r="K43" s="64"/>
      <c r="L43" s="61"/>
      <c r="M43" s="100"/>
      <c r="N43" s="100"/>
    </row>
    <row r="44" ht="15.6" spans="1:14">
      <c r="A44" s="95"/>
      <c r="B44" s="69" t="s">
        <v>4804</v>
      </c>
      <c r="C44" s="96" t="s">
        <v>229</v>
      </c>
      <c r="D44" s="61" t="s">
        <v>4805</v>
      </c>
      <c r="E44" s="64" t="s">
        <v>4737</v>
      </c>
      <c r="F44" s="64"/>
      <c r="G44" s="148" t="s">
        <v>4806</v>
      </c>
      <c r="H44" s="99"/>
      <c r="I44" s="64"/>
      <c r="J44" s="64"/>
      <c r="K44" s="64"/>
      <c r="L44" s="61"/>
      <c r="M44" s="100"/>
      <c r="N44" s="100"/>
    </row>
    <row r="45" ht="15.6" spans="1:14">
      <c r="A45" s="95"/>
      <c r="B45" s="69" t="s">
        <v>4807</v>
      </c>
      <c r="C45" s="96" t="s">
        <v>229</v>
      </c>
      <c r="D45" s="61" t="s">
        <v>4808</v>
      </c>
      <c r="E45" s="64" t="s">
        <v>4737</v>
      </c>
      <c r="F45" s="64"/>
      <c r="G45" s="148" t="s">
        <v>4809</v>
      </c>
      <c r="H45" s="99"/>
      <c r="I45" s="64"/>
      <c r="J45" s="64"/>
      <c r="K45" s="64"/>
      <c r="L45" s="61"/>
      <c r="M45" s="100"/>
      <c r="N45" s="100"/>
    </row>
    <row r="46" ht="15.6" spans="1:14">
      <c r="A46" s="95"/>
      <c r="B46" s="69" t="s">
        <v>4810</v>
      </c>
      <c r="C46" s="96" t="s">
        <v>203</v>
      </c>
      <c r="D46" s="61" t="s">
        <v>4811</v>
      </c>
      <c r="E46" s="64" t="s">
        <v>4737</v>
      </c>
      <c r="F46" s="64"/>
      <c r="G46" s="148" t="s">
        <v>4812</v>
      </c>
      <c r="H46" s="99"/>
      <c r="I46" s="64"/>
      <c r="J46" s="64"/>
      <c r="K46" s="64"/>
      <c r="L46" s="61"/>
      <c r="M46" s="100"/>
      <c r="N46" s="100"/>
    </row>
    <row r="47" ht="15.6" spans="1:14">
      <c r="A47" s="95"/>
      <c r="B47" s="69" t="s">
        <v>4813</v>
      </c>
      <c r="C47" s="96" t="s">
        <v>203</v>
      </c>
      <c r="D47" s="61" t="s">
        <v>4814</v>
      </c>
      <c r="E47" s="64" t="s">
        <v>4737</v>
      </c>
      <c r="F47" s="64"/>
      <c r="G47" s="148" t="s">
        <v>4815</v>
      </c>
      <c r="H47" s="99"/>
      <c r="I47" s="64"/>
      <c r="J47" s="64"/>
      <c r="K47" s="64"/>
      <c r="L47" s="61"/>
      <c r="M47" s="100"/>
      <c r="N47" s="100"/>
    </row>
    <row r="48" ht="15.6" spans="1:14">
      <c r="A48" s="95"/>
      <c r="B48" s="69" t="s">
        <v>4816</v>
      </c>
      <c r="C48" s="96" t="s">
        <v>203</v>
      </c>
      <c r="D48" s="61" t="s">
        <v>4817</v>
      </c>
      <c r="E48" s="64" t="s">
        <v>4737</v>
      </c>
      <c r="F48" s="64"/>
      <c r="G48" s="148" t="s">
        <v>4818</v>
      </c>
      <c r="H48" s="99"/>
      <c r="I48" s="64"/>
      <c r="J48" s="64"/>
      <c r="K48" s="64"/>
      <c r="L48" s="61"/>
      <c r="M48" s="100"/>
      <c r="N48" s="100"/>
    </row>
    <row r="49" ht="15.6" spans="1:14">
      <c r="A49" s="95"/>
      <c r="B49" s="69" t="s">
        <v>4819</v>
      </c>
      <c r="C49" s="96" t="s">
        <v>203</v>
      </c>
      <c r="D49" s="61" t="s">
        <v>4820</v>
      </c>
      <c r="E49" s="64" t="s">
        <v>4737</v>
      </c>
      <c r="F49" s="64"/>
      <c r="G49" s="148" t="s">
        <v>4821</v>
      </c>
      <c r="H49" s="99"/>
      <c r="I49" s="64"/>
      <c r="J49" s="64"/>
      <c r="K49" s="64"/>
      <c r="L49" s="61"/>
      <c r="M49" s="100"/>
      <c r="N49" s="100"/>
    </row>
    <row r="50" ht="15.6" spans="1:14">
      <c r="A50" s="95"/>
      <c r="B50" s="69" t="s">
        <v>4822</v>
      </c>
      <c r="C50" s="96" t="s">
        <v>203</v>
      </c>
      <c r="D50" s="61" t="s">
        <v>4823</v>
      </c>
      <c r="E50" s="64" t="s">
        <v>4737</v>
      </c>
      <c r="F50" s="64"/>
      <c r="G50" s="148" t="s">
        <v>4824</v>
      </c>
      <c r="H50" s="99"/>
      <c r="I50" s="64"/>
      <c r="J50" s="64"/>
      <c r="K50" s="64"/>
      <c r="L50" s="61"/>
      <c r="M50" s="100"/>
      <c r="N50" s="100"/>
    </row>
    <row r="51" ht="15.6" spans="1:14">
      <c r="A51" s="95"/>
      <c r="B51" s="69" t="s">
        <v>4825</v>
      </c>
      <c r="C51" s="96" t="s">
        <v>203</v>
      </c>
      <c r="D51" s="61" t="s">
        <v>4826</v>
      </c>
      <c r="E51" s="64" t="s">
        <v>4737</v>
      </c>
      <c r="F51" s="64"/>
      <c r="G51" s="148" t="s">
        <v>4827</v>
      </c>
      <c r="H51" s="99"/>
      <c r="I51" s="64"/>
      <c r="J51" s="64"/>
      <c r="K51" s="64"/>
      <c r="L51" s="61"/>
      <c r="M51" s="100"/>
      <c r="N51" s="100"/>
    </row>
    <row r="52" ht="15.6" spans="1:14">
      <c r="A52" s="95"/>
      <c r="B52" s="69" t="s">
        <v>4828</v>
      </c>
      <c r="C52" s="96" t="s">
        <v>229</v>
      </c>
      <c r="D52" s="61" t="s">
        <v>4829</v>
      </c>
      <c r="E52" s="64" t="s">
        <v>4737</v>
      </c>
      <c r="F52" s="64"/>
      <c r="G52" s="148" t="s">
        <v>4830</v>
      </c>
      <c r="H52" s="99"/>
      <c r="I52" s="64"/>
      <c r="J52" s="64"/>
      <c r="K52" s="64"/>
      <c r="L52" s="61"/>
      <c r="M52" s="100"/>
      <c r="N52" s="100"/>
    </row>
    <row r="53" ht="15.6" spans="1:14">
      <c r="A53" s="95"/>
      <c r="B53" s="69" t="s">
        <v>4831</v>
      </c>
      <c r="C53" s="96" t="s">
        <v>229</v>
      </c>
      <c r="D53" s="61" t="s">
        <v>4832</v>
      </c>
      <c r="E53" s="64" t="s">
        <v>4737</v>
      </c>
      <c r="F53" s="64"/>
      <c r="G53" s="148" t="s">
        <v>4833</v>
      </c>
      <c r="H53" s="99"/>
      <c r="I53" s="64"/>
      <c r="J53" s="64"/>
      <c r="K53" s="64"/>
      <c r="L53" s="61"/>
      <c r="M53" s="100"/>
      <c r="N53" s="100"/>
    </row>
    <row r="54" ht="15.6" spans="1:14">
      <c r="A54" s="95"/>
      <c r="B54" s="69" t="s">
        <v>955</v>
      </c>
      <c r="C54" s="96" t="s">
        <v>229</v>
      </c>
      <c r="D54" s="61" t="s">
        <v>4834</v>
      </c>
      <c r="E54" s="64" t="s">
        <v>4737</v>
      </c>
      <c r="F54" s="64"/>
      <c r="G54" s="148" t="s">
        <v>4835</v>
      </c>
      <c r="H54" s="99"/>
      <c r="I54" s="64"/>
      <c r="J54" s="64"/>
      <c r="K54" s="64"/>
      <c r="L54" s="61"/>
      <c r="M54" s="100"/>
      <c r="N54" s="100"/>
    </row>
    <row r="55" ht="15.6" spans="1:14">
      <c r="A55" s="95"/>
      <c r="B55" s="69" t="s">
        <v>958</v>
      </c>
      <c r="C55" s="96" t="s">
        <v>229</v>
      </c>
      <c r="D55" s="61" t="s">
        <v>4836</v>
      </c>
      <c r="E55" s="64" t="s">
        <v>4737</v>
      </c>
      <c r="F55" s="64"/>
      <c r="G55" s="148" t="s">
        <v>4837</v>
      </c>
      <c r="H55" s="99"/>
      <c r="I55" s="64"/>
      <c r="J55" s="64"/>
      <c r="K55" s="64"/>
      <c r="L55" s="61"/>
      <c r="M55" s="100"/>
      <c r="N55" s="100"/>
    </row>
    <row r="56" ht="15.6" spans="1:14">
      <c r="A56" s="95"/>
      <c r="B56" s="69" t="s">
        <v>4838</v>
      </c>
      <c r="C56" s="96" t="s">
        <v>229</v>
      </c>
      <c r="D56" s="61" t="s">
        <v>4839</v>
      </c>
      <c r="E56" s="64" t="s">
        <v>4737</v>
      </c>
      <c r="F56" s="64"/>
      <c r="G56" s="148" t="s">
        <v>4840</v>
      </c>
      <c r="H56" s="99"/>
      <c r="I56" s="64"/>
      <c r="J56" s="64"/>
      <c r="K56" s="64"/>
      <c r="L56" s="61"/>
      <c r="M56" s="100"/>
      <c r="N56" s="100"/>
    </row>
    <row r="57" ht="15.6" spans="1:14">
      <c r="A57" s="95"/>
      <c r="B57" s="69" t="s">
        <v>4841</v>
      </c>
      <c r="C57" s="96" t="s">
        <v>229</v>
      </c>
      <c r="D57" s="61" t="s">
        <v>4842</v>
      </c>
      <c r="E57" s="64" t="s">
        <v>4737</v>
      </c>
      <c r="F57" s="64"/>
      <c r="G57" s="148" t="s">
        <v>4843</v>
      </c>
      <c r="H57" s="99"/>
      <c r="I57" s="64"/>
      <c r="J57" s="64"/>
      <c r="K57" s="64"/>
      <c r="L57" s="61"/>
      <c r="M57" s="100"/>
      <c r="N57" s="100"/>
    </row>
    <row r="58" ht="15.6" spans="1:14">
      <c r="A58" s="95"/>
      <c r="B58" s="69" t="s">
        <v>4844</v>
      </c>
      <c r="C58" s="96" t="s">
        <v>229</v>
      </c>
      <c r="D58" s="61" t="s">
        <v>4845</v>
      </c>
      <c r="E58" s="64" t="s">
        <v>4737</v>
      </c>
      <c r="F58" s="64"/>
      <c r="G58" s="148" t="s">
        <v>4846</v>
      </c>
      <c r="H58" s="99"/>
      <c r="I58" s="64"/>
      <c r="J58" s="64"/>
      <c r="K58" s="64"/>
      <c r="L58" s="61"/>
      <c r="M58" s="100"/>
      <c r="N58" s="100"/>
    </row>
    <row r="59" ht="16.5" customHeight="1" spans="1:14">
      <c r="A59" s="95"/>
      <c r="B59" s="69" t="s">
        <v>4847</v>
      </c>
      <c r="C59" s="96" t="s">
        <v>229</v>
      </c>
      <c r="D59" s="61" t="s">
        <v>4848</v>
      </c>
      <c r="E59" s="150" t="s">
        <v>4748</v>
      </c>
      <c r="F59" s="64"/>
      <c r="G59" s="148" t="s">
        <v>4849</v>
      </c>
      <c r="H59" s="149" t="s">
        <v>4850</v>
      </c>
      <c r="I59" s="64"/>
      <c r="J59" s="64"/>
      <c r="K59" s="64"/>
      <c r="L59" s="61"/>
      <c r="M59" s="100"/>
      <c r="N59" s="100"/>
    </row>
    <row r="60" ht="15.6" spans="1:14">
      <c r="A60" s="95"/>
      <c r="B60" s="69" t="s">
        <v>4851</v>
      </c>
      <c r="C60" s="96" t="s">
        <v>229</v>
      </c>
      <c r="D60" s="61" t="s">
        <v>4852</v>
      </c>
      <c r="E60" s="150" t="s">
        <v>4748</v>
      </c>
      <c r="F60" s="64"/>
      <c r="G60" s="148" t="s">
        <v>4853</v>
      </c>
      <c r="H60" s="149"/>
      <c r="I60" s="64"/>
      <c r="J60" s="64"/>
      <c r="K60" s="64"/>
      <c r="L60" s="61"/>
      <c r="M60" s="100"/>
      <c r="N60" s="100"/>
    </row>
    <row r="61" ht="15.6" spans="1:14">
      <c r="A61" s="95"/>
      <c r="B61" s="69" t="s">
        <v>4854</v>
      </c>
      <c r="C61" s="96" t="s">
        <v>229</v>
      </c>
      <c r="D61" s="61" t="s">
        <v>4855</v>
      </c>
      <c r="E61" s="150" t="s">
        <v>4748</v>
      </c>
      <c r="F61" s="64"/>
      <c r="G61" s="148" t="s">
        <v>4856</v>
      </c>
      <c r="H61" s="149"/>
      <c r="I61" s="64"/>
      <c r="J61" s="64"/>
      <c r="K61" s="64"/>
      <c r="L61" s="61"/>
      <c r="M61" s="100"/>
      <c r="N61" s="100"/>
    </row>
    <row r="62" ht="15.6" spans="1:14">
      <c r="A62" s="95"/>
      <c r="B62" s="69" t="s">
        <v>4857</v>
      </c>
      <c r="C62" s="96" t="s">
        <v>229</v>
      </c>
      <c r="D62" s="61" t="s">
        <v>4858</v>
      </c>
      <c r="E62" s="150" t="s">
        <v>4748</v>
      </c>
      <c r="F62" s="64"/>
      <c r="G62" s="148" t="s">
        <v>4859</v>
      </c>
      <c r="H62" s="149"/>
      <c r="I62" s="64"/>
      <c r="J62" s="64"/>
      <c r="K62" s="64"/>
      <c r="L62" s="61"/>
      <c r="M62" s="100"/>
      <c r="N62" s="100"/>
    </row>
    <row r="63" ht="15.6" spans="1:14">
      <c r="A63" s="95"/>
      <c r="B63" s="69" t="s">
        <v>4860</v>
      </c>
      <c r="C63" s="96" t="s">
        <v>229</v>
      </c>
      <c r="D63" s="61" t="s">
        <v>758</v>
      </c>
      <c r="E63" s="150" t="s">
        <v>4748</v>
      </c>
      <c r="F63" s="64"/>
      <c r="G63" s="148" t="s">
        <v>4861</v>
      </c>
      <c r="H63" s="149"/>
      <c r="I63" s="64"/>
      <c r="J63" s="64"/>
      <c r="K63" s="64"/>
      <c r="L63" s="61"/>
      <c r="M63" s="100"/>
      <c r="N63" s="100"/>
    </row>
    <row r="64" ht="15.6" spans="1:14">
      <c r="A64" s="95"/>
      <c r="B64" s="69" t="s">
        <v>4862</v>
      </c>
      <c r="C64" s="96" t="s">
        <v>229</v>
      </c>
      <c r="D64" s="61" t="s">
        <v>761</v>
      </c>
      <c r="E64" s="150" t="s">
        <v>4748</v>
      </c>
      <c r="F64" s="64"/>
      <c r="G64" s="148" t="s">
        <v>4863</v>
      </c>
      <c r="H64" s="149"/>
      <c r="I64" s="64"/>
      <c r="J64" s="64"/>
      <c r="K64" s="64"/>
      <c r="L64" s="61"/>
      <c r="M64" s="100"/>
      <c r="N64" s="100"/>
    </row>
    <row r="65" ht="15.6" spans="1:14">
      <c r="A65" s="95"/>
      <c r="B65" s="69" t="s">
        <v>4864</v>
      </c>
      <c r="C65" s="96" t="s">
        <v>229</v>
      </c>
      <c r="D65" s="148" t="s">
        <v>1595</v>
      </c>
      <c r="E65" s="150" t="s">
        <v>4748</v>
      </c>
      <c r="F65" s="64"/>
      <c r="G65" s="148" t="s">
        <v>4865</v>
      </c>
      <c r="H65" s="149"/>
      <c r="I65" s="64"/>
      <c r="J65" s="64"/>
      <c r="K65" s="64"/>
      <c r="L65" s="61"/>
      <c r="M65" s="100"/>
      <c r="N65" s="100"/>
    </row>
    <row r="66" ht="15.6" spans="1:14">
      <c r="A66" s="95"/>
      <c r="B66" s="69" t="s">
        <v>4866</v>
      </c>
      <c r="C66" s="96" t="s">
        <v>229</v>
      </c>
      <c r="D66" s="148" t="s">
        <v>4867</v>
      </c>
      <c r="E66" s="150" t="s">
        <v>4748</v>
      </c>
      <c r="F66" s="64"/>
      <c r="G66" s="148" t="s">
        <v>4868</v>
      </c>
      <c r="H66" s="149"/>
      <c r="I66" s="64"/>
      <c r="J66" s="64"/>
      <c r="K66" s="64"/>
      <c r="L66" s="61"/>
      <c r="M66" s="100"/>
      <c r="N66" s="100"/>
    </row>
    <row r="67" ht="15.6" spans="1:14">
      <c r="A67" s="95"/>
      <c r="B67" s="69" t="s">
        <v>4869</v>
      </c>
      <c r="C67" s="96" t="s">
        <v>229</v>
      </c>
      <c r="D67" s="61" t="s">
        <v>788</v>
      </c>
      <c r="E67" s="150" t="s">
        <v>4748</v>
      </c>
      <c r="F67" s="67"/>
      <c r="G67" s="148" t="s">
        <v>4870</v>
      </c>
      <c r="H67" s="149"/>
      <c r="I67" s="64"/>
      <c r="J67" s="64"/>
      <c r="K67" s="64"/>
      <c r="L67" s="61"/>
      <c r="M67" s="100"/>
      <c r="N67" s="100"/>
    </row>
    <row r="68" ht="15.6" spans="1:14">
      <c r="A68" s="95"/>
      <c r="B68" s="69" t="s">
        <v>4871</v>
      </c>
      <c r="C68" s="96" t="s">
        <v>229</v>
      </c>
      <c r="D68" s="61" t="s">
        <v>791</v>
      </c>
      <c r="E68" s="150" t="s">
        <v>4748</v>
      </c>
      <c r="F68" s="98"/>
      <c r="G68" s="148" t="s">
        <v>4872</v>
      </c>
      <c r="H68" s="149"/>
      <c r="I68" s="64"/>
      <c r="J68" s="64"/>
      <c r="K68" s="64"/>
      <c r="L68" s="61"/>
      <c r="M68" s="100"/>
      <c r="N68" s="100"/>
    </row>
    <row r="69" ht="15.6" spans="1:14">
      <c r="A69" s="95"/>
      <c r="B69" s="69" t="s">
        <v>4873</v>
      </c>
      <c r="C69" s="96" t="s">
        <v>229</v>
      </c>
      <c r="D69" s="61" t="s">
        <v>794</v>
      </c>
      <c r="E69" s="150" t="s">
        <v>4748</v>
      </c>
      <c r="F69" s="67"/>
      <c r="G69" s="148" t="s">
        <v>4874</v>
      </c>
      <c r="H69" s="149"/>
      <c r="I69" s="64"/>
      <c r="J69" s="64"/>
      <c r="K69" s="64"/>
      <c r="L69" s="61"/>
      <c r="M69" s="100"/>
      <c r="N69" s="100"/>
    </row>
    <row r="70" ht="15.6" spans="1:14">
      <c r="A70" s="95"/>
      <c r="B70" s="69" t="s">
        <v>4875</v>
      </c>
      <c r="C70" s="96" t="s">
        <v>229</v>
      </c>
      <c r="D70" s="61" t="s">
        <v>797</v>
      </c>
      <c r="E70" s="150" t="s">
        <v>4748</v>
      </c>
      <c r="F70" s="98"/>
      <c r="G70" s="148" t="s">
        <v>4876</v>
      </c>
      <c r="H70" s="149"/>
      <c r="I70" s="64"/>
      <c r="J70" s="64"/>
      <c r="K70" s="64"/>
      <c r="L70" s="61"/>
      <c r="M70" s="100"/>
      <c r="N70" s="100"/>
    </row>
    <row r="71" ht="15.6" spans="1:14">
      <c r="A71" s="95"/>
      <c r="B71" s="69" t="s">
        <v>4877</v>
      </c>
      <c r="C71" s="96" t="s">
        <v>203</v>
      </c>
      <c r="D71" s="61" t="s">
        <v>1368</v>
      </c>
      <c r="E71" s="150" t="s">
        <v>4748</v>
      </c>
      <c r="F71" s="64"/>
      <c r="G71" s="148" t="s">
        <v>4878</v>
      </c>
      <c r="H71" s="149"/>
      <c r="I71" s="64"/>
      <c r="J71" s="64"/>
      <c r="K71" s="64"/>
      <c r="L71" s="61"/>
      <c r="M71" s="100"/>
      <c r="N71" s="100"/>
    </row>
    <row r="72" ht="15.6" spans="1:14">
      <c r="A72" s="95"/>
      <c r="B72" s="69" t="s">
        <v>4879</v>
      </c>
      <c r="C72" s="96" t="s">
        <v>203</v>
      </c>
      <c r="D72" s="61" t="s">
        <v>1386</v>
      </c>
      <c r="E72" s="150" t="s">
        <v>4748</v>
      </c>
      <c r="F72" s="64"/>
      <c r="G72" s="148" t="s">
        <v>4880</v>
      </c>
      <c r="H72" s="149"/>
      <c r="I72" s="64"/>
      <c r="J72" s="64"/>
      <c r="K72" s="64"/>
      <c r="L72" s="61"/>
      <c r="M72" s="100"/>
      <c r="N72" s="100"/>
    </row>
    <row r="73" ht="15.6" spans="1:14">
      <c r="A73" s="95"/>
      <c r="B73" s="69" t="s">
        <v>4881</v>
      </c>
      <c r="C73" s="96" t="s">
        <v>203</v>
      </c>
      <c r="D73" s="61" t="s">
        <v>1422</v>
      </c>
      <c r="E73" s="150" t="s">
        <v>4748</v>
      </c>
      <c r="F73" s="64"/>
      <c r="G73" s="148" t="s">
        <v>4882</v>
      </c>
      <c r="H73" s="149"/>
      <c r="I73" s="64"/>
      <c r="J73" s="64"/>
      <c r="K73" s="64"/>
      <c r="L73" s="61"/>
      <c r="M73" s="100"/>
      <c r="N73" s="100"/>
    </row>
    <row r="74" ht="15.6" spans="1:14">
      <c r="A74" s="95"/>
      <c r="B74" s="69" t="s">
        <v>4883</v>
      </c>
      <c r="C74" s="96" t="s">
        <v>203</v>
      </c>
      <c r="D74" s="61" t="s">
        <v>1440</v>
      </c>
      <c r="E74" s="150" t="s">
        <v>4748</v>
      </c>
      <c r="F74" s="64"/>
      <c r="G74" s="148" t="s">
        <v>4884</v>
      </c>
      <c r="H74" s="149"/>
      <c r="I74" s="64"/>
      <c r="J74" s="64"/>
      <c r="K74" s="64"/>
      <c r="L74" s="61"/>
      <c r="M74" s="100"/>
      <c r="N74" s="100"/>
    </row>
    <row r="75" ht="15.6" spans="1:14">
      <c r="A75" s="95"/>
      <c r="B75" s="69" t="s">
        <v>4885</v>
      </c>
      <c r="C75" s="96" t="s">
        <v>229</v>
      </c>
      <c r="D75" s="61" t="s">
        <v>830</v>
      </c>
      <c r="E75" s="150" t="s">
        <v>4748</v>
      </c>
      <c r="F75" s="64"/>
      <c r="G75" s="148" t="s">
        <v>4886</v>
      </c>
      <c r="H75" s="149"/>
      <c r="I75" s="64"/>
      <c r="J75" s="64"/>
      <c r="K75" s="64"/>
      <c r="L75" s="61"/>
      <c r="M75" s="100"/>
      <c r="N75" s="100"/>
    </row>
    <row r="76" ht="15.6" spans="1:14">
      <c r="A76" s="95"/>
      <c r="B76" s="69" t="s">
        <v>4887</v>
      </c>
      <c r="C76" s="96" t="s">
        <v>229</v>
      </c>
      <c r="D76" s="61" t="s">
        <v>833</v>
      </c>
      <c r="E76" s="150" t="s">
        <v>4748</v>
      </c>
      <c r="F76" s="64"/>
      <c r="G76" s="148" t="s">
        <v>4888</v>
      </c>
      <c r="H76" s="149"/>
      <c r="I76" s="64"/>
      <c r="J76" s="64"/>
      <c r="K76" s="64"/>
      <c r="L76" s="61"/>
      <c r="M76" s="100"/>
      <c r="N76" s="100"/>
    </row>
    <row r="77" ht="15.6" spans="1:14">
      <c r="A77" s="95"/>
      <c r="B77" s="69" t="s">
        <v>4889</v>
      </c>
      <c r="C77" s="96" t="s">
        <v>229</v>
      </c>
      <c r="D77" s="61" t="s">
        <v>840</v>
      </c>
      <c r="E77" s="150" t="s">
        <v>4748</v>
      </c>
      <c r="F77" s="64"/>
      <c r="G77" s="148" t="s">
        <v>4890</v>
      </c>
      <c r="H77" s="149"/>
      <c r="I77" s="64"/>
      <c r="J77" s="64"/>
      <c r="K77" s="64"/>
      <c r="L77" s="61"/>
      <c r="M77" s="100"/>
      <c r="N77" s="100"/>
    </row>
    <row r="78" ht="15.6" spans="1:14">
      <c r="A78" s="95"/>
      <c r="B78" s="69" t="s">
        <v>1489</v>
      </c>
      <c r="C78" s="96" t="s">
        <v>229</v>
      </c>
      <c r="D78" s="61" t="s">
        <v>1490</v>
      </c>
      <c r="E78" s="150" t="s">
        <v>4748</v>
      </c>
      <c r="F78" s="138"/>
      <c r="G78" s="148" t="s">
        <v>4891</v>
      </c>
      <c r="H78" s="149"/>
      <c r="I78" s="64"/>
      <c r="J78" s="64"/>
      <c r="K78" s="64"/>
      <c r="L78" s="61"/>
      <c r="M78" s="100"/>
      <c r="N78" s="100"/>
    </row>
    <row r="79" ht="15.6" spans="1:14">
      <c r="A79" s="95"/>
      <c r="B79" s="69" t="s">
        <v>1492</v>
      </c>
      <c r="C79" s="96" t="s">
        <v>229</v>
      </c>
      <c r="D79" s="61" t="s">
        <v>1493</v>
      </c>
      <c r="E79" s="150" t="s">
        <v>4748</v>
      </c>
      <c r="F79" s="82"/>
      <c r="G79" s="148" t="s">
        <v>4892</v>
      </c>
      <c r="H79" s="149"/>
      <c r="I79" s="64"/>
      <c r="J79" s="64"/>
      <c r="K79" s="64"/>
      <c r="L79" s="61"/>
      <c r="M79" s="100"/>
      <c r="N79" s="100"/>
    </row>
    <row r="80" ht="15.6" spans="1:14">
      <c r="A80" s="95"/>
      <c r="B80" s="69" t="s">
        <v>1495</v>
      </c>
      <c r="C80" s="96" t="s">
        <v>229</v>
      </c>
      <c r="D80" s="61" t="s">
        <v>1496</v>
      </c>
      <c r="E80" s="150" t="s">
        <v>4748</v>
      </c>
      <c r="F80" s="82"/>
      <c r="G80" s="148" t="s">
        <v>4893</v>
      </c>
      <c r="H80" s="149"/>
      <c r="I80" s="64"/>
      <c r="J80" s="64"/>
      <c r="K80" s="64"/>
      <c r="L80" s="61"/>
      <c r="M80" s="100"/>
      <c r="N80" s="100"/>
    </row>
    <row r="81" ht="15.6" spans="1:14">
      <c r="A81" s="95"/>
      <c r="B81" s="69" t="s">
        <v>4894</v>
      </c>
      <c r="C81" s="96" t="s">
        <v>229</v>
      </c>
      <c r="D81" s="61" t="s">
        <v>4895</v>
      </c>
      <c r="E81" s="150" t="s">
        <v>4748</v>
      </c>
      <c r="F81" s="64"/>
      <c r="G81" s="148" t="s">
        <v>4764</v>
      </c>
      <c r="H81" s="149"/>
      <c r="I81" s="64"/>
      <c r="J81" s="64"/>
      <c r="K81" s="64"/>
      <c r="L81" s="61"/>
      <c r="M81" s="100"/>
      <c r="N81" s="100"/>
    </row>
    <row r="82" ht="15.6" spans="1:14">
      <c r="A82" s="95"/>
      <c r="B82" s="69" t="s">
        <v>4896</v>
      </c>
      <c r="C82" s="96" t="s">
        <v>203</v>
      </c>
      <c r="D82" s="61" t="s">
        <v>4897</v>
      </c>
      <c r="E82" s="150" t="s">
        <v>4748</v>
      </c>
      <c r="F82" s="64"/>
      <c r="G82" s="148" t="s">
        <v>4767</v>
      </c>
      <c r="H82" s="149"/>
      <c r="I82" s="64"/>
      <c r="J82" s="64"/>
      <c r="K82" s="64"/>
      <c r="L82" s="61"/>
      <c r="M82" s="100"/>
      <c r="N82" s="100"/>
    </row>
    <row r="83" ht="16.5" customHeight="1" spans="1:14">
      <c r="A83" s="95"/>
      <c r="B83" s="69" t="s">
        <v>4898</v>
      </c>
      <c r="C83" s="96" t="s">
        <v>229</v>
      </c>
      <c r="D83" s="61" t="s">
        <v>4899</v>
      </c>
      <c r="E83" s="150" t="s">
        <v>4748</v>
      </c>
      <c r="F83" s="64"/>
      <c r="G83" s="148" t="s">
        <v>4849</v>
      </c>
      <c r="H83" s="149" t="s">
        <v>4900</v>
      </c>
      <c r="I83" s="64"/>
      <c r="J83" s="64"/>
      <c r="K83" s="64"/>
      <c r="L83" s="61"/>
      <c r="M83" s="100"/>
      <c r="N83" s="100"/>
    </row>
    <row r="84" ht="15.6" spans="1:14">
      <c r="A84" s="95"/>
      <c r="B84" s="69" t="s">
        <v>4901</v>
      </c>
      <c r="C84" s="96" t="s">
        <v>203</v>
      </c>
      <c r="D84" s="61" t="s">
        <v>4902</v>
      </c>
      <c r="E84" s="150" t="s">
        <v>4748</v>
      </c>
      <c r="F84" s="64"/>
      <c r="G84" s="148" t="s">
        <v>4856</v>
      </c>
      <c r="H84" s="149"/>
      <c r="I84" s="64"/>
      <c r="J84" s="64"/>
      <c r="K84" s="64"/>
      <c r="L84" s="61"/>
      <c r="M84" s="100"/>
      <c r="N84" s="100"/>
    </row>
    <row r="85" ht="15.6" spans="1:14">
      <c r="A85" s="95"/>
      <c r="B85" s="69" t="s">
        <v>4903</v>
      </c>
      <c r="C85" s="96" t="s">
        <v>203</v>
      </c>
      <c r="D85" s="61" t="s">
        <v>4904</v>
      </c>
      <c r="E85" s="150" t="s">
        <v>4748</v>
      </c>
      <c r="F85" s="64"/>
      <c r="G85" s="148" t="s">
        <v>4859</v>
      </c>
      <c r="H85" s="149"/>
      <c r="I85" s="64"/>
      <c r="J85" s="64"/>
      <c r="K85" s="64"/>
      <c r="L85" s="61"/>
      <c r="M85" s="100"/>
      <c r="N85" s="100"/>
    </row>
    <row r="86" ht="15.6" spans="1:14">
      <c r="A86" s="95"/>
      <c r="B86" s="69" t="s">
        <v>4905</v>
      </c>
      <c r="C86" s="96" t="s">
        <v>229</v>
      </c>
      <c r="D86" s="61" t="s">
        <v>758</v>
      </c>
      <c r="E86" s="150" t="s">
        <v>4748</v>
      </c>
      <c r="F86" s="64"/>
      <c r="G86" s="148" t="s">
        <v>4861</v>
      </c>
      <c r="H86" s="149"/>
      <c r="I86" s="64"/>
      <c r="J86" s="64"/>
      <c r="K86" s="64"/>
      <c r="L86" s="61"/>
      <c r="M86" s="100"/>
      <c r="N86" s="100"/>
    </row>
    <row r="87" ht="15.6" spans="1:14">
      <c r="A87" s="95"/>
      <c r="B87" s="69" t="s">
        <v>4906</v>
      </c>
      <c r="C87" s="96" t="s">
        <v>229</v>
      </c>
      <c r="D87" s="61" t="s">
        <v>761</v>
      </c>
      <c r="E87" s="150" t="s">
        <v>4748</v>
      </c>
      <c r="F87" s="64"/>
      <c r="G87" s="148" t="s">
        <v>4863</v>
      </c>
      <c r="H87" s="149"/>
      <c r="I87" s="64"/>
      <c r="J87" s="64"/>
      <c r="K87" s="64"/>
      <c r="L87" s="61"/>
      <c r="M87" s="100"/>
      <c r="N87" s="100"/>
    </row>
    <row r="88" ht="15.6" spans="1:14">
      <c r="A88" s="95"/>
      <c r="B88" s="69" t="s">
        <v>4907</v>
      </c>
      <c r="C88" s="96" t="s">
        <v>229</v>
      </c>
      <c r="D88" s="148" t="s">
        <v>1595</v>
      </c>
      <c r="E88" s="150" t="s">
        <v>4748</v>
      </c>
      <c r="F88" s="64"/>
      <c r="G88" s="148" t="s">
        <v>4865</v>
      </c>
      <c r="H88" s="149"/>
      <c r="I88" s="64"/>
      <c r="J88" s="64"/>
      <c r="K88" s="64"/>
      <c r="L88" s="61"/>
      <c r="M88" s="100"/>
      <c r="N88" s="100"/>
    </row>
    <row r="89" ht="15.6" spans="1:14">
      <c r="A89" s="95"/>
      <c r="B89" s="69" t="s">
        <v>4908</v>
      </c>
      <c r="C89" s="96" t="s">
        <v>229</v>
      </c>
      <c r="D89" s="148" t="s">
        <v>4867</v>
      </c>
      <c r="E89" s="150" t="s">
        <v>4748</v>
      </c>
      <c r="F89" s="64"/>
      <c r="G89" s="148" t="s">
        <v>4868</v>
      </c>
      <c r="H89" s="149"/>
      <c r="I89" s="64"/>
      <c r="J89" s="64"/>
      <c r="K89" s="64"/>
      <c r="L89" s="61"/>
      <c r="M89" s="100"/>
      <c r="N89" s="100"/>
    </row>
    <row r="90" ht="15.6" spans="1:14">
      <c r="A90" s="95"/>
      <c r="B90" s="69" t="s">
        <v>4909</v>
      </c>
      <c r="C90" s="96" t="s">
        <v>229</v>
      </c>
      <c r="D90" s="61" t="s">
        <v>788</v>
      </c>
      <c r="E90" s="150" t="s">
        <v>4748</v>
      </c>
      <c r="F90" s="64"/>
      <c r="G90" s="148" t="s">
        <v>4870</v>
      </c>
      <c r="H90" s="149"/>
      <c r="I90" s="64"/>
      <c r="J90" s="64"/>
      <c r="K90" s="64"/>
      <c r="L90" s="61"/>
      <c r="M90" s="100"/>
      <c r="N90" s="100"/>
    </row>
    <row r="91" ht="15.6" spans="1:14">
      <c r="A91" s="95"/>
      <c r="B91" s="69" t="s">
        <v>4910</v>
      </c>
      <c r="C91" s="96" t="s">
        <v>229</v>
      </c>
      <c r="D91" s="61" t="s">
        <v>791</v>
      </c>
      <c r="E91" s="150" t="s">
        <v>4748</v>
      </c>
      <c r="F91" s="64"/>
      <c r="G91" s="148" t="s">
        <v>4872</v>
      </c>
      <c r="H91" s="149"/>
      <c r="I91" s="64"/>
      <c r="J91" s="64"/>
      <c r="K91" s="64"/>
      <c r="L91" s="61"/>
      <c r="M91" s="100"/>
      <c r="N91" s="100"/>
    </row>
    <row r="92" ht="15.6" spans="1:14">
      <c r="A92" s="95"/>
      <c r="B92" s="69" t="s">
        <v>4911</v>
      </c>
      <c r="C92" s="96" t="s">
        <v>229</v>
      </c>
      <c r="D92" s="61" t="s">
        <v>794</v>
      </c>
      <c r="E92" s="150" t="s">
        <v>4748</v>
      </c>
      <c r="F92" s="64"/>
      <c r="G92" s="148" t="s">
        <v>4874</v>
      </c>
      <c r="H92" s="149"/>
      <c r="I92" s="64"/>
      <c r="J92" s="64"/>
      <c r="K92" s="64"/>
      <c r="L92" s="61"/>
      <c r="M92" s="100"/>
      <c r="N92" s="100"/>
    </row>
    <row r="93" ht="15.6" spans="1:14">
      <c r="A93" s="95"/>
      <c r="B93" s="69" t="s">
        <v>4912</v>
      </c>
      <c r="C93" s="96" t="s">
        <v>229</v>
      </c>
      <c r="D93" s="61" t="s">
        <v>797</v>
      </c>
      <c r="E93" s="150" t="s">
        <v>4748</v>
      </c>
      <c r="F93" s="64"/>
      <c r="G93" s="148" t="s">
        <v>4876</v>
      </c>
      <c r="H93" s="149"/>
      <c r="I93" s="64"/>
      <c r="J93" s="64"/>
      <c r="K93" s="64"/>
      <c r="L93" s="61"/>
      <c r="M93" s="100"/>
      <c r="N93" s="100"/>
    </row>
    <row r="94" ht="15.6" spans="1:14">
      <c r="A94" s="95"/>
      <c r="B94" s="69" t="s">
        <v>4913</v>
      </c>
      <c r="C94" s="96" t="s">
        <v>203</v>
      </c>
      <c r="D94" s="61" t="s">
        <v>1368</v>
      </c>
      <c r="E94" s="150" t="s">
        <v>4748</v>
      </c>
      <c r="F94" s="64"/>
      <c r="G94" s="148" t="s">
        <v>4914</v>
      </c>
      <c r="H94" s="149"/>
      <c r="I94" s="64"/>
      <c r="J94" s="64"/>
      <c r="K94" s="64"/>
      <c r="L94" s="61"/>
      <c r="M94" s="100"/>
      <c r="N94" s="100"/>
    </row>
    <row r="95" ht="15.6" spans="1:14">
      <c r="A95" s="95"/>
      <c r="B95" s="69" t="s">
        <v>4915</v>
      </c>
      <c r="C95" s="96" t="s">
        <v>203</v>
      </c>
      <c r="D95" s="61" t="s">
        <v>1386</v>
      </c>
      <c r="E95" s="150" t="s">
        <v>4748</v>
      </c>
      <c r="F95" s="64"/>
      <c r="G95" s="148" t="s">
        <v>4916</v>
      </c>
      <c r="H95" s="149"/>
      <c r="I95" s="64"/>
      <c r="J95" s="64"/>
      <c r="K95" s="64"/>
      <c r="L95" s="61"/>
      <c r="M95" s="100"/>
      <c r="N95" s="100"/>
    </row>
    <row r="96" ht="15.6" spans="1:14">
      <c r="A96" s="95"/>
      <c r="B96" s="69" t="s">
        <v>4917</v>
      </c>
      <c r="C96" s="96" t="s">
        <v>203</v>
      </c>
      <c r="D96" s="61" t="s">
        <v>1422</v>
      </c>
      <c r="E96" s="150" t="s">
        <v>4748</v>
      </c>
      <c r="F96" s="64"/>
      <c r="G96" s="148" t="s">
        <v>4918</v>
      </c>
      <c r="H96" s="149"/>
      <c r="I96" s="64"/>
      <c r="J96" s="64"/>
      <c r="K96" s="64"/>
      <c r="L96" s="61"/>
      <c r="M96" s="100"/>
      <c r="N96" s="100"/>
    </row>
    <row r="97" ht="15.6" spans="1:14">
      <c r="A97" s="95"/>
      <c r="B97" s="69" t="s">
        <v>4919</v>
      </c>
      <c r="C97" s="96" t="s">
        <v>203</v>
      </c>
      <c r="D97" s="61" t="s">
        <v>1440</v>
      </c>
      <c r="E97" s="150" t="s">
        <v>4748</v>
      </c>
      <c r="F97" s="64"/>
      <c r="G97" s="148" t="s">
        <v>4920</v>
      </c>
      <c r="H97" s="149"/>
      <c r="I97" s="64"/>
      <c r="J97" s="64"/>
      <c r="K97" s="64"/>
      <c r="L97" s="61"/>
      <c r="M97" s="100"/>
      <c r="N97" s="100"/>
    </row>
    <row r="98" ht="15.6" spans="1:14">
      <c r="A98" s="95"/>
      <c r="B98" s="69" t="s">
        <v>4921</v>
      </c>
      <c r="C98" s="96" t="s">
        <v>229</v>
      </c>
      <c r="D98" s="61" t="s">
        <v>4899</v>
      </c>
      <c r="E98" s="150" t="s">
        <v>4748</v>
      </c>
      <c r="F98" s="64"/>
      <c r="G98" s="148" t="s">
        <v>4886</v>
      </c>
      <c r="H98" s="149"/>
      <c r="I98" s="64"/>
      <c r="J98" s="64"/>
      <c r="K98" s="64"/>
      <c r="L98" s="61"/>
      <c r="M98" s="100"/>
      <c r="N98" s="100"/>
    </row>
    <row r="99" ht="15.6" spans="1:14">
      <c r="A99" s="95"/>
      <c r="B99" s="69" t="s">
        <v>4922</v>
      </c>
      <c r="C99" s="96" t="s">
        <v>229</v>
      </c>
      <c r="D99" s="61" t="s">
        <v>4923</v>
      </c>
      <c r="E99" s="150" t="s">
        <v>4748</v>
      </c>
      <c r="F99" s="64"/>
      <c r="G99" s="148" t="s">
        <v>4888</v>
      </c>
      <c r="H99" s="149"/>
      <c r="I99" s="64"/>
      <c r="J99" s="64"/>
      <c r="K99" s="64"/>
      <c r="L99" s="61"/>
      <c r="M99" s="100"/>
      <c r="N99" s="100"/>
    </row>
    <row r="100" ht="15.6" spans="1:14">
      <c r="A100" s="95"/>
      <c r="B100" s="69" t="s">
        <v>4924</v>
      </c>
      <c r="C100" s="96" t="s">
        <v>203</v>
      </c>
      <c r="D100" s="61" t="s">
        <v>4925</v>
      </c>
      <c r="E100" s="150" t="s">
        <v>4748</v>
      </c>
      <c r="F100" s="64"/>
      <c r="G100" s="148" t="s">
        <v>4926</v>
      </c>
      <c r="H100" s="149"/>
      <c r="I100" s="64"/>
      <c r="J100" s="64"/>
      <c r="K100" s="64"/>
      <c r="L100" s="61"/>
      <c r="M100" s="100"/>
      <c r="N100" s="100"/>
    </row>
    <row r="101" ht="15.6" spans="1:14">
      <c r="A101" s="95"/>
      <c r="B101" s="69" t="s">
        <v>4927</v>
      </c>
      <c r="C101" s="96" t="s">
        <v>203</v>
      </c>
      <c r="D101" s="61" t="s">
        <v>840</v>
      </c>
      <c r="E101" s="150" t="s">
        <v>4748</v>
      </c>
      <c r="F101" s="64"/>
      <c r="G101" s="148" t="s">
        <v>4928</v>
      </c>
      <c r="H101" s="149"/>
      <c r="I101" s="64"/>
      <c r="J101" s="64"/>
      <c r="K101" s="64"/>
      <c r="L101" s="61"/>
      <c r="M101" s="100"/>
      <c r="N101" s="100"/>
    </row>
    <row r="102" ht="15.6" spans="1:14">
      <c r="A102" s="95"/>
      <c r="B102" s="69" t="s">
        <v>4929</v>
      </c>
      <c r="C102" s="96" t="s">
        <v>203</v>
      </c>
      <c r="D102" s="61" t="s">
        <v>4930</v>
      </c>
      <c r="E102" s="150" t="s">
        <v>4748</v>
      </c>
      <c r="F102" s="64"/>
      <c r="G102" s="148" t="s">
        <v>4931</v>
      </c>
      <c r="H102" s="149"/>
      <c r="I102" s="64"/>
      <c r="J102" s="64"/>
      <c r="K102" s="64"/>
      <c r="L102" s="61"/>
      <c r="M102" s="100"/>
      <c r="N102" s="100"/>
    </row>
    <row r="103" ht="15.6" spans="1:14">
      <c r="A103" s="95"/>
      <c r="B103" s="69" t="s">
        <v>4932</v>
      </c>
      <c r="C103" s="96" t="s">
        <v>203</v>
      </c>
      <c r="D103" s="61" t="s">
        <v>4933</v>
      </c>
      <c r="E103" s="150" t="s">
        <v>4748</v>
      </c>
      <c r="F103" s="64"/>
      <c r="G103" s="148" t="s">
        <v>4934</v>
      </c>
      <c r="H103" s="149"/>
      <c r="I103" s="64"/>
      <c r="J103" s="64"/>
      <c r="K103" s="64"/>
      <c r="L103" s="61"/>
      <c r="M103" s="100"/>
      <c r="N103" s="100"/>
    </row>
    <row r="104" ht="15.6" spans="1:14">
      <c r="A104" s="95"/>
      <c r="B104" s="69" t="s">
        <v>4935</v>
      </c>
      <c r="C104" s="96" t="s">
        <v>203</v>
      </c>
      <c r="D104" s="61" t="s">
        <v>4936</v>
      </c>
      <c r="E104" s="150" t="s">
        <v>4748</v>
      </c>
      <c r="F104" s="64"/>
      <c r="G104" s="148" t="s">
        <v>4937</v>
      </c>
      <c r="H104" s="149"/>
      <c r="I104" s="64"/>
      <c r="J104" s="64"/>
      <c r="K104" s="64"/>
      <c r="L104" s="61"/>
      <c r="M104" s="100"/>
      <c r="N104" s="100"/>
    </row>
    <row r="105" ht="15.6" spans="1:14">
      <c r="A105" s="95"/>
      <c r="B105" s="69" t="s">
        <v>4938</v>
      </c>
      <c r="C105" s="96" t="s">
        <v>229</v>
      </c>
      <c r="D105" s="61" t="s">
        <v>1467</v>
      </c>
      <c r="E105" s="150" t="s">
        <v>4748</v>
      </c>
      <c r="F105" s="64"/>
      <c r="G105" s="148" t="s">
        <v>4939</v>
      </c>
      <c r="H105" s="149"/>
      <c r="I105" s="64"/>
      <c r="J105" s="64"/>
      <c r="K105" s="64"/>
      <c r="L105" s="61"/>
      <c r="M105" s="100"/>
      <c r="N105" s="100"/>
    </row>
    <row r="106" ht="15.6" spans="1:14">
      <c r="A106" s="95"/>
      <c r="B106" s="69" t="s">
        <v>4940</v>
      </c>
      <c r="C106" s="96" t="s">
        <v>229</v>
      </c>
      <c r="D106" s="61" t="s">
        <v>1470</v>
      </c>
      <c r="E106" s="150" t="s">
        <v>4748</v>
      </c>
      <c r="F106" s="64"/>
      <c r="G106" s="148" t="s">
        <v>4941</v>
      </c>
      <c r="H106" s="149"/>
      <c r="I106" s="64"/>
      <c r="J106" s="64"/>
      <c r="K106" s="64"/>
      <c r="L106" s="61"/>
      <c r="M106" s="100"/>
      <c r="N106" s="100"/>
    </row>
    <row r="107" ht="15.6" spans="1:14">
      <c r="A107" s="95"/>
      <c r="B107" s="69" t="s">
        <v>4942</v>
      </c>
      <c r="C107" s="96" t="s">
        <v>229</v>
      </c>
      <c r="D107" s="61" t="s">
        <v>1473</v>
      </c>
      <c r="E107" s="150" t="s">
        <v>4748</v>
      </c>
      <c r="F107" s="64"/>
      <c r="G107" s="148" t="s">
        <v>4943</v>
      </c>
      <c r="H107" s="149"/>
      <c r="I107" s="64"/>
      <c r="J107" s="64"/>
      <c r="K107" s="64"/>
      <c r="L107" s="61"/>
      <c r="M107" s="100"/>
      <c r="N107" s="100"/>
    </row>
    <row r="108" ht="15.6" spans="1:14">
      <c r="A108" s="95"/>
      <c r="B108" s="69" t="s">
        <v>4944</v>
      </c>
      <c r="C108" s="96" t="s">
        <v>229</v>
      </c>
      <c r="D108" s="61" t="s">
        <v>1476</v>
      </c>
      <c r="E108" s="150" t="s">
        <v>4748</v>
      </c>
      <c r="F108" s="64"/>
      <c r="G108" s="148" t="s">
        <v>4945</v>
      </c>
      <c r="H108" s="149"/>
      <c r="I108" s="64"/>
      <c r="J108" s="64"/>
      <c r="K108" s="64"/>
      <c r="L108" s="61"/>
      <c r="M108" s="100"/>
      <c r="N108" s="100"/>
    </row>
    <row r="109" ht="15.6" spans="1:14">
      <c r="A109" s="95"/>
      <c r="B109" s="69" t="s">
        <v>4946</v>
      </c>
      <c r="C109" s="96" t="s">
        <v>229</v>
      </c>
      <c r="D109" s="61" t="s">
        <v>1479</v>
      </c>
      <c r="E109" s="150" t="s">
        <v>4748</v>
      </c>
      <c r="F109" s="64"/>
      <c r="G109" s="148" t="s">
        <v>4947</v>
      </c>
      <c r="H109" s="149"/>
      <c r="I109" s="64"/>
      <c r="J109" s="64"/>
      <c r="K109" s="64"/>
      <c r="L109" s="61"/>
      <c r="M109" s="100"/>
      <c r="N109" s="100"/>
    </row>
    <row r="110" ht="15.6" spans="1:14">
      <c r="A110" s="95"/>
      <c r="B110" s="69" t="s">
        <v>4948</v>
      </c>
      <c r="C110" s="96" t="s">
        <v>229</v>
      </c>
      <c r="D110" s="61" t="s">
        <v>1482</v>
      </c>
      <c r="E110" s="150" t="s">
        <v>4748</v>
      </c>
      <c r="F110" s="64"/>
      <c r="G110" s="148" t="s">
        <v>4949</v>
      </c>
      <c r="H110" s="149"/>
      <c r="I110" s="64"/>
      <c r="J110" s="64"/>
      <c r="K110" s="64"/>
      <c r="L110" s="61"/>
      <c r="M110" s="100"/>
      <c r="N110" s="100"/>
    </row>
    <row r="111" ht="15.6" spans="1:14">
      <c r="A111" s="95"/>
      <c r="B111" s="69" t="s">
        <v>4950</v>
      </c>
      <c r="C111" s="96" t="s">
        <v>229</v>
      </c>
      <c r="D111" s="61" t="s">
        <v>4895</v>
      </c>
      <c r="E111" s="150" t="s">
        <v>4748</v>
      </c>
      <c r="F111" s="64"/>
      <c r="G111" s="148" t="s">
        <v>4764</v>
      </c>
      <c r="H111" s="149"/>
      <c r="I111" s="64"/>
      <c r="J111" s="64"/>
      <c r="K111" s="64"/>
      <c r="L111" s="61"/>
      <c r="M111" s="100"/>
      <c r="N111" s="100"/>
    </row>
    <row r="112" ht="15.6" spans="1:14">
      <c r="A112" s="95"/>
      <c r="B112" s="69" t="s">
        <v>4951</v>
      </c>
      <c r="C112" s="96" t="s">
        <v>203</v>
      </c>
      <c r="D112" s="61" t="s">
        <v>4897</v>
      </c>
      <c r="E112" s="150" t="s">
        <v>4748</v>
      </c>
      <c r="F112" s="64"/>
      <c r="G112" s="148" t="s">
        <v>4767</v>
      </c>
      <c r="H112" s="149"/>
      <c r="I112" s="64"/>
      <c r="J112" s="64"/>
      <c r="K112" s="64"/>
      <c r="L112" s="61"/>
      <c r="M112" s="100"/>
      <c r="N112" s="100"/>
    </row>
    <row r="113" ht="16.5" customHeight="1" spans="1:14">
      <c r="A113" s="95"/>
      <c r="B113" s="69" t="s">
        <v>4952</v>
      </c>
      <c r="C113" s="96" t="s">
        <v>229</v>
      </c>
      <c r="D113" s="61" t="s">
        <v>4953</v>
      </c>
      <c r="E113" s="150" t="s">
        <v>4748</v>
      </c>
      <c r="F113" s="64"/>
      <c r="G113" s="148" t="s">
        <v>4761</v>
      </c>
      <c r="H113" s="149" t="s">
        <v>4954</v>
      </c>
      <c r="I113" s="64"/>
      <c r="J113" s="64"/>
      <c r="K113" s="64"/>
      <c r="L113" s="61"/>
      <c r="M113" s="100"/>
      <c r="N113" s="100"/>
    </row>
    <row r="114" ht="15.6" spans="1:14">
      <c r="A114" s="95"/>
      <c r="B114" s="69" t="s">
        <v>4955</v>
      </c>
      <c r="C114" s="96" t="s">
        <v>229</v>
      </c>
      <c r="D114" s="61" t="s">
        <v>4956</v>
      </c>
      <c r="E114" s="150" t="s">
        <v>4748</v>
      </c>
      <c r="F114" s="64"/>
      <c r="G114" s="148" t="s">
        <v>4856</v>
      </c>
      <c r="H114" s="149"/>
      <c r="I114" s="64"/>
      <c r="J114" s="64"/>
      <c r="K114" s="64"/>
      <c r="L114" s="61"/>
      <c r="M114" s="100"/>
      <c r="N114" s="100"/>
    </row>
    <row r="115" ht="15.6" spans="1:14">
      <c r="A115" s="95"/>
      <c r="B115" s="69" t="s">
        <v>4957</v>
      </c>
      <c r="C115" s="96" t="s">
        <v>229</v>
      </c>
      <c r="D115" s="61" t="s">
        <v>4958</v>
      </c>
      <c r="E115" s="150" t="s">
        <v>4748</v>
      </c>
      <c r="F115" s="64"/>
      <c r="G115" s="148" t="s">
        <v>4859</v>
      </c>
      <c r="H115" s="149"/>
      <c r="I115" s="64"/>
      <c r="J115" s="64"/>
      <c r="K115" s="64"/>
      <c r="L115" s="61"/>
      <c r="M115" s="100"/>
      <c r="N115" s="100"/>
    </row>
    <row r="116" ht="15.6" spans="1:14">
      <c r="A116" s="95"/>
      <c r="B116" s="69" t="s">
        <v>4959</v>
      </c>
      <c r="C116" s="96" t="s">
        <v>229</v>
      </c>
      <c r="D116" s="61" t="s">
        <v>758</v>
      </c>
      <c r="E116" s="150" t="s">
        <v>4748</v>
      </c>
      <c r="F116" s="64"/>
      <c r="G116" s="148" t="s">
        <v>4861</v>
      </c>
      <c r="H116" s="149"/>
      <c r="I116" s="64"/>
      <c r="J116" s="64"/>
      <c r="K116" s="64"/>
      <c r="L116" s="61"/>
      <c r="M116" s="100"/>
      <c r="N116" s="100"/>
    </row>
    <row r="117" ht="15.6" spans="1:14">
      <c r="A117" s="95"/>
      <c r="B117" s="69" t="s">
        <v>4960</v>
      </c>
      <c r="C117" s="96" t="s">
        <v>229</v>
      </c>
      <c r="D117" s="61" t="s">
        <v>761</v>
      </c>
      <c r="E117" s="150" t="s">
        <v>4748</v>
      </c>
      <c r="F117" s="64"/>
      <c r="G117" s="148" t="s">
        <v>4863</v>
      </c>
      <c r="H117" s="149"/>
      <c r="I117" s="64"/>
      <c r="J117" s="64"/>
      <c r="K117" s="64"/>
      <c r="L117" s="61"/>
      <c r="M117" s="100"/>
      <c r="N117" s="100"/>
    </row>
    <row r="118" ht="15.6" spans="1:14">
      <c r="A118" s="95"/>
      <c r="B118" s="69" t="s">
        <v>4961</v>
      </c>
      <c r="C118" s="96" t="s">
        <v>229</v>
      </c>
      <c r="D118" s="148" t="s">
        <v>1595</v>
      </c>
      <c r="E118" s="150" t="s">
        <v>4748</v>
      </c>
      <c r="F118" s="64"/>
      <c r="G118" s="148" t="s">
        <v>4865</v>
      </c>
      <c r="H118" s="149"/>
      <c r="I118" s="64"/>
      <c r="J118" s="64"/>
      <c r="K118" s="64"/>
      <c r="L118" s="61"/>
      <c r="M118" s="100"/>
      <c r="N118" s="100"/>
    </row>
    <row r="119" ht="15.6" spans="1:14">
      <c r="A119" s="95"/>
      <c r="B119" s="69" t="s">
        <v>4962</v>
      </c>
      <c r="C119" s="96" t="s">
        <v>229</v>
      </c>
      <c r="D119" s="148" t="s">
        <v>4867</v>
      </c>
      <c r="E119" s="150" t="s">
        <v>4748</v>
      </c>
      <c r="F119" s="64"/>
      <c r="G119" s="148" t="s">
        <v>4868</v>
      </c>
      <c r="H119" s="149"/>
      <c r="I119" s="64"/>
      <c r="J119" s="64"/>
      <c r="K119" s="64"/>
      <c r="L119" s="61"/>
      <c r="M119" s="100"/>
      <c r="N119" s="100"/>
    </row>
    <row r="120" ht="15.6" spans="1:14">
      <c r="A120" s="95"/>
      <c r="B120" s="69" t="s">
        <v>4963</v>
      </c>
      <c r="C120" s="96" t="s">
        <v>229</v>
      </c>
      <c r="D120" s="61" t="s">
        <v>788</v>
      </c>
      <c r="E120" s="150" t="s">
        <v>4748</v>
      </c>
      <c r="F120" s="64"/>
      <c r="G120" s="148" t="s">
        <v>4870</v>
      </c>
      <c r="H120" s="149"/>
      <c r="I120" s="64"/>
      <c r="J120" s="64"/>
      <c r="K120" s="64"/>
      <c r="L120" s="61"/>
      <c r="M120" s="100"/>
      <c r="N120" s="100"/>
    </row>
    <row r="121" ht="15.6" spans="1:14">
      <c r="A121" s="95"/>
      <c r="B121" s="69" t="s">
        <v>4964</v>
      </c>
      <c r="C121" s="96" t="s">
        <v>229</v>
      </c>
      <c r="D121" s="61" t="s">
        <v>791</v>
      </c>
      <c r="E121" s="150" t="s">
        <v>4748</v>
      </c>
      <c r="F121" s="64"/>
      <c r="G121" s="148" t="s">
        <v>4872</v>
      </c>
      <c r="H121" s="149"/>
      <c r="I121" s="64"/>
      <c r="J121" s="64"/>
      <c r="K121" s="64"/>
      <c r="L121" s="61"/>
      <c r="M121" s="100"/>
      <c r="N121" s="100"/>
    </row>
    <row r="122" ht="15.6" spans="1:14">
      <c r="A122" s="95"/>
      <c r="B122" s="69" t="s">
        <v>4965</v>
      </c>
      <c r="C122" s="96" t="s">
        <v>229</v>
      </c>
      <c r="D122" s="61" t="s">
        <v>794</v>
      </c>
      <c r="E122" s="150" t="s">
        <v>4748</v>
      </c>
      <c r="F122" s="64"/>
      <c r="G122" s="148" t="s">
        <v>4874</v>
      </c>
      <c r="H122" s="149"/>
      <c r="I122" s="64"/>
      <c r="J122" s="64"/>
      <c r="K122" s="64"/>
      <c r="L122" s="61"/>
      <c r="M122" s="100"/>
      <c r="N122" s="100"/>
    </row>
    <row r="123" ht="15.6" spans="1:14">
      <c r="A123" s="95"/>
      <c r="B123" s="69" t="s">
        <v>4966</v>
      </c>
      <c r="C123" s="96" t="s">
        <v>229</v>
      </c>
      <c r="D123" s="61" t="s">
        <v>797</v>
      </c>
      <c r="E123" s="150" t="s">
        <v>4748</v>
      </c>
      <c r="F123" s="64"/>
      <c r="G123" s="148" t="s">
        <v>4876</v>
      </c>
      <c r="H123" s="149"/>
      <c r="I123" s="64"/>
      <c r="J123" s="64"/>
      <c r="K123" s="64"/>
      <c r="L123" s="61"/>
      <c r="M123" s="100"/>
      <c r="N123" s="100"/>
    </row>
    <row r="124" ht="15.6" spans="1:14">
      <c r="A124" s="95"/>
      <c r="B124" s="69" t="s">
        <v>4967</v>
      </c>
      <c r="C124" s="96" t="s">
        <v>203</v>
      </c>
      <c r="D124" s="61" t="s">
        <v>1368</v>
      </c>
      <c r="E124" s="150" t="s">
        <v>4748</v>
      </c>
      <c r="F124" s="64"/>
      <c r="G124" s="148" t="s">
        <v>4914</v>
      </c>
      <c r="H124" s="149"/>
      <c r="I124" s="64"/>
      <c r="J124" s="64"/>
      <c r="K124" s="64"/>
      <c r="L124" s="61"/>
      <c r="M124" s="100"/>
      <c r="N124" s="100"/>
    </row>
    <row r="125" ht="15.6" spans="1:14">
      <c r="A125" s="95"/>
      <c r="B125" s="69" t="s">
        <v>4968</v>
      </c>
      <c r="C125" s="96" t="s">
        <v>203</v>
      </c>
      <c r="D125" s="61" t="s">
        <v>1386</v>
      </c>
      <c r="E125" s="150" t="s">
        <v>4748</v>
      </c>
      <c r="F125" s="64"/>
      <c r="G125" s="148" t="s">
        <v>4916</v>
      </c>
      <c r="H125" s="149"/>
      <c r="I125" s="64"/>
      <c r="J125" s="64"/>
      <c r="K125" s="64"/>
      <c r="L125" s="61"/>
      <c r="M125" s="100"/>
      <c r="N125" s="100"/>
    </row>
    <row r="126" ht="15.6" spans="1:14">
      <c r="A126" s="95"/>
      <c r="B126" s="69" t="s">
        <v>4969</v>
      </c>
      <c r="C126" s="96" t="s">
        <v>203</v>
      </c>
      <c r="D126" s="61" t="s">
        <v>1422</v>
      </c>
      <c r="E126" s="150" t="s">
        <v>4748</v>
      </c>
      <c r="F126" s="64"/>
      <c r="G126" s="148" t="s">
        <v>4918</v>
      </c>
      <c r="H126" s="149"/>
      <c r="I126" s="64"/>
      <c r="J126" s="64"/>
      <c r="K126" s="64"/>
      <c r="L126" s="61"/>
      <c r="M126" s="100"/>
      <c r="N126" s="100"/>
    </row>
    <row r="127" ht="15.6" spans="1:14">
      <c r="A127" s="95"/>
      <c r="B127" s="69" t="s">
        <v>4970</v>
      </c>
      <c r="C127" s="96" t="s">
        <v>203</v>
      </c>
      <c r="D127" s="61" t="s">
        <v>1440</v>
      </c>
      <c r="E127" s="150" t="s">
        <v>4748</v>
      </c>
      <c r="F127" s="64"/>
      <c r="G127" s="148" t="s">
        <v>4920</v>
      </c>
      <c r="H127" s="149"/>
      <c r="I127" s="64"/>
      <c r="J127" s="64"/>
      <c r="K127" s="64"/>
      <c r="L127" s="61"/>
      <c r="M127" s="100"/>
      <c r="N127" s="100"/>
    </row>
    <row r="128" ht="15.6" spans="1:14">
      <c r="A128" s="95"/>
      <c r="B128" s="69" t="s">
        <v>4971</v>
      </c>
      <c r="C128" s="96" t="s">
        <v>229</v>
      </c>
      <c r="D128" s="61" t="s">
        <v>4972</v>
      </c>
      <c r="E128" s="150" t="s">
        <v>4748</v>
      </c>
      <c r="F128" s="64"/>
      <c r="G128" s="148" t="s">
        <v>4973</v>
      </c>
      <c r="H128" s="149"/>
      <c r="I128" s="64"/>
      <c r="J128" s="64"/>
      <c r="K128" s="64"/>
      <c r="L128" s="61"/>
      <c r="M128" s="100"/>
      <c r="N128" s="100"/>
    </row>
    <row r="129" ht="15.6" spans="1:14">
      <c r="A129" s="95"/>
      <c r="B129" s="69" t="s">
        <v>4974</v>
      </c>
      <c r="C129" s="96" t="s">
        <v>229</v>
      </c>
      <c r="D129" s="61" t="s">
        <v>1485</v>
      </c>
      <c r="E129" s="150" t="s">
        <v>4748</v>
      </c>
      <c r="F129" s="64"/>
      <c r="G129" s="148" t="s">
        <v>4975</v>
      </c>
      <c r="H129" s="149"/>
      <c r="I129" s="64"/>
      <c r="J129" s="64"/>
      <c r="K129" s="64"/>
      <c r="L129" s="61"/>
      <c r="M129" s="100"/>
      <c r="N129" s="100"/>
    </row>
    <row r="130" ht="15.6" spans="1:14">
      <c r="A130" s="95"/>
      <c r="B130" s="69" t="s">
        <v>4976</v>
      </c>
      <c r="C130" s="96" t="s">
        <v>203</v>
      </c>
      <c r="D130" s="61" t="s">
        <v>4977</v>
      </c>
      <c r="E130" s="150" t="s">
        <v>4748</v>
      </c>
      <c r="F130" s="64"/>
      <c r="G130" s="148" t="s">
        <v>4978</v>
      </c>
      <c r="H130" s="149"/>
      <c r="I130" s="64"/>
      <c r="J130" s="64"/>
      <c r="K130" s="64"/>
      <c r="L130" s="61"/>
      <c r="M130" s="100"/>
      <c r="N130" s="100"/>
    </row>
    <row r="131" ht="15.6" spans="1:14">
      <c r="A131" s="95"/>
      <c r="B131" s="69" t="s">
        <v>4979</v>
      </c>
      <c r="C131" s="96" t="s">
        <v>229</v>
      </c>
      <c r="D131" s="61" t="s">
        <v>4980</v>
      </c>
      <c r="E131" s="150" t="s">
        <v>4748</v>
      </c>
      <c r="F131" s="64"/>
      <c r="G131" s="148" t="s">
        <v>4981</v>
      </c>
      <c r="H131" s="149"/>
      <c r="I131" s="64"/>
      <c r="J131" s="64"/>
      <c r="K131" s="64"/>
      <c r="L131" s="61"/>
      <c r="M131" s="100"/>
      <c r="N131" s="100"/>
    </row>
    <row r="132" ht="15.6" spans="1:14">
      <c r="A132" s="95"/>
      <c r="B132" s="69" t="s">
        <v>4982</v>
      </c>
      <c r="C132" s="96" t="s">
        <v>229</v>
      </c>
      <c r="D132" s="61" t="s">
        <v>4983</v>
      </c>
      <c r="E132" s="150" t="s">
        <v>4748</v>
      </c>
      <c r="F132" s="64"/>
      <c r="G132" s="148" t="s">
        <v>4984</v>
      </c>
      <c r="H132" s="149"/>
      <c r="I132" s="64"/>
      <c r="J132" s="64"/>
      <c r="K132" s="64"/>
      <c r="L132" s="61"/>
      <c r="M132" s="100"/>
      <c r="N132" s="100"/>
    </row>
    <row r="133" ht="15.6" spans="1:14">
      <c r="A133" s="95"/>
      <c r="B133" s="69" t="s">
        <v>4985</v>
      </c>
      <c r="C133" s="96" t="s">
        <v>229</v>
      </c>
      <c r="D133" s="61" t="s">
        <v>4986</v>
      </c>
      <c r="E133" s="150" t="s">
        <v>4748</v>
      </c>
      <c r="F133" s="64"/>
      <c r="G133" s="148" t="s">
        <v>4987</v>
      </c>
      <c r="H133" s="149"/>
      <c r="I133" s="64"/>
      <c r="J133" s="64"/>
      <c r="K133" s="64"/>
      <c r="L133" s="61"/>
      <c r="M133" s="100"/>
      <c r="N133" s="100"/>
    </row>
    <row r="134" ht="15.6" spans="1:14">
      <c r="A134" s="95"/>
      <c r="B134" s="69" t="s">
        <v>4988</v>
      </c>
      <c r="C134" s="96" t="s">
        <v>203</v>
      </c>
      <c r="D134" s="61" t="s">
        <v>4989</v>
      </c>
      <c r="E134" s="150" t="s">
        <v>4748</v>
      </c>
      <c r="F134" s="64"/>
      <c r="G134" s="148" t="s">
        <v>4990</v>
      </c>
      <c r="H134" s="149"/>
      <c r="I134" s="64"/>
      <c r="J134" s="64"/>
      <c r="K134" s="64"/>
      <c r="L134" s="61"/>
      <c r="M134" s="100"/>
      <c r="N134" s="100"/>
    </row>
    <row r="135" ht="15.6" spans="1:14">
      <c r="A135" s="95"/>
      <c r="B135" s="69" t="s">
        <v>4991</v>
      </c>
      <c r="C135" s="96" t="s">
        <v>229</v>
      </c>
      <c r="D135" s="61" t="s">
        <v>4992</v>
      </c>
      <c r="E135" s="150" t="s">
        <v>4748</v>
      </c>
      <c r="F135" s="64"/>
      <c r="G135" s="148" t="s">
        <v>4993</v>
      </c>
      <c r="H135" s="149"/>
      <c r="I135" s="64"/>
      <c r="J135" s="64"/>
      <c r="K135" s="64"/>
      <c r="L135" s="61"/>
      <c r="M135" s="100"/>
      <c r="N135" s="100"/>
    </row>
    <row r="136" ht="15.6" spans="1:14">
      <c r="A136" s="95"/>
      <c r="B136" s="69" t="s">
        <v>1484</v>
      </c>
      <c r="C136" s="96" t="s">
        <v>229</v>
      </c>
      <c r="D136" s="61" t="s">
        <v>4994</v>
      </c>
      <c r="E136" s="150" t="s">
        <v>4748</v>
      </c>
      <c r="F136" s="64"/>
      <c r="G136" s="148" t="s">
        <v>4995</v>
      </c>
      <c r="H136" s="149"/>
      <c r="I136" s="64"/>
      <c r="J136" s="64"/>
      <c r="K136" s="64"/>
      <c r="L136" s="61"/>
      <c r="M136" s="100"/>
      <c r="N136" s="100"/>
    </row>
    <row r="137" ht="15.6" spans="1:14">
      <c r="A137" s="95"/>
      <c r="B137" s="69" t="s">
        <v>1486</v>
      </c>
      <c r="C137" s="96" t="s">
        <v>229</v>
      </c>
      <c r="D137" s="61" t="s">
        <v>4996</v>
      </c>
      <c r="E137" s="150" t="s">
        <v>4748</v>
      </c>
      <c r="F137" s="64"/>
      <c r="G137" s="148" t="s">
        <v>4997</v>
      </c>
      <c r="H137" s="149"/>
      <c r="I137" s="64"/>
      <c r="J137" s="64"/>
      <c r="K137" s="64"/>
      <c r="L137" s="61"/>
      <c r="M137" s="100"/>
      <c r="N137" s="100"/>
    </row>
    <row r="138" ht="15.6" spans="1:14">
      <c r="A138" s="95"/>
      <c r="B138" s="69" t="s">
        <v>3512</v>
      </c>
      <c r="C138" s="96" t="s">
        <v>229</v>
      </c>
      <c r="D138" s="61" t="s">
        <v>4998</v>
      </c>
      <c r="E138" s="150" t="s">
        <v>4748</v>
      </c>
      <c r="F138" s="150" t="s">
        <v>4999</v>
      </c>
      <c r="G138" s="148" t="s">
        <v>4609</v>
      </c>
      <c r="H138" s="149"/>
      <c r="I138" s="64"/>
      <c r="J138" s="64"/>
      <c r="K138" s="64"/>
      <c r="L138" s="61"/>
      <c r="M138" s="100"/>
      <c r="N138" s="100"/>
    </row>
    <row r="139" ht="15.6" spans="1:14">
      <c r="A139" s="95"/>
      <c r="B139" s="69" t="s">
        <v>5000</v>
      </c>
      <c r="C139" s="96" t="s">
        <v>229</v>
      </c>
      <c r="D139" s="61" t="s">
        <v>4895</v>
      </c>
      <c r="E139" s="150" t="s">
        <v>4748</v>
      </c>
      <c r="F139" s="64"/>
      <c r="G139" s="148" t="s">
        <v>4764</v>
      </c>
      <c r="H139" s="149"/>
      <c r="I139" s="64"/>
      <c r="J139" s="64"/>
      <c r="K139" s="64"/>
      <c r="L139" s="61"/>
      <c r="M139" s="100"/>
      <c r="N139" s="100"/>
    </row>
    <row r="140" ht="15.6" spans="1:14">
      <c r="A140" s="95"/>
      <c r="B140" s="69" t="s">
        <v>5001</v>
      </c>
      <c r="C140" s="96" t="s">
        <v>203</v>
      </c>
      <c r="D140" s="61" t="s">
        <v>4897</v>
      </c>
      <c r="E140" s="150" t="s">
        <v>4748</v>
      </c>
      <c r="F140" s="64"/>
      <c r="G140" s="148" t="s">
        <v>4767</v>
      </c>
      <c r="H140" s="149"/>
      <c r="I140" s="64"/>
      <c r="J140" s="64"/>
      <c r="K140" s="64"/>
      <c r="L140" s="61"/>
      <c r="M140" s="100"/>
      <c r="N140" s="100"/>
    </row>
    <row r="141" ht="15.6" spans="1:14">
      <c r="A141" s="95"/>
      <c r="B141" s="69" t="s">
        <v>5002</v>
      </c>
      <c r="C141" s="96" t="s">
        <v>229</v>
      </c>
      <c r="D141" s="61" t="s">
        <v>4953</v>
      </c>
      <c r="E141" s="150" t="s">
        <v>4748</v>
      </c>
      <c r="F141" s="64"/>
      <c r="G141" s="148" t="s">
        <v>4761</v>
      </c>
      <c r="H141" s="154" t="s">
        <v>5003</v>
      </c>
      <c r="I141" s="64"/>
      <c r="J141" s="64"/>
      <c r="K141" s="64"/>
      <c r="L141" s="61"/>
      <c r="M141" s="100"/>
      <c r="N141" s="100"/>
    </row>
    <row r="142" ht="15.6" spans="1:14">
      <c r="A142" s="95"/>
      <c r="B142" s="69" t="s">
        <v>5004</v>
      </c>
      <c r="C142" s="96" t="s">
        <v>229</v>
      </c>
      <c r="D142" s="148" t="s">
        <v>395</v>
      </c>
      <c r="E142" s="150" t="s">
        <v>4748</v>
      </c>
      <c r="F142" s="64"/>
      <c r="G142" s="148" t="s">
        <v>4856</v>
      </c>
      <c r="H142" s="154"/>
      <c r="I142" s="64"/>
      <c r="J142" s="64"/>
      <c r="K142" s="64"/>
      <c r="L142" s="61"/>
      <c r="M142" s="100"/>
      <c r="N142" s="100"/>
    </row>
    <row r="143" ht="15.6" spans="1:14">
      <c r="A143" s="95"/>
      <c r="B143" s="69" t="s">
        <v>5005</v>
      </c>
      <c r="C143" s="96" t="s">
        <v>229</v>
      </c>
      <c r="D143" s="61" t="s">
        <v>4958</v>
      </c>
      <c r="E143" s="150" t="s">
        <v>4748</v>
      </c>
      <c r="F143" s="64"/>
      <c r="G143" s="148" t="s">
        <v>4859</v>
      </c>
      <c r="H143" s="154"/>
      <c r="I143" s="64"/>
      <c r="J143" s="64"/>
      <c r="K143" s="64"/>
      <c r="L143" s="61"/>
      <c r="M143" s="100"/>
      <c r="N143" s="100"/>
    </row>
    <row r="144" ht="15.6" spans="1:14">
      <c r="A144" s="95"/>
      <c r="B144" s="69" t="s">
        <v>5006</v>
      </c>
      <c r="C144" s="96" t="s">
        <v>229</v>
      </c>
      <c r="D144" s="61" t="s">
        <v>758</v>
      </c>
      <c r="E144" s="150" t="s">
        <v>4748</v>
      </c>
      <c r="F144" s="64"/>
      <c r="G144" s="148" t="s">
        <v>4861</v>
      </c>
      <c r="H144" s="154"/>
      <c r="I144" s="64"/>
      <c r="J144" s="64"/>
      <c r="K144" s="64"/>
      <c r="L144" s="61"/>
      <c r="M144" s="100"/>
      <c r="N144" s="100"/>
    </row>
    <row r="145" ht="15.6" spans="1:14">
      <c r="A145" s="95"/>
      <c r="B145" s="69" t="s">
        <v>5007</v>
      </c>
      <c r="C145" s="96" t="s">
        <v>229</v>
      </c>
      <c r="D145" s="61" t="s">
        <v>761</v>
      </c>
      <c r="E145" s="150" t="s">
        <v>4748</v>
      </c>
      <c r="F145" s="64"/>
      <c r="G145" s="148" t="s">
        <v>4863</v>
      </c>
      <c r="H145" s="154"/>
      <c r="I145" s="64"/>
      <c r="J145" s="64"/>
      <c r="K145" s="64"/>
      <c r="L145" s="61"/>
      <c r="M145" s="100"/>
      <c r="N145" s="100"/>
    </row>
    <row r="146" ht="15.6" spans="1:14">
      <c r="A146" s="95"/>
      <c r="B146" s="69" t="s">
        <v>5008</v>
      </c>
      <c r="C146" s="96" t="s">
        <v>229</v>
      </c>
      <c r="D146" s="61" t="s">
        <v>5009</v>
      </c>
      <c r="E146" s="150" t="s">
        <v>4748</v>
      </c>
      <c r="F146" s="64"/>
      <c r="G146" s="148" t="s">
        <v>4865</v>
      </c>
      <c r="H146" s="154"/>
      <c r="I146" s="64"/>
      <c r="J146" s="64"/>
      <c r="K146" s="64"/>
      <c r="L146" s="61"/>
      <c r="M146" s="100"/>
      <c r="N146" s="100"/>
    </row>
    <row r="147" ht="15.6" spans="1:14">
      <c r="A147" s="95"/>
      <c r="B147" s="69" t="s">
        <v>5010</v>
      </c>
      <c r="C147" s="96" t="s">
        <v>229</v>
      </c>
      <c r="D147" s="61" t="s">
        <v>5011</v>
      </c>
      <c r="E147" s="150" t="s">
        <v>4748</v>
      </c>
      <c r="F147" s="64"/>
      <c r="G147" s="148" t="s">
        <v>4868</v>
      </c>
      <c r="H147" s="154"/>
      <c r="I147" s="64"/>
      <c r="J147" s="64"/>
      <c r="K147" s="64"/>
      <c r="L147" s="61"/>
      <c r="M147" s="100"/>
      <c r="N147" s="100"/>
    </row>
    <row r="148" ht="15.6" spans="1:14">
      <c r="A148" s="95"/>
      <c r="B148" s="69" t="s">
        <v>5012</v>
      </c>
      <c r="C148" s="96" t="s">
        <v>229</v>
      </c>
      <c r="D148" s="61" t="s">
        <v>788</v>
      </c>
      <c r="E148" s="150" t="s">
        <v>4748</v>
      </c>
      <c r="F148" s="64"/>
      <c r="G148" s="148" t="s">
        <v>4870</v>
      </c>
      <c r="H148" s="154"/>
      <c r="I148" s="64"/>
      <c r="J148" s="64"/>
      <c r="K148" s="64"/>
      <c r="L148" s="61"/>
      <c r="M148" s="100"/>
      <c r="N148" s="100"/>
    </row>
    <row r="149" ht="15.6" spans="1:14">
      <c r="A149" s="95"/>
      <c r="B149" s="69" t="s">
        <v>5013</v>
      </c>
      <c r="C149" s="96" t="s">
        <v>229</v>
      </c>
      <c r="D149" s="61" t="s">
        <v>791</v>
      </c>
      <c r="E149" s="150" t="s">
        <v>4748</v>
      </c>
      <c r="F149" s="64"/>
      <c r="G149" s="148" t="s">
        <v>4872</v>
      </c>
      <c r="H149" s="154"/>
      <c r="I149" s="64"/>
      <c r="J149" s="64"/>
      <c r="K149" s="64"/>
      <c r="L149" s="61"/>
      <c r="M149" s="100"/>
      <c r="N149" s="100"/>
    </row>
    <row r="150" ht="15.6" spans="1:14">
      <c r="A150" s="95"/>
      <c r="B150" s="69" t="s">
        <v>5014</v>
      </c>
      <c r="C150" s="96" t="s">
        <v>229</v>
      </c>
      <c r="D150" s="61" t="s">
        <v>794</v>
      </c>
      <c r="E150" s="150" t="s">
        <v>4748</v>
      </c>
      <c r="F150" s="64"/>
      <c r="G150" s="148" t="s">
        <v>4874</v>
      </c>
      <c r="H150" s="154"/>
      <c r="I150" s="64"/>
      <c r="J150" s="64"/>
      <c r="K150" s="64"/>
      <c r="L150" s="61"/>
      <c r="M150" s="100"/>
      <c r="N150" s="100"/>
    </row>
    <row r="151" ht="15.6" spans="1:14">
      <c r="A151" s="95"/>
      <c r="B151" s="69" t="s">
        <v>5015</v>
      </c>
      <c r="C151" s="96" t="s">
        <v>229</v>
      </c>
      <c r="D151" s="61" t="s">
        <v>797</v>
      </c>
      <c r="E151" s="150" t="s">
        <v>4748</v>
      </c>
      <c r="F151" s="64"/>
      <c r="G151" s="148" t="s">
        <v>4876</v>
      </c>
      <c r="H151" s="154"/>
      <c r="I151" s="64"/>
      <c r="J151" s="64"/>
      <c r="K151" s="64"/>
      <c r="L151" s="61"/>
      <c r="M151" s="100"/>
      <c r="N151" s="100"/>
    </row>
    <row r="152" ht="15.6" spans="1:14">
      <c r="A152" s="95"/>
      <c r="B152" s="69" t="s">
        <v>5016</v>
      </c>
      <c r="C152" s="96" t="s">
        <v>203</v>
      </c>
      <c r="D152" s="61" t="s">
        <v>1368</v>
      </c>
      <c r="E152" s="150" t="s">
        <v>4748</v>
      </c>
      <c r="F152" s="64"/>
      <c r="G152" s="148" t="s">
        <v>4878</v>
      </c>
      <c r="H152" s="154"/>
      <c r="I152" s="64"/>
      <c r="J152" s="64"/>
      <c r="K152" s="64"/>
      <c r="L152" s="61"/>
      <c r="M152" s="100"/>
      <c r="N152" s="100"/>
    </row>
    <row r="153" ht="15.6" spans="1:14">
      <c r="A153" s="95"/>
      <c r="B153" s="69" t="s">
        <v>5017</v>
      </c>
      <c r="C153" s="96" t="s">
        <v>203</v>
      </c>
      <c r="D153" s="61" t="s">
        <v>1386</v>
      </c>
      <c r="E153" s="150" t="s">
        <v>4748</v>
      </c>
      <c r="F153" s="64"/>
      <c r="G153" s="148" t="s">
        <v>4880</v>
      </c>
      <c r="H153" s="154"/>
      <c r="I153" s="64"/>
      <c r="J153" s="64"/>
      <c r="K153" s="64"/>
      <c r="L153" s="61"/>
      <c r="M153" s="100"/>
      <c r="N153" s="100"/>
    </row>
    <row r="154" ht="15.6" spans="1:14">
      <c r="A154" s="95"/>
      <c r="B154" s="69" t="s">
        <v>5018</v>
      </c>
      <c r="C154" s="96" t="s">
        <v>203</v>
      </c>
      <c r="D154" s="61" t="s">
        <v>1422</v>
      </c>
      <c r="E154" s="150" t="s">
        <v>4748</v>
      </c>
      <c r="F154" s="64"/>
      <c r="G154" s="148" t="s">
        <v>4882</v>
      </c>
      <c r="H154" s="154"/>
      <c r="I154" s="64"/>
      <c r="J154" s="64"/>
      <c r="K154" s="64"/>
      <c r="L154" s="61"/>
      <c r="M154" s="100"/>
      <c r="N154" s="100"/>
    </row>
    <row r="155" ht="15.6" spans="1:14">
      <c r="A155" s="95"/>
      <c r="B155" s="69" t="s">
        <v>5019</v>
      </c>
      <c r="C155" s="96" t="s">
        <v>203</v>
      </c>
      <c r="D155" s="61" t="s">
        <v>1440</v>
      </c>
      <c r="E155" s="150" t="s">
        <v>4748</v>
      </c>
      <c r="F155" s="64"/>
      <c r="G155" s="148" t="s">
        <v>4884</v>
      </c>
      <c r="H155" s="154"/>
      <c r="I155" s="64"/>
      <c r="J155" s="64"/>
      <c r="K155" s="64"/>
      <c r="L155" s="61"/>
      <c r="M155" s="100"/>
      <c r="N155" s="100"/>
    </row>
    <row r="156" ht="15.6" spans="1:14">
      <c r="A156" s="95"/>
      <c r="B156" s="69" t="s">
        <v>5020</v>
      </c>
      <c r="C156" s="96" t="s">
        <v>203</v>
      </c>
      <c r="D156" s="61" t="s">
        <v>4933</v>
      </c>
      <c r="E156" s="150" t="s">
        <v>4748</v>
      </c>
      <c r="F156" s="64"/>
      <c r="G156" s="151" t="s">
        <v>5021</v>
      </c>
      <c r="H156" s="154"/>
      <c r="I156" s="64"/>
      <c r="J156" s="64"/>
      <c r="K156" s="64"/>
      <c r="L156" s="61"/>
      <c r="M156" s="100"/>
      <c r="N156" s="100"/>
    </row>
    <row r="157" ht="15.6" spans="1:14">
      <c r="A157" s="95"/>
      <c r="B157" s="69" t="s">
        <v>5022</v>
      </c>
      <c r="C157" s="96" t="s">
        <v>203</v>
      </c>
      <c r="D157" s="61" t="s">
        <v>4936</v>
      </c>
      <c r="E157" s="150" t="s">
        <v>4748</v>
      </c>
      <c r="F157" s="64"/>
      <c r="G157" s="151" t="s">
        <v>5023</v>
      </c>
      <c r="H157" s="154"/>
      <c r="I157" s="64"/>
      <c r="J157" s="64"/>
      <c r="K157" s="64"/>
      <c r="L157" s="61"/>
      <c r="M157" s="100"/>
      <c r="N157" s="100"/>
    </row>
    <row r="158" ht="15.6" spans="1:14">
      <c r="A158" s="95"/>
      <c r="B158" s="69" t="s">
        <v>5024</v>
      </c>
      <c r="C158" s="96" t="s">
        <v>229</v>
      </c>
      <c r="D158" s="61" t="s">
        <v>5025</v>
      </c>
      <c r="E158" s="150" t="s">
        <v>4748</v>
      </c>
      <c r="F158" s="64"/>
      <c r="G158" s="152" t="s">
        <v>5026</v>
      </c>
      <c r="H158" s="154"/>
      <c r="I158" s="64"/>
      <c r="J158" s="64"/>
      <c r="K158" s="64"/>
      <c r="L158" s="61"/>
      <c r="M158" s="100"/>
      <c r="N158" s="100"/>
    </row>
    <row r="159" ht="15.6" spans="1:14">
      <c r="A159" s="95"/>
      <c r="B159" s="69" t="s">
        <v>5027</v>
      </c>
      <c r="C159" s="96" t="s">
        <v>229</v>
      </c>
      <c r="D159" s="61" t="s">
        <v>5028</v>
      </c>
      <c r="E159" s="150" t="s">
        <v>4748</v>
      </c>
      <c r="F159" s="64"/>
      <c r="G159" s="152" t="s">
        <v>5029</v>
      </c>
      <c r="H159" s="154"/>
      <c r="I159" s="64"/>
      <c r="J159" s="64"/>
      <c r="K159" s="64"/>
      <c r="L159" s="61"/>
      <c r="M159" s="100"/>
      <c r="N159" s="100"/>
    </row>
    <row r="160" ht="15.6" spans="1:14">
      <c r="A160" s="95"/>
      <c r="B160" s="69" t="s">
        <v>5030</v>
      </c>
      <c r="C160" s="96" t="s">
        <v>229</v>
      </c>
      <c r="D160" s="61" t="s">
        <v>5031</v>
      </c>
      <c r="E160" s="150" t="s">
        <v>4748</v>
      </c>
      <c r="F160" s="64"/>
      <c r="G160" s="152" t="s">
        <v>5032</v>
      </c>
      <c r="H160" s="154"/>
      <c r="I160" s="64"/>
      <c r="J160" s="64"/>
      <c r="K160" s="64"/>
      <c r="L160" s="61"/>
      <c r="M160" s="100"/>
      <c r="N160" s="100"/>
    </row>
    <row r="161" ht="15.6" spans="1:14">
      <c r="A161" s="95"/>
      <c r="B161" s="69" t="s">
        <v>5033</v>
      </c>
      <c r="C161" s="96" t="s">
        <v>229</v>
      </c>
      <c r="D161" s="61" t="s">
        <v>5034</v>
      </c>
      <c r="E161" s="150" t="s">
        <v>4748</v>
      </c>
      <c r="F161" s="64"/>
      <c r="G161" s="153" t="s">
        <v>5035</v>
      </c>
      <c r="H161" s="154"/>
      <c r="I161" s="64"/>
      <c r="J161" s="64"/>
      <c r="K161" s="64"/>
      <c r="L161" s="61"/>
      <c r="M161" s="100"/>
      <c r="N161" s="100"/>
    </row>
    <row r="162" ht="15.6" spans="1:14">
      <c r="A162" s="95"/>
      <c r="B162" s="69" t="s">
        <v>5036</v>
      </c>
      <c r="C162" s="96" t="s">
        <v>229</v>
      </c>
      <c r="D162" s="61" t="s">
        <v>5037</v>
      </c>
      <c r="E162" s="150" t="s">
        <v>4748</v>
      </c>
      <c r="F162" s="64"/>
      <c r="G162" s="103" t="s">
        <v>5038</v>
      </c>
      <c r="H162" s="154"/>
      <c r="I162" s="64"/>
      <c r="J162" s="64"/>
      <c r="K162" s="64"/>
      <c r="L162" s="61"/>
      <c r="M162" s="100"/>
      <c r="N162" s="100"/>
    </row>
    <row r="163" ht="15.6" spans="1:14">
      <c r="A163" s="95"/>
      <c r="B163" s="69" t="s">
        <v>5039</v>
      </c>
      <c r="C163" s="96" t="s">
        <v>229</v>
      </c>
      <c r="D163" s="61" t="s">
        <v>5040</v>
      </c>
      <c r="E163" s="150" t="s">
        <v>4748</v>
      </c>
      <c r="F163" s="64"/>
      <c r="G163" s="103" t="s">
        <v>4612</v>
      </c>
      <c r="H163" s="154"/>
      <c r="I163" s="64"/>
      <c r="J163" s="64"/>
      <c r="K163" s="64"/>
      <c r="L163" s="61"/>
      <c r="M163" s="100"/>
      <c r="N163" s="100"/>
    </row>
    <row r="164" ht="15.6" spans="1:14">
      <c r="A164" s="95"/>
      <c r="B164" s="69" t="s">
        <v>5041</v>
      </c>
      <c r="C164" s="96" t="s">
        <v>229</v>
      </c>
      <c r="D164" s="61" t="s">
        <v>5042</v>
      </c>
      <c r="E164" s="150" t="s">
        <v>4748</v>
      </c>
      <c r="F164" s="64"/>
      <c r="G164" s="103" t="s">
        <v>5043</v>
      </c>
      <c r="H164" s="154"/>
      <c r="I164" s="64"/>
      <c r="J164" s="64"/>
      <c r="K164" s="64"/>
      <c r="L164" s="61"/>
      <c r="M164" s="100"/>
      <c r="N164" s="100"/>
    </row>
    <row r="165" ht="15.6" spans="1:14">
      <c r="A165" s="95"/>
      <c r="B165" s="69" t="s">
        <v>5044</v>
      </c>
      <c r="C165" s="96" t="s">
        <v>229</v>
      </c>
      <c r="D165" s="61" t="s">
        <v>5045</v>
      </c>
      <c r="E165" s="150" t="s">
        <v>4748</v>
      </c>
      <c r="F165" s="64"/>
      <c r="G165" s="103" t="s">
        <v>5046</v>
      </c>
      <c r="H165" s="154"/>
      <c r="I165" s="64"/>
      <c r="J165" s="64"/>
      <c r="K165" s="64"/>
      <c r="L165" s="61"/>
      <c r="M165" s="100"/>
      <c r="N165" s="100"/>
    </row>
    <row r="166" ht="15.6" spans="1:14">
      <c r="A166" s="95"/>
      <c r="B166" s="69" t="s">
        <v>5047</v>
      </c>
      <c r="C166" s="96" t="s">
        <v>229</v>
      </c>
      <c r="D166" s="61" t="s">
        <v>5048</v>
      </c>
      <c r="E166" s="150" t="s">
        <v>4748</v>
      </c>
      <c r="F166" s="64"/>
      <c r="G166" s="103" t="s">
        <v>4615</v>
      </c>
      <c r="H166" s="154"/>
      <c r="I166" s="64"/>
      <c r="J166" s="64"/>
      <c r="K166" s="64"/>
      <c r="L166" s="61"/>
      <c r="M166" s="100"/>
      <c r="N166" s="100"/>
    </row>
    <row r="167" ht="15.6" spans="1:14">
      <c r="A167" s="95"/>
      <c r="B167" s="69" t="s">
        <v>5049</v>
      </c>
      <c r="C167" s="96" t="s">
        <v>229</v>
      </c>
      <c r="D167" s="61" t="s">
        <v>5050</v>
      </c>
      <c r="E167" s="150" t="s">
        <v>4748</v>
      </c>
      <c r="F167" s="64"/>
      <c r="G167" s="103" t="s">
        <v>5051</v>
      </c>
      <c r="H167" s="154"/>
      <c r="I167" s="64"/>
      <c r="J167" s="64"/>
      <c r="K167" s="64"/>
      <c r="L167" s="61"/>
      <c r="M167" s="100"/>
      <c r="N167" s="100"/>
    </row>
    <row r="168" ht="15.6" spans="1:14">
      <c r="A168" s="95"/>
      <c r="B168" s="69" t="s">
        <v>5052</v>
      </c>
      <c r="C168" s="96" t="s">
        <v>229</v>
      </c>
      <c r="D168" s="61" t="s">
        <v>5053</v>
      </c>
      <c r="E168" s="150" t="s">
        <v>4748</v>
      </c>
      <c r="F168" s="64"/>
      <c r="G168" s="103" t="s">
        <v>5054</v>
      </c>
      <c r="H168" s="154"/>
      <c r="I168" s="64"/>
      <c r="J168" s="64"/>
      <c r="K168" s="64"/>
      <c r="L168" s="61"/>
      <c r="M168" s="100"/>
      <c r="N168" s="100"/>
    </row>
    <row r="169" ht="15.6" spans="1:14">
      <c r="A169" s="95"/>
      <c r="B169" s="69" t="s">
        <v>5055</v>
      </c>
      <c r="C169" s="96" t="s">
        <v>229</v>
      </c>
      <c r="D169" s="61" t="s">
        <v>5056</v>
      </c>
      <c r="E169" s="150" t="s">
        <v>4748</v>
      </c>
      <c r="F169" s="64"/>
      <c r="G169" s="103" t="s">
        <v>5057</v>
      </c>
      <c r="H169" s="154"/>
      <c r="I169" s="64"/>
      <c r="J169" s="64"/>
      <c r="K169" s="64"/>
      <c r="L169" s="61"/>
      <c r="M169" s="100"/>
      <c r="N169" s="100"/>
    </row>
    <row r="170" ht="15.6" spans="1:14">
      <c r="A170" s="95"/>
      <c r="B170" s="69" t="s">
        <v>5058</v>
      </c>
      <c r="C170" s="96" t="s">
        <v>203</v>
      </c>
      <c r="D170" s="61" t="s">
        <v>5059</v>
      </c>
      <c r="E170" s="150" t="s">
        <v>4748</v>
      </c>
      <c r="F170" s="64"/>
      <c r="G170" s="103" t="s">
        <v>5060</v>
      </c>
      <c r="H170" s="154"/>
      <c r="I170" s="64"/>
      <c r="J170" s="64"/>
      <c r="K170" s="64"/>
      <c r="L170" s="61"/>
      <c r="M170" s="100"/>
      <c r="N170" s="100"/>
    </row>
    <row r="171" ht="15.6" spans="1:14">
      <c r="A171" s="95"/>
      <c r="B171" s="69" t="s">
        <v>5061</v>
      </c>
      <c r="C171" s="96" t="s">
        <v>203</v>
      </c>
      <c r="D171" s="61" t="s">
        <v>5062</v>
      </c>
      <c r="E171" s="150" t="s">
        <v>4748</v>
      </c>
      <c r="F171" s="64"/>
      <c r="G171" s="103" t="s">
        <v>5063</v>
      </c>
      <c r="H171" s="154"/>
      <c r="I171" s="64"/>
      <c r="J171" s="64"/>
      <c r="K171" s="64"/>
      <c r="L171" s="61"/>
      <c r="M171" s="100"/>
      <c r="N171" s="100"/>
    </row>
    <row r="172" ht="15.6" spans="1:14">
      <c r="A172" s="95"/>
      <c r="B172" s="69" t="s">
        <v>5064</v>
      </c>
      <c r="C172" s="96" t="s">
        <v>203</v>
      </c>
      <c r="D172" s="61" t="s">
        <v>5065</v>
      </c>
      <c r="E172" s="150" t="s">
        <v>4748</v>
      </c>
      <c r="F172" s="64"/>
      <c r="G172" s="103" t="s">
        <v>5066</v>
      </c>
      <c r="H172" s="154"/>
      <c r="I172" s="64"/>
      <c r="J172" s="64"/>
      <c r="K172" s="64"/>
      <c r="L172" s="61"/>
      <c r="M172" s="100"/>
      <c r="N172" s="100"/>
    </row>
    <row r="173" ht="15.6" spans="1:14">
      <c r="A173" s="95"/>
      <c r="B173" s="69" t="s">
        <v>5067</v>
      </c>
      <c r="C173" s="96" t="s">
        <v>203</v>
      </c>
      <c r="D173" s="61" t="s">
        <v>4624</v>
      </c>
      <c r="E173" s="150" t="s">
        <v>4748</v>
      </c>
      <c r="F173" s="64"/>
      <c r="G173" s="103" t="s">
        <v>5068</v>
      </c>
      <c r="H173" s="154"/>
      <c r="I173" s="64"/>
      <c r="J173" s="64"/>
      <c r="K173" s="64"/>
      <c r="L173" s="61"/>
      <c r="M173" s="100"/>
      <c r="N173" s="100"/>
    </row>
    <row r="174" ht="15.6" spans="1:14">
      <c r="A174" s="95"/>
      <c r="B174" s="69" t="s">
        <v>5069</v>
      </c>
      <c r="C174" s="96" t="s">
        <v>229</v>
      </c>
      <c r="D174" s="61" t="s">
        <v>5070</v>
      </c>
      <c r="E174" s="150" t="s">
        <v>4748</v>
      </c>
      <c r="F174" s="64"/>
      <c r="G174" s="103" t="s">
        <v>5071</v>
      </c>
      <c r="H174" s="154"/>
      <c r="I174" s="64"/>
      <c r="J174" s="64"/>
      <c r="K174" s="64"/>
      <c r="L174" s="61"/>
      <c r="M174" s="100"/>
      <c r="N174" s="100"/>
    </row>
    <row r="175" ht="15.6" spans="1:14">
      <c r="A175" s="95"/>
      <c r="B175" s="69" t="s">
        <v>5072</v>
      </c>
      <c r="C175" s="96" t="s">
        <v>203</v>
      </c>
      <c r="D175" s="61" t="s">
        <v>5073</v>
      </c>
      <c r="E175" s="150" t="s">
        <v>4748</v>
      </c>
      <c r="F175" s="64"/>
      <c r="G175" s="103" t="s">
        <v>5074</v>
      </c>
      <c r="H175" s="154"/>
      <c r="I175" s="64"/>
      <c r="J175" s="64"/>
      <c r="K175" s="64"/>
      <c r="L175" s="61"/>
      <c r="M175" s="100"/>
      <c r="N175" s="100"/>
    </row>
    <row r="176" ht="15.6" spans="1:14">
      <c r="A176" s="95"/>
      <c r="B176" s="69" t="s">
        <v>5075</v>
      </c>
      <c r="C176" s="96" t="s">
        <v>203</v>
      </c>
      <c r="D176" s="61" t="s">
        <v>5076</v>
      </c>
      <c r="E176" s="150" t="s">
        <v>4748</v>
      </c>
      <c r="F176" s="64"/>
      <c r="G176" s="103" t="s">
        <v>5077</v>
      </c>
      <c r="H176" s="154"/>
      <c r="I176" s="64"/>
      <c r="J176" s="64"/>
      <c r="K176" s="64"/>
      <c r="L176" s="61"/>
      <c r="M176" s="100"/>
      <c r="N176" s="100"/>
    </row>
    <row r="177" ht="15.6" spans="1:14">
      <c r="A177" s="95"/>
      <c r="B177" s="69" t="s">
        <v>5078</v>
      </c>
      <c r="C177" s="96" t="s">
        <v>229</v>
      </c>
      <c r="D177" s="61" t="s">
        <v>4895</v>
      </c>
      <c r="E177" s="150" t="s">
        <v>4748</v>
      </c>
      <c r="F177" s="64"/>
      <c r="G177" s="148" t="s">
        <v>4764</v>
      </c>
      <c r="H177" s="154"/>
      <c r="I177" s="64"/>
      <c r="J177" s="64"/>
      <c r="K177" s="64"/>
      <c r="L177" s="61"/>
      <c r="M177" s="100"/>
      <c r="N177" s="100"/>
    </row>
    <row r="178" ht="15.6" spans="1:14">
      <c r="A178" s="95"/>
      <c r="B178" s="69" t="s">
        <v>5079</v>
      </c>
      <c r="C178" s="96" t="s">
        <v>203</v>
      </c>
      <c r="D178" s="61" t="s">
        <v>4897</v>
      </c>
      <c r="E178" s="150" t="s">
        <v>4748</v>
      </c>
      <c r="F178" s="64"/>
      <c r="G178" s="148" t="s">
        <v>4767</v>
      </c>
      <c r="H178" s="155"/>
      <c r="I178" s="64"/>
      <c r="J178" s="64"/>
      <c r="K178" s="64"/>
      <c r="L178" s="61"/>
      <c r="M178" s="100"/>
      <c r="N178" s="100"/>
    </row>
    <row r="179" ht="16.5" customHeight="1" spans="1:14">
      <c r="A179" s="95"/>
      <c r="B179" s="69" t="s">
        <v>2593</v>
      </c>
      <c r="C179" s="96" t="s">
        <v>1349</v>
      </c>
      <c r="D179" s="61" t="s">
        <v>2594</v>
      </c>
      <c r="E179" s="64" t="s">
        <v>4740</v>
      </c>
      <c r="F179" s="61" t="s">
        <v>2593</v>
      </c>
      <c r="G179" s="150" t="s">
        <v>4749</v>
      </c>
      <c r="H179" s="82" t="s">
        <v>5080</v>
      </c>
      <c r="I179" s="64"/>
      <c r="J179" s="64"/>
      <c r="K179" s="64"/>
      <c r="L179" s="61"/>
      <c r="M179" s="100"/>
      <c r="N179" s="100"/>
    </row>
    <row r="180" ht="15.6" spans="1:14">
      <c r="A180" s="95"/>
      <c r="B180" s="69" t="s">
        <v>2596</v>
      </c>
      <c r="C180" s="96" t="s">
        <v>706</v>
      </c>
      <c r="D180" s="61" t="s">
        <v>2597</v>
      </c>
      <c r="E180" s="64" t="s">
        <v>4740</v>
      </c>
      <c r="F180" s="61" t="s">
        <v>2596</v>
      </c>
      <c r="G180" s="150" t="s">
        <v>4749</v>
      </c>
      <c r="H180" s="82"/>
      <c r="I180" s="64"/>
      <c r="J180" s="64"/>
      <c r="K180" s="64"/>
      <c r="L180" s="61"/>
      <c r="M180" s="100"/>
      <c r="N180" s="100"/>
    </row>
    <row r="181" ht="15.6" spans="1:14">
      <c r="A181" s="95"/>
      <c r="B181" s="69" t="s">
        <v>2599</v>
      </c>
      <c r="C181" s="96" t="s">
        <v>706</v>
      </c>
      <c r="D181" s="61" t="s">
        <v>2600</v>
      </c>
      <c r="E181" s="64" t="s">
        <v>4740</v>
      </c>
      <c r="F181" s="61" t="s">
        <v>2599</v>
      </c>
      <c r="G181" s="150" t="s">
        <v>4749</v>
      </c>
      <c r="H181" s="82"/>
      <c r="I181" s="64"/>
      <c r="J181" s="64"/>
      <c r="K181" s="64"/>
      <c r="L181" s="61"/>
      <c r="M181" s="100"/>
      <c r="N181" s="100"/>
    </row>
    <row r="182" ht="15.6" spans="1:14">
      <c r="A182" s="95"/>
      <c r="B182" s="69" t="s">
        <v>2602</v>
      </c>
      <c r="C182" s="96" t="s">
        <v>706</v>
      </c>
      <c r="D182" s="61" t="s">
        <v>2603</v>
      </c>
      <c r="E182" s="64" t="s">
        <v>4740</v>
      </c>
      <c r="F182" s="61" t="s">
        <v>2602</v>
      </c>
      <c r="G182" s="150" t="s">
        <v>4749</v>
      </c>
      <c r="H182" s="82"/>
      <c r="I182" s="64"/>
      <c r="J182" s="64"/>
      <c r="K182" s="64"/>
      <c r="L182" s="61"/>
      <c r="M182" s="100"/>
      <c r="N182" s="100"/>
    </row>
    <row r="183" ht="15.6" spans="1:14">
      <c r="A183" s="95"/>
      <c r="B183" s="69" t="s">
        <v>2605</v>
      </c>
      <c r="C183" s="96" t="s">
        <v>1349</v>
      </c>
      <c r="D183" s="61" t="s">
        <v>2606</v>
      </c>
      <c r="E183" s="64" t="s">
        <v>4740</v>
      </c>
      <c r="F183" s="61" t="s">
        <v>2605</v>
      </c>
      <c r="G183" s="150" t="s">
        <v>4749</v>
      </c>
      <c r="H183" s="82"/>
      <c r="I183" s="64"/>
      <c r="J183" s="64"/>
      <c r="K183" s="64"/>
      <c r="L183" s="61"/>
      <c r="M183" s="100"/>
      <c r="N183" s="100"/>
    </row>
    <row r="184" ht="15.6" spans="1:14">
      <c r="A184" s="95"/>
      <c r="B184" s="69" t="s">
        <v>2608</v>
      </c>
      <c r="C184" s="96" t="s">
        <v>1349</v>
      </c>
      <c r="D184" s="61" t="s">
        <v>2609</v>
      </c>
      <c r="E184" s="64" t="s">
        <v>4740</v>
      </c>
      <c r="F184" s="61" t="s">
        <v>2608</v>
      </c>
      <c r="G184" s="150" t="s">
        <v>4749</v>
      </c>
      <c r="H184" s="82"/>
      <c r="I184" s="64"/>
      <c r="J184" s="64"/>
      <c r="K184" s="64"/>
      <c r="L184" s="61"/>
      <c r="M184" s="100"/>
      <c r="N184" s="100"/>
    </row>
    <row r="185" ht="15.6" spans="1:14">
      <c r="A185" s="95"/>
      <c r="B185" s="69" t="s">
        <v>2611</v>
      </c>
      <c r="C185" s="96" t="s">
        <v>1349</v>
      </c>
      <c r="D185" s="61" t="s">
        <v>2612</v>
      </c>
      <c r="E185" s="64" t="s">
        <v>4740</v>
      </c>
      <c r="F185" s="61" t="s">
        <v>2611</v>
      </c>
      <c r="G185" s="150" t="s">
        <v>4749</v>
      </c>
      <c r="H185" s="82"/>
      <c r="I185" s="64"/>
      <c r="J185" s="64"/>
      <c r="K185" s="64"/>
      <c r="L185" s="61"/>
      <c r="M185" s="100"/>
      <c r="N185" s="100"/>
    </row>
    <row r="186" ht="15.6" spans="1:14">
      <c r="A186" s="95"/>
      <c r="B186" s="69" t="s">
        <v>2614</v>
      </c>
      <c r="C186" s="96" t="s">
        <v>706</v>
      </c>
      <c r="D186" s="61" t="s">
        <v>2615</v>
      </c>
      <c r="E186" s="64" t="s">
        <v>4740</v>
      </c>
      <c r="F186" s="61" t="s">
        <v>2614</v>
      </c>
      <c r="G186" s="150" t="s">
        <v>4749</v>
      </c>
      <c r="H186" s="82"/>
      <c r="I186" s="64"/>
      <c r="J186" s="64"/>
      <c r="K186" s="64"/>
      <c r="L186" s="61"/>
      <c r="M186" s="100"/>
      <c r="N186" s="100"/>
    </row>
    <row r="187" ht="15.6" spans="1:14">
      <c r="A187" s="95"/>
      <c r="B187" s="69" t="s">
        <v>2617</v>
      </c>
      <c r="C187" s="96" t="s">
        <v>706</v>
      </c>
      <c r="D187" s="61" t="s">
        <v>2618</v>
      </c>
      <c r="E187" s="64" t="s">
        <v>4740</v>
      </c>
      <c r="F187" s="61" t="s">
        <v>2617</v>
      </c>
      <c r="G187" s="150" t="s">
        <v>4749</v>
      </c>
      <c r="H187" s="82"/>
      <c r="I187" s="64"/>
      <c r="J187" s="64"/>
      <c r="K187" s="64"/>
      <c r="L187" s="61"/>
      <c r="M187" s="100"/>
      <c r="N187" s="100"/>
    </row>
    <row r="188" ht="15.6" spans="1:14">
      <c r="A188" s="95"/>
      <c r="B188" s="69" t="s">
        <v>2620</v>
      </c>
      <c r="C188" s="96" t="s">
        <v>1349</v>
      </c>
      <c r="D188" s="61" t="s">
        <v>2621</v>
      </c>
      <c r="E188" s="64" t="s">
        <v>4740</v>
      </c>
      <c r="F188" s="61" t="s">
        <v>2620</v>
      </c>
      <c r="G188" s="150" t="s">
        <v>4749</v>
      </c>
      <c r="H188" s="82"/>
      <c r="I188" s="64"/>
      <c r="J188" s="64"/>
      <c r="K188" s="64"/>
      <c r="L188" s="61"/>
      <c r="M188" s="100"/>
      <c r="N188" s="100"/>
    </row>
    <row r="189" ht="15.6" spans="1:14">
      <c r="A189" s="95"/>
      <c r="B189" s="69" t="s">
        <v>2623</v>
      </c>
      <c r="C189" s="96" t="s">
        <v>1349</v>
      </c>
      <c r="D189" s="61" t="s">
        <v>2624</v>
      </c>
      <c r="E189" s="64" t="s">
        <v>4740</v>
      </c>
      <c r="F189" s="61" t="s">
        <v>2623</v>
      </c>
      <c r="G189" s="150" t="s">
        <v>4749</v>
      </c>
      <c r="H189" s="82"/>
      <c r="I189" s="64"/>
      <c r="J189" s="64"/>
      <c r="K189" s="64"/>
      <c r="L189" s="61"/>
      <c r="M189" s="100"/>
      <c r="N189" s="100"/>
    </row>
    <row r="190" ht="15.6" spans="1:14">
      <c r="A190" s="95"/>
      <c r="B190" s="69" t="s">
        <v>2625</v>
      </c>
      <c r="C190" s="96" t="s">
        <v>706</v>
      </c>
      <c r="D190" s="61" t="s">
        <v>2626</v>
      </c>
      <c r="E190" s="64" t="s">
        <v>4740</v>
      </c>
      <c r="F190" s="61" t="s">
        <v>2625</v>
      </c>
      <c r="G190" s="150" t="s">
        <v>4749</v>
      </c>
      <c r="H190" s="82"/>
      <c r="I190" s="64"/>
      <c r="J190" s="64"/>
      <c r="K190" s="64"/>
      <c r="L190" s="61"/>
      <c r="M190" s="100"/>
      <c r="N190" s="100"/>
    </row>
    <row r="191" ht="15.6" spans="1:14">
      <c r="A191" s="95"/>
      <c r="B191" s="69" t="s">
        <v>2627</v>
      </c>
      <c r="C191" s="96" t="s">
        <v>706</v>
      </c>
      <c r="D191" s="61" t="s">
        <v>2628</v>
      </c>
      <c r="E191" s="64" t="s">
        <v>4740</v>
      </c>
      <c r="F191" s="61" t="s">
        <v>2627</v>
      </c>
      <c r="G191" s="150" t="s">
        <v>4749</v>
      </c>
      <c r="H191" s="82"/>
      <c r="I191" s="64"/>
      <c r="J191" s="64"/>
      <c r="K191" s="64"/>
      <c r="L191" s="61"/>
      <c r="M191" s="100"/>
      <c r="N191" s="100"/>
    </row>
    <row r="192" ht="15.6" spans="1:14">
      <c r="A192" s="95"/>
      <c r="B192" s="69" t="s">
        <v>2629</v>
      </c>
      <c r="C192" s="96" t="s">
        <v>1349</v>
      </c>
      <c r="D192" s="61" t="s">
        <v>2630</v>
      </c>
      <c r="E192" s="64" t="s">
        <v>4740</v>
      </c>
      <c r="F192" s="61" t="s">
        <v>2629</v>
      </c>
      <c r="G192" s="150" t="s">
        <v>4749</v>
      </c>
      <c r="H192" s="82"/>
      <c r="I192" s="64"/>
      <c r="J192" s="64"/>
      <c r="K192" s="64"/>
      <c r="L192" s="61"/>
      <c r="M192" s="100"/>
      <c r="N192" s="100"/>
    </row>
    <row r="193" ht="15.6" spans="1:14">
      <c r="A193" s="95"/>
      <c r="B193" s="69" t="s">
        <v>2631</v>
      </c>
      <c r="C193" s="96" t="s">
        <v>1349</v>
      </c>
      <c r="D193" s="61" t="s">
        <v>2632</v>
      </c>
      <c r="E193" s="64" t="s">
        <v>4740</v>
      </c>
      <c r="F193" s="61" t="s">
        <v>2631</v>
      </c>
      <c r="G193" s="150" t="s">
        <v>4749</v>
      </c>
      <c r="H193" s="82"/>
      <c r="I193" s="64"/>
      <c r="J193" s="64"/>
      <c r="K193" s="64"/>
      <c r="L193" s="61"/>
      <c r="M193" s="100"/>
      <c r="N193" s="100"/>
    </row>
    <row r="194" ht="15.6" spans="1:14">
      <c r="A194" s="95"/>
      <c r="B194" s="69" t="s">
        <v>2633</v>
      </c>
      <c r="C194" s="96" t="s">
        <v>706</v>
      </c>
      <c r="D194" s="61" t="s">
        <v>2634</v>
      </c>
      <c r="E194" s="64" t="s">
        <v>4740</v>
      </c>
      <c r="F194" s="61" t="s">
        <v>2633</v>
      </c>
      <c r="G194" s="150" t="s">
        <v>4749</v>
      </c>
      <c r="H194" s="82"/>
      <c r="I194" s="64"/>
      <c r="J194" s="64"/>
      <c r="K194" s="64"/>
      <c r="L194" s="61"/>
      <c r="M194" s="100"/>
      <c r="N194" s="100"/>
    </row>
    <row r="195" ht="15.6" spans="1:14">
      <c r="A195" s="95"/>
      <c r="B195" s="69" t="s">
        <v>2635</v>
      </c>
      <c r="C195" s="96" t="s">
        <v>706</v>
      </c>
      <c r="D195" s="61" t="s">
        <v>2636</v>
      </c>
      <c r="E195" s="64" t="s">
        <v>4740</v>
      </c>
      <c r="F195" s="61" t="s">
        <v>2635</v>
      </c>
      <c r="G195" s="150" t="s">
        <v>4749</v>
      </c>
      <c r="H195" s="82"/>
      <c r="I195" s="64"/>
      <c r="J195" s="64"/>
      <c r="K195" s="64"/>
      <c r="L195" s="61"/>
      <c r="M195" s="100"/>
      <c r="N195" s="100"/>
    </row>
    <row r="196" ht="15.6" spans="1:14">
      <c r="A196" s="95"/>
      <c r="B196" s="69" t="s">
        <v>2637</v>
      </c>
      <c r="C196" s="96" t="s">
        <v>1349</v>
      </c>
      <c r="D196" s="61" t="s">
        <v>2638</v>
      </c>
      <c r="E196" s="64" t="s">
        <v>4740</v>
      </c>
      <c r="F196" s="61" t="s">
        <v>2637</v>
      </c>
      <c r="G196" s="150" t="s">
        <v>4749</v>
      </c>
      <c r="H196" s="82"/>
      <c r="I196" s="64"/>
      <c r="J196" s="64"/>
      <c r="K196" s="64"/>
      <c r="L196" s="61"/>
      <c r="M196" s="100"/>
      <c r="N196" s="100"/>
    </row>
    <row r="197" ht="15.6" spans="1:14">
      <c r="A197" s="95"/>
      <c r="B197" s="69" t="s">
        <v>2639</v>
      </c>
      <c r="C197" s="96" t="s">
        <v>1349</v>
      </c>
      <c r="D197" s="61" t="s">
        <v>2640</v>
      </c>
      <c r="E197" s="64" t="s">
        <v>4740</v>
      </c>
      <c r="F197" s="61" t="s">
        <v>2639</v>
      </c>
      <c r="G197" s="150" t="s">
        <v>4749</v>
      </c>
      <c r="H197" s="82"/>
      <c r="I197" s="64"/>
      <c r="J197" s="64"/>
      <c r="K197" s="64"/>
      <c r="L197" s="61"/>
      <c r="M197" s="100"/>
      <c r="N197" s="100"/>
    </row>
    <row r="198" ht="15.6" spans="1:14">
      <c r="A198" s="95"/>
      <c r="B198" s="69" t="s">
        <v>2641</v>
      </c>
      <c r="C198" s="96" t="s">
        <v>706</v>
      </c>
      <c r="D198" s="61" t="s">
        <v>2642</v>
      </c>
      <c r="E198" s="64" t="s">
        <v>4740</v>
      </c>
      <c r="F198" s="61" t="s">
        <v>2641</v>
      </c>
      <c r="G198" s="150" t="s">
        <v>4749</v>
      </c>
      <c r="H198" s="82"/>
      <c r="I198" s="64"/>
      <c r="J198" s="64"/>
      <c r="K198" s="64"/>
      <c r="L198" s="61"/>
      <c r="M198" s="100"/>
      <c r="N198" s="100"/>
    </row>
    <row r="199" ht="15.6" spans="1:14">
      <c r="A199" s="95"/>
      <c r="B199" s="69" t="s">
        <v>2643</v>
      </c>
      <c r="C199" s="96" t="s">
        <v>706</v>
      </c>
      <c r="D199" s="61" t="s">
        <v>2644</v>
      </c>
      <c r="E199" s="64" t="s">
        <v>4740</v>
      </c>
      <c r="F199" s="61" t="s">
        <v>2643</v>
      </c>
      <c r="G199" s="150" t="s">
        <v>4749</v>
      </c>
      <c r="H199" s="82"/>
      <c r="I199" s="64"/>
      <c r="J199" s="64"/>
      <c r="K199" s="64"/>
      <c r="L199" s="61"/>
      <c r="M199" s="100"/>
      <c r="N199" s="100"/>
    </row>
    <row r="200" ht="15.6" spans="1:14">
      <c r="A200" s="95"/>
      <c r="B200" s="69" t="s">
        <v>2645</v>
      </c>
      <c r="C200" s="96" t="s">
        <v>1349</v>
      </c>
      <c r="D200" s="61" t="s">
        <v>2646</v>
      </c>
      <c r="E200" s="64" t="s">
        <v>4740</v>
      </c>
      <c r="F200" s="61" t="s">
        <v>2645</v>
      </c>
      <c r="G200" s="150" t="s">
        <v>4749</v>
      </c>
      <c r="H200" s="82"/>
      <c r="I200" s="64"/>
      <c r="J200" s="64"/>
      <c r="K200" s="64"/>
      <c r="L200" s="61"/>
      <c r="M200" s="100"/>
      <c r="N200" s="100"/>
    </row>
    <row r="201" ht="15.6" spans="1:14">
      <c r="A201" s="95"/>
      <c r="B201" s="69" t="s">
        <v>2647</v>
      </c>
      <c r="C201" s="96" t="s">
        <v>706</v>
      </c>
      <c r="D201" s="61" t="s">
        <v>2648</v>
      </c>
      <c r="E201" s="64" t="s">
        <v>4740</v>
      </c>
      <c r="F201" s="61" t="s">
        <v>2647</v>
      </c>
      <c r="G201" s="150" t="s">
        <v>4749</v>
      </c>
      <c r="H201" s="82"/>
      <c r="I201" s="64"/>
      <c r="J201" s="64"/>
      <c r="K201" s="64"/>
      <c r="L201" s="61"/>
      <c r="M201" s="100"/>
      <c r="N201" s="100"/>
    </row>
    <row r="202" ht="15.6" spans="1:14">
      <c r="A202" s="95"/>
      <c r="B202" s="69" t="s">
        <v>5081</v>
      </c>
      <c r="C202" s="96" t="s">
        <v>706</v>
      </c>
      <c r="D202" s="61" t="s">
        <v>2651</v>
      </c>
      <c r="E202" s="64" t="s">
        <v>4740</v>
      </c>
      <c r="F202" s="61" t="s">
        <v>5081</v>
      </c>
      <c r="G202" s="150" t="s">
        <v>4749</v>
      </c>
      <c r="H202" s="82"/>
      <c r="I202" s="64"/>
      <c r="J202" s="64"/>
      <c r="K202" s="64"/>
      <c r="L202" s="61"/>
      <c r="M202" s="100"/>
      <c r="N202" s="100"/>
    </row>
    <row r="203" ht="15.6" spans="1:14">
      <c r="A203" s="95"/>
      <c r="B203" s="69" t="s">
        <v>2653</v>
      </c>
      <c r="C203" s="96" t="s">
        <v>706</v>
      </c>
      <c r="D203" s="61" t="s">
        <v>2654</v>
      </c>
      <c r="E203" s="64" t="s">
        <v>4740</v>
      </c>
      <c r="F203" s="61" t="s">
        <v>2653</v>
      </c>
      <c r="G203" s="150" t="s">
        <v>4749</v>
      </c>
      <c r="H203" s="82"/>
      <c r="I203" s="64"/>
      <c r="J203" s="64"/>
      <c r="K203" s="64"/>
      <c r="L203" s="61"/>
      <c r="M203" s="100"/>
      <c r="N203" s="100"/>
    </row>
    <row r="204" ht="15.6" spans="1:14">
      <c r="A204" s="95"/>
      <c r="B204" s="69" t="s">
        <v>2656</v>
      </c>
      <c r="C204" s="96" t="s">
        <v>706</v>
      </c>
      <c r="D204" s="61" t="s">
        <v>2657</v>
      </c>
      <c r="E204" s="64" t="s">
        <v>4740</v>
      </c>
      <c r="F204" s="61" t="s">
        <v>2656</v>
      </c>
      <c r="G204" s="150" t="s">
        <v>4749</v>
      </c>
      <c r="H204" s="82"/>
      <c r="I204" s="64"/>
      <c r="J204" s="64"/>
      <c r="K204" s="64"/>
      <c r="L204" s="61"/>
      <c r="M204" s="100"/>
      <c r="N204" s="100"/>
    </row>
    <row r="205" ht="15.6" spans="1:14">
      <c r="A205" s="95"/>
      <c r="B205" s="69" t="s">
        <v>2659</v>
      </c>
      <c r="C205" s="96" t="s">
        <v>1349</v>
      </c>
      <c r="D205" s="61" t="s">
        <v>2660</v>
      </c>
      <c r="E205" s="64" t="s">
        <v>4740</v>
      </c>
      <c r="F205" s="61" t="s">
        <v>2659</v>
      </c>
      <c r="G205" s="150" t="s">
        <v>4749</v>
      </c>
      <c r="H205" s="82"/>
      <c r="I205" s="64"/>
      <c r="J205" s="64"/>
      <c r="K205" s="64"/>
      <c r="L205" s="61"/>
      <c r="M205" s="100"/>
      <c r="N205" s="100"/>
    </row>
    <row r="206" ht="15.6" spans="1:14">
      <c r="A206" s="95"/>
      <c r="B206" s="69" t="s">
        <v>2662</v>
      </c>
      <c r="C206" s="96" t="s">
        <v>1349</v>
      </c>
      <c r="D206" s="61" t="s">
        <v>2663</v>
      </c>
      <c r="E206" s="64" t="s">
        <v>4740</v>
      </c>
      <c r="F206" s="61" t="s">
        <v>2662</v>
      </c>
      <c r="G206" s="150" t="s">
        <v>4749</v>
      </c>
      <c r="H206" s="82"/>
      <c r="I206" s="64"/>
      <c r="J206" s="64"/>
      <c r="K206" s="64"/>
      <c r="L206" s="61"/>
      <c r="M206" s="100"/>
      <c r="N206" s="100"/>
    </row>
    <row r="207" ht="15.6" spans="1:14">
      <c r="A207" s="95"/>
      <c r="B207" s="69" t="s">
        <v>2665</v>
      </c>
      <c r="C207" s="96" t="s">
        <v>1349</v>
      </c>
      <c r="D207" s="61" t="s">
        <v>2666</v>
      </c>
      <c r="E207" s="64" t="s">
        <v>4740</v>
      </c>
      <c r="F207" s="61" t="s">
        <v>2665</v>
      </c>
      <c r="G207" s="150" t="s">
        <v>4749</v>
      </c>
      <c r="H207" s="82"/>
      <c r="I207" s="64"/>
      <c r="J207" s="64"/>
      <c r="K207" s="64"/>
      <c r="L207" s="61"/>
      <c r="M207" s="100"/>
      <c r="N207" s="100"/>
    </row>
    <row r="208" ht="15.6" spans="1:14">
      <c r="A208" s="95"/>
      <c r="B208" s="69" t="s">
        <v>2668</v>
      </c>
      <c r="C208" s="96" t="s">
        <v>1349</v>
      </c>
      <c r="D208" s="61" t="s">
        <v>2669</v>
      </c>
      <c r="E208" s="64" t="s">
        <v>4740</v>
      </c>
      <c r="F208" s="61" t="s">
        <v>2668</v>
      </c>
      <c r="G208" s="150" t="s">
        <v>4749</v>
      </c>
      <c r="H208" s="82"/>
      <c r="I208" s="64"/>
      <c r="J208" s="64"/>
      <c r="K208" s="64"/>
      <c r="L208" s="61"/>
      <c r="M208" s="100"/>
      <c r="N208" s="100"/>
    </row>
    <row r="209" ht="15.6" spans="1:14">
      <c r="A209" s="95"/>
      <c r="B209" s="69" t="s">
        <v>2578</v>
      </c>
      <c r="C209" s="96" t="s">
        <v>1349</v>
      </c>
      <c r="D209" s="61" t="s">
        <v>5082</v>
      </c>
      <c r="E209" s="64" t="s">
        <v>4740</v>
      </c>
      <c r="F209" s="61" t="s">
        <v>2578</v>
      </c>
      <c r="G209" s="150" t="s">
        <v>4749</v>
      </c>
      <c r="H209" s="82"/>
      <c r="I209" s="64"/>
      <c r="J209" s="64"/>
      <c r="K209" s="64"/>
      <c r="L209" s="61"/>
      <c r="M209" s="100"/>
      <c r="N209" s="100"/>
    </row>
    <row r="210" ht="15.6" spans="1:14">
      <c r="A210" s="95"/>
      <c r="B210" s="69" t="s">
        <v>2581</v>
      </c>
      <c r="C210" s="96" t="s">
        <v>1349</v>
      </c>
      <c r="D210" s="61" t="s">
        <v>5083</v>
      </c>
      <c r="E210" s="64" t="s">
        <v>4740</v>
      </c>
      <c r="F210" s="61" t="s">
        <v>2581</v>
      </c>
      <c r="G210" s="150" t="s">
        <v>4749</v>
      </c>
      <c r="H210" s="82"/>
      <c r="I210" s="64"/>
      <c r="J210" s="64"/>
      <c r="K210" s="64"/>
      <c r="L210" s="61"/>
      <c r="M210" s="100"/>
      <c r="N210" s="100"/>
    </row>
    <row r="211" ht="15.6" spans="1:14">
      <c r="A211" s="95"/>
      <c r="B211" s="69" t="s">
        <v>2584</v>
      </c>
      <c r="C211" s="96" t="s">
        <v>229</v>
      </c>
      <c r="D211" s="61" t="s">
        <v>5084</v>
      </c>
      <c r="E211" s="64" t="s">
        <v>4740</v>
      </c>
      <c r="F211" s="61" t="s">
        <v>2584</v>
      </c>
      <c r="G211" s="150" t="s">
        <v>4749</v>
      </c>
      <c r="H211" s="82"/>
      <c r="I211" s="64"/>
      <c r="J211" s="64"/>
      <c r="K211" s="64"/>
      <c r="L211" s="61"/>
      <c r="M211" s="100"/>
      <c r="N211" s="100"/>
    </row>
    <row r="212" ht="15.6" spans="1:14">
      <c r="A212" s="95"/>
      <c r="B212" s="69" t="s">
        <v>5085</v>
      </c>
      <c r="C212" s="96" t="s">
        <v>203</v>
      </c>
      <c r="D212" s="61" t="s">
        <v>5086</v>
      </c>
      <c r="E212" s="64" t="s">
        <v>4740</v>
      </c>
      <c r="F212" s="64"/>
      <c r="G212" s="148" t="s">
        <v>5087</v>
      </c>
      <c r="H212" s="82"/>
      <c r="I212" s="64"/>
      <c r="J212" s="64"/>
      <c r="K212" s="64"/>
      <c r="L212" s="61"/>
      <c r="M212" s="100"/>
      <c r="N212" s="100"/>
    </row>
    <row r="213" ht="15.6" spans="1:14">
      <c r="A213" s="95"/>
      <c r="B213" s="69" t="s">
        <v>5088</v>
      </c>
      <c r="C213" s="96" t="s">
        <v>203</v>
      </c>
      <c r="D213" s="61" t="s">
        <v>5089</v>
      </c>
      <c r="E213" s="64" t="s">
        <v>4740</v>
      </c>
      <c r="F213" s="64"/>
      <c r="G213" s="148" t="s">
        <v>5090</v>
      </c>
      <c r="H213" s="82"/>
      <c r="I213" s="64"/>
      <c r="J213" s="64"/>
      <c r="K213" s="64"/>
      <c r="L213" s="61"/>
      <c r="M213" s="100"/>
      <c r="N213" s="100"/>
    </row>
    <row r="214" ht="15.6" spans="1:14">
      <c r="A214" s="95"/>
      <c r="B214" s="69" t="s">
        <v>2671</v>
      </c>
      <c r="C214" s="96" t="s">
        <v>706</v>
      </c>
      <c r="D214" s="61" t="s">
        <v>2672</v>
      </c>
      <c r="E214" s="64" t="s">
        <v>4740</v>
      </c>
      <c r="F214" s="61" t="s">
        <v>2671</v>
      </c>
      <c r="G214" s="150" t="s">
        <v>4749</v>
      </c>
      <c r="H214" s="82"/>
      <c r="I214" s="64"/>
      <c r="J214" s="64"/>
      <c r="K214" s="64"/>
      <c r="L214" s="61"/>
      <c r="M214" s="100"/>
      <c r="N214" s="100"/>
    </row>
    <row r="215" ht="15.6" spans="1:14">
      <c r="A215" s="95"/>
      <c r="B215" s="69" t="s">
        <v>2675</v>
      </c>
      <c r="C215" s="96" t="s">
        <v>706</v>
      </c>
      <c r="D215" s="61" t="s">
        <v>2676</v>
      </c>
      <c r="E215" s="64" t="s">
        <v>4740</v>
      </c>
      <c r="F215" s="61" t="s">
        <v>2675</v>
      </c>
      <c r="G215" s="150" t="s">
        <v>4749</v>
      </c>
      <c r="H215" s="82"/>
      <c r="I215" s="64"/>
      <c r="J215" s="64"/>
      <c r="K215" s="64"/>
      <c r="L215" s="61"/>
      <c r="M215" s="100"/>
      <c r="N215" s="100"/>
    </row>
    <row r="216" ht="15.6" spans="1:14">
      <c r="A216" s="95"/>
      <c r="B216" s="69" t="s">
        <v>2677</v>
      </c>
      <c r="C216" s="96" t="s">
        <v>706</v>
      </c>
      <c r="D216" s="61" t="s">
        <v>2678</v>
      </c>
      <c r="E216" s="64" t="s">
        <v>4740</v>
      </c>
      <c r="F216" s="61" t="s">
        <v>2677</v>
      </c>
      <c r="G216" s="150" t="s">
        <v>4749</v>
      </c>
      <c r="H216" s="82"/>
      <c r="I216" s="64"/>
      <c r="J216" s="64"/>
      <c r="K216" s="64"/>
      <c r="L216" s="61"/>
      <c r="M216" s="100"/>
      <c r="N216" s="100"/>
    </row>
    <row r="217" ht="15.6" spans="1:14">
      <c r="A217" s="95"/>
      <c r="B217" s="69" t="s">
        <v>2679</v>
      </c>
      <c r="C217" s="96" t="s">
        <v>706</v>
      </c>
      <c r="D217" s="61" t="s">
        <v>2680</v>
      </c>
      <c r="E217" s="64" t="s">
        <v>4740</v>
      </c>
      <c r="F217" s="61" t="s">
        <v>2679</v>
      </c>
      <c r="G217" s="150" t="s">
        <v>4749</v>
      </c>
      <c r="H217" s="82"/>
      <c r="I217" s="64"/>
      <c r="J217" s="64"/>
      <c r="K217" s="64"/>
      <c r="L217" s="61"/>
      <c r="M217" s="100"/>
      <c r="N217" s="100"/>
    </row>
    <row r="218" ht="15.6" spans="1:14">
      <c r="A218" s="95"/>
      <c r="B218" s="69" t="s">
        <v>2681</v>
      </c>
      <c r="C218" s="96" t="s">
        <v>1349</v>
      </c>
      <c r="D218" s="61" t="s">
        <v>2682</v>
      </c>
      <c r="E218" s="64" t="s">
        <v>4740</v>
      </c>
      <c r="F218" s="61" t="s">
        <v>2681</v>
      </c>
      <c r="G218" s="150" t="s">
        <v>4749</v>
      </c>
      <c r="H218" s="82"/>
      <c r="I218" s="64"/>
      <c r="J218" s="64"/>
      <c r="K218" s="64"/>
      <c r="L218" s="61"/>
      <c r="M218" s="100"/>
      <c r="N218" s="100"/>
    </row>
    <row r="219" ht="15.6" spans="1:14">
      <c r="A219" s="95"/>
      <c r="B219" s="69" t="s">
        <v>2683</v>
      </c>
      <c r="C219" s="96" t="s">
        <v>1349</v>
      </c>
      <c r="D219" s="61" t="s">
        <v>2684</v>
      </c>
      <c r="E219" s="64" t="s">
        <v>4740</v>
      </c>
      <c r="F219" s="61" t="s">
        <v>2683</v>
      </c>
      <c r="G219" s="150" t="s">
        <v>4749</v>
      </c>
      <c r="H219" s="82"/>
      <c r="I219" s="64"/>
      <c r="J219" s="64"/>
      <c r="K219" s="64"/>
      <c r="L219" s="61"/>
      <c r="M219" s="100"/>
      <c r="N219" s="100"/>
    </row>
    <row r="220" ht="15.6" spans="1:14">
      <c r="A220" s="95"/>
      <c r="B220" s="69" t="s">
        <v>2685</v>
      </c>
      <c r="C220" s="96" t="s">
        <v>1349</v>
      </c>
      <c r="D220" s="61" t="s">
        <v>2686</v>
      </c>
      <c r="E220" s="64" t="s">
        <v>4740</v>
      </c>
      <c r="F220" s="61" t="s">
        <v>2685</v>
      </c>
      <c r="G220" s="150" t="s">
        <v>4749</v>
      </c>
      <c r="H220" s="82"/>
      <c r="I220" s="64"/>
      <c r="J220" s="64"/>
      <c r="K220" s="64"/>
      <c r="L220" s="61"/>
      <c r="M220" s="100"/>
      <c r="N220" s="100"/>
    </row>
    <row r="221" ht="15.6" spans="1:14">
      <c r="A221" s="95"/>
      <c r="B221" s="69" t="s">
        <v>2687</v>
      </c>
      <c r="C221" s="96" t="s">
        <v>1349</v>
      </c>
      <c r="D221" s="61" t="s">
        <v>2688</v>
      </c>
      <c r="E221" s="64" t="s">
        <v>4740</v>
      </c>
      <c r="F221" s="61" t="s">
        <v>2687</v>
      </c>
      <c r="G221" s="150" t="s">
        <v>4749</v>
      </c>
      <c r="H221" s="82"/>
      <c r="I221" s="64"/>
      <c r="J221" s="64"/>
      <c r="K221" s="64"/>
      <c r="L221" s="61"/>
      <c r="M221" s="100"/>
      <c r="N221" s="100"/>
    </row>
    <row r="222" ht="15.6" spans="1:14">
      <c r="A222" s="95"/>
      <c r="B222" s="69" t="s">
        <v>2689</v>
      </c>
      <c r="C222" s="96" t="s">
        <v>706</v>
      </c>
      <c r="D222" s="61" t="s">
        <v>2690</v>
      </c>
      <c r="E222" s="64" t="s">
        <v>4740</v>
      </c>
      <c r="F222" s="61" t="s">
        <v>2689</v>
      </c>
      <c r="G222" s="150" t="s">
        <v>4749</v>
      </c>
      <c r="H222" s="82"/>
      <c r="I222" s="64"/>
      <c r="J222" s="64"/>
      <c r="K222" s="64"/>
      <c r="L222" s="61"/>
      <c r="M222" s="100"/>
      <c r="N222" s="100"/>
    </row>
    <row r="223" ht="15.6" spans="1:14">
      <c r="A223" s="95"/>
      <c r="B223" s="69" t="s">
        <v>2691</v>
      </c>
      <c r="C223" s="96" t="s">
        <v>706</v>
      </c>
      <c r="D223" s="61" t="s">
        <v>2692</v>
      </c>
      <c r="E223" s="64" t="s">
        <v>4740</v>
      </c>
      <c r="F223" s="61" t="s">
        <v>2691</v>
      </c>
      <c r="G223" s="150" t="s">
        <v>4749</v>
      </c>
      <c r="H223" s="82"/>
      <c r="I223" s="64"/>
      <c r="J223" s="64"/>
      <c r="K223" s="64"/>
      <c r="L223" s="61"/>
      <c r="M223" s="100"/>
      <c r="N223" s="100"/>
    </row>
    <row r="224" ht="15.6" spans="1:14">
      <c r="A224" s="95"/>
      <c r="B224" s="69" t="s">
        <v>2693</v>
      </c>
      <c r="C224" s="96" t="s">
        <v>706</v>
      </c>
      <c r="D224" s="61" t="s">
        <v>2694</v>
      </c>
      <c r="E224" s="64" t="s">
        <v>4740</v>
      </c>
      <c r="F224" s="61" t="s">
        <v>2693</v>
      </c>
      <c r="G224" s="150" t="s">
        <v>4749</v>
      </c>
      <c r="H224" s="82"/>
      <c r="I224" s="64"/>
      <c r="J224" s="64"/>
      <c r="K224" s="64"/>
      <c r="L224" s="61"/>
      <c r="M224" s="100"/>
      <c r="N224" s="100"/>
    </row>
    <row r="225" ht="16.5" customHeight="1" spans="1:14">
      <c r="A225" s="95"/>
      <c r="B225" s="69" t="s">
        <v>5091</v>
      </c>
      <c r="C225" s="96" t="s">
        <v>706</v>
      </c>
      <c r="D225" s="162" t="s">
        <v>5092</v>
      </c>
      <c r="E225" s="64" t="s">
        <v>4741</v>
      </c>
      <c r="F225" s="64" t="s">
        <v>2705</v>
      </c>
      <c r="G225" s="150" t="s">
        <v>392</v>
      </c>
      <c r="H225" s="82" t="s">
        <v>5080</v>
      </c>
      <c r="I225" s="64"/>
      <c r="J225" s="64"/>
      <c r="K225" s="64"/>
      <c r="L225" s="61"/>
      <c r="M225" s="100"/>
      <c r="N225" s="100"/>
    </row>
    <row r="226" ht="15.6" spans="1:14">
      <c r="A226" s="95"/>
      <c r="B226" s="69" t="s">
        <v>5093</v>
      </c>
      <c r="C226" s="96" t="s">
        <v>706</v>
      </c>
      <c r="D226" s="162" t="s">
        <v>5094</v>
      </c>
      <c r="E226" s="64" t="s">
        <v>4741</v>
      </c>
      <c r="F226" s="64" t="s">
        <v>2708</v>
      </c>
      <c r="G226" s="150" t="s">
        <v>392</v>
      </c>
      <c r="H226" s="82"/>
      <c r="I226" s="64"/>
      <c r="J226" s="64"/>
      <c r="K226" s="64"/>
      <c r="L226" s="61"/>
      <c r="M226" s="100"/>
      <c r="N226" s="100"/>
    </row>
    <row r="227" ht="15.6" spans="1:14">
      <c r="A227" s="95"/>
      <c r="B227" s="69" t="s">
        <v>5095</v>
      </c>
      <c r="C227" s="96" t="s">
        <v>706</v>
      </c>
      <c r="D227" s="162" t="s">
        <v>5096</v>
      </c>
      <c r="E227" s="64" t="s">
        <v>4741</v>
      </c>
      <c r="F227" s="64" t="s">
        <v>2711</v>
      </c>
      <c r="G227" s="150" t="s">
        <v>392</v>
      </c>
      <c r="H227" s="82"/>
      <c r="I227" s="64"/>
      <c r="J227" s="64"/>
      <c r="K227" s="64"/>
      <c r="L227" s="61"/>
      <c r="M227" s="100"/>
      <c r="N227" s="100"/>
    </row>
    <row r="228" ht="15.6" spans="1:14">
      <c r="A228" s="95"/>
      <c r="B228" s="69" t="s">
        <v>5097</v>
      </c>
      <c r="C228" s="96" t="s">
        <v>706</v>
      </c>
      <c r="D228" s="162" t="s">
        <v>5098</v>
      </c>
      <c r="E228" s="64" t="s">
        <v>4741</v>
      </c>
      <c r="F228" s="64" t="s">
        <v>2714</v>
      </c>
      <c r="G228" s="150" t="s">
        <v>392</v>
      </c>
      <c r="H228" s="82"/>
      <c r="I228" s="64"/>
      <c r="J228" s="64"/>
      <c r="K228" s="64"/>
      <c r="L228" s="61"/>
      <c r="M228" s="100"/>
      <c r="N228" s="100"/>
    </row>
    <row r="229" ht="15.6" spans="1:14">
      <c r="A229" s="95"/>
      <c r="B229" s="69" t="s">
        <v>5099</v>
      </c>
      <c r="C229" s="96" t="s">
        <v>1349</v>
      </c>
      <c r="D229" s="162" t="s">
        <v>5100</v>
      </c>
      <c r="E229" s="64" t="s">
        <v>4741</v>
      </c>
      <c r="F229" s="64"/>
      <c r="G229" s="150" t="s">
        <v>5101</v>
      </c>
      <c r="H229" s="82"/>
      <c r="I229" s="64"/>
      <c r="J229" s="64"/>
      <c r="K229" s="64"/>
      <c r="L229" s="61"/>
      <c r="M229" s="100"/>
      <c r="N229" s="100"/>
    </row>
    <row r="230" ht="15.6" spans="1:14">
      <c r="A230" s="95"/>
      <c r="B230" s="69" t="s">
        <v>5102</v>
      </c>
      <c r="C230" s="96" t="s">
        <v>1349</v>
      </c>
      <c r="D230" s="162" t="s">
        <v>5103</v>
      </c>
      <c r="E230" s="64" t="s">
        <v>4741</v>
      </c>
      <c r="F230" s="64"/>
      <c r="G230" s="150" t="s">
        <v>5104</v>
      </c>
      <c r="H230" s="82"/>
      <c r="I230" s="64"/>
      <c r="J230" s="64"/>
      <c r="K230" s="64"/>
      <c r="L230" s="61"/>
      <c r="M230" s="100"/>
      <c r="N230" s="100"/>
    </row>
    <row r="231" ht="15.6" spans="1:14">
      <c r="A231" s="95"/>
      <c r="B231" s="69" t="s">
        <v>2723</v>
      </c>
      <c r="C231" s="96" t="s">
        <v>706</v>
      </c>
      <c r="D231" s="61" t="s">
        <v>5105</v>
      </c>
      <c r="E231" s="64" t="s">
        <v>4741</v>
      </c>
      <c r="F231" s="64" t="s">
        <v>5106</v>
      </c>
      <c r="G231" s="150" t="s">
        <v>392</v>
      </c>
      <c r="H231" s="82"/>
      <c r="I231" s="150"/>
      <c r="J231" s="64"/>
      <c r="K231" s="64"/>
      <c r="L231" s="61"/>
      <c r="M231" s="100"/>
      <c r="N231" s="100"/>
    </row>
    <row r="232" ht="15.6" spans="1:14">
      <c r="A232" s="95"/>
      <c r="B232" s="69" t="s">
        <v>5107</v>
      </c>
      <c r="C232" s="96" t="s">
        <v>706</v>
      </c>
      <c r="D232" s="61" t="s">
        <v>5108</v>
      </c>
      <c r="E232" s="64" t="s">
        <v>4741</v>
      </c>
      <c r="F232" s="64" t="s">
        <v>5107</v>
      </c>
      <c r="G232" s="150" t="s">
        <v>392</v>
      </c>
      <c r="H232" s="82"/>
      <c r="I232" s="150"/>
      <c r="J232" s="64"/>
      <c r="K232" s="64"/>
      <c r="L232" s="61"/>
      <c r="M232" s="100"/>
      <c r="N232" s="100"/>
    </row>
    <row r="233" ht="15.6" spans="1:14">
      <c r="A233" s="95"/>
      <c r="B233" s="69" t="s">
        <v>2730</v>
      </c>
      <c r="C233" s="96" t="s">
        <v>706</v>
      </c>
      <c r="D233" s="61" t="s">
        <v>5109</v>
      </c>
      <c r="E233" s="64" t="s">
        <v>4741</v>
      </c>
      <c r="F233" s="64" t="s">
        <v>5110</v>
      </c>
      <c r="G233" s="150" t="s">
        <v>392</v>
      </c>
      <c r="H233" s="82"/>
      <c r="I233" s="150"/>
      <c r="J233" s="64"/>
      <c r="K233" s="64"/>
      <c r="L233" s="61"/>
      <c r="M233" s="100"/>
      <c r="N233" s="100"/>
    </row>
    <row r="234" ht="15.6" spans="1:14">
      <c r="A234" s="95"/>
      <c r="B234" s="69" t="s">
        <v>5111</v>
      </c>
      <c r="C234" s="96" t="s">
        <v>706</v>
      </c>
      <c r="D234" s="61" t="s">
        <v>5112</v>
      </c>
      <c r="E234" s="64" t="s">
        <v>4741</v>
      </c>
      <c r="F234" s="64" t="s">
        <v>5111</v>
      </c>
      <c r="G234" s="150" t="s">
        <v>392</v>
      </c>
      <c r="H234" s="82"/>
      <c r="I234" s="64"/>
      <c r="J234" s="64"/>
      <c r="K234" s="64"/>
      <c r="L234" s="61"/>
      <c r="M234" s="100"/>
      <c r="N234" s="100"/>
    </row>
    <row r="235" ht="15.6" spans="1:14">
      <c r="A235" s="95"/>
      <c r="B235" s="69" t="s">
        <v>5113</v>
      </c>
      <c r="C235" s="96" t="s">
        <v>706</v>
      </c>
      <c r="D235" s="61" t="s">
        <v>5114</v>
      </c>
      <c r="E235" s="64" t="s">
        <v>4741</v>
      </c>
      <c r="F235" s="64" t="s">
        <v>5113</v>
      </c>
      <c r="G235" s="150" t="s">
        <v>392</v>
      </c>
      <c r="H235" s="82"/>
      <c r="I235" s="64"/>
      <c r="J235" s="64"/>
      <c r="K235" s="64"/>
      <c r="L235" s="61"/>
      <c r="M235" s="100"/>
      <c r="N235" s="100"/>
    </row>
    <row r="236" ht="15.6" spans="1:14">
      <c r="A236" s="95"/>
      <c r="B236" s="69" t="s">
        <v>5115</v>
      </c>
      <c r="C236" s="96" t="s">
        <v>706</v>
      </c>
      <c r="D236" s="61" t="s">
        <v>5116</v>
      </c>
      <c r="E236" s="64" t="s">
        <v>4741</v>
      </c>
      <c r="F236" s="64" t="s">
        <v>5115</v>
      </c>
      <c r="G236" s="150" t="s">
        <v>392</v>
      </c>
      <c r="H236" s="82"/>
      <c r="I236" s="64"/>
      <c r="J236" s="64"/>
      <c r="K236" s="64"/>
      <c r="L236" s="61"/>
      <c r="M236" s="100"/>
      <c r="N236" s="100"/>
    </row>
    <row r="237" ht="15.6" spans="1:14">
      <c r="A237" s="95"/>
      <c r="B237" s="69" t="s">
        <v>5117</v>
      </c>
      <c r="C237" s="96" t="s">
        <v>706</v>
      </c>
      <c r="D237" s="61" t="s">
        <v>5118</v>
      </c>
      <c r="E237" s="64" t="s">
        <v>4741</v>
      </c>
      <c r="F237" s="64" t="s">
        <v>5117</v>
      </c>
      <c r="G237" s="150" t="s">
        <v>392</v>
      </c>
      <c r="H237" s="82"/>
      <c r="I237" s="64"/>
      <c r="J237" s="64"/>
      <c r="K237" s="64"/>
      <c r="L237" s="61"/>
      <c r="M237" s="100"/>
      <c r="N237" s="100"/>
    </row>
    <row r="238" ht="15.6" spans="1:14">
      <c r="A238" s="95"/>
      <c r="B238" s="69" t="s">
        <v>5119</v>
      </c>
      <c r="C238" s="96" t="s">
        <v>706</v>
      </c>
      <c r="D238" s="61" t="s">
        <v>5120</v>
      </c>
      <c r="E238" s="64" t="s">
        <v>4741</v>
      </c>
      <c r="F238" s="64" t="s">
        <v>5119</v>
      </c>
      <c r="G238" s="150" t="s">
        <v>392</v>
      </c>
      <c r="H238" s="82"/>
      <c r="I238" s="64"/>
      <c r="J238" s="64"/>
      <c r="K238" s="64"/>
      <c r="L238" s="61"/>
      <c r="M238" s="100"/>
      <c r="N238" s="100"/>
    </row>
    <row r="239" ht="15.6" spans="1:14">
      <c r="A239" s="95"/>
      <c r="B239" s="69" t="s">
        <v>5121</v>
      </c>
      <c r="C239" s="96" t="s">
        <v>706</v>
      </c>
      <c r="D239" s="61" t="s">
        <v>5122</v>
      </c>
      <c r="E239" s="64" t="s">
        <v>4741</v>
      </c>
      <c r="F239" s="64" t="s">
        <v>5121</v>
      </c>
      <c r="G239" s="150" t="s">
        <v>392</v>
      </c>
      <c r="H239" s="82"/>
      <c r="I239" s="64"/>
      <c r="J239" s="64"/>
      <c r="K239" s="64"/>
      <c r="L239" s="61"/>
      <c r="M239" s="100"/>
      <c r="N239" s="100"/>
    </row>
    <row r="240" ht="15.6" spans="1:14">
      <c r="A240" s="95"/>
      <c r="B240" s="69" t="s">
        <v>5123</v>
      </c>
      <c r="C240" s="96" t="s">
        <v>706</v>
      </c>
      <c r="D240" s="61" t="s">
        <v>5124</v>
      </c>
      <c r="E240" s="64" t="s">
        <v>4741</v>
      </c>
      <c r="F240" s="64" t="s">
        <v>5123</v>
      </c>
      <c r="G240" s="150" t="s">
        <v>392</v>
      </c>
      <c r="H240" s="82"/>
      <c r="I240" s="64"/>
      <c r="J240" s="64"/>
      <c r="K240" s="64"/>
      <c r="L240" s="61"/>
      <c r="M240" s="100"/>
      <c r="N240" s="100"/>
    </row>
    <row r="241" ht="15.6" spans="1:14">
      <c r="A241" s="95"/>
      <c r="B241" s="69" t="s">
        <v>5125</v>
      </c>
      <c r="C241" s="96" t="s">
        <v>706</v>
      </c>
      <c r="D241" s="61" t="s">
        <v>5126</v>
      </c>
      <c r="E241" s="64" t="s">
        <v>4741</v>
      </c>
      <c r="F241" s="64" t="s">
        <v>5125</v>
      </c>
      <c r="G241" s="150" t="s">
        <v>392</v>
      </c>
      <c r="H241" s="82"/>
      <c r="I241" s="64"/>
      <c r="J241" s="64"/>
      <c r="K241" s="64"/>
      <c r="L241" s="61"/>
      <c r="M241" s="100"/>
      <c r="N241" s="100"/>
    </row>
    <row r="242" ht="15.6" spans="1:14">
      <c r="A242" s="95"/>
      <c r="B242" s="69" t="s">
        <v>5127</v>
      </c>
      <c r="C242" s="96" t="s">
        <v>706</v>
      </c>
      <c r="D242" s="61" t="s">
        <v>5128</v>
      </c>
      <c r="E242" s="64" t="s">
        <v>4741</v>
      </c>
      <c r="F242" s="64" t="s">
        <v>5127</v>
      </c>
      <c r="G242" s="150" t="s">
        <v>392</v>
      </c>
      <c r="H242" s="82"/>
      <c r="I242" s="64"/>
      <c r="J242" s="64"/>
      <c r="K242" s="64"/>
      <c r="L242" s="61"/>
      <c r="M242" s="100"/>
      <c r="N242" s="100"/>
    </row>
    <row r="243" ht="15.6" spans="1:14">
      <c r="A243" s="95"/>
      <c r="B243" s="69" t="s">
        <v>5129</v>
      </c>
      <c r="C243" s="96" t="s">
        <v>706</v>
      </c>
      <c r="D243" s="61" t="s">
        <v>5130</v>
      </c>
      <c r="E243" s="64" t="s">
        <v>4741</v>
      </c>
      <c r="F243" s="64" t="s">
        <v>5129</v>
      </c>
      <c r="G243" s="150" t="s">
        <v>392</v>
      </c>
      <c r="H243" s="82"/>
      <c r="I243" s="64"/>
      <c r="J243" s="64"/>
      <c r="K243" s="64"/>
      <c r="L243" s="61"/>
      <c r="M243" s="100"/>
      <c r="N243" s="100"/>
    </row>
    <row r="244" ht="15.6" spans="1:14">
      <c r="A244" s="95"/>
      <c r="B244" s="69" t="s">
        <v>5131</v>
      </c>
      <c r="C244" s="96" t="s">
        <v>706</v>
      </c>
      <c r="D244" s="61" t="s">
        <v>5132</v>
      </c>
      <c r="E244" s="64" t="s">
        <v>4741</v>
      </c>
      <c r="F244" s="64" t="s">
        <v>5131</v>
      </c>
      <c r="G244" s="150" t="s">
        <v>392</v>
      </c>
      <c r="H244" s="82"/>
      <c r="I244" s="64"/>
      <c r="J244" s="64"/>
      <c r="K244" s="64"/>
      <c r="L244" s="61"/>
      <c r="M244" s="100"/>
      <c r="N244" s="100"/>
    </row>
    <row r="245" ht="15.6" spans="1:14">
      <c r="A245" s="95"/>
      <c r="B245" s="69" t="s">
        <v>5133</v>
      </c>
      <c r="C245" s="96" t="s">
        <v>706</v>
      </c>
      <c r="D245" s="61" t="s">
        <v>5134</v>
      </c>
      <c r="E245" s="64" t="s">
        <v>4741</v>
      </c>
      <c r="F245" s="64" t="s">
        <v>5133</v>
      </c>
      <c r="G245" s="150" t="s">
        <v>392</v>
      </c>
      <c r="H245" s="82"/>
      <c r="I245" s="64"/>
      <c r="J245" s="64"/>
      <c r="K245" s="64"/>
      <c r="L245" s="61"/>
      <c r="M245" s="100"/>
      <c r="N245" s="100"/>
    </row>
    <row r="246" ht="16.5" customHeight="1" spans="1:14">
      <c r="A246" s="95"/>
      <c r="B246" s="69" t="s">
        <v>5135</v>
      </c>
      <c r="C246" s="96" t="s">
        <v>691</v>
      </c>
      <c r="D246" s="61" t="s">
        <v>5136</v>
      </c>
      <c r="E246" s="64"/>
      <c r="F246" s="61" t="s">
        <v>5135</v>
      </c>
      <c r="G246" s="150" t="s">
        <v>1693</v>
      </c>
      <c r="H246" s="82" t="s">
        <v>5137</v>
      </c>
      <c r="I246" s="64"/>
      <c r="J246" s="64"/>
      <c r="K246" s="64"/>
      <c r="L246" s="61"/>
      <c r="M246" s="100"/>
      <c r="N246" s="100"/>
    </row>
    <row r="247" ht="184.8" spans="1:14">
      <c r="A247" s="95"/>
      <c r="B247" s="69" t="s">
        <v>5138</v>
      </c>
      <c r="C247" s="96" t="s">
        <v>691</v>
      </c>
      <c r="D247" s="61" t="s">
        <v>5139</v>
      </c>
      <c r="E247" s="150" t="s">
        <v>5140</v>
      </c>
      <c r="F247" s="61" t="s">
        <v>5138</v>
      </c>
      <c r="G247" s="155" t="s">
        <v>5141</v>
      </c>
      <c r="H247" s="82"/>
      <c r="I247" s="102" t="s">
        <v>5142</v>
      </c>
      <c r="J247" s="64"/>
      <c r="K247" s="64"/>
      <c r="L247" s="61"/>
      <c r="M247" s="100"/>
      <c r="N247" s="100"/>
    </row>
    <row r="248" ht="16.5" customHeight="1" spans="1:14">
      <c r="A248" s="95"/>
      <c r="B248" s="69" t="s">
        <v>5143</v>
      </c>
      <c r="C248" s="96" t="s">
        <v>229</v>
      </c>
      <c r="D248" s="61" t="s">
        <v>5144</v>
      </c>
      <c r="E248" s="64" t="s">
        <v>4744</v>
      </c>
      <c r="F248" s="64"/>
      <c r="G248" s="150" t="s">
        <v>5145</v>
      </c>
      <c r="H248" s="82" t="s">
        <v>5146</v>
      </c>
      <c r="I248" s="64"/>
      <c r="J248" s="64"/>
      <c r="K248" s="64"/>
      <c r="L248" s="61"/>
      <c r="M248" s="100"/>
      <c r="N248" s="100"/>
    </row>
    <row r="249" ht="15.6" spans="1:14">
      <c r="A249" s="95"/>
      <c r="B249" s="69" t="s">
        <v>5147</v>
      </c>
      <c r="C249" s="96" t="s">
        <v>229</v>
      </c>
      <c r="D249" s="61" t="s">
        <v>5148</v>
      </c>
      <c r="E249" s="64" t="s">
        <v>4744</v>
      </c>
      <c r="F249" s="72"/>
      <c r="G249" s="157" t="s">
        <v>5149</v>
      </c>
      <c r="H249" s="82"/>
      <c r="I249" s="64"/>
      <c r="J249" s="64"/>
      <c r="K249" s="64"/>
      <c r="L249" s="61"/>
      <c r="M249" s="100"/>
      <c r="N249" s="100"/>
    </row>
    <row r="250" ht="15.6" spans="1:14">
      <c r="A250" s="95"/>
      <c r="B250" s="69" t="s">
        <v>5150</v>
      </c>
      <c r="C250" s="96" t="s">
        <v>1349</v>
      </c>
      <c r="D250" s="61" t="s">
        <v>5151</v>
      </c>
      <c r="E250" s="64" t="s">
        <v>4744</v>
      </c>
      <c r="F250" s="64"/>
      <c r="G250" s="148" t="s">
        <v>5152</v>
      </c>
      <c r="H250" s="82"/>
      <c r="I250" s="64"/>
      <c r="J250" s="64"/>
      <c r="K250" s="64"/>
      <c r="L250" s="61"/>
      <c r="M250" s="100"/>
      <c r="N250" s="100"/>
    </row>
    <row r="251" ht="15.6" spans="1:14">
      <c r="A251" s="95"/>
      <c r="B251" s="69" t="s">
        <v>5153</v>
      </c>
      <c r="C251" s="96" t="s">
        <v>1349</v>
      </c>
      <c r="D251" s="61" t="s">
        <v>5154</v>
      </c>
      <c r="E251" s="64" t="s">
        <v>4744</v>
      </c>
      <c r="F251" s="72"/>
      <c r="G251" s="157" t="s">
        <v>5155</v>
      </c>
      <c r="H251" s="82"/>
      <c r="I251" s="64"/>
      <c r="J251" s="64"/>
      <c r="K251" s="64"/>
      <c r="L251" s="61"/>
      <c r="M251" s="100"/>
      <c r="N251" s="100"/>
    </row>
    <row r="252" ht="15.6" spans="1:14">
      <c r="A252" s="95"/>
      <c r="B252" s="69" t="s">
        <v>5156</v>
      </c>
      <c r="C252" s="96" t="s">
        <v>1349</v>
      </c>
      <c r="D252" s="61" t="s">
        <v>5157</v>
      </c>
      <c r="E252" s="64" t="s">
        <v>4744</v>
      </c>
      <c r="F252" s="72"/>
      <c r="G252" s="157" t="s">
        <v>5158</v>
      </c>
      <c r="H252" s="82"/>
      <c r="I252" s="64"/>
      <c r="J252" s="64"/>
      <c r="K252" s="64"/>
      <c r="L252" s="61"/>
      <c r="M252" s="100"/>
      <c r="N252" s="100"/>
    </row>
    <row r="253" ht="15.6" spans="1:14">
      <c r="A253" s="95"/>
      <c r="B253" s="69" t="s">
        <v>5159</v>
      </c>
      <c r="C253" s="96" t="s">
        <v>1349</v>
      </c>
      <c r="D253" s="61" t="s">
        <v>5160</v>
      </c>
      <c r="E253" s="64" t="s">
        <v>4744</v>
      </c>
      <c r="F253" s="72"/>
      <c r="G253" s="157" t="s">
        <v>5161</v>
      </c>
      <c r="H253" s="82"/>
      <c r="I253" s="64"/>
      <c r="J253" s="64"/>
      <c r="K253" s="64"/>
      <c r="L253" s="61"/>
      <c r="M253" s="100"/>
      <c r="N253" s="100"/>
    </row>
    <row r="254" ht="15.6" spans="1:14">
      <c r="A254" s="95"/>
      <c r="B254" s="69" t="s">
        <v>5162</v>
      </c>
      <c r="C254" s="96" t="s">
        <v>229</v>
      </c>
      <c r="D254" s="61" t="s">
        <v>5163</v>
      </c>
      <c r="E254" s="64" t="s">
        <v>4744</v>
      </c>
      <c r="F254" s="72"/>
      <c r="G254" s="148" t="s">
        <v>5162</v>
      </c>
      <c r="H254" s="82"/>
      <c r="I254" s="64"/>
      <c r="J254" s="64"/>
      <c r="K254" s="64"/>
      <c r="L254" s="61"/>
      <c r="M254" s="100"/>
      <c r="N254" s="100"/>
    </row>
    <row r="255" ht="15.6" spans="1:14">
      <c r="A255" s="95"/>
      <c r="B255" s="69" t="s">
        <v>5164</v>
      </c>
      <c r="C255" s="96" t="s">
        <v>229</v>
      </c>
      <c r="D255" s="61" t="s">
        <v>5165</v>
      </c>
      <c r="E255" s="64" t="s">
        <v>4744</v>
      </c>
      <c r="F255" s="72"/>
      <c r="G255" s="148" t="s">
        <v>5164</v>
      </c>
      <c r="H255" s="82"/>
      <c r="I255" s="64"/>
      <c r="J255" s="64"/>
      <c r="K255" s="64"/>
      <c r="L255" s="61"/>
      <c r="M255" s="100"/>
      <c r="N255" s="100"/>
    </row>
    <row r="256" ht="15.6" spans="1:14">
      <c r="A256" s="95"/>
      <c r="B256" s="69" t="s">
        <v>5166</v>
      </c>
      <c r="C256" s="96" t="s">
        <v>229</v>
      </c>
      <c r="D256" s="61" t="s">
        <v>5167</v>
      </c>
      <c r="E256" s="64" t="s">
        <v>4744</v>
      </c>
      <c r="F256" s="72"/>
      <c r="G256" s="148" t="s">
        <v>5166</v>
      </c>
      <c r="H256" s="82"/>
      <c r="I256" s="64"/>
      <c r="J256" s="64"/>
      <c r="K256" s="64"/>
      <c r="L256" s="61"/>
      <c r="M256" s="100"/>
      <c r="N256" s="100"/>
    </row>
    <row r="257" ht="15.6" spans="1:14">
      <c r="A257" s="95"/>
      <c r="B257" s="69" t="s">
        <v>5168</v>
      </c>
      <c r="C257" s="96" t="s">
        <v>229</v>
      </c>
      <c r="D257" s="61" t="s">
        <v>5169</v>
      </c>
      <c r="E257" s="64" t="s">
        <v>4744</v>
      </c>
      <c r="F257" s="72"/>
      <c r="G257" s="148" t="s">
        <v>5168</v>
      </c>
      <c r="H257" s="82"/>
      <c r="I257" s="64"/>
      <c r="J257" s="64"/>
      <c r="K257" s="64"/>
      <c r="L257" s="61"/>
      <c r="M257" s="100"/>
      <c r="N257" s="100"/>
    </row>
    <row r="258" ht="15.6" spans="1:14">
      <c r="A258" s="95"/>
      <c r="B258" s="69" t="s">
        <v>5170</v>
      </c>
      <c r="C258" s="96" t="s">
        <v>1349</v>
      </c>
      <c r="D258" s="61" t="s">
        <v>5171</v>
      </c>
      <c r="E258" s="64" t="s">
        <v>4744</v>
      </c>
      <c r="F258" s="72"/>
      <c r="G258" s="148" t="s">
        <v>5172</v>
      </c>
      <c r="H258" s="82"/>
      <c r="I258" s="64"/>
      <c r="J258" s="64"/>
      <c r="K258" s="64"/>
      <c r="L258" s="61"/>
      <c r="M258" s="100"/>
      <c r="N258" s="100"/>
    </row>
    <row r="259" ht="15.6" spans="1:14">
      <c r="A259" s="95"/>
      <c r="B259" s="69" t="s">
        <v>5173</v>
      </c>
      <c r="C259" s="96" t="s">
        <v>229</v>
      </c>
      <c r="D259" s="61" t="s">
        <v>5174</v>
      </c>
      <c r="E259" s="64" t="s">
        <v>4744</v>
      </c>
      <c r="F259" s="72"/>
      <c r="G259" s="148" t="s">
        <v>5173</v>
      </c>
      <c r="H259" s="82"/>
      <c r="I259" s="64"/>
      <c r="J259" s="64"/>
      <c r="K259" s="64"/>
      <c r="L259" s="61"/>
      <c r="M259" s="100"/>
      <c r="N259" s="100"/>
    </row>
    <row r="260" ht="15.6" spans="1:14">
      <c r="A260" s="95"/>
      <c r="B260" s="69" t="s">
        <v>5175</v>
      </c>
      <c r="C260" s="96" t="s">
        <v>229</v>
      </c>
      <c r="D260" s="61" t="s">
        <v>5167</v>
      </c>
      <c r="E260" s="64" t="s">
        <v>4744</v>
      </c>
      <c r="F260" s="72"/>
      <c r="G260" s="148" t="s">
        <v>5175</v>
      </c>
      <c r="H260" s="82"/>
      <c r="I260" s="64"/>
      <c r="J260" s="64"/>
      <c r="K260" s="64"/>
      <c r="L260" s="61"/>
      <c r="M260" s="100"/>
      <c r="N260" s="100"/>
    </row>
    <row r="261" ht="15.6" spans="1:14">
      <c r="A261" s="95"/>
      <c r="B261" s="69" t="s">
        <v>5176</v>
      </c>
      <c r="C261" s="96" t="s">
        <v>1349</v>
      </c>
      <c r="D261" s="61" t="s">
        <v>5177</v>
      </c>
      <c r="E261" s="64" t="s">
        <v>4744</v>
      </c>
      <c r="F261" s="72"/>
      <c r="G261" s="148" t="s">
        <v>5178</v>
      </c>
      <c r="H261" s="82"/>
      <c r="I261" s="64"/>
      <c r="J261" s="64"/>
      <c r="K261" s="64"/>
      <c r="L261" s="61"/>
      <c r="M261" s="100"/>
      <c r="N261" s="100"/>
    </row>
    <row r="262" ht="15.6" spans="1:14">
      <c r="A262" s="95"/>
      <c r="B262" s="69" t="s">
        <v>5179</v>
      </c>
      <c r="C262" s="96" t="s">
        <v>1349</v>
      </c>
      <c r="D262" s="61" t="s">
        <v>5180</v>
      </c>
      <c r="E262" s="64" t="s">
        <v>4744</v>
      </c>
      <c r="F262" s="72"/>
      <c r="G262" s="148" t="s">
        <v>5181</v>
      </c>
      <c r="H262" s="82"/>
      <c r="I262" s="64"/>
      <c r="J262" s="64"/>
      <c r="K262" s="64"/>
      <c r="L262" s="61"/>
      <c r="M262" s="100"/>
      <c r="N262" s="100"/>
    </row>
    <row r="263" ht="15.6" spans="1:14">
      <c r="A263" s="95"/>
      <c r="B263" s="69" t="s">
        <v>5182</v>
      </c>
      <c r="C263" s="96" t="s">
        <v>229</v>
      </c>
      <c r="D263" s="61" t="s">
        <v>5183</v>
      </c>
      <c r="E263" s="64" t="s">
        <v>4744</v>
      </c>
      <c r="F263" s="72"/>
      <c r="G263" s="148" t="s">
        <v>5182</v>
      </c>
      <c r="H263" s="82"/>
      <c r="I263" s="64"/>
      <c r="J263" s="64"/>
      <c r="K263" s="64"/>
      <c r="L263" s="61"/>
      <c r="M263" s="100"/>
      <c r="N263" s="100"/>
    </row>
    <row r="264" ht="15.6" spans="1:14">
      <c r="A264" s="95"/>
      <c r="B264" s="69" t="s">
        <v>5184</v>
      </c>
      <c r="C264" s="96" t="s">
        <v>229</v>
      </c>
      <c r="D264" s="61" t="s">
        <v>5185</v>
      </c>
      <c r="E264" s="64" t="s">
        <v>4744</v>
      </c>
      <c r="F264" s="72"/>
      <c r="G264" s="148" t="s">
        <v>5184</v>
      </c>
      <c r="H264" s="82"/>
      <c r="I264" s="64"/>
      <c r="J264" s="64"/>
      <c r="K264" s="64"/>
      <c r="L264" s="61"/>
      <c r="M264" s="100"/>
      <c r="N264" s="100"/>
    </row>
    <row r="265" ht="15.6" spans="1:14">
      <c r="A265" s="95"/>
      <c r="B265" s="69" t="s">
        <v>5186</v>
      </c>
      <c r="C265" s="96" t="s">
        <v>1349</v>
      </c>
      <c r="D265" s="61" t="s">
        <v>5187</v>
      </c>
      <c r="E265" s="64" t="s">
        <v>4744</v>
      </c>
      <c r="F265" s="72"/>
      <c r="G265" s="148" t="s">
        <v>5188</v>
      </c>
      <c r="H265" s="82"/>
      <c r="I265" s="64"/>
      <c r="J265" s="64"/>
      <c r="K265" s="64"/>
      <c r="L265" s="61"/>
      <c r="M265" s="100"/>
      <c r="N265" s="100"/>
    </row>
    <row r="266" ht="15.6" spans="1:14">
      <c r="A266" s="95"/>
      <c r="B266" s="69" t="s">
        <v>5189</v>
      </c>
      <c r="C266" s="96" t="s">
        <v>1349</v>
      </c>
      <c r="D266" s="61" t="s">
        <v>5190</v>
      </c>
      <c r="E266" s="64" t="s">
        <v>4744</v>
      </c>
      <c r="F266" s="72"/>
      <c r="G266" s="148" t="s">
        <v>5191</v>
      </c>
      <c r="H266" s="82"/>
      <c r="I266" s="64"/>
      <c r="J266" s="64"/>
      <c r="K266" s="64"/>
      <c r="L266" s="61"/>
      <c r="M266" s="100"/>
      <c r="N266" s="100"/>
    </row>
    <row r="267" ht="15.6" spans="1:14">
      <c r="A267" s="95"/>
      <c r="B267" s="69" t="s">
        <v>5192</v>
      </c>
      <c r="C267" s="96" t="s">
        <v>1349</v>
      </c>
      <c r="D267" s="61" t="s">
        <v>5193</v>
      </c>
      <c r="E267" s="64" t="s">
        <v>4744</v>
      </c>
      <c r="F267" s="72"/>
      <c r="G267" s="148" t="s">
        <v>5192</v>
      </c>
      <c r="H267" s="82"/>
      <c r="I267" s="64"/>
      <c r="J267" s="64"/>
      <c r="K267" s="64"/>
      <c r="L267" s="61"/>
      <c r="M267" s="100"/>
      <c r="N267" s="100"/>
    </row>
    <row r="268" ht="15.6" spans="1:14">
      <c r="A268" s="95"/>
      <c r="B268" s="69" t="s">
        <v>5194</v>
      </c>
      <c r="C268" s="96" t="s">
        <v>1349</v>
      </c>
      <c r="D268" s="61" t="s">
        <v>5195</v>
      </c>
      <c r="E268" s="64" t="s">
        <v>4744</v>
      </c>
      <c r="F268" s="64"/>
      <c r="G268" s="148" t="s">
        <v>5196</v>
      </c>
      <c r="H268" s="82"/>
      <c r="I268" s="64"/>
      <c r="J268" s="64"/>
      <c r="K268" s="64" t="s">
        <v>5197</v>
      </c>
      <c r="L268" s="61"/>
      <c r="M268" s="100"/>
      <c r="N268" s="100"/>
    </row>
    <row r="269" ht="15.6" spans="1:14">
      <c r="A269" s="95"/>
      <c r="B269" s="69" t="s">
        <v>5198</v>
      </c>
      <c r="C269" s="96" t="s">
        <v>1349</v>
      </c>
      <c r="D269" s="61" t="s">
        <v>5199</v>
      </c>
      <c r="E269" s="64" t="s">
        <v>4744</v>
      </c>
      <c r="F269" s="64"/>
      <c r="G269" s="148" t="s">
        <v>5200</v>
      </c>
      <c r="H269" s="82"/>
      <c r="I269" s="64"/>
      <c r="J269" s="64"/>
      <c r="K269" s="64" t="s">
        <v>5197</v>
      </c>
      <c r="L269" s="61"/>
      <c r="M269" s="100"/>
      <c r="N269" s="100"/>
    </row>
    <row r="270" ht="15.6" spans="1:14">
      <c r="A270" s="95"/>
      <c r="B270" s="69" t="s">
        <v>5201</v>
      </c>
      <c r="C270" s="96" t="s">
        <v>1349</v>
      </c>
      <c r="D270" s="61" t="s">
        <v>5202</v>
      </c>
      <c r="E270" s="64" t="s">
        <v>4744</v>
      </c>
      <c r="F270" s="64"/>
      <c r="G270" s="148" t="s">
        <v>5203</v>
      </c>
      <c r="H270" s="82"/>
      <c r="I270" s="64"/>
      <c r="J270" s="64"/>
      <c r="K270" s="64"/>
      <c r="L270" s="61"/>
      <c r="M270" s="100"/>
      <c r="N270" s="100"/>
    </row>
    <row r="271" ht="15.6" spans="1:14">
      <c r="A271" s="95"/>
      <c r="B271" s="69" t="s">
        <v>5204</v>
      </c>
      <c r="C271" s="96" t="s">
        <v>229</v>
      </c>
      <c r="D271" s="61" t="s">
        <v>5205</v>
      </c>
      <c r="E271" s="64" t="s">
        <v>4744</v>
      </c>
      <c r="F271" s="64"/>
      <c r="G271" s="148" t="s">
        <v>5206</v>
      </c>
      <c r="H271" s="82"/>
      <c r="I271" s="64"/>
      <c r="J271" s="64"/>
      <c r="K271" s="64"/>
      <c r="L271" s="61"/>
      <c r="M271" s="100"/>
      <c r="N271" s="100"/>
    </row>
    <row r="272" ht="15.6" spans="1:14">
      <c r="A272" s="95"/>
      <c r="B272" s="69" t="s">
        <v>5207</v>
      </c>
      <c r="C272" s="96" t="s">
        <v>1349</v>
      </c>
      <c r="D272" s="61" t="s">
        <v>5208</v>
      </c>
      <c r="E272" s="64" t="s">
        <v>4744</v>
      </c>
      <c r="F272" s="64"/>
      <c r="G272" s="148" t="s">
        <v>1693</v>
      </c>
      <c r="H272" s="82"/>
      <c r="I272" s="64"/>
      <c r="J272" s="64"/>
      <c r="K272" s="64"/>
      <c r="L272" s="61"/>
      <c r="M272" s="100"/>
      <c r="N272" s="100"/>
    </row>
    <row r="273" ht="15.6" spans="1:14">
      <c r="A273" s="95"/>
      <c r="B273" s="69" t="s">
        <v>5209</v>
      </c>
      <c r="C273" s="96" t="s">
        <v>229</v>
      </c>
      <c r="D273" s="61" t="s">
        <v>5210</v>
      </c>
      <c r="E273" s="64" t="s">
        <v>4744</v>
      </c>
      <c r="F273" s="64"/>
      <c r="G273" s="148" t="s">
        <v>5209</v>
      </c>
      <c r="H273" s="82"/>
      <c r="I273" s="64"/>
      <c r="J273" s="64"/>
      <c r="K273" s="64"/>
      <c r="L273" s="61"/>
      <c r="M273" s="100"/>
      <c r="N273" s="100"/>
    </row>
    <row r="274" ht="15.6" spans="1:14">
      <c r="A274" s="95"/>
      <c r="B274" s="69" t="s">
        <v>5211</v>
      </c>
      <c r="C274" s="96" t="s">
        <v>229</v>
      </c>
      <c r="D274" s="61" t="s">
        <v>5212</v>
      </c>
      <c r="E274" s="64" t="s">
        <v>4744</v>
      </c>
      <c r="F274" s="64"/>
      <c r="G274" s="148" t="s">
        <v>5211</v>
      </c>
      <c r="H274" s="82"/>
      <c r="I274" s="64"/>
      <c r="J274" s="64"/>
      <c r="K274" s="64"/>
      <c r="L274" s="61"/>
      <c r="M274" s="100"/>
      <c r="N274" s="100"/>
    </row>
    <row r="275" ht="15.6" spans="1:14">
      <c r="A275" s="95"/>
      <c r="B275" s="69" t="s">
        <v>5213</v>
      </c>
      <c r="C275" s="96" t="s">
        <v>229</v>
      </c>
      <c r="D275" s="61" t="s">
        <v>5214</v>
      </c>
      <c r="E275" s="64" t="s">
        <v>4744</v>
      </c>
      <c r="F275" s="64"/>
      <c r="G275" s="148" t="s">
        <v>5213</v>
      </c>
      <c r="H275" s="82"/>
      <c r="I275" s="64"/>
      <c r="J275" s="64"/>
      <c r="K275" s="64"/>
      <c r="L275" s="61"/>
      <c r="M275" s="100"/>
      <c r="N275" s="100"/>
    </row>
    <row r="276" ht="15.6" spans="1:14">
      <c r="A276" s="95"/>
      <c r="B276" s="69" t="s">
        <v>5215</v>
      </c>
      <c r="C276" s="96" t="s">
        <v>1349</v>
      </c>
      <c r="D276" s="61" t="s">
        <v>5216</v>
      </c>
      <c r="E276" s="64" t="s">
        <v>4744</v>
      </c>
      <c r="F276" s="64"/>
      <c r="G276" s="148" t="s">
        <v>5215</v>
      </c>
      <c r="H276" s="82"/>
      <c r="I276" s="64"/>
      <c r="J276" s="64"/>
      <c r="K276" s="64"/>
      <c r="L276" s="61"/>
      <c r="M276" s="100"/>
      <c r="N276" s="100"/>
    </row>
    <row r="277" ht="15.6" spans="1:14">
      <c r="A277" s="95"/>
      <c r="B277" s="69" t="s">
        <v>5217</v>
      </c>
      <c r="C277" s="96" t="s">
        <v>229</v>
      </c>
      <c r="D277" s="61" t="s">
        <v>5218</v>
      </c>
      <c r="E277" s="64" t="s">
        <v>4744</v>
      </c>
      <c r="F277" s="64"/>
      <c r="G277" s="148" t="s">
        <v>5217</v>
      </c>
      <c r="H277" s="82"/>
      <c r="I277" s="64"/>
      <c r="J277" s="64"/>
      <c r="K277" s="64"/>
      <c r="L277" s="61"/>
      <c r="M277" s="100"/>
      <c r="N277" s="100"/>
    </row>
    <row r="278" ht="15.6" spans="1:14">
      <c r="A278" s="95"/>
      <c r="B278" s="69" t="s">
        <v>5219</v>
      </c>
      <c r="C278" s="96" t="s">
        <v>229</v>
      </c>
      <c r="D278" s="61" t="s">
        <v>5220</v>
      </c>
      <c r="E278" s="64" t="s">
        <v>4744</v>
      </c>
      <c r="F278" s="64"/>
      <c r="G278" s="148" t="s">
        <v>5219</v>
      </c>
      <c r="H278" s="82"/>
      <c r="I278" s="64"/>
      <c r="J278" s="64"/>
      <c r="K278" s="64"/>
      <c r="L278" s="61"/>
      <c r="M278" s="100"/>
      <c r="N278" s="100"/>
    </row>
    <row r="279" ht="15.6" spans="1:14">
      <c r="A279" s="95"/>
      <c r="B279" s="69" t="s">
        <v>5221</v>
      </c>
      <c r="C279" s="96" t="s">
        <v>229</v>
      </c>
      <c r="D279" s="61" t="s">
        <v>5222</v>
      </c>
      <c r="E279" s="64" t="s">
        <v>4744</v>
      </c>
      <c r="F279" s="64"/>
      <c r="G279" s="148" t="s">
        <v>5221</v>
      </c>
      <c r="H279" s="82"/>
      <c r="I279" s="64"/>
      <c r="J279" s="64"/>
      <c r="K279" s="64"/>
      <c r="L279" s="61"/>
      <c r="M279" s="100"/>
      <c r="N279" s="100"/>
    </row>
    <row r="280" ht="15.6" spans="1:14">
      <c r="A280" s="95"/>
      <c r="B280" s="69" t="s">
        <v>5223</v>
      </c>
      <c r="C280" s="96" t="s">
        <v>229</v>
      </c>
      <c r="D280" s="61" t="s">
        <v>5224</v>
      </c>
      <c r="E280" s="64" t="s">
        <v>4744</v>
      </c>
      <c r="F280" s="64"/>
      <c r="G280" s="148" t="s">
        <v>5223</v>
      </c>
      <c r="H280" s="82"/>
      <c r="I280" s="64"/>
      <c r="J280" s="64"/>
      <c r="K280" s="64"/>
      <c r="L280" s="61"/>
      <c r="M280" s="100"/>
      <c r="N280" s="100"/>
    </row>
    <row r="281" ht="15.6" spans="1:14">
      <c r="A281" s="95"/>
      <c r="B281" s="69" t="s">
        <v>5225</v>
      </c>
      <c r="C281" s="96" t="s">
        <v>229</v>
      </c>
      <c r="D281" s="61" t="s">
        <v>5226</v>
      </c>
      <c r="E281" s="64" t="s">
        <v>4744</v>
      </c>
      <c r="F281" s="64"/>
      <c r="G281" s="148" t="s">
        <v>5225</v>
      </c>
      <c r="H281" s="82"/>
      <c r="I281" s="64"/>
      <c r="J281" s="64"/>
      <c r="K281" s="64"/>
      <c r="L281" s="61"/>
      <c r="M281" s="100"/>
      <c r="N281" s="100"/>
    </row>
    <row r="282" ht="15.6" spans="1:14">
      <c r="A282" s="95"/>
      <c r="B282" s="69" t="s">
        <v>5227</v>
      </c>
      <c r="C282" s="96" t="s">
        <v>229</v>
      </c>
      <c r="D282" s="61" t="s">
        <v>5228</v>
      </c>
      <c r="E282" s="64" t="s">
        <v>4744</v>
      </c>
      <c r="F282" s="64"/>
      <c r="G282" s="148" t="s">
        <v>5227</v>
      </c>
      <c r="H282" s="82"/>
      <c r="I282" s="64"/>
      <c r="J282" s="64"/>
      <c r="K282" s="64"/>
      <c r="L282" s="61"/>
      <c r="M282" s="100"/>
      <c r="N282" s="100"/>
    </row>
    <row r="283" ht="15.6" spans="1:14">
      <c r="A283" s="95"/>
      <c r="B283" s="69" t="s">
        <v>5229</v>
      </c>
      <c r="C283" s="96" t="s">
        <v>229</v>
      </c>
      <c r="D283" s="61" t="s">
        <v>5230</v>
      </c>
      <c r="E283" s="64" t="s">
        <v>4744</v>
      </c>
      <c r="F283" s="64"/>
      <c r="G283" s="148" t="s">
        <v>5229</v>
      </c>
      <c r="H283" s="82"/>
      <c r="I283" s="64"/>
      <c r="J283" s="64"/>
      <c r="K283" s="64"/>
      <c r="L283" s="61"/>
      <c r="M283" s="100"/>
      <c r="N283" s="100"/>
    </row>
    <row r="284" ht="15.6" spans="1:14">
      <c r="A284" s="95"/>
      <c r="B284" s="69" t="s">
        <v>5231</v>
      </c>
      <c r="C284" s="96" t="s">
        <v>229</v>
      </c>
      <c r="D284" s="61" t="s">
        <v>5232</v>
      </c>
      <c r="E284" s="64" t="s">
        <v>4744</v>
      </c>
      <c r="F284" s="64"/>
      <c r="G284" s="148" t="s">
        <v>5231</v>
      </c>
      <c r="H284" s="82"/>
      <c r="I284" s="64"/>
      <c r="J284" s="64"/>
      <c r="K284" s="64"/>
      <c r="L284" s="61"/>
      <c r="M284" s="100"/>
      <c r="N284" s="100"/>
    </row>
    <row r="285" ht="15.6" spans="1:14">
      <c r="A285" s="95"/>
      <c r="B285" s="69" t="s">
        <v>5233</v>
      </c>
      <c r="C285" s="96" t="s">
        <v>229</v>
      </c>
      <c r="D285" s="61" t="s">
        <v>5234</v>
      </c>
      <c r="E285" s="64" t="s">
        <v>4744</v>
      </c>
      <c r="F285" s="64"/>
      <c r="G285" s="148" t="s">
        <v>5233</v>
      </c>
      <c r="H285" s="82"/>
      <c r="I285" s="64"/>
      <c r="J285" s="64"/>
      <c r="K285" s="64"/>
      <c r="L285" s="61"/>
      <c r="M285" s="100"/>
      <c r="N285" s="100"/>
    </row>
    <row r="286" ht="15.6" spans="1:14">
      <c r="A286" s="95"/>
      <c r="B286" s="69" t="s">
        <v>5235</v>
      </c>
      <c r="C286" s="96" t="s">
        <v>229</v>
      </c>
      <c r="D286" s="61" t="s">
        <v>5236</v>
      </c>
      <c r="E286" s="64" t="s">
        <v>4744</v>
      </c>
      <c r="F286" s="64"/>
      <c r="G286" s="148" t="s">
        <v>5235</v>
      </c>
      <c r="H286" s="82"/>
      <c r="I286" s="64"/>
      <c r="J286" s="64"/>
      <c r="K286" s="64"/>
      <c r="L286" s="61"/>
      <c r="M286" s="100"/>
      <c r="N286" s="100"/>
    </row>
    <row r="287" ht="15.6" spans="1:14">
      <c r="A287" s="95"/>
      <c r="B287" s="69" t="s">
        <v>5237</v>
      </c>
      <c r="C287" s="96" t="s">
        <v>229</v>
      </c>
      <c r="D287" s="61" t="s">
        <v>5238</v>
      </c>
      <c r="E287" s="64" t="s">
        <v>4744</v>
      </c>
      <c r="F287" s="64"/>
      <c r="G287" s="148" t="s">
        <v>5237</v>
      </c>
      <c r="H287" s="82"/>
      <c r="I287" s="64"/>
      <c r="J287" s="64"/>
      <c r="K287" s="64"/>
      <c r="L287" s="61"/>
      <c r="M287" s="100"/>
      <c r="N287" s="100"/>
    </row>
    <row r="288" ht="15.6" spans="1:14">
      <c r="A288" s="95"/>
      <c r="B288" s="69" t="s">
        <v>5239</v>
      </c>
      <c r="C288" s="96" t="s">
        <v>229</v>
      </c>
      <c r="D288" s="61" t="s">
        <v>5240</v>
      </c>
      <c r="E288" s="64" t="s">
        <v>4744</v>
      </c>
      <c r="F288" s="64"/>
      <c r="G288" s="148" t="s">
        <v>5239</v>
      </c>
      <c r="H288" s="82"/>
      <c r="I288" s="64"/>
      <c r="J288" s="64"/>
      <c r="K288" s="64"/>
      <c r="L288" s="61"/>
      <c r="M288" s="100"/>
      <c r="N288" s="100"/>
    </row>
    <row r="289" ht="15.6" spans="1:14">
      <c r="A289" s="95"/>
      <c r="B289" s="69" t="s">
        <v>5241</v>
      </c>
      <c r="C289" s="96" t="s">
        <v>229</v>
      </c>
      <c r="D289" s="61" t="s">
        <v>5242</v>
      </c>
      <c r="E289" s="64" t="s">
        <v>4744</v>
      </c>
      <c r="F289" s="64"/>
      <c r="G289" s="148" t="s">
        <v>5241</v>
      </c>
      <c r="H289" s="82"/>
      <c r="I289" s="64"/>
      <c r="J289" s="64"/>
      <c r="K289" s="64"/>
      <c r="L289" s="61"/>
      <c r="M289" s="100"/>
      <c r="N289" s="100"/>
    </row>
    <row r="290" ht="15.6" spans="1:14">
      <c r="A290" s="95"/>
      <c r="B290" s="69" t="s">
        <v>5243</v>
      </c>
      <c r="C290" s="96" t="s">
        <v>1349</v>
      </c>
      <c r="D290" s="61" t="s">
        <v>5244</v>
      </c>
      <c r="E290" s="64" t="s">
        <v>4744</v>
      </c>
      <c r="F290" s="64"/>
      <c r="G290" s="148" t="s">
        <v>5243</v>
      </c>
      <c r="H290" s="82"/>
      <c r="I290" s="64"/>
      <c r="J290" s="64"/>
      <c r="K290" s="64"/>
      <c r="L290" s="61"/>
      <c r="M290" s="100"/>
      <c r="N290" s="100"/>
    </row>
    <row r="291" ht="15.6" spans="1:14">
      <c r="A291" s="95"/>
      <c r="B291" s="69" t="s">
        <v>5245</v>
      </c>
      <c r="C291" s="96" t="s">
        <v>1349</v>
      </c>
      <c r="D291" s="61" t="s">
        <v>5246</v>
      </c>
      <c r="E291" s="64" t="s">
        <v>4744</v>
      </c>
      <c r="F291" s="64"/>
      <c r="G291" s="148" t="s">
        <v>5245</v>
      </c>
      <c r="H291" s="82"/>
      <c r="I291" s="64"/>
      <c r="J291" s="64"/>
      <c r="K291" s="64"/>
      <c r="L291" s="61"/>
      <c r="M291" s="100"/>
      <c r="N291" s="100"/>
    </row>
    <row r="292" ht="15.6" spans="1:14">
      <c r="A292" s="95"/>
      <c r="B292" s="69" t="s">
        <v>5247</v>
      </c>
      <c r="C292" s="96" t="s">
        <v>1349</v>
      </c>
      <c r="D292" s="61" t="s">
        <v>5248</v>
      </c>
      <c r="E292" s="64" t="s">
        <v>4744</v>
      </c>
      <c r="F292" s="64"/>
      <c r="G292" s="148" t="s">
        <v>5247</v>
      </c>
      <c r="H292" s="82"/>
      <c r="I292" s="64"/>
      <c r="J292" s="64"/>
      <c r="K292" s="64"/>
      <c r="L292" s="61"/>
      <c r="M292" s="100"/>
      <c r="N292" s="100"/>
    </row>
    <row r="293" ht="15.6" spans="1:14">
      <c r="A293" s="95"/>
      <c r="B293" s="69" t="s">
        <v>5249</v>
      </c>
      <c r="C293" s="96" t="s">
        <v>1349</v>
      </c>
      <c r="D293" s="61" t="s">
        <v>5250</v>
      </c>
      <c r="E293" s="64" t="s">
        <v>4744</v>
      </c>
      <c r="F293" s="64"/>
      <c r="G293" s="148" t="s">
        <v>5249</v>
      </c>
      <c r="H293" s="82"/>
      <c r="I293" s="64"/>
      <c r="J293" s="64"/>
      <c r="K293" s="64"/>
      <c r="L293" s="61"/>
      <c r="M293" s="100"/>
      <c r="N293" s="100"/>
    </row>
    <row r="294" ht="15.6" spans="1:14">
      <c r="A294" s="95"/>
      <c r="B294" s="69" t="s">
        <v>5251</v>
      </c>
      <c r="C294" s="96" t="s">
        <v>229</v>
      </c>
      <c r="D294" s="61" t="s">
        <v>5252</v>
      </c>
      <c r="E294" s="64" t="s">
        <v>4744</v>
      </c>
      <c r="F294" s="64"/>
      <c r="G294" s="148" t="s">
        <v>5251</v>
      </c>
      <c r="H294" s="82"/>
      <c r="I294" s="64"/>
      <c r="J294" s="64"/>
      <c r="K294" s="64"/>
      <c r="L294" s="61"/>
      <c r="M294" s="100"/>
      <c r="N294" s="100"/>
    </row>
    <row r="295" ht="15.6" spans="1:14">
      <c r="A295" s="95"/>
      <c r="B295" s="69" t="s">
        <v>5253</v>
      </c>
      <c r="C295" s="96" t="s">
        <v>229</v>
      </c>
      <c r="D295" s="61" t="s">
        <v>5254</v>
      </c>
      <c r="E295" s="64" t="s">
        <v>4744</v>
      </c>
      <c r="F295" s="64"/>
      <c r="G295" s="148" t="s">
        <v>5253</v>
      </c>
      <c r="H295" s="82"/>
      <c r="I295" s="64"/>
      <c r="J295" s="64"/>
      <c r="K295" s="64"/>
      <c r="L295" s="61"/>
      <c r="M295" s="100"/>
      <c r="N295" s="100"/>
    </row>
    <row r="296" ht="15.6" spans="1:14">
      <c r="A296" s="95"/>
      <c r="B296" s="69" t="s">
        <v>5255</v>
      </c>
      <c r="C296" s="96" t="s">
        <v>229</v>
      </c>
      <c r="D296" s="61" t="s">
        <v>5256</v>
      </c>
      <c r="E296" s="64" t="s">
        <v>4744</v>
      </c>
      <c r="F296" s="64"/>
      <c r="G296" s="148" t="s">
        <v>5255</v>
      </c>
      <c r="H296" s="82"/>
      <c r="I296" s="64"/>
      <c r="J296" s="64"/>
      <c r="K296" s="64"/>
      <c r="L296" s="61"/>
      <c r="M296" s="100"/>
      <c r="N296" s="100"/>
    </row>
    <row r="297" ht="15.6" spans="1:14">
      <c r="A297" s="95"/>
      <c r="B297" s="69" t="s">
        <v>5257</v>
      </c>
      <c r="C297" s="96" t="s">
        <v>229</v>
      </c>
      <c r="D297" s="61" t="s">
        <v>5258</v>
      </c>
      <c r="E297" s="64" t="s">
        <v>4744</v>
      </c>
      <c r="F297" s="64"/>
      <c r="G297" s="148" t="s">
        <v>5257</v>
      </c>
      <c r="H297" s="82"/>
      <c r="I297" s="64"/>
      <c r="J297" s="64"/>
      <c r="K297" s="64"/>
      <c r="L297" s="61"/>
      <c r="M297" s="100"/>
      <c r="N297" s="100"/>
    </row>
    <row r="298" ht="15.6" spans="1:14">
      <c r="A298" s="95"/>
      <c r="B298" s="69" t="s">
        <v>5259</v>
      </c>
      <c r="C298" s="96" t="s">
        <v>229</v>
      </c>
      <c r="D298" s="61" t="s">
        <v>5260</v>
      </c>
      <c r="E298" s="64" t="s">
        <v>4744</v>
      </c>
      <c r="F298" s="64"/>
      <c r="G298" s="148" t="s">
        <v>5259</v>
      </c>
      <c r="H298" s="82"/>
      <c r="I298" s="64"/>
      <c r="J298" s="64"/>
      <c r="K298" s="64"/>
      <c r="L298" s="61"/>
      <c r="M298" s="100"/>
      <c r="N298" s="100"/>
    </row>
    <row r="299" ht="15.6" spans="1:14">
      <c r="A299" s="95"/>
      <c r="B299" s="69" t="s">
        <v>5261</v>
      </c>
      <c r="C299" s="96" t="s">
        <v>229</v>
      </c>
      <c r="D299" s="61" t="s">
        <v>5262</v>
      </c>
      <c r="E299" s="64" t="s">
        <v>4744</v>
      </c>
      <c r="F299" s="64"/>
      <c r="G299" s="148" t="s">
        <v>5261</v>
      </c>
      <c r="H299" s="82"/>
      <c r="I299" s="64"/>
      <c r="J299" s="64"/>
      <c r="K299" s="64"/>
      <c r="L299" s="61"/>
      <c r="M299" s="100"/>
      <c r="N299" s="100"/>
    </row>
    <row r="300" ht="15.6" spans="1:14">
      <c r="A300" s="95"/>
      <c r="B300" s="69" t="s">
        <v>5263</v>
      </c>
      <c r="C300" s="96" t="s">
        <v>229</v>
      </c>
      <c r="D300" s="61" t="s">
        <v>5264</v>
      </c>
      <c r="E300" s="64" t="s">
        <v>4744</v>
      </c>
      <c r="F300" s="64"/>
      <c r="G300" s="148" t="s">
        <v>5263</v>
      </c>
      <c r="H300" s="82"/>
      <c r="I300" s="64"/>
      <c r="J300" s="64"/>
      <c r="K300" s="64"/>
      <c r="L300" s="61"/>
      <c r="M300" s="100"/>
      <c r="N300" s="100"/>
    </row>
    <row r="301" ht="15.6" spans="1:14">
      <c r="A301" s="95"/>
      <c r="B301" s="69" t="s">
        <v>5265</v>
      </c>
      <c r="C301" s="96" t="s">
        <v>229</v>
      </c>
      <c r="D301" s="61" t="s">
        <v>5266</v>
      </c>
      <c r="E301" s="64" t="s">
        <v>4744</v>
      </c>
      <c r="F301" s="64"/>
      <c r="G301" s="148" t="s">
        <v>5265</v>
      </c>
      <c r="H301" s="82"/>
      <c r="I301" s="64"/>
      <c r="J301" s="64"/>
      <c r="K301" s="64"/>
      <c r="L301" s="61"/>
      <c r="M301" s="100"/>
      <c r="N301" s="100"/>
    </row>
    <row r="302" ht="15.6" spans="1:14">
      <c r="A302" s="95"/>
      <c r="B302" s="69" t="s">
        <v>5267</v>
      </c>
      <c r="C302" s="96" t="s">
        <v>229</v>
      </c>
      <c r="D302" s="61" t="s">
        <v>5268</v>
      </c>
      <c r="E302" s="64" t="s">
        <v>4744</v>
      </c>
      <c r="F302" s="64"/>
      <c r="G302" s="148" t="s">
        <v>5267</v>
      </c>
      <c r="H302" s="82"/>
      <c r="I302" s="64"/>
      <c r="J302" s="64"/>
      <c r="K302" s="64"/>
      <c r="L302" s="61"/>
      <c r="M302" s="100"/>
      <c r="N302" s="100"/>
    </row>
    <row r="303" ht="15.6" spans="1:14">
      <c r="A303" s="95"/>
      <c r="B303" s="69" t="s">
        <v>5269</v>
      </c>
      <c r="C303" s="96" t="s">
        <v>229</v>
      </c>
      <c r="D303" s="61" t="s">
        <v>5270</v>
      </c>
      <c r="E303" s="64" t="s">
        <v>4744</v>
      </c>
      <c r="F303" s="64"/>
      <c r="G303" s="148" t="s">
        <v>5269</v>
      </c>
      <c r="H303" s="82"/>
      <c r="I303" s="64"/>
      <c r="J303" s="64"/>
      <c r="K303" s="64"/>
      <c r="L303" s="61"/>
      <c r="M303" s="100"/>
      <c r="N303" s="100"/>
    </row>
    <row r="304" ht="15.6" spans="1:14">
      <c r="A304" s="95"/>
      <c r="B304" s="69" t="s">
        <v>5271</v>
      </c>
      <c r="C304" s="96" t="s">
        <v>229</v>
      </c>
      <c r="D304" s="61" t="s">
        <v>5272</v>
      </c>
      <c r="E304" s="64" t="s">
        <v>4744</v>
      </c>
      <c r="F304" s="64"/>
      <c r="G304" s="148" t="s">
        <v>5271</v>
      </c>
      <c r="H304" s="82"/>
      <c r="I304" s="64"/>
      <c r="J304" s="64"/>
      <c r="K304" s="64"/>
      <c r="L304" s="61"/>
      <c r="M304" s="100"/>
      <c r="N304" s="100"/>
    </row>
    <row r="305" ht="15.6" spans="1:14">
      <c r="A305" s="95"/>
      <c r="B305" s="69" t="s">
        <v>5273</v>
      </c>
      <c r="C305" s="96" t="s">
        <v>229</v>
      </c>
      <c r="D305" s="61" t="s">
        <v>5274</v>
      </c>
      <c r="E305" s="64" t="s">
        <v>4744</v>
      </c>
      <c r="F305" s="64"/>
      <c r="G305" s="148" t="s">
        <v>5273</v>
      </c>
      <c r="H305" s="82"/>
      <c r="I305" s="64"/>
      <c r="J305" s="64"/>
      <c r="K305" s="64"/>
      <c r="L305" s="61"/>
      <c r="M305" s="100"/>
      <c r="N305" s="100"/>
    </row>
    <row r="306" ht="15.6" spans="1:14">
      <c r="A306" s="95"/>
      <c r="B306" s="69" t="s">
        <v>5275</v>
      </c>
      <c r="C306" s="96" t="s">
        <v>229</v>
      </c>
      <c r="D306" s="61" t="s">
        <v>5276</v>
      </c>
      <c r="E306" s="64" t="s">
        <v>4744</v>
      </c>
      <c r="F306" s="64"/>
      <c r="G306" s="148" t="s">
        <v>5275</v>
      </c>
      <c r="H306" s="82"/>
      <c r="I306" s="64"/>
      <c r="J306" s="64"/>
      <c r="K306" s="64"/>
      <c r="L306" s="61"/>
      <c r="M306" s="100"/>
      <c r="N306" s="100"/>
    </row>
    <row r="307" ht="15.6" spans="1:14">
      <c r="A307" s="95"/>
      <c r="B307" s="69" t="s">
        <v>5277</v>
      </c>
      <c r="C307" s="96" t="s">
        <v>229</v>
      </c>
      <c r="D307" s="61" t="s">
        <v>5278</v>
      </c>
      <c r="E307" s="64" t="s">
        <v>4744</v>
      </c>
      <c r="F307" s="64"/>
      <c r="G307" s="148" t="s">
        <v>5277</v>
      </c>
      <c r="H307" s="82"/>
      <c r="I307" s="64"/>
      <c r="J307" s="64"/>
      <c r="K307" s="64"/>
      <c r="L307" s="61"/>
      <c r="M307" s="100"/>
      <c r="N307" s="100"/>
    </row>
    <row r="308" ht="15.6" spans="1:14">
      <c r="A308" s="95"/>
      <c r="B308" s="69" t="s">
        <v>5279</v>
      </c>
      <c r="C308" s="96" t="s">
        <v>229</v>
      </c>
      <c r="D308" s="61" t="s">
        <v>5280</v>
      </c>
      <c r="E308" s="64" t="s">
        <v>4744</v>
      </c>
      <c r="F308" s="64"/>
      <c r="G308" s="148" t="s">
        <v>5279</v>
      </c>
      <c r="H308" s="82"/>
      <c r="I308" s="64"/>
      <c r="J308" s="64"/>
      <c r="K308" s="64"/>
      <c r="L308" s="61"/>
      <c r="M308" s="100"/>
      <c r="N308" s="100"/>
    </row>
    <row r="309" ht="15.6" spans="1:14">
      <c r="A309" s="95"/>
      <c r="B309" s="69" t="s">
        <v>5281</v>
      </c>
      <c r="C309" s="96" t="s">
        <v>229</v>
      </c>
      <c r="D309" s="61" t="s">
        <v>5282</v>
      </c>
      <c r="E309" s="64" t="s">
        <v>4744</v>
      </c>
      <c r="F309" s="64"/>
      <c r="G309" s="148" t="s">
        <v>5281</v>
      </c>
      <c r="H309" s="82"/>
      <c r="I309" s="64"/>
      <c r="J309" s="64"/>
      <c r="K309" s="64"/>
      <c r="L309" s="61"/>
      <c r="M309" s="100"/>
      <c r="N309" s="100"/>
    </row>
    <row r="310" ht="15.6" spans="1:14">
      <c r="A310" s="95"/>
      <c r="B310" s="69" t="s">
        <v>5283</v>
      </c>
      <c r="C310" s="96" t="s">
        <v>229</v>
      </c>
      <c r="D310" s="61" t="s">
        <v>5284</v>
      </c>
      <c r="E310" s="64" t="s">
        <v>4744</v>
      </c>
      <c r="F310" s="64"/>
      <c r="G310" s="148" t="s">
        <v>5283</v>
      </c>
      <c r="H310" s="82"/>
      <c r="I310" s="64"/>
      <c r="J310" s="64"/>
      <c r="K310" s="64"/>
      <c r="L310" s="61"/>
      <c r="M310" s="100"/>
      <c r="N310" s="100"/>
    </row>
    <row r="311" ht="15.6" spans="1:14">
      <c r="A311" s="95"/>
      <c r="B311" s="69" t="s">
        <v>5285</v>
      </c>
      <c r="C311" s="96" t="s">
        <v>229</v>
      </c>
      <c r="D311" s="61" t="s">
        <v>5286</v>
      </c>
      <c r="E311" s="64" t="s">
        <v>4744</v>
      </c>
      <c r="F311" s="64"/>
      <c r="G311" s="148" t="s">
        <v>5285</v>
      </c>
      <c r="H311" s="82"/>
      <c r="I311" s="64"/>
      <c r="J311" s="64"/>
      <c r="K311" s="64"/>
      <c r="L311" s="61"/>
      <c r="M311" s="100"/>
      <c r="N311" s="100"/>
    </row>
    <row r="312" ht="15.6" spans="1:14">
      <c r="A312" s="95"/>
      <c r="B312" s="69" t="s">
        <v>5287</v>
      </c>
      <c r="C312" s="96" t="s">
        <v>229</v>
      </c>
      <c r="D312" s="61" t="s">
        <v>5288</v>
      </c>
      <c r="E312" s="64" t="s">
        <v>4744</v>
      </c>
      <c r="F312" s="64"/>
      <c r="G312" s="148" t="s">
        <v>5287</v>
      </c>
      <c r="H312" s="82"/>
      <c r="I312" s="64"/>
      <c r="J312" s="64"/>
      <c r="K312" s="64"/>
      <c r="L312" s="61"/>
      <c r="M312" s="100"/>
      <c r="N312" s="100"/>
    </row>
    <row r="313" ht="15.6" spans="1:14">
      <c r="A313" s="95"/>
      <c r="B313" s="69" t="s">
        <v>5289</v>
      </c>
      <c r="C313" s="96" t="s">
        <v>229</v>
      </c>
      <c r="D313" s="61" t="s">
        <v>5290</v>
      </c>
      <c r="E313" s="64" t="s">
        <v>4744</v>
      </c>
      <c r="F313" s="64"/>
      <c r="G313" s="148" t="s">
        <v>5289</v>
      </c>
      <c r="H313" s="82"/>
      <c r="I313" s="64"/>
      <c r="J313" s="64"/>
      <c r="K313" s="64"/>
      <c r="L313" s="61"/>
      <c r="M313" s="100"/>
      <c r="N313" s="100"/>
    </row>
    <row r="314" ht="15.6" spans="1:14">
      <c r="A314" s="95"/>
      <c r="B314" s="69" t="s">
        <v>5291</v>
      </c>
      <c r="C314" s="96" t="s">
        <v>229</v>
      </c>
      <c r="D314" s="61" t="s">
        <v>5292</v>
      </c>
      <c r="E314" s="64" t="s">
        <v>4744</v>
      </c>
      <c r="F314" s="64"/>
      <c r="G314" s="148" t="s">
        <v>5291</v>
      </c>
      <c r="H314" s="82"/>
      <c r="I314" s="64"/>
      <c r="J314" s="64"/>
      <c r="K314" s="64"/>
      <c r="L314" s="61"/>
      <c r="M314" s="100"/>
      <c r="N314" s="100"/>
    </row>
    <row r="315" ht="15.6" spans="1:14">
      <c r="A315" s="95"/>
      <c r="B315" s="69" t="s">
        <v>5293</v>
      </c>
      <c r="C315" s="96" t="s">
        <v>229</v>
      </c>
      <c r="D315" s="61" t="s">
        <v>5294</v>
      </c>
      <c r="E315" s="64" t="s">
        <v>4744</v>
      </c>
      <c r="F315" s="64"/>
      <c r="G315" s="148" t="s">
        <v>5293</v>
      </c>
      <c r="H315" s="82"/>
      <c r="I315" s="64"/>
      <c r="J315" s="64"/>
      <c r="K315" s="64"/>
      <c r="L315" s="61"/>
      <c r="M315" s="100"/>
      <c r="N315" s="100"/>
    </row>
    <row r="316" ht="15.6" spans="1:14">
      <c r="A316" s="95"/>
      <c r="B316" s="69" t="s">
        <v>5295</v>
      </c>
      <c r="C316" s="96" t="s">
        <v>229</v>
      </c>
      <c r="D316" s="61" t="s">
        <v>5296</v>
      </c>
      <c r="E316" s="64" t="s">
        <v>4744</v>
      </c>
      <c r="F316" s="64"/>
      <c r="G316" s="148" t="s">
        <v>5295</v>
      </c>
      <c r="H316" s="82"/>
      <c r="I316" s="64"/>
      <c r="J316" s="64"/>
      <c r="K316" s="64"/>
      <c r="L316" s="61"/>
      <c r="M316" s="100"/>
      <c r="N316" s="100"/>
    </row>
    <row r="317" ht="15.6" spans="1:14">
      <c r="A317" s="95"/>
      <c r="B317" s="69" t="s">
        <v>5297</v>
      </c>
      <c r="C317" s="96" t="s">
        <v>229</v>
      </c>
      <c r="D317" s="61" t="s">
        <v>5298</v>
      </c>
      <c r="E317" s="64" t="s">
        <v>4744</v>
      </c>
      <c r="F317" s="64"/>
      <c r="G317" s="148" t="s">
        <v>5297</v>
      </c>
      <c r="H317" s="82"/>
      <c r="I317" s="64"/>
      <c r="J317" s="64"/>
      <c r="K317" s="64"/>
      <c r="L317" s="61"/>
      <c r="M317" s="100"/>
      <c r="N317" s="100"/>
    </row>
    <row r="318" ht="15.6" spans="1:14">
      <c r="A318" s="95"/>
      <c r="B318" s="69" t="s">
        <v>5299</v>
      </c>
      <c r="C318" s="96" t="s">
        <v>229</v>
      </c>
      <c r="D318" s="61" t="s">
        <v>5300</v>
      </c>
      <c r="E318" s="64" t="s">
        <v>4744</v>
      </c>
      <c r="F318" s="64"/>
      <c r="G318" s="148" t="s">
        <v>5299</v>
      </c>
      <c r="H318" s="82"/>
      <c r="I318" s="64"/>
      <c r="J318" s="64"/>
      <c r="K318" s="64"/>
      <c r="L318" s="61"/>
      <c r="M318" s="100"/>
      <c r="N318" s="100"/>
    </row>
    <row r="319" ht="15.6" spans="1:14">
      <c r="A319" s="95"/>
      <c r="B319" s="69" t="s">
        <v>5301</v>
      </c>
      <c r="C319" s="96" t="s">
        <v>229</v>
      </c>
      <c r="D319" s="61" t="s">
        <v>5302</v>
      </c>
      <c r="E319" s="64" t="s">
        <v>4744</v>
      </c>
      <c r="F319" s="64"/>
      <c r="G319" s="148" t="s">
        <v>5301</v>
      </c>
      <c r="H319" s="82"/>
      <c r="I319" s="64"/>
      <c r="J319" s="64"/>
      <c r="K319" s="64"/>
      <c r="L319" s="61"/>
      <c r="M319" s="100"/>
      <c r="N319" s="100"/>
    </row>
    <row r="320" ht="15.6" spans="1:14">
      <c r="A320" s="95"/>
      <c r="B320" s="69" t="s">
        <v>5303</v>
      </c>
      <c r="C320" s="96" t="s">
        <v>229</v>
      </c>
      <c r="D320" s="61" t="s">
        <v>5304</v>
      </c>
      <c r="E320" s="64" t="s">
        <v>4744</v>
      </c>
      <c r="F320" s="64"/>
      <c r="G320" s="148" t="s">
        <v>5303</v>
      </c>
      <c r="H320" s="82"/>
      <c r="I320" s="64"/>
      <c r="J320" s="64"/>
      <c r="K320" s="64"/>
      <c r="L320" s="61"/>
      <c r="M320" s="100"/>
      <c r="N320" s="100"/>
    </row>
    <row r="321" ht="15.6" spans="1:14">
      <c r="A321" s="95"/>
      <c r="B321" s="69" t="s">
        <v>5305</v>
      </c>
      <c r="C321" s="96" t="s">
        <v>229</v>
      </c>
      <c r="D321" s="61" t="s">
        <v>5306</v>
      </c>
      <c r="E321" s="64" t="s">
        <v>4744</v>
      </c>
      <c r="F321" s="64"/>
      <c r="G321" s="148" t="s">
        <v>5305</v>
      </c>
      <c r="H321" s="82"/>
      <c r="I321" s="64"/>
      <c r="J321" s="64"/>
      <c r="K321" s="64"/>
      <c r="L321" s="61"/>
      <c r="M321" s="100"/>
      <c r="N321" s="100"/>
    </row>
    <row r="322" ht="15.6" spans="1:14">
      <c r="A322" s="95"/>
      <c r="B322" s="69" t="s">
        <v>5307</v>
      </c>
      <c r="C322" s="96" t="s">
        <v>229</v>
      </c>
      <c r="D322" s="61" t="s">
        <v>5308</v>
      </c>
      <c r="E322" s="64" t="s">
        <v>4744</v>
      </c>
      <c r="F322" s="64"/>
      <c r="G322" s="148" t="s">
        <v>5307</v>
      </c>
      <c r="H322" s="82"/>
      <c r="I322" s="64"/>
      <c r="J322" s="64"/>
      <c r="K322" s="64"/>
      <c r="L322" s="61"/>
      <c r="M322" s="100"/>
      <c r="N322" s="100"/>
    </row>
    <row r="323" ht="15.6" spans="1:14">
      <c r="A323" s="95"/>
      <c r="B323" s="69" t="s">
        <v>5309</v>
      </c>
      <c r="C323" s="96" t="s">
        <v>229</v>
      </c>
      <c r="D323" s="61" t="s">
        <v>5310</v>
      </c>
      <c r="E323" s="64" t="s">
        <v>4744</v>
      </c>
      <c r="F323" s="64"/>
      <c r="G323" s="148" t="s">
        <v>5309</v>
      </c>
      <c r="H323" s="82"/>
      <c r="I323" s="64"/>
      <c r="J323" s="64"/>
      <c r="K323" s="64"/>
      <c r="L323" s="61"/>
      <c r="M323" s="100"/>
      <c r="N323" s="100"/>
    </row>
    <row r="324" ht="15.6" spans="1:14">
      <c r="A324" s="95"/>
      <c r="B324" s="69" t="s">
        <v>5311</v>
      </c>
      <c r="C324" s="96" t="s">
        <v>229</v>
      </c>
      <c r="D324" s="61" t="s">
        <v>5312</v>
      </c>
      <c r="E324" s="64" t="s">
        <v>4744</v>
      </c>
      <c r="F324" s="64"/>
      <c r="G324" s="148" t="s">
        <v>5311</v>
      </c>
      <c r="H324" s="82"/>
      <c r="I324" s="64"/>
      <c r="J324" s="64"/>
      <c r="K324" s="64"/>
      <c r="L324" s="61"/>
      <c r="M324" s="100"/>
      <c r="N324" s="100"/>
    </row>
    <row r="325" ht="15.6" spans="1:14">
      <c r="A325" s="95"/>
      <c r="B325" s="69" t="s">
        <v>5313</v>
      </c>
      <c r="C325" s="96" t="s">
        <v>1349</v>
      </c>
      <c r="D325" s="61" t="s">
        <v>5314</v>
      </c>
      <c r="E325" s="64" t="s">
        <v>4744</v>
      </c>
      <c r="F325" s="64"/>
      <c r="G325" s="148" t="s">
        <v>5313</v>
      </c>
      <c r="H325" s="82"/>
      <c r="I325" s="64"/>
      <c r="J325" s="64"/>
      <c r="K325" s="64"/>
      <c r="L325" s="61"/>
      <c r="M325" s="100"/>
      <c r="N325" s="100"/>
    </row>
    <row r="326" ht="15.6" spans="1:14">
      <c r="A326" s="95"/>
      <c r="B326" s="69" t="s">
        <v>5315</v>
      </c>
      <c r="C326" s="96" t="s">
        <v>1349</v>
      </c>
      <c r="D326" s="61" t="s">
        <v>5316</v>
      </c>
      <c r="E326" s="64" t="s">
        <v>4744</v>
      </c>
      <c r="F326" s="64"/>
      <c r="G326" s="148" t="s">
        <v>5315</v>
      </c>
      <c r="H326" s="82"/>
      <c r="I326" s="64"/>
      <c r="J326" s="64"/>
      <c r="K326" s="64"/>
      <c r="L326" s="61"/>
      <c r="M326" s="100"/>
      <c r="N326" s="100"/>
    </row>
    <row r="327" ht="15.6" spans="1:14">
      <c r="A327" s="95"/>
      <c r="B327" s="69" t="s">
        <v>5317</v>
      </c>
      <c r="C327" s="96" t="s">
        <v>1349</v>
      </c>
      <c r="D327" s="61" t="s">
        <v>5318</v>
      </c>
      <c r="E327" s="64" t="s">
        <v>4744</v>
      </c>
      <c r="F327" s="64"/>
      <c r="G327" s="148" t="s">
        <v>5317</v>
      </c>
      <c r="H327" s="82"/>
      <c r="I327" s="64"/>
      <c r="J327" s="64"/>
      <c r="K327" s="64"/>
      <c r="L327" s="61"/>
      <c r="M327" s="100"/>
      <c r="N327" s="100"/>
    </row>
    <row r="328" ht="15.6" spans="1:14">
      <c r="A328" s="95"/>
      <c r="B328" s="69" t="s">
        <v>5319</v>
      </c>
      <c r="C328" s="96" t="s">
        <v>1349</v>
      </c>
      <c r="D328" s="61" t="s">
        <v>5320</v>
      </c>
      <c r="E328" s="64" t="s">
        <v>4744</v>
      </c>
      <c r="F328" s="64"/>
      <c r="G328" s="148" t="s">
        <v>5319</v>
      </c>
      <c r="H328" s="82"/>
      <c r="I328" s="64"/>
      <c r="J328" s="64"/>
      <c r="K328" s="64"/>
      <c r="L328" s="61"/>
      <c r="M328" s="100"/>
      <c r="N328" s="100"/>
    </row>
    <row r="329" ht="15.6" spans="1:14">
      <c r="A329" s="95"/>
      <c r="B329" s="69" t="s">
        <v>5321</v>
      </c>
      <c r="C329" s="96" t="s">
        <v>229</v>
      </c>
      <c r="D329" s="61" t="s">
        <v>5322</v>
      </c>
      <c r="E329" s="64" t="s">
        <v>4744</v>
      </c>
      <c r="F329" s="64"/>
      <c r="G329" s="148" t="s">
        <v>5321</v>
      </c>
      <c r="H329" s="82"/>
      <c r="I329" s="64"/>
      <c r="J329" s="64"/>
      <c r="K329" s="64"/>
      <c r="L329" s="61"/>
      <c r="M329" s="100"/>
      <c r="N329" s="100"/>
    </row>
    <row r="330" ht="15.6" spans="1:14">
      <c r="A330" s="95"/>
      <c r="B330" s="69" t="s">
        <v>5323</v>
      </c>
      <c r="C330" s="96" t="s">
        <v>229</v>
      </c>
      <c r="D330" s="61" t="s">
        <v>5324</v>
      </c>
      <c r="E330" s="64" t="s">
        <v>4744</v>
      </c>
      <c r="F330" s="64"/>
      <c r="G330" s="148" t="s">
        <v>5323</v>
      </c>
      <c r="H330" s="82"/>
      <c r="I330" s="64"/>
      <c r="J330" s="64"/>
      <c r="K330" s="64"/>
      <c r="L330" s="61"/>
      <c r="M330" s="100"/>
      <c r="N330" s="100"/>
    </row>
    <row r="331" ht="15.6" spans="1:14">
      <c r="A331" s="95"/>
      <c r="B331" s="69" t="s">
        <v>5325</v>
      </c>
      <c r="C331" s="96" t="s">
        <v>229</v>
      </c>
      <c r="D331" s="61" t="s">
        <v>5326</v>
      </c>
      <c r="E331" s="64" t="s">
        <v>4744</v>
      </c>
      <c r="F331" s="64"/>
      <c r="G331" s="148" t="s">
        <v>5325</v>
      </c>
      <c r="H331" s="82"/>
      <c r="I331" s="64"/>
      <c r="J331" s="64"/>
      <c r="K331" s="64"/>
      <c r="L331" s="61"/>
      <c r="M331" s="100"/>
      <c r="N331" s="100"/>
    </row>
    <row r="332" ht="15.6" spans="1:14">
      <c r="A332" s="95"/>
      <c r="B332" s="69" t="s">
        <v>5327</v>
      </c>
      <c r="C332" s="96" t="s">
        <v>229</v>
      </c>
      <c r="D332" s="61" t="s">
        <v>5328</v>
      </c>
      <c r="E332" s="64" t="s">
        <v>4744</v>
      </c>
      <c r="F332" s="64"/>
      <c r="G332" s="148" t="s">
        <v>5327</v>
      </c>
      <c r="H332" s="82"/>
      <c r="I332" s="64"/>
      <c r="J332" s="64"/>
      <c r="K332" s="64"/>
      <c r="L332" s="61"/>
      <c r="M332" s="100"/>
      <c r="N332" s="100"/>
    </row>
    <row r="333" ht="15.6" spans="1:14">
      <c r="A333" s="95"/>
      <c r="B333" s="69" t="s">
        <v>5329</v>
      </c>
      <c r="C333" s="96" t="s">
        <v>229</v>
      </c>
      <c r="D333" s="61" t="s">
        <v>5322</v>
      </c>
      <c r="E333" s="64" t="s">
        <v>4744</v>
      </c>
      <c r="F333" s="64"/>
      <c r="G333" s="148" t="s">
        <v>5329</v>
      </c>
      <c r="H333" s="82"/>
      <c r="I333" s="64"/>
      <c r="J333" s="64"/>
      <c r="K333" s="64"/>
      <c r="L333" s="61"/>
      <c r="M333" s="100"/>
      <c r="N333" s="100"/>
    </row>
    <row r="334" ht="15.6" spans="1:14">
      <c r="A334" s="95"/>
      <c r="B334" s="69" t="s">
        <v>5330</v>
      </c>
      <c r="C334" s="96" t="s">
        <v>229</v>
      </c>
      <c r="D334" s="61" t="s">
        <v>5324</v>
      </c>
      <c r="E334" s="64" t="s">
        <v>4744</v>
      </c>
      <c r="F334" s="64"/>
      <c r="G334" s="148" t="s">
        <v>5330</v>
      </c>
      <c r="H334" s="82"/>
      <c r="I334" s="64"/>
      <c r="J334" s="64"/>
      <c r="K334" s="64"/>
      <c r="L334" s="61"/>
      <c r="M334" s="100"/>
      <c r="N334" s="100"/>
    </row>
    <row r="335" ht="15.6" spans="1:14">
      <c r="A335" s="95"/>
      <c r="B335" s="69" t="s">
        <v>5331</v>
      </c>
      <c r="C335" s="96" t="s">
        <v>229</v>
      </c>
      <c r="D335" s="61" t="s">
        <v>5326</v>
      </c>
      <c r="E335" s="64" t="s">
        <v>4744</v>
      </c>
      <c r="F335" s="64"/>
      <c r="G335" s="148" t="s">
        <v>5331</v>
      </c>
      <c r="H335" s="82"/>
      <c r="I335" s="64"/>
      <c r="J335" s="64"/>
      <c r="K335" s="64"/>
      <c r="L335" s="61"/>
      <c r="M335" s="100"/>
      <c r="N335" s="100"/>
    </row>
    <row r="336" ht="15.6" spans="1:14">
      <c r="A336" s="95"/>
      <c r="B336" s="69" t="s">
        <v>5332</v>
      </c>
      <c r="C336" s="96" t="s">
        <v>229</v>
      </c>
      <c r="D336" s="61" t="s">
        <v>5328</v>
      </c>
      <c r="E336" s="64" t="s">
        <v>4744</v>
      </c>
      <c r="F336" s="64"/>
      <c r="G336" s="148" t="s">
        <v>5332</v>
      </c>
      <c r="H336" s="82"/>
      <c r="I336" s="64"/>
      <c r="J336" s="64"/>
      <c r="K336" s="64"/>
      <c r="L336" s="61"/>
      <c r="M336" s="100"/>
      <c r="N336" s="100"/>
    </row>
    <row r="337" ht="15.6" spans="1:14">
      <c r="A337" s="95"/>
      <c r="B337" s="69" t="s">
        <v>5333</v>
      </c>
      <c r="C337" s="96" t="s">
        <v>229</v>
      </c>
      <c r="D337" s="61" t="s">
        <v>5334</v>
      </c>
      <c r="E337" s="64" t="s">
        <v>4744</v>
      </c>
      <c r="F337" s="64"/>
      <c r="G337" s="148" t="s">
        <v>1693</v>
      </c>
      <c r="H337" s="82"/>
      <c r="I337" s="64"/>
      <c r="J337" s="64"/>
      <c r="K337" s="64"/>
      <c r="L337" s="61"/>
      <c r="M337" s="100"/>
      <c r="N337" s="100"/>
    </row>
    <row r="338" ht="15.6" spans="1:14">
      <c r="A338" s="95"/>
      <c r="B338" s="69" t="s">
        <v>5335</v>
      </c>
      <c r="C338" s="96" t="s">
        <v>229</v>
      </c>
      <c r="D338" s="61" t="s">
        <v>5336</v>
      </c>
      <c r="E338" s="64" t="s">
        <v>4744</v>
      </c>
      <c r="F338" s="64"/>
      <c r="G338" s="148" t="s">
        <v>1693</v>
      </c>
      <c r="H338" s="82"/>
      <c r="I338" s="64"/>
      <c r="J338" s="64"/>
      <c r="K338" s="64"/>
      <c r="L338" s="61"/>
      <c r="M338" s="100"/>
      <c r="N338" s="100"/>
    </row>
    <row r="339" ht="15.6" spans="1:14">
      <c r="A339" s="95"/>
      <c r="B339" s="69" t="s">
        <v>5337</v>
      </c>
      <c r="C339" s="96" t="s">
        <v>229</v>
      </c>
      <c r="D339" s="61" t="s">
        <v>5338</v>
      </c>
      <c r="E339" s="64" t="s">
        <v>4744</v>
      </c>
      <c r="F339" s="64"/>
      <c r="G339" s="148" t="s">
        <v>1693</v>
      </c>
      <c r="H339" s="82"/>
      <c r="I339" s="64"/>
      <c r="J339" s="64"/>
      <c r="K339" s="64"/>
      <c r="L339" s="61"/>
      <c r="M339" s="100"/>
      <c r="N339" s="100"/>
    </row>
    <row r="340" ht="15.6" spans="1:14">
      <c r="A340" s="95"/>
      <c r="B340" s="69" t="s">
        <v>5339</v>
      </c>
      <c r="C340" s="96" t="s">
        <v>229</v>
      </c>
      <c r="D340" s="61" t="s">
        <v>5340</v>
      </c>
      <c r="E340" s="64" t="s">
        <v>4744</v>
      </c>
      <c r="F340" s="64"/>
      <c r="G340" s="148" t="s">
        <v>1693</v>
      </c>
      <c r="H340" s="82"/>
      <c r="I340" s="64"/>
      <c r="J340" s="64"/>
      <c r="K340" s="64"/>
      <c r="L340" s="61"/>
      <c r="M340" s="100"/>
      <c r="N340" s="100"/>
    </row>
    <row r="341" ht="15.6" spans="1:14">
      <c r="A341" s="95"/>
      <c r="B341" s="69" t="s">
        <v>5341</v>
      </c>
      <c r="C341" s="96" t="s">
        <v>229</v>
      </c>
      <c r="D341" s="61" t="s">
        <v>5342</v>
      </c>
      <c r="E341" s="64" t="s">
        <v>4744</v>
      </c>
      <c r="F341" s="64"/>
      <c r="G341" s="148" t="s">
        <v>1693</v>
      </c>
      <c r="H341" s="82"/>
      <c r="I341" s="64"/>
      <c r="J341" s="64"/>
      <c r="K341" s="64"/>
      <c r="L341" s="61"/>
      <c r="M341" s="100"/>
      <c r="N341" s="100"/>
    </row>
    <row r="342" ht="15.6" spans="1:14">
      <c r="A342" s="95"/>
      <c r="B342" s="69" t="s">
        <v>5343</v>
      </c>
      <c r="C342" s="96" t="s">
        <v>229</v>
      </c>
      <c r="D342" s="61" t="s">
        <v>5344</v>
      </c>
      <c r="E342" s="64" t="s">
        <v>4744</v>
      </c>
      <c r="F342" s="64"/>
      <c r="G342" s="148" t="s">
        <v>1693</v>
      </c>
      <c r="H342" s="82"/>
      <c r="I342" s="64"/>
      <c r="J342" s="64"/>
      <c r="K342" s="64"/>
      <c r="L342" s="61"/>
      <c r="M342" s="100"/>
      <c r="N342" s="100"/>
    </row>
    <row r="343" ht="15.6" spans="1:14">
      <c r="A343" s="95"/>
      <c r="B343" s="69" t="s">
        <v>5345</v>
      </c>
      <c r="C343" s="96" t="s">
        <v>229</v>
      </c>
      <c r="D343" s="61" t="s">
        <v>5346</v>
      </c>
      <c r="E343" s="64" t="s">
        <v>4744</v>
      </c>
      <c r="F343" s="64"/>
      <c r="G343" s="148" t="s">
        <v>1693</v>
      </c>
      <c r="H343" s="82"/>
      <c r="I343" s="64"/>
      <c r="J343" s="64"/>
      <c r="K343" s="64"/>
      <c r="L343" s="61"/>
      <c r="M343" s="100"/>
      <c r="N343" s="100"/>
    </row>
    <row r="344" ht="15.6" spans="1:14">
      <c r="A344" s="95"/>
      <c r="B344" s="69" t="s">
        <v>5347</v>
      </c>
      <c r="C344" s="96" t="s">
        <v>229</v>
      </c>
      <c r="D344" s="61" t="s">
        <v>5348</v>
      </c>
      <c r="E344" s="64" t="s">
        <v>4744</v>
      </c>
      <c r="F344" s="64"/>
      <c r="G344" s="148" t="s">
        <v>1693</v>
      </c>
      <c r="H344" s="82"/>
      <c r="I344" s="64"/>
      <c r="J344" s="64"/>
      <c r="K344" s="64"/>
      <c r="L344" s="61"/>
      <c r="M344" s="100"/>
      <c r="N344" s="100"/>
    </row>
    <row r="345" ht="15.6" spans="1:14">
      <c r="A345" s="95"/>
      <c r="B345" s="69" t="s">
        <v>5349</v>
      </c>
      <c r="C345" s="96" t="s">
        <v>1349</v>
      </c>
      <c r="D345" s="61" t="s">
        <v>5350</v>
      </c>
      <c r="E345" s="64" t="s">
        <v>4744</v>
      </c>
      <c r="F345" s="64"/>
      <c r="G345" s="148" t="s">
        <v>5351</v>
      </c>
      <c r="H345" s="82"/>
      <c r="I345" s="64"/>
      <c r="J345" s="64"/>
      <c r="K345" s="64"/>
      <c r="L345" s="61"/>
      <c r="M345" s="100"/>
      <c r="N345" s="100"/>
    </row>
    <row r="346" ht="15.6" spans="1:14">
      <c r="A346" s="95"/>
      <c r="B346" s="69" t="s">
        <v>5352</v>
      </c>
      <c r="C346" s="96" t="s">
        <v>1349</v>
      </c>
      <c r="D346" s="61" t="s">
        <v>5353</v>
      </c>
      <c r="E346" s="64" t="s">
        <v>4744</v>
      </c>
      <c r="F346" s="64"/>
      <c r="G346" s="148" t="s">
        <v>5354</v>
      </c>
      <c r="H346" s="82"/>
      <c r="I346" s="64"/>
      <c r="J346" s="64"/>
      <c r="K346" s="64"/>
      <c r="L346" s="61"/>
      <c r="M346" s="100"/>
      <c r="N346" s="100"/>
    </row>
    <row r="347" ht="15.6" spans="1:14">
      <c r="A347" s="95"/>
      <c r="B347" s="69" t="s">
        <v>5355</v>
      </c>
      <c r="C347" s="96" t="s">
        <v>1349</v>
      </c>
      <c r="D347" s="61" t="s">
        <v>5356</v>
      </c>
      <c r="E347" s="64" t="s">
        <v>4744</v>
      </c>
      <c r="F347" s="64"/>
      <c r="G347" s="148" t="s">
        <v>5357</v>
      </c>
      <c r="H347" s="82"/>
      <c r="I347" s="64"/>
      <c r="J347" s="64"/>
      <c r="K347" s="64"/>
      <c r="L347" s="61"/>
      <c r="M347" s="100"/>
      <c r="N347" s="100"/>
    </row>
    <row r="348" ht="15.6" spans="1:14">
      <c r="A348" s="95"/>
      <c r="B348" s="69" t="s">
        <v>5358</v>
      </c>
      <c r="C348" s="96" t="s">
        <v>1349</v>
      </c>
      <c r="D348" s="61" t="s">
        <v>5359</v>
      </c>
      <c r="E348" s="64" t="s">
        <v>4744</v>
      </c>
      <c r="F348" s="64"/>
      <c r="G348" s="148" t="s">
        <v>5360</v>
      </c>
      <c r="H348" s="82"/>
      <c r="I348" s="64"/>
      <c r="J348" s="64"/>
      <c r="K348" s="64"/>
      <c r="L348" s="61"/>
      <c r="M348" s="100"/>
      <c r="N348" s="100"/>
    </row>
    <row r="349" ht="15.6" spans="1:14">
      <c r="A349" s="95"/>
      <c r="B349" s="69" t="s">
        <v>5361</v>
      </c>
      <c r="C349" s="96" t="s">
        <v>1349</v>
      </c>
      <c r="D349" s="61" t="s">
        <v>5362</v>
      </c>
      <c r="E349" s="64" t="s">
        <v>4744</v>
      </c>
      <c r="F349" s="64"/>
      <c r="G349" s="148" t="s">
        <v>5363</v>
      </c>
      <c r="H349" s="82"/>
      <c r="I349" s="64"/>
      <c r="J349" s="64"/>
      <c r="K349" s="64"/>
      <c r="L349" s="61"/>
      <c r="M349" s="100"/>
      <c r="N349" s="100"/>
    </row>
    <row r="350" ht="15.6" spans="1:14">
      <c r="A350" s="95"/>
      <c r="B350" s="69" t="s">
        <v>5364</v>
      </c>
      <c r="C350" s="96" t="s">
        <v>1349</v>
      </c>
      <c r="D350" s="61" t="s">
        <v>5365</v>
      </c>
      <c r="E350" s="64" t="s">
        <v>4744</v>
      </c>
      <c r="F350" s="64"/>
      <c r="G350" s="148" t="s">
        <v>5366</v>
      </c>
      <c r="H350" s="82"/>
      <c r="I350" s="150" t="s">
        <v>5367</v>
      </c>
      <c r="J350" s="64"/>
      <c r="K350" s="64"/>
      <c r="L350" s="61"/>
      <c r="M350" s="100"/>
      <c r="N350" s="100"/>
    </row>
    <row r="351" ht="15.6" spans="1:14">
      <c r="A351" s="95"/>
      <c r="B351" s="69" t="s">
        <v>5368</v>
      </c>
      <c r="C351" s="96" t="s">
        <v>1349</v>
      </c>
      <c r="D351" s="61" t="s">
        <v>5369</v>
      </c>
      <c r="E351" s="64" t="s">
        <v>4744</v>
      </c>
      <c r="F351" s="64"/>
      <c r="G351" s="148" t="s">
        <v>5370</v>
      </c>
      <c r="H351" s="82"/>
      <c r="I351" s="64"/>
      <c r="J351" s="64"/>
      <c r="K351" s="64"/>
      <c r="L351" s="61"/>
      <c r="M351" s="100"/>
      <c r="N351" s="100"/>
    </row>
    <row r="352" ht="15.6" spans="1:14">
      <c r="A352" s="95"/>
      <c r="B352" s="69" t="s">
        <v>5371</v>
      </c>
      <c r="C352" s="96" t="s">
        <v>1349</v>
      </c>
      <c r="D352" s="61" t="s">
        <v>5372</v>
      </c>
      <c r="E352" s="64" t="s">
        <v>4744</v>
      </c>
      <c r="F352" s="64"/>
      <c r="G352" s="148" t="s">
        <v>5373</v>
      </c>
      <c r="H352" s="82"/>
      <c r="I352" s="64"/>
      <c r="J352" s="64"/>
      <c r="K352" s="64"/>
      <c r="L352" s="61"/>
      <c r="M352" s="100"/>
      <c r="N352" s="100"/>
    </row>
    <row r="353" ht="15.6" spans="1:14">
      <c r="A353" s="95"/>
      <c r="B353" s="69" t="s">
        <v>5374</v>
      </c>
      <c r="C353" s="96" t="s">
        <v>1349</v>
      </c>
      <c r="D353" s="61" t="s">
        <v>5151</v>
      </c>
      <c r="E353" s="64" t="s">
        <v>4744</v>
      </c>
      <c r="F353" s="64"/>
      <c r="G353" s="148" t="s">
        <v>5152</v>
      </c>
      <c r="H353" s="82"/>
      <c r="I353" s="64"/>
      <c r="J353" s="64"/>
      <c r="K353" s="64"/>
      <c r="L353" s="61"/>
      <c r="M353" s="100"/>
      <c r="N353" s="100"/>
    </row>
    <row r="354" ht="15.6" spans="1:14">
      <c r="A354" s="95"/>
      <c r="B354" s="69" t="s">
        <v>5375</v>
      </c>
      <c r="C354" s="96" t="s">
        <v>1349</v>
      </c>
      <c r="D354" s="61" t="s">
        <v>5376</v>
      </c>
      <c r="E354" s="64" t="s">
        <v>4744</v>
      </c>
      <c r="F354" s="64"/>
      <c r="G354" s="148" t="s">
        <v>5377</v>
      </c>
      <c r="H354" s="82"/>
      <c r="I354" s="64"/>
      <c r="J354" s="64"/>
      <c r="K354" s="64"/>
      <c r="L354" s="61"/>
      <c r="M354" s="100"/>
      <c r="N354" s="100"/>
    </row>
    <row r="355" ht="15.6" spans="1:14">
      <c r="A355" s="95"/>
      <c r="B355" s="69" t="s">
        <v>5378</v>
      </c>
      <c r="C355" s="96" t="s">
        <v>1349</v>
      </c>
      <c r="D355" s="61" t="s">
        <v>5379</v>
      </c>
      <c r="E355" s="64" t="s">
        <v>4744</v>
      </c>
      <c r="F355" s="64"/>
      <c r="G355" s="148" t="s">
        <v>5380</v>
      </c>
      <c r="H355" s="82"/>
      <c r="I355" s="64"/>
      <c r="J355" s="64"/>
      <c r="K355" s="64"/>
      <c r="L355" s="61"/>
      <c r="M355" s="100"/>
      <c r="N355" s="100"/>
    </row>
    <row r="356" ht="15.6" spans="1:14">
      <c r="A356" s="95"/>
      <c r="B356" s="69" t="s">
        <v>5381</v>
      </c>
      <c r="C356" s="96" t="s">
        <v>1349</v>
      </c>
      <c r="D356" s="61" t="s">
        <v>5382</v>
      </c>
      <c r="E356" s="64" t="s">
        <v>4744</v>
      </c>
      <c r="F356" s="64"/>
      <c r="G356" s="148" t="s">
        <v>5383</v>
      </c>
      <c r="H356" s="82"/>
      <c r="I356" s="64"/>
      <c r="J356" s="64"/>
      <c r="K356" s="64"/>
      <c r="L356" s="61"/>
      <c r="M356" s="100"/>
      <c r="N356" s="100"/>
    </row>
    <row r="357" ht="15.6" spans="1:14">
      <c r="A357" s="95"/>
      <c r="B357" s="69" t="s">
        <v>5384</v>
      </c>
      <c r="C357" s="96" t="s">
        <v>1349</v>
      </c>
      <c r="D357" s="61" t="s">
        <v>5385</v>
      </c>
      <c r="E357" s="64" t="s">
        <v>4744</v>
      </c>
      <c r="F357" s="64"/>
      <c r="G357" s="148" t="s">
        <v>5386</v>
      </c>
      <c r="H357" s="82"/>
      <c r="I357" s="64"/>
      <c r="J357" s="64"/>
      <c r="K357" s="64"/>
      <c r="L357" s="61"/>
      <c r="M357" s="100"/>
      <c r="N357" s="100"/>
    </row>
    <row r="358" ht="15.6" spans="1:14">
      <c r="A358" s="95"/>
      <c r="B358" s="69" t="s">
        <v>5387</v>
      </c>
      <c r="C358" s="96" t="s">
        <v>1349</v>
      </c>
      <c r="D358" s="61" t="s">
        <v>5388</v>
      </c>
      <c r="E358" s="64" t="s">
        <v>4744</v>
      </c>
      <c r="F358" s="64"/>
      <c r="G358" s="148" t="s">
        <v>5389</v>
      </c>
      <c r="H358" s="82"/>
      <c r="I358" s="64"/>
      <c r="J358" s="64"/>
      <c r="K358" s="64"/>
      <c r="L358" s="61"/>
      <c r="M358" s="100"/>
      <c r="N358" s="100"/>
    </row>
    <row r="359" ht="15.6" spans="1:14">
      <c r="A359" s="95"/>
      <c r="B359" s="69" t="s">
        <v>5390</v>
      </c>
      <c r="C359" s="96" t="s">
        <v>1349</v>
      </c>
      <c r="D359" s="61" t="s">
        <v>5391</v>
      </c>
      <c r="E359" s="64" t="s">
        <v>4744</v>
      </c>
      <c r="F359" s="64"/>
      <c r="G359" s="103" t="s">
        <v>5390</v>
      </c>
      <c r="H359" s="82"/>
      <c r="I359" s="64"/>
      <c r="J359" s="64"/>
      <c r="K359" s="64"/>
      <c r="L359" s="61"/>
      <c r="M359" s="100"/>
      <c r="N359" s="100"/>
    </row>
    <row r="360" ht="15.6" spans="1:14">
      <c r="A360" s="95"/>
      <c r="B360" s="69" t="s">
        <v>5392</v>
      </c>
      <c r="C360" s="96" t="s">
        <v>1349</v>
      </c>
      <c r="D360" s="61" t="s">
        <v>5393</v>
      </c>
      <c r="E360" s="64" t="s">
        <v>4744</v>
      </c>
      <c r="F360" s="64"/>
      <c r="G360" s="148" t="s">
        <v>1693</v>
      </c>
      <c r="H360" s="82"/>
      <c r="I360" s="64"/>
      <c r="J360" s="64"/>
      <c r="K360" s="64"/>
      <c r="L360" s="61"/>
      <c r="M360" s="100"/>
      <c r="N360" s="100"/>
    </row>
    <row r="361" ht="15.6" spans="1:14">
      <c r="A361" s="95"/>
      <c r="B361" s="69" t="s">
        <v>5394</v>
      </c>
      <c r="C361" s="96" t="s">
        <v>1349</v>
      </c>
      <c r="D361" s="61" t="s">
        <v>5395</v>
      </c>
      <c r="E361" s="64" t="s">
        <v>4744</v>
      </c>
      <c r="F361" s="64"/>
      <c r="G361" s="148" t="s">
        <v>1693</v>
      </c>
      <c r="H361" s="82"/>
      <c r="I361" s="64"/>
      <c r="J361" s="64"/>
      <c r="K361" s="64"/>
      <c r="L361" s="61"/>
      <c r="M361" s="100"/>
      <c r="N361" s="100"/>
    </row>
    <row r="362" ht="15.6" spans="1:14">
      <c r="A362" s="95"/>
      <c r="B362" s="69" t="s">
        <v>5396</v>
      </c>
      <c r="C362" s="96" t="s">
        <v>1349</v>
      </c>
      <c r="D362" s="61" t="s">
        <v>5397</v>
      </c>
      <c r="E362" s="64" t="s">
        <v>4744</v>
      </c>
      <c r="F362" s="64"/>
      <c r="G362" s="148" t="s">
        <v>1693</v>
      </c>
      <c r="H362" s="82"/>
      <c r="I362" s="64"/>
      <c r="J362" s="64"/>
      <c r="K362" s="64"/>
      <c r="L362" s="61"/>
      <c r="M362" s="100"/>
      <c r="N362" s="100"/>
    </row>
    <row r="363" ht="15.6" spans="1:14">
      <c r="A363" s="95"/>
      <c r="B363" s="69" t="s">
        <v>5398</v>
      </c>
      <c r="C363" s="96" t="s">
        <v>229</v>
      </c>
      <c r="D363" s="61" t="s">
        <v>5399</v>
      </c>
      <c r="E363" s="64" t="s">
        <v>4744</v>
      </c>
      <c r="F363" s="64"/>
      <c r="G363" s="148" t="s">
        <v>1693</v>
      </c>
      <c r="H363" s="82"/>
      <c r="I363" s="64"/>
      <c r="J363" s="64"/>
      <c r="K363" s="64"/>
      <c r="L363" s="61"/>
      <c r="M363" s="100"/>
      <c r="N363" s="100"/>
    </row>
    <row r="364" ht="15.6" spans="1:14">
      <c r="A364" s="95"/>
      <c r="B364" s="69" t="s">
        <v>5400</v>
      </c>
      <c r="C364" s="96" t="s">
        <v>229</v>
      </c>
      <c r="D364" s="61" t="s">
        <v>5401</v>
      </c>
      <c r="E364" s="64" t="s">
        <v>4744</v>
      </c>
      <c r="F364" s="64"/>
      <c r="G364" s="148" t="s">
        <v>1693</v>
      </c>
      <c r="H364" s="82"/>
      <c r="I364" s="64"/>
      <c r="J364" s="64"/>
      <c r="K364" s="64"/>
      <c r="L364" s="61"/>
      <c r="M364" s="100"/>
      <c r="N364" s="100"/>
    </row>
    <row r="365" ht="15.6" spans="1:14">
      <c r="A365" s="95"/>
      <c r="B365" s="69" t="s">
        <v>5402</v>
      </c>
      <c r="C365" s="96" t="s">
        <v>1349</v>
      </c>
      <c r="D365" s="61" t="s">
        <v>5403</v>
      </c>
      <c r="E365" s="64" t="s">
        <v>4744</v>
      </c>
      <c r="F365" s="64"/>
      <c r="G365" s="148" t="s">
        <v>5404</v>
      </c>
      <c r="H365" s="82"/>
      <c r="I365" s="64"/>
      <c r="J365" s="64"/>
      <c r="K365" s="64"/>
      <c r="L365" s="61"/>
      <c r="M365" s="100"/>
      <c r="N365" s="100"/>
    </row>
    <row r="366" ht="15.6" spans="1:14">
      <c r="A366" s="95"/>
      <c r="B366" s="69" t="s">
        <v>5405</v>
      </c>
      <c r="C366" s="96" t="s">
        <v>1349</v>
      </c>
      <c r="D366" s="61" t="s">
        <v>5406</v>
      </c>
      <c r="E366" s="64" t="s">
        <v>4744</v>
      </c>
      <c r="F366" s="64"/>
      <c r="G366" s="148" t="s">
        <v>5407</v>
      </c>
      <c r="H366" s="82"/>
      <c r="I366" s="64"/>
      <c r="J366" s="64"/>
      <c r="K366" s="64"/>
      <c r="L366" s="61"/>
      <c r="M366" s="100"/>
      <c r="N366" s="100"/>
    </row>
    <row r="367" ht="15.6" spans="1:14">
      <c r="A367" s="95"/>
      <c r="B367" s="69" t="s">
        <v>5408</v>
      </c>
      <c r="C367" s="96" t="s">
        <v>1349</v>
      </c>
      <c r="D367" s="61" t="s">
        <v>5409</v>
      </c>
      <c r="E367" s="64" t="s">
        <v>4744</v>
      </c>
      <c r="F367" s="64"/>
      <c r="G367" s="148" t="s">
        <v>5410</v>
      </c>
      <c r="H367" s="82"/>
      <c r="I367" s="64"/>
      <c r="J367" s="64"/>
      <c r="K367" s="64"/>
      <c r="L367" s="61"/>
      <c r="M367" s="100"/>
      <c r="N367" s="100"/>
    </row>
    <row r="368" ht="15.6" spans="1:14">
      <c r="A368" s="95"/>
      <c r="B368" s="69" t="s">
        <v>5411</v>
      </c>
      <c r="C368" s="96" t="s">
        <v>1349</v>
      </c>
      <c r="D368" s="61" t="s">
        <v>5412</v>
      </c>
      <c r="E368" s="64" t="s">
        <v>4744</v>
      </c>
      <c r="F368" s="64"/>
      <c r="G368" s="148" t="s">
        <v>5413</v>
      </c>
      <c r="H368" s="82"/>
      <c r="I368" s="64"/>
      <c r="J368" s="64"/>
      <c r="K368" s="64"/>
      <c r="L368" s="61"/>
      <c r="M368" s="100"/>
      <c r="N368" s="100"/>
    </row>
    <row r="369" ht="15.6" spans="1:14">
      <c r="A369" s="95"/>
      <c r="B369" s="69" t="s">
        <v>5414</v>
      </c>
      <c r="C369" s="96" t="s">
        <v>1349</v>
      </c>
      <c r="D369" s="61" t="s">
        <v>5415</v>
      </c>
      <c r="E369" s="64" t="s">
        <v>4744</v>
      </c>
      <c r="F369" s="64"/>
      <c r="G369" s="148" t="s">
        <v>5416</v>
      </c>
      <c r="H369" s="82"/>
      <c r="I369" s="64"/>
      <c r="J369" s="64"/>
      <c r="K369" s="64"/>
      <c r="L369" s="61"/>
      <c r="M369" s="100"/>
      <c r="N369" s="100"/>
    </row>
    <row r="370" ht="15.6" spans="1:14">
      <c r="A370" s="95"/>
      <c r="B370" s="69" t="s">
        <v>5417</v>
      </c>
      <c r="C370" s="96" t="s">
        <v>1349</v>
      </c>
      <c r="D370" s="61" t="s">
        <v>5418</v>
      </c>
      <c r="E370" s="64" t="s">
        <v>4744</v>
      </c>
      <c r="F370" s="64"/>
      <c r="G370" s="148" t="s">
        <v>5419</v>
      </c>
      <c r="H370" s="82"/>
      <c r="I370" s="64"/>
      <c r="J370" s="64"/>
      <c r="K370" s="64"/>
      <c r="L370" s="61"/>
      <c r="M370" s="100"/>
      <c r="N370" s="100"/>
    </row>
    <row r="371" ht="15.6" spans="1:14">
      <c r="A371" s="95"/>
      <c r="B371" s="69" t="s">
        <v>5420</v>
      </c>
      <c r="C371" s="96" t="s">
        <v>1349</v>
      </c>
      <c r="D371" s="61" t="s">
        <v>5421</v>
      </c>
      <c r="E371" s="64" t="s">
        <v>4744</v>
      </c>
      <c r="F371" s="64"/>
      <c r="G371" s="148" t="s">
        <v>5422</v>
      </c>
      <c r="H371" s="82"/>
      <c r="I371" s="64"/>
      <c r="J371" s="64"/>
      <c r="K371" s="64"/>
      <c r="L371" s="61"/>
      <c r="M371" s="100"/>
      <c r="N371" s="100"/>
    </row>
    <row r="372" ht="15.6" spans="1:14">
      <c r="A372" s="95"/>
      <c r="B372" s="69" t="s">
        <v>5423</v>
      </c>
      <c r="C372" s="96" t="s">
        <v>1349</v>
      </c>
      <c r="D372" s="61" t="s">
        <v>5424</v>
      </c>
      <c r="E372" s="64" t="s">
        <v>4744</v>
      </c>
      <c r="F372" s="64"/>
      <c r="G372" s="148" t="s">
        <v>5425</v>
      </c>
      <c r="H372" s="82"/>
      <c r="I372" s="64"/>
      <c r="J372" s="64"/>
      <c r="K372" s="64"/>
      <c r="L372" s="61"/>
      <c r="M372" s="100"/>
      <c r="N372" s="100"/>
    </row>
    <row r="373" ht="15.6" spans="1:14">
      <c r="A373" s="95"/>
      <c r="B373" s="69" t="s">
        <v>5426</v>
      </c>
      <c r="C373" s="96" t="s">
        <v>1349</v>
      </c>
      <c r="D373" s="61" t="s">
        <v>5427</v>
      </c>
      <c r="E373" s="64" t="s">
        <v>4744</v>
      </c>
      <c r="F373" s="64"/>
      <c r="G373" s="148" t="s">
        <v>5428</v>
      </c>
      <c r="H373" s="82"/>
      <c r="I373" s="64"/>
      <c r="J373" s="64"/>
      <c r="K373" s="64"/>
      <c r="L373" s="61"/>
      <c r="M373" s="100"/>
      <c r="N373" s="100"/>
    </row>
    <row r="374" ht="15.6" spans="1:14">
      <c r="A374" s="95"/>
      <c r="B374" s="69" t="s">
        <v>5429</v>
      </c>
      <c r="C374" s="96" t="s">
        <v>1349</v>
      </c>
      <c r="D374" s="61" t="s">
        <v>5430</v>
      </c>
      <c r="E374" s="64" t="s">
        <v>4744</v>
      </c>
      <c r="F374" s="64"/>
      <c r="G374" s="148" t="s">
        <v>5431</v>
      </c>
      <c r="H374" s="82"/>
      <c r="I374" s="64"/>
      <c r="J374" s="64"/>
      <c r="K374" s="64"/>
      <c r="L374" s="61"/>
      <c r="M374" s="100"/>
      <c r="N374" s="100"/>
    </row>
    <row r="375" ht="15.6" spans="1:14">
      <c r="A375" s="95"/>
      <c r="B375" s="69" t="s">
        <v>5432</v>
      </c>
      <c r="C375" s="96" t="s">
        <v>1349</v>
      </c>
      <c r="D375" s="61" t="s">
        <v>5433</v>
      </c>
      <c r="E375" s="64" t="s">
        <v>4744</v>
      </c>
      <c r="F375" s="64"/>
      <c r="G375" s="148" t="s">
        <v>5434</v>
      </c>
      <c r="H375" s="82"/>
      <c r="I375" s="64"/>
      <c r="J375" s="64"/>
      <c r="K375" s="64"/>
      <c r="L375" s="61"/>
      <c r="M375" s="100"/>
      <c r="N375" s="100"/>
    </row>
    <row r="376" ht="15.6" spans="1:14">
      <c r="A376" s="95"/>
      <c r="B376" s="69" t="s">
        <v>5435</v>
      </c>
      <c r="C376" s="96" t="s">
        <v>1349</v>
      </c>
      <c r="D376" s="61" t="s">
        <v>5436</v>
      </c>
      <c r="E376" s="64" t="s">
        <v>4744</v>
      </c>
      <c r="F376" s="64"/>
      <c r="G376" s="148" t="s">
        <v>5437</v>
      </c>
      <c r="H376" s="82"/>
      <c r="I376" s="64"/>
      <c r="J376" s="64"/>
      <c r="K376" s="64"/>
      <c r="L376" s="61"/>
      <c r="M376" s="100"/>
      <c r="N376" s="100"/>
    </row>
    <row r="377" ht="15.6" spans="1:14">
      <c r="A377" s="95"/>
      <c r="B377" s="69" t="s">
        <v>5438</v>
      </c>
      <c r="C377" s="96" t="s">
        <v>1349</v>
      </c>
      <c r="D377" s="61" t="s">
        <v>5439</v>
      </c>
      <c r="E377" s="64" t="s">
        <v>4744</v>
      </c>
      <c r="F377" s="64"/>
      <c r="G377" s="148" t="s">
        <v>5440</v>
      </c>
      <c r="H377" s="82"/>
      <c r="I377" s="64"/>
      <c r="J377" s="64"/>
      <c r="K377" s="64"/>
      <c r="L377" s="61"/>
      <c r="M377" s="100"/>
      <c r="N377" s="100"/>
    </row>
    <row r="378" ht="15.6" spans="1:14">
      <c r="A378" s="95"/>
      <c r="B378" s="69" t="s">
        <v>5441</v>
      </c>
      <c r="C378" s="96" t="s">
        <v>1349</v>
      </c>
      <c r="D378" s="61" t="s">
        <v>5442</v>
      </c>
      <c r="E378" s="64" t="s">
        <v>4744</v>
      </c>
      <c r="F378" s="64"/>
      <c r="G378" s="148" t="s">
        <v>5443</v>
      </c>
      <c r="H378" s="82"/>
      <c r="I378" s="64"/>
      <c r="J378" s="64"/>
      <c r="K378" s="64"/>
      <c r="L378" s="61"/>
      <c r="M378" s="100"/>
      <c r="N378" s="100"/>
    </row>
    <row r="379" ht="15.6" spans="1:14">
      <c r="A379" s="95"/>
      <c r="B379" s="69" t="s">
        <v>5444</v>
      </c>
      <c r="C379" s="96" t="s">
        <v>1349</v>
      </c>
      <c r="D379" s="61" t="s">
        <v>5445</v>
      </c>
      <c r="E379" s="64" t="s">
        <v>4744</v>
      </c>
      <c r="F379" s="64"/>
      <c r="G379" s="148" t="s">
        <v>5446</v>
      </c>
      <c r="H379" s="82"/>
      <c r="I379" s="64"/>
      <c r="J379" s="64"/>
      <c r="K379" s="64"/>
      <c r="L379" s="61"/>
      <c r="M379" s="100"/>
      <c r="N379" s="100"/>
    </row>
    <row r="380" ht="15.6" spans="1:14">
      <c r="A380" s="95"/>
      <c r="B380" s="69" t="s">
        <v>5447</v>
      </c>
      <c r="C380" s="96" t="s">
        <v>1349</v>
      </c>
      <c r="D380" s="61" t="s">
        <v>5448</v>
      </c>
      <c r="E380" s="64" t="s">
        <v>4744</v>
      </c>
      <c r="F380" s="64"/>
      <c r="G380" s="148" t="s">
        <v>5449</v>
      </c>
      <c r="H380" s="82"/>
      <c r="I380" s="64"/>
      <c r="J380" s="64"/>
      <c r="K380" s="64"/>
      <c r="L380" s="61"/>
      <c r="M380" s="100"/>
      <c r="N380" s="100"/>
    </row>
    <row r="381" ht="15.6" spans="1:14">
      <c r="A381" s="95"/>
      <c r="B381" s="69" t="s">
        <v>5450</v>
      </c>
      <c r="C381" s="96" t="s">
        <v>1349</v>
      </c>
      <c r="D381" s="61" t="s">
        <v>5451</v>
      </c>
      <c r="E381" s="64" t="s">
        <v>4744</v>
      </c>
      <c r="F381" s="64"/>
      <c r="G381" s="148" t="s">
        <v>5452</v>
      </c>
      <c r="H381" s="82"/>
      <c r="I381" s="64"/>
      <c r="J381" s="64"/>
      <c r="K381" s="64"/>
      <c r="L381" s="61"/>
      <c r="M381" s="100"/>
      <c r="N381" s="100"/>
    </row>
    <row r="382" ht="15.6" spans="1:14">
      <c r="A382" s="95"/>
      <c r="B382" s="69" t="s">
        <v>5453</v>
      </c>
      <c r="C382" s="96" t="s">
        <v>1349</v>
      </c>
      <c r="D382" s="61" t="s">
        <v>5454</v>
      </c>
      <c r="E382" s="64" t="s">
        <v>4744</v>
      </c>
      <c r="F382" s="64"/>
      <c r="G382" s="148" t="s">
        <v>5455</v>
      </c>
      <c r="H382" s="82"/>
      <c r="I382" s="64"/>
      <c r="J382" s="64"/>
      <c r="K382" s="64"/>
      <c r="L382" s="61"/>
      <c r="M382" s="100"/>
      <c r="N382" s="100"/>
    </row>
    <row r="383" ht="15.6" spans="1:14">
      <c r="A383" s="95"/>
      <c r="B383" s="69" t="s">
        <v>5456</v>
      </c>
      <c r="C383" s="96" t="s">
        <v>1349</v>
      </c>
      <c r="D383" s="61" t="s">
        <v>5457</v>
      </c>
      <c r="E383" s="64" t="s">
        <v>4744</v>
      </c>
      <c r="F383" s="64"/>
      <c r="G383" s="148" t="s">
        <v>1693</v>
      </c>
      <c r="H383" s="82"/>
      <c r="I383" s="64"/>
      <c r="J383" s="64"/>
      <c r="K383" s="64"/>
      <c r="L383" s="61"/>
      <c r="M383" s="100"/>
      <c r="N383" s="100"/>
    </row>
    <row r="384" ht="15.6" spans="1:14">
      <c r="A384" s="95"/>
      <c r="B384" s="69" t="s">
        <v>5458</v>
      </c>
      <c r="C384" s="96" t="s">
        <v>1349</v>
      </c>
      <c r="D384" s="61" t="s">
        <v>5459</v>
      </c>
      <c r="E384" s="64" t="s">
        <v>4744</v>
      </c>
      <c r="F384" s="64"/>
      <c r="G384" s="148" t="s">
        <v>1693</v>
      </c>
      <c r="H384" s="82"/>
      <c r="I384" s="64"/>
      <c r="J384" s="64"/>
      <c r="K384" s="64"/>
      <c r="L384" s="61"/>
      <c r="M384" s="100"/>
      <c r="N384" s="100"/>
    </row>
    <row r="385" ht="15.6" spans="1:14">
      <c r="A385" s="95"/>
      <c r="B385" s="69" t="s">
        <v>5460</v>
      </c>
      <c r="C385" s="96" t="s">
        <v>1349</v>
      </c>
      <c r="D385" s="61" t="s">
        <v>5461</v>
      </c>
      <c r="E385" s="64" t="s">
        <v>4744</v>
      </c>
      <c r="F385" s="64"/>
      <c r="G385" s="148" t="s">
        <v>1693</v>
      </c>
      <c r="H385" s="82"/>
      <c r="I385" s="64"/>
      <c r="J385" s="64"/>
      <c r="K385" s="64"/>
      <c r="L385" s="61"/>
      <c r="M385" s="100"/>
      <c r="N385" s="100"/>
    </row>
    <row r="386" ht="15.6" spans="1:14">
      <c r="A386" s="95"/>
      <c r="B386" s="69" t="s">
        <v>5462</v>
      </c>
      <c r="C386" s="96" t="s">
        <v>1349</v>
      </c>
      <c r="D386" s="61" t="s">
        <v>5462</v>
      </c>
      <c r="E386" s="64" t="s">
        <v>4744</v>
      </c>
      <c r="F386" s="64"/>
      <c r="G386" s="148" t="s">
        <v>1693</v>
      </c>
      <c r="H386" s="82"/>
      <c r="I386" s="64"/>
      <c r="J386" s="64"/>
      <c r="K386" s="64"/>
      <c r="L386" s="61"/>
      <c r="M386" s="100"/>
      <c r="N386" s="100"/>
    </row>
    <row r="387" ht="15.6" spans="1:14">
      <c r="A387" s="95"/>
      <c r="B387" s="69" t="s">
        <v>5463</v>
      </c>
      <c r="C387" s="96" t="s">
        <v>1349</v>
      </c>
      <c r="D387" s="61" t="s">
        <v>5464</v>
      </c>
      <c r="E387" s="64" t="s">
        <v>4744</v>
      </c>
      <c r="F387" s="64"/>
      <c r="G387" s="148" t="s">
        <v>1693</v>
      </c>
      <c r="H387" s="82"/>
      <c r="I387" s="64"/>
      <c r="J387" s="64"/>
      <c r="K387" s="64"/>
      <c r="L387" s="61"/>
      <c r="M387" s="100"/>
      <c r="N387" s="100"/>
    </row>
    <row r="388" ht="16.5" customHeight="1" spans="1:14">
      <c r="A388" s="95"/>
      <c r="B388" s="69" t="s">
        <v>5465</v>
      </c>
      <c r="C388" s="96" t="s">
        <v>229</v>
      </c>
      <c r="D388" s="61" t="s">
        <v>5466</v>
      </c>
      <c r="E388" s="61"/>
      <c r="F388" s="64"/>
      <c r="G388" s="148" t="s">
        <v>1693</v>
      </c>
      <c r="H388" s="63" t="s">
        <v>5467</v>
      </c>
      <c r="I388" s="64"/>
      <c r="J388" s="64"/>
      <c r="K388" s="64"/>
      <c r="L388" s="61"/>
      <c r="M388" s="100"/>
      <c r="N388" s="100"/>
    </row>
    <row r="389" ht="15.6" spans="1:14">
      <c r="A389" s="95"/>
      <c r="B389" s="69" t="s">
        <v>5468</v>
      </c>
      <c r="C389" s="96" t="s">
        <v>229</v>
      </c>
      <c r="D389" s="61" t="s">
        <v>5469</v>
      </c>
      <c r="E389" s="61"/>
      <c r="F389" s="64"/>
      <c r="G389" s="148" t="s">
        <v>1693</v>
      </c>
      <c r="H389" s="63"/>
      <c r="I389" s="64"/>
      <c r="J389" s="64"/>
      <c r="K389" s="64"/>
      <c r="L389" s="61"/>
      <c r="M389" s="100"/>
      <c r="N389" s="100"/>
    </row>
    <row r="390" ht="15.6" spans="1:14">
      <c r="A390" s="95"/>
      <c r="B390" s="69" t="s">
        <v>5470</v>
      </c>
      <c r="C390" s="96" t="s">
        <v>229</v>
      </c>
      <c r="D390" s="61" t="s">
        <v>5471</v>
      </c>
      <c r="E390" s="61"/>
      <c r="F390" s="64"/>
      <c r="G390" s="148" t="s">
        <v>1693</v>
      </c>
      <c r="H390" s="63"/>
      <c r="I390" s="64"/>
      <c r="J390" s="64"/>
      <c r="K390" s="64"/>
      <c r="L390" s="61"/>
      <c r="M390" s="100"/>
      <c r="N390" s="100"/>
    </row>
    <row r="391" ht="15.6" spans="1:14">
      <c r="A391" s="95"/>
      <c r="B391" s="69" t="s">
        <v>5472</v>
      </c>
      <c r="C391" s="96" t="s">
        <v>706</v>
      </c>
      <c r="D391" s="61" t="s">
        <v>758</v>
      </c>
      <c r="E391" s="61"/>
      <c r="F391" s="64"/>
      <c r="G391" s="148" t="s">
        <v>1693</v>
      </c>
      <c r="H391" s="63"/>
      <c r="I391" s="64"/>
      <c r="J391" s="64"/>
      <c r="K391" s="64"/>
      <c r="L391" s="61"/>
      <c r="M391" s="100"/>
      <c r="N391" s="100"/>
    </row>
    <row r="392" ht="15.6" spans="1:14">
      <c r="A392" s="95"/>
      <c r="B392" s="69" t="s">
        <v>5473</v>
      </c>
      <c r="C392" s="96" t="s">
        <v>706</v>
      </c>
      <c r="D392" s="61" t="s">
        <v>761</v>
      </c>
      <c r="E392" s="61"/>
      <c r="F392" s="64"/>
      <c r="G392" s="148" t="s">
        <v>1693</v>
      </c>
      <c r="H392" s="63"/>
      <c r="I392" s="64"/>
      <c r="J392" s="64"/>
      <c r="K392" s="64"/>
      <c r="L392" s="61"/>
      <c r="M392" s="100"/>
      <c r="N392" s="100"/>
    </row>
    <row r="393" ht="15.6" spans="1:14">
      <c r="A393" s="95"/>
      <c r="B393" s="69" t="s">
        <v>5474</v>
      </c>
      <c r="C393" s="96" t="s">
        <v>706</v>
      </c>
      <c r="D393" s="61" t="s">
        <v>5009</v>
      </c>
      <c r="E393" s="61"/>
      <c r="F393" s="64"/>
      <c r="G393" s="148" t="s">
        <v>1693</v>
      </c>
      <c r="H393" s="63"/>
      <c r="I393" s="64"/>
      <c r="J393" s="64"/>
      <c r="K393" s="64"/>
      <c r="L393" s="61"/>
      <c r="M393" s="100"/>
      <c r="N393" s="100"/>
    </row>
    <row r="394" ht="15.6" spans="1:14">
      <c r="A394" s="95"/>
      <c r="B394" s="69" t="s">
        <v>5475</v>
      </c>
      <c r="C394" s="96" t="s">
        <v>706</v>
      </c>
      <c r="D394" s="61" t="s">
        <v>5011</v>
      </c>
      <c r="E394" s="61"/>
      <c r="F394" s="64"/>
      <c r="G394" s="148" t="s">
        <v>1693</v>
      </c>
      <c r="H394" s="63"/>
      <c r="I394" s="64"/>
      <c r="J394" s="64"/>
      <c r="K394" s="64"/>
      <c r="L394" s="61"/>
      <c r="M394" s="100"/>
      <c r="N394" s="100"/>
    </row>
    <row r="395" ht="15.6" spans="1:14">
      <c r="A395" s="95"/>
      <c r="B395" s="69" t="s">
        <v>5476</v>
      </c>
      <c r="C395" s="96" t="s">
        <v>203</v>
      </c>
      <c r="D395" s="61" t="s">
        <v>4933</v>
      </c>
      <c r="E395" s="61"/>
      <c r="F395" s="64"/>
      <c r="G395" s="148" t="s">
        <v>1693</v>
      </c>
      <c r="H395" s="63"/>
      <c r="I395" s="64"/>
      <c r="J395" s="64"/>
      <c r="K395" s="64"/>
      <c r="L395" s="61"/>
      <c r="M395" s="100"/>
      <c r="N395" s="100"/>
    </row>
    <row r="396" ht="15.6" spans="1:14">
      <c r="A396" s="95"/>
      <c r="B396" s="69" t="s">
        <v>5477</v>
      </c>
      <c r="C396" s="96" t="s">
        <v>203</v>
      </c>
      <c r="D396" s="61" t="s">
        <v>4936</v>
      </c>
      <c r="E396" s="61"/>
      <c r="F396" s="64"/>
      <c r="G396" s="148" t="s">
        <v>1693</v>
      </c>
      <c r="H396" s="63"/>
      <c r="I396" s="64"/>
      <c r="J396" s="64"/>
      <c r="K396" s="64"/>
      <c r="L396" s="61"/>
      <c r="M396" s="100"/>
      <c r="N396" s="100"/>
    </row>
    <row r="397" ht="15.6" spans="1:14">
      <c r="A397" s="95"/>
      <c r="B397" s="69" t="s">
        <v>5478</v>
      </c>
      <c r="C397" s="96" t="s">
        <v>706</v>
      </c>
      <c r="D397" s="61" t="s">
        <v>788</v>
      </c>
      <c r="E397" s="61"/>
      <c r="F397" s="64"/>
      <c r="G397" s="148" t="s">
        <v>1693</v>
      </c>
      <c r="H397" s="63"/>
      <c r="I397" s="64"/>
      <c r="J397" s="64"/>
      <c r="K397" s="64"/>
      <c r="L397" s="61"/>
      <c r="M397" s="100"/>
      <c r="N397" s="100"/>
    </row>
    <row r="398" ht="15.6" spans="1:14">
      <c r="A398" s="95"/>
      <c r="B398" s="69" t="s">
        <v>5479</v>
      </c>
      <c r="C398" s="96" t="s">
        <v>706</v>
      </c>
      <c r="D398" s="61" t="s">
        <v>791</v>
      </c>
      <c r="E398" s="61"/>
      <c r="F398" s="64"/>
      <c r="G398" s="148" t="s">
        <v>1693</v>
      </c>
      <c r="H398" s="63"/>
      <c r="I398" s="64"/>
      <c r="J398" s="64"/>
      <c r="K398" s="64"/>
      <c r="L398" s="61"/>
      <c r="M398" s="100"/>
      <c r="N398" s="100"/>
    </row>
    <row r="399" ht="15.6" spans="1:14">
      <c r="A399" s="95"/>
      <c r="B399" s="69" t="s">
        <v>5480</v>
      </c>
      <c r="C399" s="96" t="s">
        <v>706</v>
      </c>
      <c r="D399" s="61" t="s">
        <v>794</v>
      </c>
      <c r="E399" s="61"/>
      <c r="F399" s="64"/>
      <c r="G399" s="148" t="s">
        <v>1693</v>
      </c>
      <c r="H399" s="63"/>
      <c r="I399" s="64"/>
      <c r="J399" s="64"/>
      <c r="K399" s="64"/>
      <c r="L399" s="61"/>
      <c r="M399" s="100"/>
      <c r="N399" s="100"/>
    </row>
    <row r="400" ht="15.6" spans="1:14">
      <c r="A400" s="95"/>
      <c r="B400" s="69" t="s">
        <v>5481</v>
      </c>
      <c r="C400" s="96" t="s">
        <v>706</v>
      </c>
      <c r="D400" s="61" t="s">
        <v>797</v>
      </c>
      <c r="E400" s="61"/>
      <c r="F400" s="64"/>
      <c r="G400" s="148" t="s">
        <v>1693</v>
      </c>
      <c r="H400" s="63"/>
      <c r="I400" s="64"/>
      <c r="J400" s="64"/>
      <c r="K400" s="64"/>
      <c r="L400" s="61"/>
      <c r="M400" s="100"/>
      <c r="N400" s="100"/>
    </row>
    <row r="401" ht="15.6" spans="1:14">
      <c r="A401" s="95"/>
      <c r="B401" s="69" t="s">
        <v>5482</v>
      </c>
      <c r="C401" s="96" t="s">
        <v>1349</v>
      </c>
      <c r="D401" s="61" t="s">
        <v>1368</v>
      </c>
      <c r="E401" s="61"/>
      <c r="F401" s="64"/>
      <c r="G401" s="148" t="s">
        <v>1693</v>
      </c>
      <c r="H401" s="63"/>
      <c r="I401" s="64"/>
      <c r="J401" s="64"/>
      <c r="K401" s="64"/>
      <c r="L401" s="61"/>
      <c r="M401" s="100"/>
      <c r="N401" s="100"/>
    </row>
    <row r="402" ht="15.6" spans="1:14">
      <c r="A402" s="95"/>
      <c r="B402" s="69" t="s">
        <v>5483</v>
      </c>
      <c r="C402" s="96" t="s">
        <v>1349</v>
      </c>
      <c r="D402" s="61" t="s">
        <v>1386</v>
      </c>
      <c r="E402" s="61"/>
      <c r="F402" s="64"/>
      <c r="G402" s="148" t="s">
        <v>1693</v>
      </c>
      <c r="H402" s="63"/>
      <c r="I402" s="64"/>
      <c r="J402" s="64"/>
      <c r="K402" s="64"/>
      <c r="L402" s="61"/>
      <c r="M402" s="100"/>
      <c r="N402" s="100"/>
    </row>
    <row r="403" ht="15.6" spans="1:14">
      <c r="A403" s="95"/>
      <c r="B403" s="69" t="s">
        <v>5484</v>
      </c>
      <c r="C403" s="96" t="s">
        <v>1349</v>
      </c>
      <c r="D403" s="61" t="s">
        <v>1422</v>
      </c>
      <c r="E403" s="61"/>
      <c r="F403" s="64"/>
      <c r="G403" s="148" t="s">
        <v>1693</v>
      </c>
      <c r="H403" s="63"/>
      <c r="I403" s="64"/>
      <c r="J403" s="64"/>
      <c r="K403" s="64"/>
      <c r="L403" s="61"/>
      <c r="M403" s="100"/>
      <c r="N403" s="100"/>
    </row>
    <row r="404" ht="15.6" spans="1:14">
      <c r="A404" s="95"/>
      <c r="B404" s="69" t="s">
        <v>5485</v>
      </c>
      <c r="C404" s="96" t="s">
        <v>1349</v>
      </c>
      <c r="D404" s="61" t="s">
        <v>1440</v>
      </c>
      <c r="E404" s="61"/>
      <c r="F404" s="64"/>
      <c r="G404" s="148" t="s">
        <v>1693</v>
      </c>
      <c r="H404" s="63"/>
      <c r="I404" s="64"/>
      <c r="J404" s="64"/>
      <c r="K404" s="64"/>
      <c r="L404" s="61"/>
      <c r="M404" s="100"/>
      <c r="N404" s="100"/>
    </row>
    <row r="405" ht="15.6" spans="1:14">
      <c r="A405" s="95"/>
      <c r="B405" s="69" t="s">
        <v>5486</v>
      </c>
      <c r="C405" s="96" t="s">
        <v>229</v>
      </c>
      <c r="D405" s="61" t="s">
        <v>5487</v>
      </c>
      <c r="E405" s="61"/>
      <c r="F405" s="64"/>
      <c r="G405" s="148" t="s">
        <v>1693</v>
      </c>
      <c r="H405" s="63"/>
      <c r="I405" s="64"/>
      <c r="J405" s="64"/>
      <c r="K405" s="64"/>
      <c r="L405" s="61"/>
      <c r="M405" s="100"/>
      <c r="N405" s="100"/>
    </row>
    <row r="406" ht="15.6" spans="1:14">
      <c r="A406" s="95"/>
      <c r="B406" s="69" t="s">
        <v>5488</v>
      </c>
      <c r="C406" s="96" t="s">
        <v>1349</v>
      </c>
      <c r="D406" s="61" t="s">
        <v>5489</v>
      </c>
      <c r="E406" s="61"/>
      <c r="F406" s="64"/>
      <c r="G406" s="148" t="s">
        <v>1693</v>
      </c>
      <c r="H406" s="63"/>
      <c r="I406" s="64"/>
      <c r="J406" s="64"/>
      <c r="K406" s="64"/>
      <c r="L406" s="61"/>
      <c r="M406" s="100"/>
      <c r="N406" s="100"/>
    </row>
    <row r="407" ht="16.5" customHeight="1" spans="1:14">
      <c r="A407" s="95"/>
      <c r="B407" s="69" t="s">
        <v>5490</v>
      </c>
      <c r="C407" s="96" t="s">
        <v>229</v>
      </c>
      <c r="D407" s="61" t="s">
        <v>5466</v>
      </c>
      <c r="E407" s="61"/>
      <c r="F407" s="64"/>
      <c r="G407" s="148" t="s">
        <v>1693</v>
      </c>
      <c r="H407" s="82" t="s">
        <v>5467</v>
      </c>
      <c r="I407" s="64"/>
      <c r="J407" s="64"/>
      <c r="K407" s="64"/>
      <c r="L407" s="61"/>
      <c r="M407" s="100"/>
      <c r="N407" s="100"/>
    </row>
    <row r="408" ht="15.6" spans="1:14">
      <c r="A408" s="95"/>
      <c r="B408" s="69" t="s">
        <v>5491</v>
      </c>
      <c r="C408" s="96" t="s">
        <v>229</v>
      </c>
      <c r="D408" s="61" t="s">
        <v>5469</v>
      </c>
      <c r="E408" s="61"/>
      <c r="F408" s="64"/>
      <c r="G408" s="148" t="s">
        <v>1693</v>
      </c>
      <c r="H408" s="82"/>
      <c r="I408" s="64"/>
      <c r="J408" s="64"/>
      <c r="K408" s="64"/>
      <c r="L408" s="61"/>
      <c r="M408" s="100"/>
      <c r="N408" s="100"/>
    </row>
    <row r="409" ht="15.6" spans="1:14">
      <c r="A409" s="95"/>
      <c r="B409" s="69" t="s">
        <v>5492</v>
      </c>
      <c r="C409" s="96" t="s">
        <v>229</v>
      </c>
      <c r="D409" s="61" t="s">
        <v>4958</v>
      </c>
      <c r="E409" s="61"/>
      <c r="F409" s="64"/>
      <c r="G409" s="148" t="s">
        <v>1693</v>
      </c>
      <c r="H409" s="82"/>
      <c r="I409" s="64"/>
      <c r="J409" s="64"/>
      <c r="K409" s="64"/>
      <c r="L409" s="61"/>
      <c r="M409" s="100"/>
      <c r="N409" s="100"/>
    </row>
    <row r="410" ht="15.6" spans="1:14">
      <c r="A410" s="95"/>
      <c r="B410" s="69" t="s">
        <v>5493</v>
      </c>
      <c r="C410" s="96" t="s">
        <v>706</v>
      </c>
      <c r="D410" s="61" t="s">
        <v>758</v>
      </c>
      <c r="E410" s="61"/>
      <c r="F410" s="64"/>
      <c r="G410" s="148" t="s">
        <v>1693</v>
      </c>
      <c r="H410" s="82"/>
      <c r="I410" s="64"/>
      <c r="J410" s="64"/>
      <c r="K410" s="64"/>
      <c r="L410" s="61"/>
      <c r="M410" s="100"/>
      <c r="N410" s="100"/>
    </row>
    <row r="411" ht="15.6" spans="1:14">
      <c r="A411" s="95"/>
      <c r="B411" s="69" t="s">
        <v>5494</v>
      </c>
      <c r="C411" s="96" t="s">
        <v>706</v>
      </c>
      <c r="D411" s="61" t="s">
        <v>761</v>
      </c>
      <c r="E411" s="61"/>
      <c r="F411" s="64"/>
      <c r="G411" s="148" t="s">
        <v>1693</v>
      </c>
      <c r="H411" s="82"/>
      <c r="I411" s="64"/>
      <c r="J411" s="64"/>
      <c r="K411" s="64"/>
      <c r="L411" s="61"/>
      <c r="M411" s="100"/>
      <c r="N411" s="100"/>
    </row>
    <row r="412" ht="15.6" spans="1:14">
      <c r="A412" s="95"/>
      <c r="B412" s="69" t="s">
        <v>5495</v>
      </c>
      <c r="C412" s="96" t="s">
        <v>706</v>
      </c>
      <c r="D412" s="61" t="s">
        <v>5009</v>
      </c>
      <c r="E412" s="61"/>
      <c r="F412" s="64"/>
      <c r="G412" s="148" t="s">
        <v>1693</v>
      </c>
      <c r="H412" s="82"/>
      <c r="I412" s="64"/>
      <c r="J412" s="64"/>
      <c r="K412" s="64"/>
      <c r="L412" s="61"/>
      <c r="M412" s="100"/>
      <c r="N412" s="100"/>
    </row>
    <row r="413" ht="15.6" spans="1:14">
      <c r="A413" s="95"/>
      <c r="B413" s="69" t="s">
        <v>5496</v>
      </c>
      <c r="C413" s="96" t="s">
        <v>706</v>
      </c>
      <c r="D413" s="61" t="s">
        <v>5011</v>
      </c>
      <c r="E413" s="61"/>
      <c r="F413" s="64"/>
      <c r="G413" s="148" t="s">
        <v>1693</v>
      </c>
      <c r="H413" s="82"/>
      <c r="I413" s="64"/>
      <c r="J413" s="64"/>
      <c r="K413" s="64"/>
      <c r="L413" s="61"/>
      <c r="M413" s="100"/>
      <c r="N413" s="100"/>
    </row>
    <row r="414" ht="15.6" spans="1:14">
      <c r="A414" s="95"/>
      <c r="B414" s="69" t="s">
        <v>5497</v>
      </c>
      <c r="C414" s="96" t="s">
        <v>203</v>
      </c>
      <c r="D414" s="61" t="s">
        <v>4933</v>
      </c>
      <c r="E414" s="61"/>
      <c r="F414" s="64"/>
      <c r="G414" s="148" t="s">
        <v>1693</v>
      </c>
      <c r="H414" s="82"/>
      <c r="I414" s="64"/>
      <c r="J414" s="64"/>
      <c r="K414" s="64"/>
      <c r="L414" s="61"/>
      <c r="M414" s="100"/>
      <c r="N414" s="100"/>
    </row>
    <row r="415" ht="15.6" spans="1:14">
      <c r="A415" s="95"/>
      <c r="B415" s="69" t="s">
        <v>5498</v>
      </c>
      <c r="C415" s="96" t="s">
        <v>203</v>
      </c>
      <c r="D415" s="61" t="s">
        <v>4936</v>
      </c>
      <c r="E415" s="61"/>
      <c r="F415" s="64"/>
      <c r="G415" s="148" t="s">
        <v>1693</v>
      </c>
      <c r="H415" s="82"/>
      <c r="I415" s="64"/>
      <c r="J415" s="64"/>
      <c r="K415" s="64"/>
      <c r="L415" s="61"/>
      <c r="M415" s="100"/>
      <c r="N415" s="100"/>
    </row>
    <row r="416" ht="15.6" spans="1:14">
      <c r="A416" s="95"/>
      <c r="B416" s="69" t="s">
        <v>5499</v>
      </c>
      <c r="C416" s="96" t="s">
        <v>706</v>
      </c>
      <c r="D416" s="61" t="s">
        <v>788</v>
      </c>
      <c r="E416" s="61"/>
      <c r="F416" s="64"/>
      <c r="G416" s="148" t="s">
        <v>1693</v>
      </c>
      <c r="H416" s="82"/>
      <c r="I416" s="64"/>
      <c r="J416" s="64"/>
      <c r="K416" s="64"/>
      <c r="L416" s="61"/>
      <c r="M416" s="100"/>
      <c r="N416" s="100"/>
    </row>
    <row r="417" ht="15.6" spans="1:14">
      <c r="A417" s="95"/>
      <c r="B417" s="69" t="s">
        <v>5500</v>
      </c>
      <c r="C417" s="96" t="s">
        <v>706</v>
      </c>
      <c r="D417" s="61" t="s">
        <v>791</v>
      </c>
      <c r="E417" s="61"/>
      <c r="F417" s="64"/>
      <c r="G417" s="148" t="s">
        <v>1693</v>
      </c>
      <c r="H417" s="82"/>
      <c r="I417" s="64"/>
      <c r="J417" s="64"/>
      <c r="K417" s="64"/>
      <c r="L417" s="61"/>
      <c r="M417" s="100"/>
      <c r="N417" s="100"/>
    </row>
    <row r="418" ht="15.6" spans="1:14">
      <c r="A418" s="95"/>
      <c r="B418" s="69" t="s">
        <v>5501</v>
      </c>
      <c r="C418" s="96" t="s">
        <v>706</v>
      </c>
      <c r="D418" s="61" t="s">
        <v>794</v>
      </c>
      <c r="E418" s="61"/>
      <c r="F418" s="64"/>
      <c r="G418" s="148" t="s">
        <v>1693</v>
      </c>
      <c r="H418" s="82"/>
      <c r="I418" s="64"/>
      <c r="J418" s="64"/>
      <c r="K418" s="64"/>
      <c r="L418" s="61"/>
      <c r="M418" s="100"/>
      <c r="N418" s="100"/>
    </row>
    <row r="419" ht="15.6" spans="1:14">
      <c r="A419" s="95"/>
      <c r="B419" s="69" t="s">
        <v>5502</v>
      </c>
      <c r="C419" s="96" t="s">
        <v>706</v>
      </c>
      <c r="D419" s="61" t="s">
        <v>797</v>
      </c>
      <c r="E419" s="61"/>
      <c r="F419" s="64"/>
      <c r="G419" s="148" t="s">
        <v>1693</v>
      </c>
      <c r="H419" s="82"/>
      <c r="I419" s="64"/>
      <c r="J419" s="64"/>
      <c r="K419" s="64"/>
      <c r="L419" s="61"/>
      <c r="M419" s="100"/>
      <c r="N419" s="100"/>
    </row>
    <row r="420" ht="15.6" spans="1:14">
      <c r="A420" s="95"/>
      <c r="B420" s="69" t="s">
        <v>5503</v>
      </c>
      <c r="C420" s="96" t="s">
        <v>1349</v>
      </c>
      <c r="D420" s="61" t="s">
        <v>1368</v>
      </c>
      <c r="E420" s="61"/>
      <c r="F420" s="64"/>
      <c r="G420" s="148" t="s">
        <v>1693</v>
      </c>
      <c r="H420" s="82"/>
      <c r="I420" s="64"/>
      <c r="J420" s="64"/>
      <c r="K420" s="64"/>
      <c r="L420" s="61"/>
      <c r="M420" s="100"/>
      <c r="N420" s="100"/>
    </row>
    <row r="421" ht="15.6" spans="1:14">
      <c r="A421" s="95"/>
      <c r="B421" s="69" t="s">
        <v>5504</v>
      </c>
      <c r="C421" s="96" t="s">
        <v>1349</v>
      </c>
      <c r="D421" s="61" t="s">
        <v>1386</v>
      </c>
      <c r="E421" s="61"/>
      <c r="F421" s="64"/>
      <c r="G421" s="148" t="s">
        <v>1693</v>
      </c>
      <c r="H421" s="82"/>
      <c r="I421" s="64"/>
      <c r="J421" s="64"/>
      <c r="K421" s="64"/>
      <c r="L421" s="61"/>
      <c r="M421" s="100"/>
      <c r="N421" s="100"/>
    </row>
    <row r="422" ht="15.6" spans="1:14">
      <c r="A422" s="95"/>
      <c r="B422" s="69" t="s">
        <v>5505</v>
      </c>
      <c r="C422" s="96" t="s">
        <v>1349</v>
      </c>
      <c r="D422" s="61" t="s">
        <v>1422</v>
      </c>
      <c r="E422" s="61"/>
      <c r="F422" s="64"/>
      <c r="G422" s="148" t="s">
        <v>1693</v>
      </c>
      <c r="H422" s="82"/>
      <c r="I422" s="64"/>
      <c r="J422" s="64"/>
      <c r="K422" s="64"/>
      <c r="L422" s="61"/>
      <c r="M422" s="100"/>
      <c r="N422" s="100"/>
    </row>
    <row r="423" ht="15.6" spans="1:14">
      <c r="A423" s="95"/>
      <c r="B423" s="69" t="s">
        <v>5506</v>
      </c>
      <c r="C423" s="96" t="s">
        <v>1349</v>
      </c>
      <c r="D423" s="61" t="s">
        <v>1440</v>
      </c>
      <c r="E423" s="61"/>
      <c r="F423" s="64"/>
      <c r="G423" s="148" t="s">
        <v>1693</v>
      </c>
      <c r="H423" s="82"/>
      <c r="I423" s="64"/>
      <c r="J423" s="64"/>
      <c r="K423" s="64"/>
      <c r="L423" s="61"/>
      <c r="M423" s="100"/>
      <c r="N423" s="100"/>
    </row>
    <row r="424" ht="15.6" spans="1:14">
      <c r="A424" s="95"/>
      <c r="B424" s="69" t="s">
        <v>5507</v>
      </c>
      <c r="C424" s="96" t="s">
        <v>229</v>
      </c>
      <c r="D424" s="61" t="s">
        <v>5487</v>
      </c>
      <c r="E424" s="61"/>
      <c r="F424" s="64"/>
      <c r="G424" s="148" t="s">
        <v>1693</v>
      </c>
      <c r="H424" s="82"/>
      <c r="I424" s="64"/>
      <c r="J424" s="64"/>
      <c r="K424" s="64"/>
      <c r="L424" s="61"/>
      <c r="M424" s="100"/>
      <c r="N424" s="100"/>
    </row>
    <row r="425" ht="15.6" spans="1:14">
      <c r="A425" s="95"/>
      <c r="B425" s="69" t="s">
        <v>5508</v>
      </c>
      <c r="C425" s="96" t="s">
        <v>1349</v>
      </c>
      <c r="D425" s="61" t="s">
        <v>5489</v>
      </c>
      <c r="E425" s="61"/>
      <c r="F425" s="64"/>
      <c r="G425" s="148" t="s">
        <v>1693</v>
      </c>
      <c r="H425" s="82"/>
      <c r="I425" s="64"/>
      <c r="J425" s="64"/>
      <c r="K425" s="64"/>
      <c r="L425" s="61"/>
      <c r="M425" s="100"/>
      <c r="N425" s="100"/>
    </row>
    <row r="426" ht="15.6" spans="1:14">
      <c r="A426" s="95"/>
      <c r="B426" s="69" t="s">
        <v>823</v>
      </c>
      <c r="C426" s="96" t="s">
        <v>706</v>
      </c>
      <c r="D426" s="61" t="s">
        <v>824</v>
      </c>
      <c r="E426" s="64"/>
      <c r="F426" s="64"/>
      <c r="G426" s="148" t="s">
        <v>1693</v>
      </c>
      <c r="H426" s="61"/>
      <c r="I426" s="64"/>
      <c r="J426" s="64"/>
      <c r="K426" s="64"/>
      <c r="L426" s="61"/>
      <c r="M426" s="100"/>
      <c r="N426" s="100"/>
    </row>
    <row r="427" ht="15.6" spans="1:14">
      <c r="A427" s="95"/>
      <c r="B427" s="69" t="s">
        <v>826</v>
      </c>
      <c r="C427" s="96" t="s">
        <v>706</v>
      </c>
      <c r="D427" s="61" t="s">
        <v>5509</v>
      </c>
      <c r="E427" s="64"/>
      <c r="F427" s="64"/>
      <c r="G427" s="148" t="s">
        <v>1693</v>
      </c>
      <c r="H427" s="61"/>
      <c r="I427" s="64"/>
      <c r="J427" s="64"/>
      <c r="K427" s="64"/>
      <c r="L427" s="61"/>
      <c r="M427" s="100"/>
      <c r="N427" s="100"/>
    </row>
    <row r="428" ht="15.6" spans="1:14">
      <c r="A428" s="95"/>
      <c r="B428" s="69" t="s">
        <v>5510</v>
      </c>
      <c r="C428" s="96" t="s">
        <v>706</v>
      </c>
      <c r="D428" s="61" t="s">
        <v>5511</v>
      </c>
      <c r="E428" s="64"/>
      <c r="F428" s="64"/>
      <c r="G428" s="148" t="s">
        <v>1693</v>
      </c>
      <c r="H428" s="61"/>
      <c r="I428" s="64"/>
      <c r="J428" s="64"/>
      <c r="K428" s="64"/>
      <c r="L428" s="61"/>
      <c r="M428" s="100"/>
      <c r="N428" s="100"/>
    </row>
    <row r="429" ht="15.6" spans="1:14">
      <c r="A429" s="95"/>
      <c r="B429" s="69" t="s">
        <v>5512</v>
      </c>
      <c r="C429" s="96" t="s">
        <v>706</v>
      </c>
      <c r="D429" s="61" t="s">
        <v>5513</v>
      </c>
      <c r="E429" s="64"/>
      <c r="F429" s="64"/>
      <c r="G429" s="148" t="s">
        <v>1693</v>
      </c>
      <c r="H429" s="61"/>
      <c r="I429" s="64"/>
      <c r="J429" s="64"/>
      <c r="K429" s="64"/>
      <c r="L429" s="61"/>
      <c r="M429" s="100"/>
      <c r="N429" s="100"/>
    </row>
    <row r="430" ht="15.6" spans="1:14">
      <c r="A430" s="95"/>
      <c r="B430" s="69" t="s">
        <v>5514</v>
      </c>
      <c r="C430" s="96" t="s">
        <v>203</v>
      </c>
      <c r="D430" s="61" t="s">
        <v>5515</v>
      </c>
      <c r="E430" s="64"/>
      <c r="F430" s="64"/>
      <c r="G430" s="64" t="s">
        <v>5516</v>
      </c>
      <c r="H430" s="64"/>
      <c r="I430" s="64"/>
      <c r="J430" s="64"/>
      <c r="K430" s="64"/>
      <c r="L430" s="61"/>
      <c r="M430" s="100"/>
      <c r="N430" s="100"/>
    </row>
    <row r="431" ht="15.6" spans="1:14">
      <c r="A431" s="95"/>
      <c r="B431" s="69" t="s">
        <v>5517</v>
      </c>
      <c r="C431" s="96" t="s">
        <v>706</v>
      </c>
      <c r="D431" s="61" t="s">
        <v>5518</v>
      </c>
      <c r="E431" s="64"/>
      <c r="F431" s="64"/>
      <c r="G431" s="64" t="s">
        <v>5516</v>
      </c>
      <c r="H431" s="64"/>
      <c r="I431" s="64"/>
      <c r="J431" s="64"/>
      <c r="K431" s="64"/>
      <c r="L431" s="61"/>
      <c r="M431" s="100"/>
      <c r="N431" s="100"/>
    </row>
    <row r="432" ht="15.6" spans="1:14">
      <c r="A432" s="95"/>
      <c r="B432" s="69" t="s">
        <v>5519</v>
      </c>
      <c r="C432" s="96" t="s">
        <v>706</v>
      </c>
      <c r="D432" s="61" t="s">
        <v>5520</v>
      </c>
      <c r="E432" s="64"/>
      <c r="F432" s="64"/>
      <c r="G432" s="64" t="s">
        <v>5516</v>
      </c>
      <c r="H432" s="64"/>
      <c r="I432" s="64"/>
      <c r="J432" s="64"/>
      <c r="K432" s="64"/>
      <c r="L432" s="61"/>
      <c r="M432" s="100"/>
      <c r="N432" s="100"/>
    </row>
    <row r="433" ht="15.6" spans="1:14">
      <c r="A433" s="95"/>
      <c r="B433" s="69" t="s">
        <v>5521</v>
      </c>
      <c r="C433" s="96" t="s">
        <v>706</v>
      </c>
      <c r="D433" s="61" t="s">
        <v>5522</v>
      </c>
      <c r="E433" s="64"/>
      <c r="F433" s="64"/>
      <c r="G433" s="64" t="s">
        <v>5516</v>
      </c>
      <c r="H433" s="64"/>
      <c r="I433" s="64"/>
      <c r="J433" s="64"/>
      <c r="K433" s="64"/>
      <c r="L433" s="61"/>
      <c r="M433" s="100"/>
      <c r="N433" s="100"/>
    </row>
    <row r="434" ht="15.6" spans="1:14">
      <c r="A434" s="95"/>
      <c r="B434" s="69" t="s">
        <v>5523</v>
      </c>
      <c r="C434" s="96" t="s">
        <v>706</v>
      </c>
      <c r="D434" s="61" t="s">
        <v>5524</v>
      </c>
      <c r="E434" s="64"/>
      <c r="F434" s="64"/>
      <c r="G434" s="64" t="s">
        <v>5516</v>
      </c>
      <c r="H434" s="64"/>
      <c r="I434" s="64"/>
      <c r="J434" s="64"/>
      <c r="K434" s="64"/>
      <c r="L434" s="61"/>
      <c r="M434" s="100"/>
      <c r="N434" s="100"/>
    </row>
    <row r="435" ht="15.6" spans="1:14">
      <c r="A435" s="95"/>
      <c r="B435" s="69" t="s">
        <v>5525</v>
      </c>
      <c r="C435" s="96" t="s">
        <v>706</v>
      </c>
      <c r="D435" s="61" t="s">
        <v>5526</v>
      </c>
      <c r="E435" s="64"/>
      <c r="F435" s="64"/>
      <c r="G435" s="64" t="s">
        <v>5516</v>
      </c>
      <c r="H435" s="64"/>
      <c r="I435" s="64"/>
      <c r="J435" s="64"/>
      <c r="K435" s="64"/>
      <c r="L435" s="61"/>
      <c r="M435" s="100"/>
      <c r="N435" s="100"/>
    </row>
    <row r="436" ht="15.6" spans="1:14">
      <c r="A436" s="95"/>
      <c r="B436" s="69" t="s">
        <v>5527</v>
      </c>
      <c r="C436" s="96" t="s">
        <v>706</v>
      </c>
      <c r="D436" s="61" t="s">
        <v>5528</v>
      </c>
      <c r="E436" s="64"/>
      <c r="F436" s="64"/>
      <c r="G436" s="64" t="s">
        <v>5516</v>
      </c>
      <c r="H436" s="64"/>
      <c r="I436" s="64"/>
      <c r="J436" s="64"/>
      <c r="K436" s="64"/>
      <c r="L436" s="61"/>
      <c r="M436" s="100"/>
      <c r="N436" s="100"/>
    </row>
    <row r="437" ht="15.6" spans="1:14">
      <c r="A437" s="95"/>
      <c r="B437" s="69" t="s">
        <v>5529</v>
      </c>
      <c r="C437" s="96" t="s">
        <v>706</v>
      </c>
      <c r="D437" s="61" t="s">
        <v>5530</v>
      </c>
      <c r="E437" s="64"/>
      <c r="F437" s="64"/>
      <c r="G437" s="64" t="s">
        <v>5516</v>
      </c>
      <c r="H437" s="64"/>
      <c r="I437" s="64"/>
      <c r="J437" s="64"/>
      <c r="K437" s="64"/>
      <c r="L437" s="61"/>
      <c r="M437" s="100"/>
      <c r="N437" s="100"/>
    </row>
    <row r="438" ht="15.6" spans="1:14">
      <c r="A438" s="95"/>
      <c r="B438" s="69" t="s">
        <v>5531</v>
      </c>
      <c r="C438" s="96" t="s">
        <v>706</v>
      </c>
      <c r="D438" s="61" t="s">
        <v>5532</v>
      </c>
      <c r="E438" s="64"/>
      <c r="F438" s="64"/>
      <c r="G438" s="64" t="s">
        <v>5516</v>
      </c>
      <c r="H438" s="64"/>
      <c r="I438" s="64"/>
      <c r="J438" s="64"/>
      <c r="K438" s="64"/>
      <c r="L438" s="61"/>
      <c r="M438" s="100"/>
      <c r="N438" s="100"/>
    </row>
    <row r="439" ht="15.6" spans="1:14">
      <c r="A439" s="95"/>
      <c r="B439" s="69" t="s">
        <v>5533</v>
      </c>
      <c r="C439" s="96" t="s">
        <v>1349</v>
      </c>
      <c r="D439" s="61" t="s">
        <v>5534</v>
      </c>
      <c r="E439" s="64"/>
      <c r="F439" s="64"/>
      <c r="G439" s="64" t="s">
        <v>5516</v>
      </c>
      <c r="H439" s="64"/>
      <c r="I439" s="64"/>
      <c r="J439" s="64"/>
      <c r="K439" s="64"/>
      <c r="L439" s="61"/>
      <c r="M439" s="100"/>
      <c r="N439" s="100"/>
    </row>
    <row r="440" ht="15.6" spans="1:14">
      <c r="A440" s="95"/>
      <c r="B440" s="69" t="s">
        <v>5535</v>
      </c>
      <c r="C440" s="96" t="s">
        <v>229</v>
      </c>
      <c r="D440" s="61" t="s">
        <v>5536</v>
      </c>
      <c r="E440" s="64"/>
      <c r="F440" s="64"/>
      <c r="G440" s="64" t="s">
        <v>5516</v>
      </c>
      <c r="H440" s="64"/>
      <c r="I440" s="64"/>
      <c r="J440" s="64"/>
      <c r="K440" s="64"/>
      <c r="L440" s="61"/>
      <c r="M440" s="100"/>
      <c r="N440" s="100"/>
    </row>
    <row r="441" ht="15.6" spans="1:14">
      <c r="A441" s="95"/>
      <c r="B441" s="69" t="s">
        <v>5537</v>
      </c>
      <c r="C441" s="96" t="s">
        <v>203</v>
      </c>
      <c r="D441" s="61" t="s">
        <v>5538</v>
      </c>
      <c r="E441" s="64"/>
      <c r="F441" s="64"/>
      <c r="G441" s="64" t="s">
        <v>5516</v>
      </c>
      <c r="H441" s="64"/>
      <c r="I441" s="64"/>
      <c r="J441" s="64"/>
      <c r="K441" s="64"/>
      <c r="L441" s="61"/>
      <c r="M441" s="100"/>
      <c r="N441" s="100"/>
    </row>
    <row r="442" ht="15.6" spans="1:14">
      <c r="A442" s="95"/>
      <c r="B442" s="69" t="s">
        <v>5539</v>
      </c>
      <c r="C442" s="96" t="s">
        <v>203</v>
      </c>
      <c r="D442" s="96" t="s">
        <v>5540</v>
      </c>
      <c r="E442" s="64"/>
      <c r="F442" s="64"/>
      <c r="G442" s="64" t="s">
        <v>5516</v>
      </c>
      <c r="H442" s="64"/>
      <c r="I442" s="64"/>
      <c r="J442" s="64"/>
      <c r="K442" s="64"/>
      <c r="L442" s="61"/>
      <c r="M442" s="100"/>
      <c r="N442" s="100"/>
    </row>
    <row r="443" ht="15.6" spans="1:14">
      <c r="A443" s="95"/>
      <c r="B443" s="69" t="s">
        <v>5541</v>
      </c>
      <c r="C443" s="96" t="s">
        <v>203</v>
      </c>
      <c r="D443" s="96" t="s">
        <v>5542</v>
      </c>
      <c r="E443" s="64"/>
      <c r="F443" s="64"/>
      <c r="G443" s="64" t="s">
        <v>5516</v>
      </c>
      <c r="H443" s="64"/>
      <c r="I443" s="64"/>
      <c r="J443" s="64"/>
      <c r="K443" s="64"/>
      <c r="L443" s="61"/>
      <c r="M443" s="100"/>
      <c r="N443" s="100"/>
    </row>
    <row r="444" ht="15.6" spans="1:14">
      <c r="A444" s="95"/>
      <c r="B444" s="69" t="s">
        <v>5543</v>
      </c>
      <c r="C444" s="96" t="s">
        <v>203</v>
      </c>
      <c r="D444" s="96" t="s">
        <v>5544</v>
      </c>
      <c r="E444" s="64"/>
      <c r="F444" s="64"/>
      <c r="G444" s="64" t="s">
        <v>5516</v>
      </c>
      <c r="H444" s="64"/>
      <c r="I444" s="64"/>
      <c r="J444" s="64"/>
      <c r="K444" s="64"/>
      <c r="L444" s="61"/>
      <c r="M444" s="100"/>
      <c r="N444" s="100"/>
    </row>
    <row r="445" ht="15.6" spans="1:14">
      <c r="A445" s="95"/>
      <c r="B445" s="69" t="s">
        <v>5545</v>
      </c>
      <c r="C445" s="61" t="s">
        <v>229</v>
      </c>
      <c r="D445" s="96" t="s">
        <v>5546</v>
      </c>
      <c r="E445" s="64"/>
      <c r="F445" s="64"/>
      <c r="G445" s="64" t="s">
        <v>5516</v>
      </c>
      <c r="H445" s="64"/>
      <c r="I445" s="64"/>
      <c r="J445" s="64"/>
      <c r="K445" s="64"/>
      <c r="L445" s="61"/>
      <c r="M445" s="100"/>
      <c r="N445" s="100"/>
    </row>
    <row r="446" ht="15.6" spans="1:14">
      <c r="A446" s="95"/>
      <c r="B446" s="69" t="s">
        <v>5547</v>
      </c>
      <c r="C446" s="61" t="s">
        <v>229</v>
      </c>
      <c r="D446" s="96" t="s">
        <v>5548</v>
      </c>
      <c r="E446" s="64"/>
      <c r="F446" s="64"/>
      <c r="G446" s="64" t="s">
        <v>5516</v>
      </c>
      <c r="H446" s="64"/>
      <c r="I446" s="64"/>
      <c r="J446" s="64"/>
      <c r="K446" s="64"/>
      <c r="L446" s="61"/>
      <c r="M446" s="100"/>
      <c r="N446" s="100"/>
    </row>
    <row r="447" ht="15.6" spans="1:14">
      <c r="A447" s="95"/>
      <c r="B447" s="69" t="s">
        <v>5549</v>
      </c>
      <c r="C447" s="96" t="s">
        <v>203</v>
      </c>
      <c r="D447" s="96" t="s">
        <v>5550</v>
      </c>
      <c r="E447" s="64"/>
      <c r="F447" s="64"/>
      <c r="G447" s="64" t="s">
        <v>5516</v>
      </c>
      <c r="H447" s="64"/>
      <c r="I447" s="64"/>
      <c r="J447" s="64"/>
      <c r="K447" s="64"/>
      <c r="L447" s="61"/>
      <c r="M447" s="100"/>
      <c r="N447" s="100"/>
    </row>
    <row r="448" ht="15.6" spans="1:14">
      <c r="A448" s="95"/>
      <c r="B448" s="69" t="s">
        <v>5551</v>
      </c>
      <c r="C448" s="61" t="s">
        <v>229</v>
      </c>
      <c r="D448" s="96" t="s">
        <v>5552</v>
      </c>
      <c r="E448" s="64"/>
      <c r="F448" s="64"/>
      <c r="G448" s="64" t="s">
        <v>5516</v>
      </c>
      <c r="H448" s="64"/>
      <c r="I448" s="64"/>
      <c r="J448" s="64"/>
      <c r="K448" s="64"/>
      <c r="L448" s="61"/>
      <c r="M448" s="100"/>
      <c r="N448" s="100"/>
    </row>
    <row r="449" ht="15.6" spans="1:14">
      <c r="A449" s="95"/>
      <c r="B449" s="69" t="s">
        <v>5553</v>
      </c>
      <c r="C449" s="61" t="s">
        <v>229</v>
      </c>
      <c r="D449" s="96" t="s">
        <v>5554</v>
      </c>
      <c r="E449" s="64"/>
      <c r="F449" s="64"/>
      <c r="G449" s="64" t="s">
        <v>5516</v>
      </c>
      <c r="H449" s="64"/>
      <c r="I449" s="64"/>
      <c r="J449" s="64"/>
      <c r="K449" s="64"/>
      <c r="L449" s="61"/>
      <c r="M449" s="100"/>
      <c r="N449" s="100"/>
    </row>
    <row r="450" ht="15.6" spans="1:14">
      <c r="A450" s="95"/>
      <c r="B450" s="69" t="s">
        <v>5555</v>
      </c>
      <c r="C450" s="96" t="s">
        <v>203</v>
      </c>
      <c r="D450" s="96" t="s">
        <v>5556</v>
      </c>
      <c r="E450" s="64"/>
      <c r="F450" s="64"/>
      <c r="G450" s="64" t="s">
        <v>5516</v>
      </c>
      <c r="H450" s="64"/>
      <c r="I450" s="64"/>
      <c r="J450" s="64"/>
      <c r="K450" s="64"/>
      <c r="L450" s="61"/>
      <c r="M450" s="100"/>
      <c r="N450" s="100"/>
    </row>
    <row r="451" ht="15.6" spans="1:14">
      <c r="A451" s="95"/>
      <c r="B451" s="69" t="s">
        <v>5557</v>
      </c>
      <c r="C451" s="61" t="s">
        <v>229</v>
      </c>
      <c r="D451" s="96" t="s">
        <v>5558</v>
      </c>
      <c r="E451" s="64"/>
      <c r="F451" s="64"/>
      <c r="G451" s="64" t="s">
        <v>5516</v>
      </c>
      <c r="H451" s="64"/>
      <c r="I451" s="64"/>
      <c r="J451" s="64"/>
      <c r="K451" s="64"/>
      <c r="L451" s="61"/>
      <c r="M451" s="100"/>
      <c r="N451" s="100"/>
    </row>
    <row r="452" ht="15.6" spans="1:14">
      <c r="A452" s="95"/>
      <c r="B452" s="69" t="s">
        <v>5559</v>
      </c>
      <c r="C452" s="61" t="s">
        <v>229</v>
      </c>
      <c r="D452" s="96" t="s">
        <v>5560</v>
      </c>
      <c r="E452" s="64"/>
      <c r="F452" s="64"/>
      <c r="G452" s="64" t="s">
        <v>5516</v>
      </c>
      <c r="H452" s="64"/>
      <c r="I452" s="64"/>
      <c r="J452" s="64"/>
      <c r="K452" s="64"/>
      <c r="L452" s="61"/>
      <c r="M452" s="100"/>
      <c r="N452" s="100"/>
    </row>
    <row r="453" ht="15.6" spans="1:14">
      <c r="A453" s="95"/>
      <c r="B453" s="69" t="s">
        <v>5561</v>
      </c>
      <c r="C453" s="96" t="s">
        <v>203</v>
      </c>
      <c r="D453" s="96" t="s">
        <v>5562</v>
      </c>
      <c r="E453" s="64"/>
      <c r="F453" s="64"/>
      <c r="G453" s="64" t="s">
        <v>5516</v>
      </c>
      <c r="H453" s="64"/>
      <c r="I453" s="64"/>
      <c r="J453" s="64"/>
      <c r="K453" s="64"/>
      <c r="L453" s="61"/>
      <c r="M453" s="100"/>
      <c r="N453" s="100"/>
    </row>
    <row r="454" ht="15.6" spans="1:14">
      <c r="A454" s="95"/>
      <c r="B454" s="69" t="s">
        <v>2769</v>
      </c>
      <c r="C454" s="96" t="s">
        <v>706</v>
      </c>
      <c r="D454" s="96" t="s">
        <v>2770</v>
      </c>
      <c r="E454" s="64" t="s">
        <v>4741</v>
      </c>
      <c r="F454" s="69" t="s">
        <v>2769</v>
      </c>
      <c r="G454" s="150" t="s">
        <v>392</v>
      </c>
      <c r="H454" s="64"/>
      <c r="I454" s="64"/>
      <c r="J454" s="64"/>
      <c r="K454" s="64"/>
      <c r="L454" s="61"/>
      <c r="M454" s="100"/>
      <c r="N454" s="100"/>
    </row>
    <row r="455" ht="15.6" spans="1:14">
      <c r="A455" s="95"/>
      <c r="B455" s="69" t="s">
        <v>5563</v>
      </c>
      <c r="C455" s="61" t="s">
        <v>706</v>
      </c>
      <c r="D455" s="138" t="s">
        <v>5564</v>
      </c>
      <c r="E455" s="64"/>
      <c r="F455" s="61"/>
      <c r="G455" s="148" t="s">
        <v>1693</v>
      </c>
      <c r="H455" s="64"/>
      <c r="I455" s="64"/>
      <c r="J455" s="64"/>
      <c r="K455" s="64"/>
      <c r="L455" s="61"/>
      <c r="M455" s="100"/>
      <c r="N455" s="100"/>
    </row>
    <row r="456" ht="15.6" spans="1:14">
      <c r="A456" s="95"/>
      <c r="B456" s="69" t="s">
        <v>5565</v>
      </c>
      <c r="C456" s="61" t="s">
        <v>706</v>
      </c>
      <c r="D456" s="138" t="s">
        <v>5566</v>
      </c>
      <c r="E456" s="64"/>
      <c r="F456" s="61"/>
      <c r="G456" s="148" t="s">
        <v>1693</v>
      </c>
      <c r="H456" s="64"/>
      <c r="I456" s="64"/>
      <c r="J456" s="64"/>
      <c r="K456" s="64"/>
      <c r="L456" s="61"/>
      <c r="M456" s="100"/>
      <c r="N456" s="100"/>
    </row>
    <row r="457" ht="15.6" spans="1:14">
      <c r="A457" s="95"/>
      <c r="B457" s="69" t="s">
        <v>5567</v>
      </c>
      <c r="C457" s="61" t="s">
        <v>203</v>
      </c>
      <c r="D457" s="96" t="s">
        <v>5568</v>
      </c>
      <c r="E457" s="64"/>
      <c r="F457" s="64"/>
      <c r="G457" s="64" t="s">
        <v>5516</v>
      </c>
      <c r="H457" s="64"/>
      <c r="I457" s="64"/>
      <c r="J457" s="64"/>
      <c r="K457" s="64"/>
      <c r="L457" s="61"/>
      <c r="M457" s="100"/>
      <c r="N457" s="100"/>
    </row>
    <row r="458" ht="15.6" spans="1:14">
      <c r="A458" s="95"/>
      <c r="B458" s="69" t="s">
        <v>5569</v>
      </c>
      <c r="C458" s="61" t="s">
        <v>203</v>
      </c>
      <c r="D458" s="96" t="s">
        <v>5570</v>
      </c>
      <c r="E458" s="64"/>
      <c r="F458" s="64"/>
      <c r="G458" s="64" t="s">
        <v>5516</v>
      </c>
      <c r="H458" s="64"/>
      <c r="I458" s="64"/>
      <c r="J458" s="64"/>
      <c r="K458" s="64"/>
      <c r="L458" s="61"/>
      <c r="M458" s="100"/>
      <c r="N458" s="100"/>
    </row>
    <row r="459" ht="15.6" spans="1:14">
      <c r="A459" s="100"/>
      <c r="B459" s="69" t="s">
        <v>5571</v>
      </c>
      <c r="C459" s="61" t="s">
        <v>175</v>
      </c>
      <c r="D459" s="96" t="s">
        <v>240</v>
      </c>
      <c r="E459" s="64"/>
      <c r="F459" s="64"/>
      <c r="G459" s="64"/>
      <c r="H459" s="64"/>
      <c r="I459" s="64"/>
      <c r="J459" s="64"/>
      <c r="K459" s="64"/>
      <c r="L459" s="61"/>
      <c r="M459" s="100"/>
      <c r="N459" s="100"/>
    </row>
    <row r="460" ht="15.6" spans="1:14">
      <c r="A460" s="76"/>
      <c r="B460" s="69" t="s">
        <v>1530</v>
      </c>
      <c r="C460" s="61" t="s">
        <v>175</v>
      </c>
      <c r="D460" s="96" t="s">
        <v>599</v>
      </c>
      <c r="E460" s="64"/>
      <c r="F460" s="64"/>
      <c r="G460" s="64"/>
      <c r="H460" s="64"/>
      <c r="I460" s="64"/>
      <c r="J460" s="64"/>
      <c r="K460" s="64"/>
      <c r="L460" s="61"/>
      <c r="M460" s="100"/>
      <c r="N460" s="100"/>
    </row>
    <row r="461" ht="15.6" spans="1:14">
      <c r="A461" s="76"/>
      <c r="B461" s="69" t="s">
        <v>1532</v>
      </c>
      <c r="C461" s="61" t="s">
        <v>175</v>
      </c>
      <c r="D461" s="96" t="s">
        <v>1859</v>
      </c>
      <c r="E461" s="64"/>
      <c r="F461" s="64"/>
      <c r="G461" s="64"/>
      <c r="H461" s="64"/>
      <c r="I461" s="64"/>
      <c r="J461" s="64"/>
      <c r="K461" s="64"/>
      <c r="L461" s="61"/>
      <c r="M461" s="100"/>
      <c r="N461" s="100"/>
    </row>
  </sheetData>
  <autoFilter xmlns:etc="http://www.wps.cn/officeDocument/2017/etCustomData" ref="A16:N461" etc:filterBottomFollowUsedRange="0">
    <extLst/>
  </autoFilter>
  <mergeCells count="14">
    <mergeCell ref="B2:H2"/>
    <mergeCell ref="B6:H6"/>
    <mergeCell ref="B15:L15"/>
    <mergeCell ref="G8:G12"/>
    <mergeCell ref="H59:H82"/>
    <mergeCell ref="H83:H112"/>
    <mergeCell ref="H113:H140"/>
    <mergeCell ref="H141:H178"/>
    <mergeCell ref="H179:H224"/>
    <mergeCell ref="H225:H245"/>
    <mergeCell ref="H246:H247"/>
    <mergeCell ref="H248:H387"/>
    <mergeCell ref="H388:H406"/>
    <mergeCell ref="H407:H425"/>
  </mergeCells>
  <hyperlinks>
    <hyperlink ref="B1" location="导航!B1" display="=HYPERLINK(&quot;#&quot;&amp;&quot;导航应用&quot;&amp;&quot;!B1&quot;,&quot;返回&quot;)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S355"/>
  <sheetViews>
    <sheetView topLeftCell="A327" workbookViewId="0">
      <selection activeCell="J27" sqref="J27"/>
    </sheetView>
  </sheetViews>
  <sheetFormatPr defaultColWidth="9" defaultRowHeight="15.6"/>
  <cols>
    <col min="1" max="1" width="10.6296296296296" style="41" customWidth="1"/>
    <col min="2" max="2" width="36.8796296296296" style="41" customWidth="1"/>
    <col min="3" max="3" width="26.25" style="41" customWidth="1"/>
    <col min="4" max="4" width="30" style="41" customWidth="1"/>
    <col min="5" max="5" width="16.25" style="41" customWidth="1"/>
    <col min="6" max="6" width="11.1296296296296" style="41" customWidth="1"/>
    <col min="7" max="7" width="33.5" style="41" customWidth="1"/>
    <col min="8" max="8" width="12" style="41" customWidth="1"/>
    <col min="9" max="9" width="22.5" style="41" customWidth="1"/>
    <col min="10" max="10" width="12.5" style="41" customWidth="1"/>
    <col min="11" max="11" width="14.1296296296296" style="41" customWidth="1"/>
    <col min="12" max="12" width="12.3796296296296" style="42" customWidth="1"/>
    <col min="13" max="16384" width="9" style="42"/>
  </cols>
  <sheetData>
    <row r="1" s="40" customFormat="1" ht="15" spans="2:8">
      <c r="B1" s="43" t="str">
        <f>HYPERLINK("#"&amp;"导航应用"&amp;"!B1","返回")</f>
        <v>返回</v>
      </c>
      <c r="C1" s="44"/>
      <c r="D1" s="44"/>
      <c r="E1" s="45"/>
      <c r="F1" s="46"/>
      <c r="G1" s="46"/>
      <c r="H1" s="47"/>
    </row>
    <row r="2" ht="17.4" spans="2:8">
      <c r="B2" s="48" t="s">
        <v>132</v>
      </c>
      <c r="C2" s="48"/>
      <c r="D2" s="48"/>
      <c r="E2" s="48"/>
      <c r="F2" s="48"/>
      <c r="G2" s="48"/>
      <c r="H2" s="48"/>
    </row>
    <row r="3" spans="2:8">
      <c r="B3" s="49" t="s">
        <v>133</v>
      </c>
      <c r="C3" s="49" t="s">
        <v>134</v>
      </c>
      <c r="D3" s="49" t="s">
        <v>135</v>
      </c>
      <c r="E3" s="49" t="s">
        <v>136</v>
      </c>
      <c r="F3" s="49" t="s">
        <v>137</v>
      </c>
      <c r="G3" s="49" t="s">
        <v>138</v>
      </c>
      <c r="H3" s="49" t="s">
        <v>139</v>
      </c>
    </row>
    <row r="4" ht="26.4" spans="2:14">
      <c r="B4" s="12"/>
      <c r="C4" s="50" t="s">
        <v>105</v>
      </c>
      <c r="D4" s="50" t="s">
        <v>5572</v>
      </c>
      <c r="E4" s="12" t="s">
        <v>661</v>
      </c>
      <c r="F4" s="51" t="s">
        <v>141</v>
      </c>
      <c r="G4" s="12"/>
      <c r="H4" s="12"/>
      <c r="N4" s="41"/>
    </row>
    <row r="5" spans="2:8">
      <c r="B5" s="52"/>
      <c r="C5" s="52"/>
      <c r="D5" s="52"/>
      <c r="E5" s="52"/>
      <c r="F5" s="52"/>
      <c r="G5" s="52"/>
      <c r="H5" s="52"/>
    </row>
    <row r="6" ht="17.4" spans="2:8">
      <c r="B6" s="48" t="s">
        <v>142</v>
      </c>
      <c r="C6" s="48"/>
      <c r="D6" s="48"/>
      <c r="E6" s="48"/>
      <c r="F6" s="48"/>
      <c r="G6" s="48"/>
      <c r="H6" s="48"/>
    </row>
    <row r="7" spans="2:8">
      <c r="B7" s="53" t="s">
        <v>143</v>
      </c>
      <c r="C7" s="53" t="s">
        <v>144</v>
      </c>
      <c r="D7" s="53" t="s">
        <v>145</v>
      </c>
      <c r="E7" s="53" t="s">
        <v>146</v>
      </c>
      <c r="F7" s="53" t="s">
        <v>147</v>
      </c>
      <c r="G7" s="53" t="s">
        <v>13</v>
      </c>
      <c r="H7" s="53" t="s">
        <v>148</v>
      </c>
    </row>
    <row r="8" spans="2:8">
      <c r="B8" s="12" t="s">
        <v>149</v>
      </c>
      <c r="C8" s="142" t="s">
        <v>99</v>
      </c>
      <c r="D8" s="55"/>
      <c r="E8" s="12" t="s">
        <v>4748</v>
      </c>
      <c r="F8" s="12"/>
      <c r="G8" s="54"/>
      <c r="H8" s="16" t="s">
        <v>21</v>
      </c>
    </row>
    <row r="9" spans="2:8">
      <c r="B9" s="12" t="s">
        <v>149</v>
      </c>
      <c r="C9" s="142" t="s">
        <v>90</v>
      </c>
      <c r="D9" s="12"/>
      <c r="E9" s="12" t="s">
        <v>5573</v>
      </c>
      <c r="F9" s="12"/>
      <c r="G9" s="12"/>
      <c r="H9" s="12"/>
    </row>
    <row r="10" spans="1:8">
      <c r="A10" s="143" t="s">
        <v>5574</v>
      </c>
      <c r="B10" s="12" t="s">
        <v>149</v>
      </c>
      <c r="C10" s="55" t="s">
        <v>5575</v>
      </c>
      <c r="D10" s="144" t="s">
        <v>5576</v>
      </c>
      <c r="E10" s="12" t="s">
        <v>5577</v>
      </c>
      <c r="F10" s="12"/>
      <c r="G10" s="12"/>
      <c r="H10" s="12"/>
    </row>
    <row r="11" spans="1:8">
      <c r="A11" s="143"/>
      <c r="B11" s="12" t="s">
        <v>149</v>
      </c>
      <c r="C11" s="55" t="s">
        <v>5578</v>
      </c>
      <c r="D11" s="144" t="s">
        <v>5579</v>
      </c>
      <c r="E11" s="12" t="s">
        <v>5580</v>
      </c>
      <c r="F11" s="12"/>
      <c r="G11" s="12"/>
      <c r="H11" s="12"/>
    </row>
    <row r="12" spans="1:8">
      <c r="A12" s="143"/>
      <c r="B12" s="12" t="s">
        <v>149</v>
      </c>
      <c r="C12" s="55" t="s">
        <v>5581</v>
      </c>
      <c r="D12" s="144" t="s">
        <v>5582</v>
      </c>
      <c r="E12" s="12" t="s">
        <v>5583</v>
      </c>
      <c r="F12" s="12"/>
      <c r="G12" s="12"/>
      <c r="H12" s="12"/>
    </row>
    <row r="13" spans="1:8">
      <c r="A13" s="143"/>
      <c r="B13" s="12" t="s">
        <v>149</v>
      </c>
      <c r="C13" s="55" t="s">
        <v>5584</v>
      </c>
      <c r="D13" s="144" t="s">
        <v>5585</v>
      </c>
      <c r="E13" s="12" t="s">
        <v>5140</v>
      </c>
      <c r="F13" s="12"/>
      <c r="G13" s="12"/>
      <c r="H13" s="12"/>
    </row>
    <row r="14" spans="2:8">
      <c r="B14" s="145"/>
      <c r="C14" s="105" t="s">
        <v>93</v>
      </c>
      <c r="D14" s="146"/>
      <c r="E14" s="146" t="s">
        <v>5586</v>
      </c>
      <c r="F14" s="146"/>
      <c r="G14" s="146"/>
      <c r="H14" s="146"/>
    </row>
    <row r="15" spans="2:12">
      <c r="B15" s="56" t="s">
        <v>158</v>
      </c>
      <c r="C15" s="57"/>
      <c r="D15" s="57"/>
      <c r="E15" s="57"/>
      <c r="F15" s="57"/>
      <c r="G15" s="57"/>
      <c r="H15" s="57"/>
      <c r="I15" s="57"/>
      <c r="J15" s="57"/>
      <c r="K15" s="57"/>
      <c r="L15" s="62"/>
    </row>
    <row r="16" ht="24" spans="2:12">
      <c r="B16" s="58" t="s">
        <v>159</v>
      </c>
      <c r="C16" s="58" t="s">
        <v>160</v>
      </c>
      <c r="D16" s="58" t="s">
        <v>161</v>
      </c>
      <c r="E16" s="58" t="s">
        <v>162</v>
      </c>
      <c r="F16" s="58" t="s">
        <v>163</v>
      </c>
      <c r="G16" s="58" t="s">
        <v>164</v>
      </c>
      <c r="H16" s="58" t="s">
        <v>165</v>
      </c>
      <c r="I16" s="58" t="s">
        <v>13</v>
      </c>
      <c r="J16" s="58" t="s">
        <v>166</v>
      </c>
      <c r="K16" s="58" t="s">
        <v>167</v>
      </c>
      <c r="L16" s="58" t="s">
        <v>168</v>
      </c>
    </row>
    <row r="17" spans="2:13">
      <c r="B17" s="59" t="s">
        <v>174</v>
      </c>
      <c r="C17" s="59" t="s">
        <v>175</v>
      </c>
      <c r="D17" s="59" t="s">
        <v>176</v>
      </c>
      <c r="E17" s="59" t="s">
        <v>4748</v>
      </c>
      <c r="F17" s="12"/>
      <c r="G17" s="59" t="s">
        <v>177</v>
      </c>
      <c r="H17" s="12"/>
      <c r="I17" s="12"/>
      <c r="J17" s="12"/>
      <c r="K17" s="59"/>
      <c r="L17" s="55"/>
      <c r="M17" s="55"/>
    </row>
    <row r="18" spans="2:13">
      <c r="B18" s="59" t="s">
        <v>1539</v>
      </c>
      <c r="C18" s="59" t="s">
        <v>170</v>
      </c>
      <c r="D18" s="59" t="s">
        <v>1540</v>
      </c>
      <c r="E18" s="59" t="s">
        <v>4748</v>
      </c>
      <c r="F18" s="12"/>
      <c r="G18" s="59" t="s">
        <v>693</v>
      </c>
      <c r="H18" s="12"/>
      <c r="I18" s="12"/>
      <c r="J18" s="12"/>
      <c r="K18" s="59"/>
      <c r="L18" s="55"/>
      <c r="M18" s="55"/>
    </row>
    <row r="19" spans="2:13">
      <c r="B19" s="59" t="s">
        <v>5587</v>
      </c>
      <c r="C19" s="59" t="s">
        <v>170</v>
      </c>
      <c r="D19" s="59" t="s">
        <v>1972</v>
      </c>
      <c r="E19" s="59" t="s">
        <v>4748</v>
      </c>
      <c r="F19" s="12"/>
      <c r="G19" s="59" t="s">
        <v>696</v>
      </c>
      <c r="H19" s="12"/>
      <c r="I19" s="12"/>
      <c r="J19" s="12"/>
      <c r="K19" s="59"/>
      <c r="L19" s="55"/>
      <c r="M19" s="55"/>
    </row>
    <row r="20" spans="2:13">
      <c r="B20" s="60" t="s">
        <v>169</v>
      </c>
      <c r="C20" s="59" t="s">
        <v>170</v>
      </c>
      <c r="D20" s="59" t="s">
        <v>525</v>
      </c>
      <c r="E20" s="59" t="s">
        <v>4748</v>
      </c>
      <c r="F20" s="12"/>
      <c r="G20" s="59" t="s">
        <v>169</v>
      </c>
      <c r="H20" s="12"/>
      <c r="I20" s="12"/>
      <c r="J20" s="12"/>
      <c r="K20" s="59"/>
      <c r="L20" s="55"/>
      <c r="M20" s="55"/>
    </row>
    <row r="21" spans="2:13">
      <c r="B21" s="60" t="s">
        <v>178</v>
      </c>
      <c r="C21" s="59" t="s">
        <v>170</v>
      </c>
      <c r="D21" s="59" t="s">
        <v>527</v>
      </c>
      <c r="E21" s="59" t="s">
        <v>4748</v>
      </c>
      <c r="F21" s="12"/>
      <c r="G21" s="59" t="s">
        <v>178</v>
      </c>
      <c r="H21" s="12"/>
      <c r="I21" s="12"/>
      <c r="J21" s="12"/>
      <c r="K21" s="59"/>
      <c r="L21" s="55"/>
      <c r="M21" s="55"/>
    </row>
    <row r="22" spans="2:13">
      <c r="B22" s="60" t="s">
        <v>180</v>
      </c>
      <c r="C22" s="59" t="s">
        <v>170</v>
      </c>
      <c r="D22" s="59" t="s">
        <v>5588</v>
      </c>
      <c r="E22" s="59" t="s">
        <v>4748</v>
      </c>
      <c r="F22" s="12"/>
      <c r="G22" s="59" t="s">
        <v>180</v>
      </c>
      <c r="H22" s="12"/>
      <c r="I22" s="12"/>
      <c r="J22" s="12"/>
      <c r="K22" s="59"/>
      <c r="L22" s="55"/>
      <c r="M22" s="55"/>
    </row>
    <row r="23" spans="2:13">
      <c r="B23" s="60" t="s">
        <v>5589</v>
      </c>
      <c r="C23" s="59" t="s">
        <v>175</v>
      </c>
      <c r="D23" s="59" t="s">
        <v>1553</v>
      </c>
      <c r="E23" s="59" t="s">
        <v>4748</v>
      </c>
      <c r="F23" s="12"/>
      <c r="G23" s="59" t="s">
        <v>5590</v>
      </c>
      <c r="H23" s="12"/>
      <c r="I23" s="12"/>
      <c r="J23" s="12"/>
      <c r="K23" s="59"/>
      <c r="L23" s="55"/>
      <c r="M23" s="55"/>
    </row>
    <row r="24" spans="2:13">
      <c r="B24" s="60" t="s">
        <v>746</v>
      </c>
      <c r="C24" s="59" t="s">
        <v>175</v>
      </c>
      <c r="D24" s="59" t="s">
        <v>747</v>
      </c>
      <c r="E24" s="59" t="s">
        <v>4748</v>
      </c>
      <c r="F24" s="12"/>
      <c r="G24" s="59" t="s">
        <v>746</v>
      </c>
      <c r="H24" s="12"/>
      <c r="I24" s="12"/>
      <c r="J24" s="12"/>
      <c r="K24" s="59"/>
      <c r="L24" s="55"/>
      <c r="M24" s="55"/>
    </row>
    <row r="25" spans="2:13">
      <c r="B25" s="60" t="s">
        <v>191</v>
      </c>
      <c r="C25" s="59" t="s">
        <v>175</v>
      </c>
      <c r="D25" s="59" t="s">
        <v>5591</v>
      </c>
      <c r="E25" s="59" t="s">
        <v>4748</v>
      </c>
      <c r="F25" s="12"/>
      <c r="G25" s="59" t="s">
        <v>191</v>
      </c>
      <c r="H25" s="12"/>
      <c r="I25" s="12"/>
      <c r="J25" s="12"/>
      <c r="K25" s="59"/>
      <c r="L25" s="55"/>
      <c r="M25" s="55"/>
    </row>
    <row r="26" spans="2:13">
      <c r="B26" s="60" t="s">
        <v>188</v>
      </c>
      <c r="C26" s="59" t="s">
        <v>175</v>
      </c>
      <c r="D26" s="59" t="s">
        <v>5592</v>
      </c>
      <c r="E26" s="59" t="s">
        <v>4748</v>
      </c>
      <c r="F26" s="12"/>
      <c r="G26" s="59" t="s">
        <v>188</v>
      </c>
      <c r="H26" s="12"/>
      <c r="I26" s="12"/>
      <c r="J26" s="12"/>
      <c r="K26" s="59"/>
      <c r="L26" s="55"/>
      <c r="M26" s="55"/>
    </row>
    <row r="27" spans="2:13">
      <c r="B27" s="60" t="s">
        <v>1564</v>
      </c>
      <c r="C27" s="59" t="s">
        <v>175</v>
      </c>
      <c r="D27" s="59" t="s">
        <v>1565</v>
      </c>
      <c r="E27" s="59" t="s">
        <v>4748</v>
      </c>
      <c r="F27" s="12"/>
      <c r="G27" s="59" t="s">
        <v>1564</v>
      </c>
      <c r="H27" s="12"/>
      <c r="I27" s="12"/>
      <c r="J27" s="12"/>
      <c r="K27" s="59"/>
      <c r="L27" s="55"/>
      <c r="M27" s="55"/>
    </row>
    <row r="28" spans="2:13">
      <c r="B28" s="60" t="s">
        <v>211</v>
      </c>
      <c r="C28" s="59" t="s">
        <v>175</v>
      </c>
      <c r="D28" s="59" t="s">
        <v>211</v>
      </c>
      <c r="E28" s="59" t="s">
        <v>4748</v>
      </c>
      <c r="F28" s="12"/>
      <c r="G28" s="59" t="s">
        <v>211</v>
      </c>
      <c r="H28" s="12"/>
      <c r="I28" s="12"/>
      <c r="J28" s="12"/>
      <c r="K28" s="59"/>
      <c r="L28" s="55"/>
      <c r="M28" s="55"/>
    </row>
    <row r="29" spans="2:13">
      <c r="B29" s="59" t="s">
        <v>255</v>
      </c>
      <c r="C29" s="59" t="s">
        <v>229</v>
      </c>
      <c r="D29" s="59" t="s">
        <v>618</v>
      </c>
      <c r="E29" s="59" t="s">
        <v>4748</v>
      </c>
      <c r="F29" s="12"/>
      <c r="G29" s="59" t="s">
        <v>256</v>
      </c>
      <c r="H29" s="12"/>
      <c r="I29" s="59" t="s">
        <v>5593</v>
      </c>
      <c r="J29" s="12"/>
      <c r="K29" s="59"/>
      <c r="L29" s="55"/>
      <c r="M29" s="55"/>
    </row>
    <row r="30" spans="2:13">
      <c r="B30" s="59" t="s">
        <v>4263</v>
      </c>
      <c r="C30" s="59" t="s">
        <v>229</v>
      </c>
      <c r="D30" s="59" t="s">
        <v>4264</v>
      </c>
      <c r="E30" s="59" t="s">
        <v>4748</v>
      </c>
      <c r="F30" s="12"/>
      <c r="G30" s="59" t="s">
        <v>5594</v>
      </c>
      <c r="H30" s="55"/>
      <c r="I30" s="59" t="s">
        <v>5593</v>
      </c>
      <c r="J30" s="12"/>
      <c r="K30" s="59"/>
      <c r="L30" s="55"/>
      <c r="M30" s="55"/>
    </row>
    <row r="31" spans="2:13">
      <c r="B31" s="59" t="s">
        <v>4266</v>
      </c>
      <c r="C31" s="59" t="s">
        <v>203</v>
      </c>
      <c r="D31" s="59" t="s">
        <v>4267</v>
      </c>
      <c r="E31" s="59" t="s">
        <v>4748</v>
      </c>
      <c r="F31" s="12"/>
      <c r="G31" s="59" t="s">
        <v>5595</v>
      </c>
      <c r="H31" s="55"/>
      <c r="I31" s="59" t="s">
        <v>5593</v>
      </c>
      <c r="J31" s="12"/>
      <c r="K31" s="59"/>
      <c r="L31" s="55"/>
      <c r="M31" s="55"/>
    </row>
    <row r="32" spans="2:13">
      <c r="B32" s="59" t="s">
        <v>4269</v>
      </c>
      <c r="C32" s="59" t="s">
        <v>229</v>
      </c>
      <c r="D32" s="59" t="s">
        <v>1847</v>
      </c>
      <c r="E32" s="59" t="s">
        <v>4748</v>
      </c>
      <c r="F32" s="12"/>
      <c r="G32" s="59" t="s">
        <v>5596</v>
      </c>
      <c r="H32" s="55"/>
      <c r="I32" s="59" t="s">
        <v>5593</v>
      </c>
      <c r="J32" s="12"/>
      <c r="K32" s="59"/>
      <c r="L32" s="55"/>
      <c r="M32" s="55"/>
    </row>
    <row r="33" spans="2:13">
      <c r="B33" s="59" t="s">
        <v>4271</v>
      </c>
      <c r="C33" s="59" t="s">
        <v>229</v>
      </c>
      <c r="D33" s="59" t="s">
        <v>1849</v>
      </c>
      <c r="E33" s="59" t="s">
        <v>4748</v>
      </c>
      <c r="F33" s="12"/>
      <c r="G33" s="59" t="s">
        <v>5597</v>
      </c>
      <c r="H33" s="55"/>
      <c r="I33" s="59" t="s">
        <v>5593</v>
      </c>
      <c r="J33" s="12"/>
      <c r="K33" s="59"/>
      <c r="L33" s="55"/>
      <c r="M33" s="55"/>
    </row>
    <row r="34" spans="2:13">
      <c r="B34" s="59" t="s">
        <v>4273</v>
      </c>
      <c r="C34" s="59" t="s">
        <v>229</v>
      </c>
      <c r="D34" s="59" t="s">
        <v>1851</v>
      </c>
      <c r="E34" s="59" t="s">
        <v>4748</v>
      </c>
      <c r="F34" s="12"/>
      <c r="G34" s="59" t="s">
        <v>5598</v>
      </c>
      <c r="H34" s="55"/>
      <c r="I34" s="59" t="s">
        <v>5593</v>
      </c>
      <c r="J34" s="12"/>
      <c r="K34" s="59"/>
      <c r="L34" s="55"/>
      <c r="M34" s="55"/>
    </row>
    <row r="35" spans="2:13">
      <c r="B35" s="59" t="s">
        <v>4275</v>
      </c>
      <c r="C35" s="59" t="s">
        <v>229</v>
      </c>
      <c r="D35" s="59" t="s">
        <v>1853</v>
      </c>
      <c r="E35" s="59" t="s">
        <v>4748</v>
      </c>
      <c r="F35" s="12"/>
      <c r="G35" s="59" t="s">
        <v>5599</v>
      </c>
      <c r="H35" s="55"/>
      <c r="I35" s="59" t="s">
        <v>5593</v>
      </c>
      <c r="J35" s="12"/>
      <c r="K35" s="59"/>
      <c r="L35" s="55"/>
      <c r="M35" s="55"/>
    </row>
    <row r="36" spans="2:13">
      <c r="B36" s="59" t="s">
        <v>4277</v>
      </c>
      <c r="C36" s="59" t="s">
        <v>229</v>
      </c>
      <c r="D36" s="59" t="s">
        <v>1855</v>
      </c>
      <c r="E36" s="59" t="s">
        <v>4748</v>
      </c>
      <c r="F36" s="12"/>
      <c r="G36" s="59" t="s">
        <v>5600</v>
      </c>
      <c r="H36" s="55"/>
      <c r="I36" s="59" t="s">
        <v>5593</v>
      </c>
      <c r="J36" s="12"/>
      <c r="K36" s="59"/>
      <c r="L36" s="55"/>
      <c r="M36" s="55"/>
    </row>
    <row r="37" spans="2:13">
      <c r="B37" s="59" t="s">
        <v>4279</v>
      </c>
      <c r="C37" s="59" t="s">
        <v>229</v>
      </c>
      <c r="D37" s="59" t="s">
        <v>1857</v>
      </c>
      <c r="E37" s="59" t="s">
        <v>4748</v>
      </c>
      <c r="F37" s="12"/>
      <c r="G37" s="59" t="s">
        <v>5601</v>
      </c>
      <c r="H37" s="55"/>
      <c r="I37" s="59" t="s">
        <v>5593</v>
      </c>
      <c r="J37" s="12"/>
      <c r="K37" s="59"/>
      <c r="L37" s="55"/>
      <c r="M37" s="55"/>
    </row>
    <row r="38" spans="2:13">
      <c r="B38" s="59" t="s">
        <v>257</v>
      </c>
      <c r="C38" s="59" t="s">
        <v>229</v>
      </c>
      <c r="D38" s="59" t="s">
        <v>394</v>
      </c>
      <c r="E38" s="59" t="s">
        <v>4748</v>
      </c>
      <c r="F38" s="12"/>
      <c r="G38" s="59" t="s">
        <v>5602</v>
      </c>
      <c r="H38" s="55"/>
      <c r="I38" s="59" t="s">
        <v>5593</v>
      </c>
      <c r="J38" s="12"/>
      <c r="K38" s="59"/>
      <c r="L38" s="55"/>
      <c r="M38" s="55"/>
    </row>
    <row r="39" spans="2:13">
      <c r="B39" s="59" t="s">
        <v>264</v>
      </c>
      <c r="C39" s="59" t="s">
        <v>229</v>
      </c>
      <c r="D39" s="59" t="s">
        <v>395</v>
      </c>
      <c r="E39" s="59" t="s">
        <v>4748</v>
      </c>
      <c r="F39" s="12"/>
      <c r="G39" s="59" t="s">
        <v>4856</v>
      </c>
      <c r="H39" s="55"/>
      <c r="I39" s="59" t="s">
        <v>5593</v>
      </c>
      <c r="J39" s="12"/>
      <c r="K39" s="59"/>
      <c r="L39" s="55"/>
      <c r="M39" s="55"/>
    </row>
    <row r="40" spans="2:13">
      <c r="B40" s="59" t="s">
        <v>1989</v>
      </c>
      <c r="C40" s="59" t="s">
        <v>229</v>
      </c>
      <c r="D40" s="59" t="s">
        <v>4283</v>
      </c>
      <c r="E40" s="59" t="s">
        <v>4748</v>
      </c>
      <c r="F40" s="12"/>
      <c r="G40" s="59" t="s">
        <v>1990</v>
      </c>
      <c r="H40" s="55"/>
      <c r="I40" s="59" t="s">
        <v>5593</v>
      </c>
      <c r="J40" s="12"/>
      <c r="K40" s="59"/>
      <c r="L40" s="55"/>
      <c r="M40" s="55"/>
    </row>
    <row r="41" spans="2:13">
      <c r="B41" s="59" t="s">
        <v>1991</v>
      </c>
      <c r="C41" s="59" t="s">
        <v>229</v>
      </c>
      <c r="D41" s="59" t="s">
        <v>4285</v>
      </c>
      <c r="E41" s="59" t="s">
        <v>4748</v>
      </c>
      <c r="F41" s="12"/>
      <c r="G41" s="59" t="s">
        <v>1992</v>
      </c>
      <c r="H41" s="55"/>
      <c r="I41" s="59" t="s">
        <v>5593</v>
      </c>
      <c r="J41" s="12"/>
      <c r="K41" s="59"/>
      <c r="L41" s="55"/>
      <c r="M41" s="55"/>
    </row>
    <row r="42" spans="2:13">
      <c r="B42" s="59" t="s">
        <v>4287</v>
      </c>
      <c r="C42" s="59" t="s">
        <v>229</v>
      </c>
      <c r="D42" s="59" t="s">
        <v>4288</v>
      </c>
      <c r="E42" s="59" t="s">
        <v>4748</v>
      </c>
      <c r="F42" s="12"/>
      <c r="G42" s="59" t="s">
        <v>5603</v>
      </c>
      <c r="H42" s="55"/>
      <c r="I42" s="59" t="s">
        <v>5593</v>
      </c>
      <c r="J42" s="12"/>
      <c r="K42" s="59"/>
      <c r="L42" s="55"/>
      <c r="M42" s="55"/>
    </row>
    <row r="43" spans="2:13">
      <c r="B43" s="59" t="s">
        <v>4290</v>
      </c>
      <c r="C43" s="59" t="s">
        <v>229</v>
      </c>
      <c r="D43" s="59" t="s">
        <v>4291</v>
      </c>
      <c r="E43" s="59" t="s">
        <v>4748</v>
      </c>
      <c r="F43" s="12"/>
      <c r="G43" s="59" t="s">
        <v>5604</v>
      </c>
      <c r="H43" s="55"/>
      <c r="I43" s="59" t="s">
        <v>5593</v>
      </c>
      <c r="J43" s="12"/>
      <c r="K43" s="59"/>
      <c r="L43" s="55"/>
      <c r="M43" s="55"/>
    </row>
    <row r="44" spans="2:13">
      <c r="B44" s="59" t="s">
        <v>1993</v>
      </c>
      <c r="C44" s="59" t="s">
        <v>229</v>
      </c>
      <c r="D44" s="59" t="s">
        <v>4293</v>
      </c>
      <c r="E44" s="59" t="s">
        <v>4748</v>
      </c>
      <c r="F44" s="12"/>
      <c r="G44" s="59" t="s">
        <v>1994</v>
      </c>
      <c r="H44" s="55"/>
      <c r="I44" s="59" t="s">
        <v>5593</v>
      </c>
      <c r="J44" s="12"/>
      <c r="K44" s="59"/>
      <c r="L44" s="55"/>
      <c r="M44" s="55"/>
    </row>
    <row r="45" spans="2:13">
      <c r="B45" s="59" t="s">
        <v>1995</v>
      </c>
      <c r="C45" s="59" t="s">
        <v>229</v>
      </c>
      <c r="D45" s="59" t="s">
        <v>4295</v>
      </c>
      <c r="E45" s="59" t="s">
        <v>4748</v>
      </c>
      <c r="F45" s="12"/>
      <c r="G45" s="59" t="s">
        <v>1996</v>
      </c>
      <c r="H45" s="55"/>
      <c r="I45" s="59" t="s">
        <v>5593</v>
      </c>
      <c r="J45" s="12"/>
      <c r="K45" s="59"/>
      <c r="L45" s="55"/>
      <c r="M45" s="55"/>
    </row>
    <row r="46" spans="2:13">
      <c r="B46" s="59" t="s">
        <v>4297</v>
      </c>
      <c r="C46" s="59" t="s">
        <v>203</v>
      </c>
      <c r="D46" s="59" t="s">
        <v>4298</v>
      </c>
      <c r="E46" s="59" t="s">
        <v>4748</v>
      </c>
      <c r="F46" s="12"/>
      <c r="G46" s="59" t="s">
        <v>2489</v>
      </c>
      <c r="H46" s="55"/>
      <c r="I46" s="59" t="s">
        <v>5593</v>
      </c>
      <c r="J46" s="12"/>
      <c r="K46" s="59"/>
      <c r="L46" s="55"/>
      <c r="M46" s="55"/>
    </row>
    <row r="47" spans="2:13">
      <c r="B47" s="59" t="s">
        <v>4300</v>
      </c>
      <c r="C47" s="59" t="s">
        <v>203</v>
      </c>
      <c r="D47" s="59" t="s">
        <v>4301</v>
      </c>
      <c r="E47" s="59" t="s">
        <v>4748</v>
      </c>
      <c r="F47" s="12"/>
      <c r="G47" s="59" t="s">
        <v>2512</v>
      </c>
      <c r="H47" s="55"/>
      <c r="I47" s="59" t="s">
        <v>5593</v>
      </c>
      <c r="J47" s="12"/>
      <c r="K47" s="59"/>
      <c r="L47" s="55"/>
      <c r="M47" s="55"/>
    </row>
    <row r="48" spans="2:13">
      <c r="B48" s="59" t="s">
        <v>4303</v>
      </c>
      <c r="C48" s="59" t="s">
        <v>203</v>
      </c>
      <c r="D48" s="59" t="s">
        <v>4304</v>
      </c>
      <c r="E48" s="59" t="s">
        <v>4748</v>
      </c>
      <c r="F48" s="12"/>
      <c r="G48" s="59" t="s">
        <v>5605</v>
      </c>
      <c r="H48" s="55"/>
      <c r="I48" s="59" t="s">
        <v>5593</v>
      </c>
      <c r="J48" s="12"/>
      <c r="K48" s="59"/>
      <c r="L48" s="55"/>
      <c r="M48" s="55"/>
    </row>
    <row r="49" spans="2:13">
      <c r="B49" s="59" t="s">
        <v>4306</v>
      </c>
      <c r="C49" s="59" t="s">
        <v>203</v>
      </c>
      <c r="D49" s="59" t="s">
        <v>4307</v>
      </c>
      <c r="E49" s="59" t="s">
        <v>4748</v>
      </c>
      <c r="F49" s="12"/>
      <c r="G49" s="59" t="s">
        <v>1959</v>
      </c>
      <c r="H49" s="55"/>
      <c r="I49" s="59" t="s">
        <v>5593</v>
      </c>
      <c r="J49" s="12"/>
      <c r="K49" s="59"/>
      <c r="L49" s="55"/>
      <c r="M49" s="55"/>
    </row>
    <row r="50" spans="2:13">
      <c r="B50" s="59" t="s">
        <v>4309</v>
      </c>
      <c r="C50" s="59" t="s">
        <v>203</v>
      </c>
      <c r="D50" s="59" t="s">
        <v>4310</v>
      </c>
      <c r="E50" s="59" t="s">
        <v>4748</v>
      </c>
      <c r="F50" s="12"/>
      <c r="G50" s="59" t="s">
        <v>1387</v>
      </c>
      <c r="H50" s="55"/>
      <c r="I50" s="59" t="s">
        <v>5593</v>
      </c>
      <c r="J50" s="12"/>
      <c r="K50" s="59"/>
      <c r="L50" s="55"/>
      <c r="M50" s="55"/>
    </row>
    <row r="51" spans="2:13">
      <c r="B51" s="59" t="s">
        <v>4312</v>
      </c>
      <c r="C51" s="59" t="s">
        <v>203</v>
      </c>
      <c r="D51" s="59" t="s">
        <v>4313</v>
      </c>
      <c r="E51" s="59" t="s">
        <v>4748</v>
      </c>
      <c r="F51" s="12"/>
      <c r="G51" s="59" t="s">
        <v>5606</v>
      </c>
      <c r="H51" s="55"/>
      <c r="I51" s="59" t="s">
        <v>5593</v>
      </c>
      <c r="J51" s="12"/>
      <c r="K51" s="59"/>
      <c r="L51" s="55"/>
      <c r="M51" s="55"/>
    </row>
    <row r="52" spans="2:13">
      <c r="B52" s="59" t="s">
        <v>1577</v>
      </c>
      <c r="C52" s="59" t="s">
        <v>229</v>
      </c>
      <c r="D52" s="59" t="s">
        <v>4315</v>
      </c>
      <c r="E52" s="59" t="s">
        <v>4748</v>
      </c>
      <c r="F52" s="12"/>
      <c r="G52" s="59" t="s">
        <v>5607</v>
      </c>
      <c r="H52" s="55"/>
      <c r="I52" s="59" t="s">
        <v>5593</v>
      </c>
      <c r="J52" s="12"/>
      <c r="K52" s="59"/>
      <c r="L52" s="55"/>
      <c r="M52" s="55"/>
    </row>
    <row r="53" spans="2:13">
      <c r="B53" s="59" t="s">
        <v>1581</v>
      </c>
      <c r="C53" s="59" t="s">
        <v>229</v>
      </c>
      <c r="D53" s="59" t="s">
        <v>4317</v>
      </c>
      <c r="E53" s="59" t="s">
        <v>4748</v>
      </c>
      <c r="F53" s="12"/>
      <c r="G53" s="59" t="s">
        <v>5608</v>
      </c>
      <c r="H53" s="55"/>
      <c r="I53" s="59" t="s">
        <v>5593</v>
      </c>
      <c r="J53" s="12"/>
      <c r="K53" s="59"/>
      <c r="L53" s="55"/>
      <c r="M53" s="55"/>
    </row>
    <row r="54" spans="2:19">
      <c r="B54" s="59" t="s">
        <v>1796</v>
      </c>
      <c r="C54" s="59" t="s">
        <v>229</v>
      </c>
      <c r="D54" s="59" t="s">
        <v>4319</v>
      </c>
      <c r="E54" s="59" t="s">
        <v>4748</v>
      </c>
      <c r="F54" s="12"/>
      <c r="G54" s="59" t="s">
        <v>5609</v>
      </c>
      <c r="H54" s="55"/>
      <c r="I54" s="59" t="s">
        <v>5593</v>
      </c>
      <c r="J54" s="12"/>
      <c r="K54" s="59"/>
      <c r="L54" s="55"/>
      <c r="M54" s="55"/>
      <c r="S54" s="42" t="s">
        <v>1796</v>
      </c>
    </row>
    <row r="55" spans="2:19">
      <c r="B55" s="59" t="s">
        <v>1798</v>
      </c>
      <c r="C55" s="59" t="s">
        <v>229</v>
      </c>
      <c r="D55" s="59" t="s">
        <v>4321</v>
      </c>
      <c r="E55" s="59" t="s">
        <v>4748</v>
      </c>
      <c r="F55" s="12"/>
      <c r="G55" s="59" t="s">
        <v>5610</v>
      </c>
      <c r="H55" s="55"/>
      <c r="I55" s="59" t="s">
        <v>5593</v>
      </c>
      <c r="J55" s="12"/>
      <c r="K55" s="59"/>
      <c r="L55" s="55"/>
      <c r="M55" s="55"/>
      <c r="S55" s="42" t="s">
        <v>1798</v>
      </c>
    </row>
    <row r="56" spans="2:13">
      <c r="B56" s="59" t="s">
        <v>4323</v>
      </c>
      <c r="C56" s="59" t="s">
        <v>229</v>
      </c>
      <c r="D56" s="59" t="s">
        <v>4324</v>
      </c>
      <c r="E56" s="59" t="s">
        <v>4748</v>
      </c>
      <c r="F56" s="12"/>
      <c r="G56" s="59" t="s">
        <v>5021</v>
      </c>
      <c r="H56" s="55"/>
      <c r="I56" s="59" t="s">
        <v>5593</v>
      </c>
      <c r="J56" s="12"/>
      <c r="K56" s="59"/>
      <c r="L56" s="55"/>
      <c r="M56" s="55"/>
    </row>
    <row r="57" spans="2:13">
      <c r="B57" s="59" t="s">
        <v>4326</v>
      </c>
      <c r="C57" s="59" t="s">
        <v>229</v>
      </c>
      <c r="D57" s="59" t="s">
        <v>4327</v>
      </c>
      <c r="E57" s="59" t="s">
        <v>4748</v>
      </c>
      <c r="F57" s="12"/>
      <c r="G57" s="59" t="s">
        <v>5023</v>
      </c>
      <c r="H57" s="55"/>
      <c r="I57" s="59" t="s">
        <v>5593</v>
      </c>
      <c r="J57" s="12"/>
      <c r="K57" s="59"/>
      <c r="L57" s="55"/>
      <c r="M57" s="55"/>
    </row>
    <row r="58" spans="2:13">
      <c r="B58" s="59" t="s">
        <v>4329</v>
      </c>
      <c r="C58" s="59" t="s">
        <v>229</v>
      </c>
      <c r="D58" s="59" t="s">
        <v>4330</v>
      </c>
      <c r="E58" s="59" t="s">
        <v>4748</v>
      </c>
      <c r="F58" s="12"/>
      <c r="G58" s="59" t="s">
        <v>5611</v>
      </c>
      <c r="H58" s="55"/>
      <c r="I58" s="59" t="s">
        <v>5593</v>
      </c>
      <c r="J58" s="12"/>
      <c r="K58" s="59"/>
      <c r="L58" s="55"/>
      <c r="M58" s="55"/>
    </row>
    <row r="59" ht="16.5" customHeight="1" spans="2:13">
      <c r="B59" s="59" t="s">
        <v>5612</v>
      </c>
      <c r="C59" s="59" t="s">
        <v>229</v>
      </c>
      <c r="D59" s="59" t="s">
        <v>5613</v>
      </c>
      <c r="E59" s="147" t="s">
        <v>4748</v>
      </c>
      <c r="F59" s="12"/>
      <c r="G59" s="148" t="s">
        <v>4849</v>
      </c>
      <c r="H59" s="55"/>
      <c r="I59" s="149" t="s">
        <v>4850</v>
      </c>
      <c r="J59" s="12"/>
      <c r="K59" s="59"/>
      <c r="L59" s="55"/>
      <c r="M59" s="55"/>
    </row>
    <row r="60" spans="2:13">
      <c r="B60" s="59" t="s">
        <v>5614</v>
      </c>
      <c r="C60" s="59" t="s">
        <v>229</v>
      </c>
      <c r="D60" s="59" t="s">
        <v>5615</v>
      </c>
      <c r="E60" s="147" t="s">
        <v>4748</v>
      </c>
      <c r="F60" s="12"/>
      <c r="G60" s="148" t="s">
        <v>4853</v>
      </c>
      <c r="H60" s="55"/>
      <c r="I60" s="149"/>
      <c r="J60" s="12"/>
      <c r="K60" s="59"/>
      <c r="L60" s="55"/>
      <c r="M60" s="55"/>
    </row>
    <row r="61" spans="2:19">
      <c r="B61" s="59" t="s">
        <v>5616</v>
      </c>
      <c r="C61" s="59" t="s">
        <v>229</v>
      </c>
      <c r="D61" s="59" t="s">
        <v>5617</v>
      </c>
      <c r="E61" s="147" t="s">
        <v>4748</v>
      </c>
      <c r="F61" s="12"/>
      <c r="G61" s="148" t="s">
        <v>4856</v>
      </c>
      <c r="H61" s="55"/>
      <c r="I61" s="149"/>
      <c r="J61" s="12"/>
      <c r="K61" s="59"/>
      <c r="L61" s="55"/>
      <c r="M61" s="55"/>
      <c r="S61" s="42" t="s">
        <v>4329</v>
      </c>
    </row>
    <row r="62" spans="2:13">
      <c r="B62" s="59" t="s">
        <v>5618</v>
      </c>
      <c r="C62" s="59" t="s">
        <v>229</v>
      </c>
      <c r="D62" s="59" t="s">
        <v>5619</v>
      </c>
      <c r="E62" s="147" t="s">
        <v>4748</v>
      </c>
      <c r="F62" s="12"/>
      <c r="G62" s="148" t="s">
        <v>4859</v>
      </c>
      <c r="H62" s="55"/>
      <c r="I62" s="149"/>
      <c r="J62" s="12"/>
      <c r="K62" s="59"/>
      <c r="L62" s="55"/>
      <c r="M62" s="55"/>
    </row>
    <row r="63" spans="2:13">
      <c r="B63" s="59" t="s">
        <v>5620</v>
      </c>
      <c r="C63" s="59" t="s">
        <v>229</v>
      </c>
      <c r="D63" s="59" t="s">
        <v>1586</v>
      </c>
      <c r="E63" s="147" t="s">
        <v>4748</v>
      </c>
      <c r="F63" s="12"/>
      <c r="G63" s="148" t="s">
        <v>4861</v>
      </c>
      <c r="H63" s="55"/>
      <c r="I63" s="149"/>
      <c r="J63" s="12"/>
      <c r="K63" s="59" t="s">
        <v>1588</v>
      </c>
      <c r="L63" s="55"/>
      <c r="M63" s="55"/>
    </row>
    <row r="64" spans="2:13">
      <c r="B64" s="59" t="s">
        <v>5621</v>
      </c>
      <c r="C64" s="59" t="s">
        <v>229</v>
      </c>
      <c r="D64" s="59" t="s">
        <v>1591</v>
      </c>
      <c r="E64" s="147" t="s">
        <v>4748</v>
      </c>
      <c r="F64" s="12"/>
      <c r="G64" s="148" t="s">
        <v>4863</v>
      </c>
      <c r="H64" s="55"/>
      <c r="I64" s="149"/>
      <c r="J64" s="12"/>
      <c r="K64" s="59" t="s">
        <v>1588</v>
      </c>
      <c r="L64" s="55"/>
      <c r="M64" s="55"/>
    </row>
    <row r="65" spans="2:13">
      <c r="B65" s="59" t="s">
        <v>5622</v>
      </c>
      <c r="C65" s="59" t="s">
        <v>229</v>
      </c>
      <c r="D65" s="148" t="s">
        <v>1595</v>
      </c>
      <c r="E65" s="147" t="s">
        <v>4748</v>
      </c>
      <c r="F65" s="12"/>
      <c r="G65" s="148" t="s">
        <v>4865</v>
      </c>
      <c r="H65" s="55"/>
      <c r="I65" s="149"/>
      <c r="J65" s="12"/>
      <c r="K65" s="59" t="s">
        <v>231</v>
      </c>
      <c r="L65" s="55"/>
      <c r="M65" s="55"/>
    </row>
    <row r="66" spans="2:13">
      <c r="B66" s="59" t="s">
        <v>5623</v>
      </c>
      <c r="C66" s="59" t="s">
        <v>229</v>
      </c>
      <c r="D66" s="148" t="s">
        <v>4867</v>
      </c>
      <c r="E66" s="147" t="s">
        <v>4748</v>
      </c>
      <c r="F66" s="12"/>
      <c r="G66" s="148" t="s">
        <v>4868</v>
      </c>
      <c r="H66" s="55"/>
      <c r="I66" s="149"/>
      <c r="J66" s="12"/>
      <c r="K66" s="59" t="s">
        <v>231</v>
      </c>
      <c r="L66" s="55"/>
      <c r="M66" s="55"/>
    </row>
    <row r="67" spans="2:13">
      <c r="B67" s="59" t="s">
        <v>5624</v>
      </c>
      <c r="C67" s="59" t="s">
        <v>229</v>
      </c>
      <c r="D67" s="59" t="s">
        <v>1607</v>
      </c>
      <c r="E67" s="147" t="s">
        <v>4748</v>
      </c>
      <c r="F67" s="12"/>
      <c r="G67" s="148" t="s">
        <v>4870</v>
      </c>
      <c r="H67" s="55"/>
      <c r="I67" s="149"/>
      <c r="J67" s="12"/>
      <c r="K67" s="59"/>
      <c r="L67" s="55"/>
      <c r="M67" s="55"/>
    </row>
    <row r="68" spans="2:13">
      <c r="B68" s="59" t="s">
        <v>5625</v>
      </c>
      <c r="C68" s="59" t="s">
        <v>229</v>
      </c>
      <c r="D68" s="59" t="s">
        <v>1611</v>
      </c>
      <c r="E68" s="147" t="s">
        <v>4748</v>
      </c>
      <c r="F68" s="12"/>
      <c r="G68" s="148" t="s">
        <v>4872</v>
      </c>
      <c r="H68" s="55"/>
      <c r="I68" s="149"/>
      <c r="J68" s="12"/>
      <c r="K68" s="59"/>
      <c r="L68" s="55"/>
      <c r="M68" s="55"/>
    </row>
    <row r="69" spans="2:13">
      <c r="B69" s="59" t="s">
        <v>5626</v>
      </c>
      <c r="C69" s="59" t="s">
        <v>229</v>
      </c>
      <c r="D69" s="59" t="s">
        <v>1615</v>
      </c>
      <c r="E69" s="147" t="s">
        <v>4748</v>
      </c>
      <c r="F69" s="12"/>
      <c r="G69" s="148" t="s">
        <v>4874</v>
      </c>
      <c r="H69" s="55"/>
      <c r="I69" s="149"/>
      <c r="J69" s="12"/>
      <c r="K69" s="59"/>
      <c r="L69" s="55"/>
      <c r="M69" s="55"/>
    </row>
    <row r="70" spans="2:13">
      <c r="B70" s="59" t="s">
        <v>5627</v>
      </c>
      <c r="C70" s="59" t="s">
        <v>229</v>
      </c>
      <c r="D70" s="59" t="s">
        <v>1619</v>
      </c>
      <c r="E70" s="147" t="s">
        <v>4748</v>
      </c>
      <c r="F70" s="12"/>
      <c r="G70" s="148" t="s">
        <v>4876</v>
      </c>
      <c r="H70" s="55"/>
      <c r="I70" s="149"/>
      <c r="J70" s="12"/>
      <c r="K70" s="59"/>
      <c r="L70" s="55"/>
      <c r="M70" s="55"/>
    </row>
    <row r="71" spans="2:13">
      <c r="B71" s="59" t="s">
        <v>5628</v>
      </c>
      <c r="C71" s="59" t="s">
        <v>203</v>
      </c>
      <c r="D71" s="59" t="s">
        <v>1721</v>
      </c>
      <c r="E71" s="147" t="s">
        <v>4748</v>
      </c>
      <c r="F71" s="12"/>
      <c r="G71" s="148" t="s">
        <v>4878</v>
      </c>
      <c r="H71" s="55"/>
      <c r="I71" s="149"/>
      <c r="J71" s="12"/>
      <c r="K71" s="59"/>
      <c r="L71" s="55"/>
      <c r="M71" s="55"/>
    </row>
    <row r="72" spans="2:13">
      <c r="B72" s="59" t="s">
        <v>5629</v>
      </c>
      <c r="C72" s="59" t="s">
        <v>203</v>
      </c>
      <c r="D72" s="59" t="s">
        <v>1724</v>
      </c>
      <c r="E72" s="147" t="s">
        <v>4748</v>
      </c>
      <c r="F72" s="12"/>
      <c r="G72" s="148" t="s">
        <v>4880</v>
      </c>
      <c r="H72" s="55"/>
      <c r="I72" s="149"/>
      <c r="J72" s="12"/>
      <c r="K72" s="59"/>
      <c r="L72" s="55"/>
      <c r="M72" s="55"/>
    </row>
    <row r="73" spans="2:13">
      <c r="B73" s="59" t="s">
        <v>5630</v>
      </c>
      <c r="C73" s="59" t="s">
        <v>203</v>
      </c>
      <c r="D73" s="59" t="s">
        <v>1731</v>
      </c>
      <c r="E73" s="147" t="s">
        <v>4748</v>
      </c>
      <c r="F73" s="12"/>
      <c r="G73" s="148" t="s">
        <v>4882</v>
      </c>
      <c r="H73" s="55"/>
      <c r="I73" s="149"/>
      <c r="J73" s="12"/>
      <c r="K73" s="59"/>
      <c r="L73" s="55"/>
      <c r="M73" s="55"/>
    </row>
    <row r="74" spans="2:13">
      <c r="B74" s="59" t="s">
        <v>5631</v>
      </c>
      <c r="C74" s="59" t="s">
        <v>203</v>
      </c>
      <c r="D74" s="59" t="s">
        <v>1735</v>
      </c>
      <c r="E74" s="147" t="s">
        <v>4748</v>
      </c>
      <c r="F74" s="12"/>
      <c r="G74" s="148" t="s">
        <v>4884</v>
      </c>
      <c r="H74" s="55"/>
      <c r="I74" s="149"/>
      <c r="J74" s="12"/>
      <c r="K74" s="59"/>
      <c r="L74" s="55"/>
      <c r="M74" s="55"/>
    </row>
    <row r="75" spans="2:13">
      <c r="B75" s="59" t="s">
        <v>5632</v>
      </c>
      <c r="C75" s="59" t="s">
        <v>229</v>
      </c>
      <c r="D75" s="59" t="s">
        <v>2910</v>
      </c>
      <c r="E75" s="147" t="s">
        <v>4748</v>
      </c>
      <c r="F75" s="12"/>
      <c r="G75" s="148" t="s">
        <v>4886</v>
      </c>
      <c r="H75" s="55"/>
      <c r="I75" s="149"/>
      <c r="J75" s="12"/>
      <c r="K75" s="59"/>
      <c r="L75" s="55"/>
      <c r="M75" s="55"/>
    </row>
    <row r="76" spans="2:13">
      <c r="B76" s="59" t="s">
        <v>5633</v>
      </c>
      <c r="C76" s="59" t="s">
        <v>229</v>
      </c>
      <c r="D76" s="59" t="s">
        <v>2913</v>
      </c>
      <c r="E76" s="147" t="s">
        <v>4748</v>
      </c>
      <c r="F76" s="12"/>
      <c r="G76" s="148" t="s">
        <v>4888</v>
      </c>
      <c r="H76" s="55"/>
      <c r="I76" s="149"/>
      <c r="J76" s="12"/>
      <c r="K76" s="59"/>
      <c r="L76" s="55"/>
      <c r="M76" s="55"/>
    </row>
    <row r="77" spans="2:13">
      <c r="B77" s="59" t="s">
        <v>5634</v>
      </c>
      <c r="C77" s="59" t="s">
        <v>229</v>
      </c>
      <c r="D77" s="59" t="s">
        <v>2916</v>
      </c>
      <c r="E77" s="147" t="s">
        <v>4748</v>
      </c>
      <c r="F77" s="12"/>
      <c r="G77" s="148" t="s">
        <v>4890</v>
      </c>
      <c r="H77" s="55"/>
      <c r="I77" s="149"/>
      <c r="J77" s="12"/>
      <c r="K77" s="59"/>
      <c r="L77" s="55"/>
      <c r="M77" s="55"/>
    </row>
    <row r="78" spans="2:13">
      <c r="B78" s="59" t="s">
        <v>3427</v>
      </c>
      <c r="C78" s="59" t="s">
        <v>229</v>
      </c>
      <c r="D78" s="59" t="s">
        <v>3428</v>
      </c>
      <c r="E78" s="147" t="s">
        <v>4748</v>
      </c>
      <c r="F78" s="12"/>
      <c r="G78" s="148" t="s">
        <v>4891</v>
      </c>
      <c r="H78" s="55"/>
      <c r="I78" s="149"/>
      <c r="J78" s="12"/>
      <c r="K78" s="59"/>
      <c r="L78" s="55"/>
      <c r="M78" s="55"/>
    </row>
    <row r="79" spans="2:13">
      <c r="B79" s="59" t="s">
        <v>3431</v>
      </c>
      <c r="C79" s="59" t="s">
        <v>229</v>
      </c>
      <c r="D79" s="59" t="s">
        <v>3432</v>
      </c>
      <c r="E79" s="147" t="s">
        <v>4748</v>
      </c>
      <c r="F79" s="12"/>
      <c r="G79" s="148" t="s">
        <v>4892</v>
      </c>
      <c r="H79" s="55"/>
      <c r="I79" s="149"/>
      <c r="J79" s="12"/>
      <c r="K79" s="59"/>
      <c r="L79" s="55"/>
      <c r="M79" s="55"/>
    </row>
    <row r="80" spans="2:13">
      <c r="B80" s="59" t="s">
        <v>3435</v>
      </c>
      <c r="C80" s="59" t="s">
        <v>229</v>
      </c>
      <c r="D80" s="59" t="s">
        <v>3436</v>
      </c>
      <c r="E80" s="147" t="s">
        <v>4748</v>
      </c>
      <c r="F80" s="12"/>
      <c r="G80" s="148" t="s">
        <v>4893</v>
      </c>
      <c r="H80" s="55"/>
      <c r="I80" s="149"/>
      <c r="J80" s="12"/>
      <c r="K80" s="59"/>
      <c r="L80" s="55"/>
      <c r="M80" s="55"/>
    </row>
    <row r="81" spans="2:13">
      <c r="B81" s="59" t="s">
        <v>5635</v>
      </c>
      <c r="C81" s="59" t="s">
        <v>229</v>
      </c>
      <c r="D81" s="59" t="s">
        <v>5636</v>
      </c>
      <c r="E81" s="147" t="s">
        <v>4748</v>
      </c>
      <c r="F81" s="12"/>
      <c r="G81" s="148" t="s">
        <v>4764</v>
      </c>
      <c r="H81" s="55"/>
      <c r="I81" s="149"/>
      <c r="J81" s="12"/>
      <c r="K81" s="59"/>
      <c r="L81" s="55"/>
      <c r="M81" s="55"/>
    </row>
    <row r="82" spans="2:13">
      <c r="B82" s="59" t="s">
        <v>5637</v>
      </c>
      <c r="C82" s="59" t="s">
        <v>203</v>
      </c>
      <c r="D82" s="59" t="s">
        <v>5638</v>
      </c>
      <c r="E82" s="147" t="s">
        <v>4748</v>
      </c>
      <c r="F82" s="12"/>
      <c r="G82" s="148" t="s">
        <v>4767</v>
      </c>
      <c r="H82" s="55"/>
      <c r="I82" s="149"/>
      <c r="J82" s="12"/>
      <c r="K82" s="59"/>
      <c r="L82" s="55"/>
      <c r="M82" s="55"/>
    </row>
    <row r="83" spans="2:13">
      <c r="B83" s="59" t="s">
        <v>5639</v>
      </c>
      <c r="C83" s="59" t="s">
        <v>229</v>
      </c>
      <c r="D83" s="59" t="s">
        <v>5640</v>
      </c>
      <c r="E83" s="147" t="s">
        <v>4748</v>
      </c>
      <c r="F83" s="12"/>
      <c r="G83" s="148" t="s">
        <v>4849</v>
      </c>
      <c r="H83" s="55"/>
      <c r="I83" s="149" t="s">
        <v>4900</v>
      </c>
      <c r="J83" s="12"/>
      <c r="K83" s="59"/>
      <c r="L83" s="55"/>
      <c r="M83" s="55"/>
    </row>
    <row r="84" spans="2:13">
      <c r="B84" s="59" t="s">
        <v>5641</v>
      </c>
      <c r="C84" s="59" t="s">
        <v>203</v>
      </c>
      <c r="D84" s="59" t="s">
        <v>5642</v>
      </c>
      <c r="E84" s="147" t="s">
        <v>4748</v>
      </c>
      <c r="F84" s="12"/>
      <c r="G84" s="148" t="s">
        <v>4856</v>
      </c>
      <c r="H84" s="55"/>
      <c r="I84" s="149"/>
      <c r="J84" s="12"/>
      <c r="K84" s="59"/>
      <c r="L84" s="55"/>
      <c r="M84" s="55"/>
    </row>
    <row r="85" spans="2:13">
      <c r="B85" s="59" t="s">
        <v>5643</v>
      </c>
      <c r="C85" s="59" t="s">
        <v>203</v>
      </c>
      <c r="D85" s="59" t="s">
        <v>5644</v>
      </c>
      <c r="E85" s="147" t="s">
        <v>4748</v>
      </c>
      <c r="F85" s="12"/>
      <c r="G85" s="148" t="s">
        <v>4859</v>
      </c>
      <c r="H85" s="55"/>
      <c r="I85" s="149"/>
      <c r="J85" s="12"/>
      <c r="K85" s="59"/>
      <c r="L85" s="55"/>
      <c r="M85" s="55"/>
    </row>
    <row r="86" spans="2:13">
      <c r="B86" s="59" t="s">
        <v>5645</v>
      </c>
      <c r="C86" s="59" t="s">
        <v>229</v>
      </c>
      <c r="D86" s="59" t="s">
        <v>1586</v>
      </c>
      <c r="E86" s="147" t="s">
        <v>4748</v>
      </c>
      <c r="F86" s="12"/>
      <c r="G86" s="148" t="s">
        <v>4861</v>
      </c>
      <c r="H86" s="55"/>
      <c r="I86" s="149"/>
      <c r="J86" s="12"/>
      <c r="K86" s="59" t="s">
        <v>1588</v>
      </c>
      <c r="L86" s="55"/>
      <c r="M86" s="55"/>
    </row>
    <row r="87" spans="2:13">
      <c r="B87" s="59" t="s">
        <v>5646</v>
      </c>
      <c r="C87" s="59" t="s">
        <v>229</v>
      </c>
      <c r="D87" s="59" t="s">
        <v>1591</v>
      </c>
      <c r="E87" s="147" t="s">
        <v>4748</v>
      </c>
      <c r="F87" s="12"/>
      <c r="G87" s="148" t="s">
        <v>4863</v>
      </c>
      <c r="H87" s="55"/>
      <c r="I87" s="149"/>
      <c r="J87" s="12"/>
      <c r="K87" s="59" t="s">
        <v>1588</v>
      </c>
      <c r="L87" s="55"/>
      <c r="M87" s="55"/>
    </row>
    <row r="88" spans="2:13">
      <c r="B88" s="59" t="s">
        <v>5647</v>
      </c>
      <c r="C88" s="59" t="s">
        <v>229</v>
      </c>
      <c r="D88" s="148" t="s">
        <v>1595</v>
      </c>
      <c r="E88" s="147" t="s">
        <v>4748</v>
      </c>
      <c r="F88" s="12"/>
      <c r="G88" s="148" t="s">
        <v>4865</v>
      </c>
      <c r="H88" s="55"/>
      <c r="I88" s="149"/>
      <c r="J88" s="12"/>
      <c r="K88" s="59" t="s">
        <v>231</v>
      </c>
      <c r="L88" s="55"/>
      <c r="M88" s="55"/>
    </row>
    <row r="89" spans="2:13">
      <c r="B89" s="59" t="s">
        <v>5648</v>
      </c>
      <c r="C89" s="59" t="s">
        <v>229</v>
      </c>
      <c r="D89" s="148" t="s">
        <v>4867</v>
      </c>
      <c r="E89" s="147" t="s">
        <v>4748</v>
      </c>
      <c r="F89" s="12"/>
      <c r="G89" s="148" t="s">
        <v>4868</v>
      </c>
      <c r="H89" s="55"/>
      <c r="I89" s="149"/>
      <c r="J89" s="12"/>
      <c r="K89" s="59" t="s">
        <v>231</v>
      </c>
      <c r="L89" s="55"/>
      <c r="M89" s="55"/>
    </row>
    <row r="90" spans="2:13">
      <c r="B90" s="59" t="s">
        <v>5649</v>
      </c>
      <c r="C90" s="59" t="s">
        <v>229</v>
      </c>
      <c r="D90" s="59" t="s">
        <v>1607</v>
      </c>
      <c r="E90" s="147" t="s">
        <v>4748</v>
      </c>
      <c r="F90" s="12"/>
      <c r="G90" s="148" t="s">
        <v>4870</v>
      </c>
      <c r="H90" s="55"/>
      <c r="I90" s="149"/>
      <c r="J90" s="12"/>
      <c r="K90" s="59"/>
      <c r="L90" s="55"/>
      <c r="M90" s="55"/>
    </row>
    <row r="91" spans="2:13">
      <c r="B91" s="59" t="s">
        <v>5650</v>
      </c>
      <c r="C91" s="59" t="s">
        <v>229</v>
      </c>
      <c r="D91" s="59" t="s">
        <v>1611</v>
      </c>
      <c r="E91" s="147" t="s">
        <v>4748</v>
      </c>
      <c r="F91" s="12"/>
      <c r="G91" s="148" t="s">
        <v>4872</v>
      </c>
      <c r="H91" s="55"/>
      <c r="I91" s="149"/>
      <c r="J91" s="12"/>
      <c r="K91" s="59"/>
      <c r="L91" s="55"/>
      <c r="M91" s="55"/>
    </row>
    <row r="92" spans="2:13">
      <c r="B92" s="59" t="s">
        <v>5651</v>
      </c>
      <c r="C92" s="59" t="s">
        <v>229</v>
      </c>
      <c r="D92" s="59" t="s">
        <v>1615</v>
      </c>
      <c r="E92" s="147" t="s">
        <v>4748</v>
      </c>
      <c r="F92" s="12"/>
      <c r="G92" s="148" t="s">
        <v>4874</v>
      </c>
      <c r="H92" s="55"/>
      <c r="I92" s="149"/>
      <c r="J92" s="12"/>
      <c r="K92" s="59"/>
      <c r="L92" s="55"/>
      <c r="M92" s="55"/>
    </row>
    <row r="93" spans="2:13">
      <c r="B93" s="59" t="s">
        <v>5652</v>
      </c>
      <c r="C93" s="59" t="s">
        <v>229</v>
      </c>
      <c r="D93" s="59" t="s">
        <v>1619</v>
      </c>
      <c r="E93" s="147" t="s">
        <v>4748</v>
      </c>
      <c r="F93" s="12"/>
      <c r="G93" s="148" t="s">
        <v>4876</v>
      </c>
      <c r="H93" s="55"/>
      <c r="I93" s="149"/>
      <c r="J93" s="12"/>
      <c r="K93" s="59"/>
      <c r="L93" s="55"/>
      <c r="M93" s="55"/>
    </row>
    <row r="94" spans="2:13">
      <c r="B94" s="59" t="s">
        <v>5653</v>
      </c>
      <c r="C94" s="59" t="s">
        <v>203</v>
      </c>
      <c r="D94" s="59" t="s">
        <v>1721</v>
      </c>
      <c r="E94" s="147" t="s">
        <v>4748</v>
      </c>
      <c r="F94" s="12"/>
      <c r="G94" s="148" t="s">
        <v>4878</v>
      </c>
      <c r="H94" s="55"/>
      <c r="I94" s="149"/>
      <c r="J94" s="12"/>
      <c r="K94" s="59"/>
      <c r="L94" s="55"/>
      <c r="M94" s="55"/>
    </row>
    <row r="95" spans="2:13">
      <c r="B95" s="59" t="s">
        <v>5654</v>
      </c>
      <c r="C95" s="59" t="s">
        <v>203</v>
      </c>
      <c r="D95" s="59" t="s">
        <v>1724</v>
      </c>
      <c r="E95" s="147" t="s">
        <v>4748</v>
      </c>
      <c r="F95" s="12"/>
      <c r="G95" s="148" t="s">
        <v>4880</v>
      </c>
      <c r="H95" s="55"/>
      <c r="I95" s="149"/>
      <c r="J95" s="12"/>
      <c r="K95" s="59"/>
      <c r="L95" s="55"/>
      <c r="M95" s="55"/>
    </row>
    <row r="96" spans="2:13">
      <c r="B96" s="59" t="s">
        <v>5655</v>
      </c>
      <c r="C96" s="59" t="s">
        <v>203</v>
      </c>
      <c r="D96" s="59" t="s">
        <v>1731</v>
      </c>
      <c r="E96" s="147" t="s">
        <v>4748</v>
      </c>
      <c r="F96" s="12"/>
      <c r="G96" s="148" t="s">
        <v>4882</v>
      </c>
      <c r="H96" s="55"/>
      <c r="I96" s="149"/>
      <c r="J96" s="12"/>
      <c r="K96" s="59"/>
      <c r="L96" s="55"/>
      <c r="M96" s="55"/>
    </row>
    <row r="97" spans="2:13">
      <c r="B97" s="59" t="s">
        <v>5656</v>
      </c>
      <c r="C97" s="59" t="s">
        <v>203</v>
      </c>
      <c r="D97" s="59" t="s">
        <v>1735</v>
      </c>
      <c r="E97" s="147" t="s">
        <v>4748</v>
      </c>
      <c r="F97" s="12"/>
      <c r="G97" s="148" t="s">
        <v>4884</v>
      </c>
      <c r="H97" s="55"/>
      <c r="I97" s="149"/>
      <c r="J97" s="12"/>
      <c r="K97" s="59"/>
      <c r="L97" s="55"/>
      <c r="M97" s="55"/>
    </row>
    <row r="98" spans="2:13">
      <c r="B98" s="59" t="s">
        <v>5657</v>
      </c>
      <c r="C98" s="59" t="s">
        <v>229</v>
      </c>
      <c r="D98" s="59" t="s">
        <v>5640</v>
      </c>
      <c r="E98" s="147" t="s">
        <v>4748</v>
      </c>
      <c r="F98" s="12"/>
      <c r="G98" s="148" t="s">
        <v>4886</v>
      </c>
      <c r="H98" s="55"/>
      <c r="I98" s="149"/>
      <c r="J98" s="12"/>
      <c r="K98" s="59"/>
      <c r="L98" s="55"/>
      <c r="M98" s="55"/>
    </row>
    <row r="99" spans="2:13">
      <c r="B99" s="59" t="s">
        <v>5658</v>
      </c>
      <c r="C99" s="59" t="s">
        <v>229</v>
      </c>
      <c r="D99" s="59" t="s">
        <v>5659</v>
      </c>
      <c r="E99" s="147" t="s">
        <v>4748</v>
      </c>
      <c r="F99" s="12"/>
      <c r="G99" s="148" t="s">
        <v>4888</v>
      </c>
      <c r="H99" s="55"/>
      <c r="I99" s="149"/>
      <c r="J99" s="12"/>
      <c r="K99" s="59"/>
      <c r="L99" s="55"/>
      <c r="M99" s="55"/>
    </row>
    <row r="100" spans="2:13">
      <c r="B100" s="59" t="s">
        <v>5660</v>
      </c>
      <c r="C100" s="59" t="s">
        <v>203</v>
      </c>
      <c r="D100" s="59" t="s">
        <v>5661</v>
      </c>
      <c r="E100" s="147" t="s">
        <v>4748</v>
      </c>
      <c r="F100" s="12"/>
      <c r="G100" s="148" t="s">
        <v>4926</v>
      </c>
      <c r="H100" s="55"/>
      <c r="I100" s="149"/>
      <c r="J100" s="12"/>
      <c r="K100" s="59"/>
      <c r="L100" s="55"/>
      <c r="M100" s="55"/>
    </row>
    <row r="101" spans="2:13">
      <c r="B101" s="59" t="s">
        <v>5662</v>
      </c>
      <c r="C101" s="59" t="s">
        <v>203</v>
      </c>
      <c r="D101" s="59" t="s">
        <v>2916</v>
      </c>
      <c r="E101" s="147" t="s">
        <v>4748</v>
      </c>
      <c r="F101" s="12"/>
      <c r="G101" s="148" t="s">
        <v>4928</v>
      </c>
      <c r="H101" s="55"/>
      <c r="I101" s="149"/>
      <c r="J101" s="12"/>
      <c r="K101" s="59"/>
      <c r="L101" s="55"/>
      <c r="M101" s="55"/>
    </row>
    <row r="102" spans="2:13">
      <c r="B102" s="59" t="s">
        <v>5663</v>
      </c>
      <c r="C102" s="59" t="s">
        <v>203</v>
      </c>
      <c r="D102" s="59" t="s">
        <v>5664</v>
      </c>
      <c r="E102" s="147" t="s">
        <v>4748</v>
      </c>
      <c r="F102" s="12"/>
      <c r="G102" s="148" t="s">
        <v>4931</v>
      </c>
      <c r="H102" s="55"/>
      <c r="I102" s="149"/>
      <c r="J102" s="12"/>
      <c r="K102" s="59"/>
      <c r="L102" s="55"/>
      <c r="M102" s="55"/>
    </row>
    <row r="103" spans="2:13">
      <c r="B103" s="59" t="s">
        <v>5665</v>
      </c>
      <c r="C103" s="59" t="s">
        <v>203</v>
      </c>
      <c r="D103" s="59" t="s">
        <v>2005</v>
      </c>
      <c r="E103" s="147" t="s">
        <v>4748</v>
      </c>
      <c r="F103" s="12"/>
      <c r="G103" s="148" t="s">
        <v>4934</v>
      </c>
      <c r="H103" s="55"/>
      <c r="I103" s="149"/>
      <c r="J103" s="12"/>
      <c r="K103" s="59"/>
      <c r="L103" s="55"/>
      <c r="M103" s="55"/>
    </row>
    <row r="104" spans="2:13">
      <c r="B104" s="59" t="s">
        <v>5666</v>
      </c>
      <c r="C104" s="59" t="s">
        <v>203</v>
      </c>
      <c r="D104" s="59" t="s">
        <v>2007</v>
      </c>
      <c r="E104" s="147" t="s">
        <v>4748</v>
      </c>
      <c r="F104" s="12"/>
      <c r="G104" s="148" t="s">
        <v>4937</v>
      </c>
      <c r="H104" s="55"/>
      <c r="I104" s="149"/>
      <c r="J104" s="12"/>
      <c r="K104" s="59"/>
      <c r="L104" s="55"/>
      <c r="M104" s="55"/>
    </row>
    <row r="105" spans="2:13">
      <c r="B105" s="59" t="s">
        <v>5667</v>
      </c>
      <c r="C105" s="59" t="s">
        <v>229</v>
      </c>
      <c r="D105" s="59" t="s">
        <v>3400</v>
      </c>
      <c r="E105" s="147" t="s">
        <v>4748</v>
      </c>
      <c r="F105" s="12"/>
      <c r="G105" s="148" t="s">
        <v>4939</v>
      </c>
      <c r="H105" s="55"/>
      <c r="I105" s="149"/>
      <c r="J105" s="12"/>
      <c r="K105" s="59"/>
      <c r="L105" s="55"/>
      <c r="M105" s="55"/>
    </row>
    <row r="106" spans="2:13">
      <c r="B106" s="59" t="s">
        <v>5668</v>
      </c>
      <c r="C106" s="59" t="s">
        <v>229</v>
      </c>
      <c r="D106" s="59" t="s">
        <v>3404</v>
      </c>
      <c r="E106" s="147" t="s">
        <v>4748</v>
      </c>
      <c r="F106" s="12"/>
      <c r="G106" s="148" t="s">
        <v>4941</v>
      </c>
      <c r="H106" s="55"/>
      <c r="I106" s="149"/>
      <c r="J106" s="12"/>
      <c r="K106" s="59"/>
      <c r="L106" s="55"/>
      <c r="M106" s="55"/>
    </row>
    <row r="107" spans="2:13">
      <c r="B107" s="59" t="s">
        <v>5669</v>
      </c>
      <c r="C107" s="59" t="s">
        <v>229</v>
      </c>
      <c r="D107" s="59" t="s">
        <v>3408</v>
      </c>
      <c r="E107" s="147" t="s">
        <v>4748</v>
      </c>
      <c r="F107" s="12"/>
      <c r="G107" s="148" t="s">
        <v>4943</v>
      </c>
      <c r="H107" s="55"/>
      <c r="I107" s="149"/>
      <c r="J107" s="12"/>
      <c r="K107" s="59"/>
      <c r="L107" s="55"/>
      <c r="M107" s="55"/>
    </row>
    <row r="108" spans="2:13">
      <c r="B108" s="59" t="s">
        <v>5670</v>
      </c>
      <c r="C108" s="59" t="s">
        <v>229</v>
      </c>
      <c r="D108" s="59" t="s">
        <v>3412</v>
      </c>
      <c r="E108" s="147" t="s">
        <v>4748</v>
      </c>
      <c r="F108" s="12"/>
      <c r="G108" s="148" t="s">
        <v>4945</v>
      </c>
      <c r="H108" s="55"/>
      <c r="I108" s="149"/>
      <c r="J108" s="12"/>
      <c r="K108" s="59"/>
      <c r="L108" s="55"/>
      <c r="M108" s="55"/>
    </row>
    <row r="109" spans="2:13">
      <c r="B109" s="59" t="s">
        <v>5671</v>
      </c>
      <c r="C109" s="59" t="s">
        <v>229</v>
      </c>
      <c r="D109" s="59" t="s">
        <v>3415</v>
      </c>
      <c r="E109" s="147" t="s">
        <v>4748</v>
      </c>
      <c r="F109" s="12"/>
      <c r="G109" s="148" t="s">
        <v>4947</v>
      </c>
      <c r="H109" s="55"/>
      <c r="I109" s="149"/>
      <c r="J109" s="12"/>
      <c r="K109" s="59"/>
      <c r="L109" s="55"/>
      <c r="M109" s="55"/>
    </row>
    <row r="110" spans="2:13">
      <c r="B110" s="59" t="s">
        <v>5672</v>
      </c>
      <c r="C110" s="59" t="s">
        <v>229</v>
      </c>
      <c r="D110" s="59" t="s">
        <v>3419</v>
      </c>
      <c r="E110" s="147" t="s">
        <v>4748</v>
      </c>
      <c r="F110" s="12"/>
      <c r="G110" s="148" t="s">
        <v>4949</v>
      </c>
      <c r="H110" s="55"/>
      <c r="I110" s="149"/>
      <c r="J110" s="12"/>
      <c r="K110" s="59"/>
      <c r="L110" s="55"/>
      <c r="M110" s="55"/>
    </row>
    <row r="111" spans="2:13">
      <c r="B111" s="59" t="s">
        <v>5673</v>
      </c>
      <c r="C111" s="59" t="s">
        <v>229</v>
      </c>
      <c r="D111" s="59" t="s">
        <v>5636</v>
      </c>
      <c r="E111" s="147" t="s">
        <v>4748</v>
      </c>
      <c r="F111" s="12"/>
      <c r="G111" s="148" t="s">
        <v>4764</v>
      </c>
      <c r="H111" s="55"/>
      <c r="I111" s="149"/>
      <c r="J111" s="12"/>
      <c r="K111" s="59"/>
      <c r="L111" s="55"/>
      <c r="M111" s="55"/>
    </row>
    <row r="112" spans="2:13">
      <c r="B112" s="59" t="s">
        <v>5674</v>
      </c>
      <c r="C112" s="59" t="s">
        <v>203</v>
      </c>
      <c r="D112" s="59" t="s">
        <v>5638</v>
      </c>
      <c r="E112" s="147" t="s">
        <v>4748</v>
      </c>
      <c r="F112" s="12"/>
      <c r="G112" s="148" t="s">
        <v>4767</v>
      </c>
      <c r="H112" s="55"/>
      <c r="I112" s="149"/>
      <c r="J112" s="12"/>
      <c r="K112" s="59"/>
      <c r="L112" s="55"/>
      <c r="M112" s="55"/>
    </row>
    <row r="113" spans="2:13">
      <c r="B113" s="59" t="s">
        <v>5675</v>
      </c>
      <c r="C113" s="59" t="s">
        <v>229</v>
      </c>
      <c r="D113" s="59" t="s">
        <v>254</v>
      </c>
      <c r="E113" s="147" t="s">
        <v>4748</v>
      </c>
      <c r="F113" s="12"/>
      <c r="G113" s="148" t="s">
        <v>4761</v>
      </c>
      <c r="H113" s="55"/>
      <c r="I113" s="149" t="s">
        <v>4954</v>
      </c>
      <c r="J113" s="12"/>
      <c r="K113" s="59"/>
      <c r="L113" s="55"/>
      <c r="M113" s="55"/>
    </row>
    <row r="114" spans="2:13">
      <c r="B114" s="59" t="s">
        <v>5676</v>
      </c>
      <c r="C114" s="59" t="s">
        <v>229</v>
      </c>
      <c r="D114" s="59" t="s">
        <v>5677</v>
      </c>
      <c r="E114" s="147" t="s">
        <v>4748</v>
      </c>
      <c r="F114" s="12"/>
      <c r="G114" s="148" t="s">
        <v>4856</v>
      </c>
      <c r="H114" s="55"/>
      <c r="I114" s="149"/>
      <c r="J114" s="12"/>
      <c r="K114" s="59"/>
      <c r="L114" s="55"/>
      <c r="M114" s="55"/>
    </row>
    <row r="115" spans="2:13">
      <c r="B115" s="59" t="s">
        <v>5678</v>
      </c>
      <c r="C115" s="59" t="s">
        <v>229</v>
      </c>
      <c r="D115" s="59" t="s">
        <v>5679</v>
      </c>
      <c r="E115" s="147" t="s">
        <v>4748</v>
      </c>
      <c r="F115" s="12"/>
      <c r="G115" s="148" t="s">
        <v>4859</v>
      </c>
      <c r="H115" s="55"/>
      <c r="I115" s="149"/>
      <c r="J115" s="12"/>
      <c r="K115" s="59"/>
      <c r="L115" s="55"/>
      <c r="M115" s="55"/>
    </row>
    <row r="116" spans="2:13">
      <c r="B116" s="59" t="s">
        <v>5680</v>
      </c>
      <c r="C116" s="59" t="s">
        <v>229</v>
      </c>
      <c r="D116" s="59" t="s">
        <v>1586</v>
      </c>
      <c r="E116" s="147" t="s">
        <v>4748</v>
      </c>
      <c r="F116" s="12"/>
      <c r="G116" s="148" t="s">
        <v>4861</v>
      </c>
      <c r="H116" s="55"/>
      <c r="I116" s="149"/>
      <c r="J116" s="12"/>
      <c r="K116" s="59" t="s">
        <v>1588</v>
      </c>
      <c r="L116" s="55"/>
      <c r="M116" s="55"/>
    </row>
    <row r="117" spans="2:13">
      <c r="B117" s="59" t="s">
        <v>5681</v>
      </c>
      <c r="C117" s="59" t="s">
        <v>229</v>
      </c>
      <c r="D117" s="59" t="s">
        <v>1591</v>
      </c>
      <c r="E117" s="147" t="s">
        <v>4748</v>
      </c>
      <c r="F117" s="12"/>
      <c r="G117" s="148" t="s">
        <v>4863</v>
      </c>
      <c r="H117" s="55"/>
      <c r="I117" s="149"/>
      <c r="J117" s="12"/>
      <c r="K117" s="59" t="s">
        <v>1588</v>
      </c>
      <c r="L117" s="55"/>
      <c r="M117" s="55"/>
    </row>
    <row r="118" spans="2:13">
      <c r="B118" s="59" t="s">
        <v>5682</v>
      </c>
      <c r="C118" s="59" t="s">
        <v>229</v>
      </c>
      <c r="D118" s="148" t="s">
        <v>1595</v>
      </c>
      <c r="E118" s="147" t="s">
        <v>4748</v>
      </c>
      <c r="F118" s="12"/>
      <c r="G118" s="148" t="s">
        <v>4865</v>
      </c>
      <c r="H118" s="55"/>
      <c r="I118" s="149"/>
      <c r="J118" s="12"/>
      <c r="K118" s="59" t="s">
        <v>231</v>
      </c>
      <c r="L118" s="55"/>
      <c r="M118" s="55"/>
    </row>
    <row r="119" spans="2:13">
      <c r="B119" s="59" t="s">
        <v>5683</v>
      </c>
      <c r="C119" s="59" t="s">
        <v>229</v>
      </c>
      <c r="D119" s="148" t="s">
        <v>4867</v>
      </c>
      <c r="E119" s="147" t="s">
        <v>4748</v>
      </c>
      <c r="F119" s="12"/>
      <c r="G119" s="148" t="s">
        <v>4868</v>
      </c>
      <c r="H119" s="55"/>
      <c r="I119" s="149"/>
      <c r="J119" s="12"/>
      <c r="K119" s="59" t="s">
        <v>231</v>
      </c>
      <c r="L119" s="55"/>
      <c r="M119" s="55"/>
    </row>
    <row r="120" spans="2:13">
      <c r="B120" s="59" t="s">
        <v>5684</v>
      </c>
      <c r="C120" s="59" t="s">
        <v>229</v>
      </c>
      <c r="D120" s="59" t="s">
        <v>1607</v>
      </c>
      <c r="E120" s="147" t="s">
        <v>4748</v>
      </c>
      <c r="F120" s="12"/>
      <c r="G120" s="148" t="s">
        <v>4870</v>
      </c>
      <c r="H120" s="55"/>
      <c r="I120" s="149"/>
      <c r="J120" s="12"/>
      <c r="K120" s="59"/>
      <c r="L120" s="55"/>
      <c r="M120" s="55"/>
    </row>
    <row r="121" spans="2:13">
      <c r="B121" s="59" t="s">
        <v>5685</v>
      </c>
      <c r="C121" s="59" t="s">
        <v>229</v>
      </c>
      <c r="D121" s="59" t="s">
        <v>1611</v>
      </c>
      <c r="E121" s="147" t="s">
        <v>4748</v>
      </c>
      <c r="F121" s="12"/>
      <c r="G121" s="148" t="s">
        <v>4872</v>
      </c>
      <c r="H121" s="55"/>
      <c r="I121" s="149"/>
      <c r="J121" s="12"/>
      <c r="K121" s="59"/>
      <c r="L121" s="55"/>
      <c r="M121" s="55"/>
    </row>
    <row r="122" spans="2:13">
      <c r="B122" s="59" t="s">
        <v>5686</v>
      </c>
      <c r="C122" s="59" t="s">
        <v>229</v>
      </c>
      <c r="D122" s="59" t="s">
        <v>1615</v>
      </c>
      <c r="E122" s="147" t="s">
        <v>4748</v>
      </c>
      <c r="F122" s="12"/>
      <c r="G122" s="148" t="s">
        <v>4874</v>
      </c>
      <c r="H122" s="55"/>
      <c r="I122" s="149"/>
      <c r="J122" s="12"/>
      <c r="K122" s="59"/>
      <c r="L122" s="55"/>
      <c r="M122" s="55"/>
    </row>
    <row r="123" spans="2:13">
      <c r="B123" s="59" t="s">
        <v>5687</v>
      </c>
      <c r="C123" s="59" t="s">
        <v>229</v>
      </c>
      <c r="D123" s="59" t="s">
        <v>1619</v>
      </c>
      <c r="E123" s="147" t="s">
        <v>4748</v>
      </c>
      <c r="F123" s="12"/>
      <c r="G123" s="148" t="s">
        <v>4876</v>
      </c>
      <c r="H123" s="55"/>
      <c r="I123" s="149"/>
      <c r="J123" s="12"/>
      <c r="K123" s="59"/>
      <c r="L123" s="55"/>
      <c r="M123" s="55"/>
    </row>
    <row r="124" spans="2:13">
      <c r="B124" s="59" t="s">
        <v>5688</v>
      </c>
      <c r="C124" s="59" t="s">
        <v>203</v>
      </c>
      <c r="D124" s="59" t="s">
        <v>1721</v>
      </c>
      <c r="E124" s="147" t="s">
        <v>4748</v>
      </c>
      <c r="F124" s="12"/>
      <c r="G124" s="148" t="s">
        <v>4878</v>
      </c>
      <c r="H124" s="55"/>
      <c r="I124" s="149"/>
      <c r="J124" s="12"/>
      <c r="K124" s="59"/>
      <c r="L124" s="55"/>
      <c r="M124" s="55"/>
    </row>
    <row r="125" spans="2:13">
      <c r="B125" s="59" t="s">
        <v>5689</v>
      </c>
      <c r="C125" s="59" t="s">
        <v>203</v>
      </c>
      <c r="D125" s="59" t="s">
        <v>1724</v>
      </c>
      <c r="E125" s="147" t="s">
        <v>4748</v>
      </c>
      <c r="F125" s="12"/>
      <c r="G125" s="148" t="s">
        <v>4880</v>
      </c>
      <c r="H125" s="55"/>
      <c r="I125" s="149"/>
      <c r="J125" s="12"/>
      <c r="K125" s="59"/>
      <c r="L125" s="55"/>
      <c r="M125" s="55"/>
    </row>
    <row r="126" spans="2:13">
      <c r="B126" s="59" t="s">
        <v>5690</v>
      </c>
      <c r="C126" s="59" t="s">
        <v>203</v>
      </c>
      <c r="D126" s="59" t="s">
        <v>1731</v>
      </c>
      <c r="E126" s="147" t="s">
        <v>4748</v>
      </c>
      <c r="F126" s="12"/>
      <c r="G126" s="148" t="s">
        <v>4882</v>
      </c>
      <c r="H126" s="55"/>
      <c r="I126" s="149"/>
      <c r="J126" s="12"/>
      <c r="K126" s="59"/>
      <c r="L126" s="55"/>
      <c r="M126" s="55"/>
    </row>
    <row r="127" spans="2:13">
      <c r="B127" s="59" t="s">
        <v>5691</v>
      </c>
      <c r="C127" s="59" t="s">
        <v>203</v>
      </c>
      <c r="D127" s="59" t="s">
        <v>1735</v>
      </c>
      <c r="E127" s="147" t="s">
        <v>4748</v>
      </c>
      <c r="F127" s="12"/>
      <c r="G127" s="148" t="s">
        <v>4884</v>
      </c>
      <c r="H127" s="55"/>
      <c r="I127" s="149"/>
      <c r="J127" s="12"/>
      <c r="K127" s="59"/>
      <c r="L127" s="55"/>
      <c r="M127" s="55"/>
    </row>
    <row r="128" spans="2:13">
      <c r="B128" s="59" t="s">
        <v>5692</v>
      </c>
      <c r="C128" s="59" t="s">
        <v>229</v>
      </c>
      <c r="D128" s="59" t="s">
        <v>5693</v>
      </c>
      <c r="E128" s="147" t="s">
        <v>4748</v>
      </c>
      <c r="F128" s="12"/>
      <c r="G128" s="148" t="s">
        <v>4973</v>
      </c>
      <c r="H128" s="55"/>
      <c r="I128" s="149"/>
      <c r="J128" s="12"/>
      <c r="K128" s="59"/>
      <c r="L128" s="55"/>
      <c r="M128" s="55"/>
    </row>
    <row r="129" spans="2:13">
      <c r="B129" s="59" t="s">
        <v>5694</v>
      </c>
      <c r="C129" s="59" t="s">
        <v>229</v>
      </c>
      <c r="D129" s="59" t="s">
        <v>3423</v>
      </c>
      <c r="E129" s="147" t="s">
        <v>4748</v>
      </c>
      <c r="F129" s="12"/>
      <c r="G129" s="148" t="s">
        <v>4975</v>
      </c>
      <c r="H129" s="55"/>
      <c r="I129" s="149"/>
      <c r="J129" s="12"/>
      <c r="K129" s="59"/>
      <c r="L129" s="55"/>
      <c r="M129" s="55"/>
    </row>
    <row r="130" spans="2:13">
      <c r="B130" s="59" t="s">
        <v>5695</v>
      </c>
      <c r="C130" s="59" t="s">
        <v>203</v>
      </c>
      <c r="D130" s="59" t="s">
        <v>5696</v>
      </c>
      <c r="E130" s="147" t="s">
        <v>4748</v>
      </c>
      <c r="F130" s="12"/>
      <c r="G130" s="148" t="s">
        <v>4978</v>
      </c>
      <c r="H130" s="55"/>
      <c r="I130" s="149"/>
      <c r="J130" s="12"/>
      <c r="K130" s="59"/>
      <c r="L130" s="55"/>
      <c r="M130" s="55"/>
    </row>
    <row r="131" spans="2:13">
      <c r="B131" s="59" t="s">
        <v>5697</v>
      </c>
      <c r="C131" s="59" t="s">
        <v>229</v>
      </c>
      <c r="D131" s="59" t="s">
        <v>5698</v>
      </c>
      <c r="E131" s="147" t="s">
        <v>4748</v>
      </c>
      <c r="F131" s="12"/>
      <c r="G131" s="148" t="s">
        <v>4981</v>
      </c>
      <c r="H131" s="55"/>
      <c r="I131" s="149"/>
      <c r="J131" s="12"/>
      <c r="K131" s="59"/>
      <c r="L131" s="55"/>
      <c r="M131" s="55"/>
    </row>
    <row r="132" spans="2:13">
      <c r="B132" s="59" t="s">
        <v>5699</v>
      </c>
      <c r="C132" s="59" t="s">
        <v>229</v>
      </c>
      <c r="D132" s="59" t="s">
        <v>5700</v>
      </c>
      <c r="E132" s="147" t="s">
        <v>4748</v>
      </c>
      <c r="F132" s="12"/>
      <c r="G132" s="148" t="s">
        <v>4984</v>
      </c>
      <c r="H132" s="55"/>
      <c r="I132" s="149"/>
      <c r="J132" s="12"/>
      <c r="K132" s="59"/>
      <c r="L132" s="55"/>
      <c r="M132" s="55"/>
    </row>
    <row r="133" spans="2:13">
      <c r="B133" s="59" t="s">
        <v>5701</v>
      </c>
      <c r="C133" s="59" t="s">
        <v>229</v>
      </c>
      <c r="D133" s="59" t="s">
        <v>5702</v>
      </c>
      <c r="E133" s="147" t="s">
        <v>4748</v>
      </c>
      <c r="F133" s="12"/>
      <c r="G133" s="148" t="s">
        <v>4987</v>
      </c>
      <c r="H133" s="55"/>
      <c r="I133" s="149"/>
      <c r="J133" s="12"/>
      <c r="K133" s="59"/>
      <c r="L133" s="55"/>
      <c r="M133" s="55"/>
    </row>
    <row r="134" spans="2:13">
      <c r="B134" s="59" t="s">
        <v>5703</v>
      </c>
      <c r="C134" s="59" t="s">
        <v>203</v>
      </c>
      <c r="D134" s="59" t="s">
        <v>5704</v>
      </c>
      <c r="E134" s="147" t="s">
        <v>4748</v>
      </c>
      <c r="F134" s="12"/>
      <c r="G134" s="148" t="s">
        <v>4990</v>
      </c>
      <c r="H134" s="55"/>
      <c r="I134" s="149"/>
      <c r="J134" s="12"/>
      <c r="K134" s="59"/>
      <c r="L134" s="55"/>
      <c r="M134" s="55"/>
    </row>
    <row r="135" spans="2:13">
      <c r="B135" s="59" t="s">
        <v>5705</v>
      </c>
      <c r="C135" s="59" t="s">
        <v>229</v>
      </c>
      <c r="D135" s="59" t="s">
        <v>5706</v>
      </c>
      <c r="E135" s="147" t="s">
        <v>4748</v>
      </c>
      <c r="F135" s="12"/>
      <c r="G135" s="148" t="s">
        <v>4993</v>
      </c>
      <c r="H135" s="55"/>
      <c r="I135" s="149"/>
      <c r="J135" s="12"/>
      <c r="K135" s="59"/>
      <c r="L135" s="55"/>
      <c r="M135" s="55"/>
    </row>
    <row r="136" spans="2:13">
      <c r="B136" s="59" t="s">
        <v>3422</v>
      </c>
      <c r="C136" s="59" t="s">
        <v>229</v>
      </c>
      <c r="D136" s="59" t="s">
        <v>3797</v>
      </c>
      <c r="E136" s="147" t="s">
        <v>4748</v>
      </c>
      <c r="F136" s="12"/>
      <c r="G136" s="148" t="s">
        <v>4995</v>
      </c>
      <c r="H136" s="55"/>
      <c r="I136" s="149"/>
      <c r="J136" s="12"/>
      <c r="K136" s="59"/>
      <c r="L136" s="55"/>
      <c r="M136" s="55"/>
    </row>
    <row r="137" spans="2:13">
      <c r="B137" s="59" t="s">
        <v>3424</v>
      </c>
      <c r="C137" s="59" t="s">
        <v>229</v>
      </c>
      <c r="D137" s="59" t="s">
        <v>3798</v>
      </c>
      <c r="E137" s="147" t="s">
        <v>4748</v>
      </c>
      <c r="F137" s="12"/>
      <c r="G137" s="148" t="s">
        <v>4997</v>
      </c>
      <c r="H137" s="55"/>
      <c r="I137" s="149"/>
      <c r="J137" s="12"/>
      <c r="K137" s="59"/>
      <c r="L137" s="55"/>
      <c r="M137" s="55"/>
    </row>
    <row r="138" spans="2:13">
      <c r="B138" s="59" t="s">
        <v>3512</v>
      </c>
      <c r="C138" s="59" t="s">
        <v>229</v>
      </c>
      <c r="D138" s="59" t="s">
        <v>3513</v>
      </c>
      <c r="E138" s="147" t="s">
        <v>4748</v>
      </c>
      <c r="F138" s="150" t="s">
        <v>4999</v>
      </c>
      <c r="G138" s="148" t="s">
        <v>4609</v>
      </c>
      <c r="H138" s="55"/>
      <c r="I138" s="149"/>
      <c r="J138" s="12"/>
      <c r="K138" s="59"/>
      <c r="L138" s="55"/>
      <c r="M138" s="55"/>
    </row>
    <row r="139" spans="2:13">
      <c r="B139" s="59" t="s">
        <v>5707</v>
      </c>
      <c r="C139" s="59" t="s">
        <v>229</v>
      </c>
      <c r="D139" s="59" t="s">
        <v>5636</v>
      </c>
      <c r="E139" s="147" t="s">
        <v>4748</v>
      </c>
      <c r="F139" s="12"/>
      <c r="G139" s="148" t="s">
        <v>4764</v>
      </c>
      <c r="H139" s="55"/>
      <c r="I139" s="149"/>
      <c r="J139" s="12"/>
      <c r="K139" s="59"/>
      <c r="L139" s="55"/>
      <c r="M139" s="55"/>
    </row>
    <row r="140" spans="2:13">
      <c r="B140" s="59" t="s">
        <v>5708</v>
      </c>
      <c r="C140" s="59" t="s">
        <v>203</v>
      </c>
      <c r="D140" s="59" t="s">
        <v>5638</v>
      </c>
      <c r="E140" s="147" t="s">
        <v>4748</v>
      </c>
      <c r="F140" s="12"/>
      <c r="G140" s="148" t="s">
        <v>4767</v>
      </c>
      <c r="H140" s="55"/>
      <c r="I140" s="149"/>
      <c r="J140" s="12"/>
      <c r="K140" s="59"/>
      <c r="L140" s="55"/>
      <c r="M140" s="55"/>
    </row>
    <row r="141" spans="2:13">
      <c r="B141" s="59" t="s">
        <v>5709</v>
      </c>
      <c r="C141" s="59" t="s">
        <v>229</v>
      </c>
      <c r="D141" s="59" t="s">
        <v>254</v>
      </c>
      <c r="E141" s="147" t="s">
        <v>4748</v>
      </c>
      <c r="F141" s="12"/>
      <c r="G141" s="148" t="s">
        <v>4761</v>
      </c>
      <c r="H141" s="55"/>
      <c r="I141" s="154" t="s">
        <v>5003</v>
      </c>
      <c r="J141" s="12"/>
      <c r="K141" s="59"/>
      <c r="L141" s="55"/>
      <c r="M141" s="55"/>
    </row>
    <row r="142" spans="2:13">
      <c r="B142" s="59" t="s">
        <v>5710</v>
      </c>
      <c r="C142" s="59" t="s">
        <v>229</v>
      </c>
      <c r="D142" s="148" t="s">
        <v>395</v>
      </c>
      <c r="E142" s="147" t="s">
        <v>4748</v>
      </c>
      <c r="F142" s="12"/>
      <c r="G142" s="148" t="s">
        <v>4856</v>
      </c>
      <c r="H142" s="55"/>
      <c r="I142" s="154"/>
      <c r="J142" s="12"/>
      <c r="K142" s="59"/>
      <c r="L142" s="55"/>
      <c r="M142" s="55"/>
    </row>
    <row r="143" spans="2:13">
      <c r="B143" s="59" t="s">
        <v>5711</v>
      </c>
      <c r="C143" s="59" t="s">
        <v>229</v>
      </c>
      <c r="D143" s="59" t="s">
        <v>5679</v>
      </c>
      <c r="E143" s="147" t="s">
        <v>4748</v>
      </c>
      <c r="F143" s="12"/>
      <c r="G143" s="148" t="s">
        <v>4859</v>
      </c>
      <c r="H143" s="55"/>
      <c r="I143" s="154"/>
      <c r="J143" s="12"/>
      <c r="K143" s="59"/>
      <c r="L143" s="55"/>
      <c r="M143" s="55"/>
    </row>
    <row r="144" spans="2:13">
      <c r="B144" s="59" t="s">
        <v>5712</v>
      </c>
      <c r="C144" s="59" t="s">
        <v>229</v>
      </c>
      <c r="D144" s="59" t="s">
        <v>1586</v>
      </c>
      <c r="E144" s="147" t="s">
        <v>4748</v>
      </c>
      <c r="F144" s="12"/>
      <c r="G144" s="148" t="s">
        <v>4861</v>
      </c>
      <c r="H144" s="55"/>
      <c r="I144" s="154"/>
      <c r="J144" s="12"/>
      <c r="K144" s="59" t="s">
        <v>1588</v>
      </c>
      <c r="L144" s="55"/>
      <c r="M144" s="55"/>
    </row>
    <row r="145" spans="2:13">
      <c r="B145" s="59" t="s">
        <v>5713</v>
      </c>
      <c r="C145" s="59" t="s">
        <v>229</v>
      </c>
      <c r="D145" s="59" t="s">
        <v>1591</v>
      </c>
      <c r="E145" s="147" t="s">
        <v>4748</v>
      </c>
      <c r="F145" s="12"/>
      <c r="G145" s="148" t="s">
        <v>4863</v>
      </c>
      <c r="H145" s="55"/>
      <c r="I145" s="154"/>
      <c r="J145" s="12"/>
      <c r="K145" s="59" t="s">
        <v>1588</v>
      </c>
      <c r="L145" s="55"/>
      <c r="M145" s="55"/>
    </row>
    <row r="146" spans="2:13">
      <c r="B146" s="59" t="s">
        <v>5714</v>
      </c>
      <c r="C146" s="59" t="s">
        <v>229</v>
      </c>
      <c r="D146" s="59" t="s">
        <v>4867</v>
      </c>
      <c r="E146" s="147" t="s">
        <v>4748</v>
      </c>
      <c r="F146" s="12"/>
      <c r="G146" s="148" t="s">
        <v>4865</v>
      </c>
      <c r="H146" s="55"/>
      <c r="I146" s="154"/>
      <c r="J146" s="12"/>
      <c r="K146" s="59" t="s">
        <v>231</v>
      </c>
      <c r="L146" s="55"/>
      <c r="M146" s="55"/>
    </row>
    <row r="147" spans="2:13">
      <c r="B147" s="59" t="s">
        <v>5715</v>
      </c>
      <c r="C147" s="59" t="s">
        <v>229</v>
      </c>
      <c r="D147" s="59" t="s">
        <v>4578</v>
      </c>
      <c r="E147" s="147" t="s">
        <v>4748</v>
      </c>
      <c r="F147" s="12"/>
      <c r="G147" s="148" t="s">
        <v>4868</v>
      </c>
      <c r="H147" s="55"/>
      <c r="I147" s="154"/>
      <c r="J147" s="12"/>
      <c r="K147" s="59" t="s">
        <v>231</v>
      </c>
      <c r="L147" s="55"/>
      <c r="M147" s="55"/>
    </row>
    <row r="148" spans="2:13">
      <c r="B148" s="59" t="s">
        <v>5716</v>
      </c>
      <c r="C148" s="59" t="s">
        <v>229</v>
      </c>
      <c r="D148" s="59" t="s">
        <v>1607</v>
      </c>
      <c r="E148" s="147" t="s">
        <v>4748</v>
      </c>
      <c r="F148" s="12"/>
      <c r="G148" s="148" t="s">
        <v>4870</v>
      </c>
      <c r="H148" s="55"/>
      <c r="I148" s="154"/>
      <c r="J148" s="12"/>
      <c r="K148" s="59"/>
      <c r="L148" s="55"/>
      <c r="M148" s="55"/>
    </row>
    <row r="149" spans="2:13">
      <c r="B149" s="59" t="s">
        <v>5717</v>
      </c>
      <c r="C149" s="59" t="s">
        <v>229</v>
      </c>
      <c r="D149" s="59" t="s">
        <v>1611</v>
      </c>
      <c r="E149" s="147" t="s">
        <v>4748</v>
      </c>
      <c r="F149" s="12"/>
      <c r="G149" s="148" t="s">
        <v>4872</v>
      </c>
      <c r="H149" s="55"/>
      <c r="I149" s="154"/>
      <c r="J149" s="12"/>
      <c r="K149" s="59"/>
      <c r="L149" s="55"/>
      <c r="M149" s="55"/>
    </row>
    <row r="150" spans="2:13">
      <c r="B150" s="59" t="s">
        <v>5718</v>
      </c>
      <c r="C150" s="59" t="s">
        <v>229</v>
      </c>
      <c r="D150" s="59" t="s">
        <v>1615</v>
      </c>
      <c r="E150" s="147" t="s">
        <v>4748</v>
      </c>
      <c r="F150" s="12"/>
      <c r="G150" s="148" t="s">
        <v>4874</v>
      </c>
      <c r="H150" s="55"/>
      <c r="I150" s="154"/>
      <c r="J150" s="12"/>
      <c r="K150" s="59"/>
      <c r="L150" s="55"/>
      <c r="M150" s="55"/>
    </row>
    <row r="151" spans="2:13">
      <c r="B151" s="59" t="s">
        <v>5719</v>
      </c>
      <c r="C151" s="59" t="s">
        <v>229</v>
      </c>
      <c r="D151" s="59" t="s">
        <v>1619</v>
      </c>
      <c r="E151" s="147" t="s">
        <v>4748</v>
      </c>
      <c r="F151" s="12"/>
      <c r="G151" s="148" t="s">
        <v>4876</v>
      </c>
      <c r="H151" s="55"/>
      <c r="I151" s="154"/>
      <c r="J151" s="12"/>
      <c r="K151" s="59"/>
      <c r="L151" s="55"/>
      <c r="M151" s="55"/>
    </row>
    <row r="152" spans="2:13">
      <c r="B152" s="59" t="s">
        <v>5720</v>
      </c>
      <c r="C152" s="59" t="s">
        <v>203</v>
      </c>
      <c r="D152" s="59" t="s">
        <v>1721</v>
      </c>
      <c r="E152" s="147" t="s">
        <v>4748</v>
      </c>
      <c r="F152" s="12"/>
      <c r="G152" s="148" t="s">
        <v>4878</v>
      </c>
      <c r="H152" s="55"/>
      <c r="I152" s="154"/>
      <c r="J152" s="12"/>
      <c r="K152" s="59"/>
      <c r="L152" s="55"/>
      <c r="M152" s="55"/>
    </row>
    <row r="153" spans="2:13">
      <c r="B153" s="59" t="s">
        <v>5721</v>
      </c>
      <c r="C153" s="59" t="s">
        <v>203</v>
      </c>
      <c r="D153" s="59" t="s">
        <v>1724</v>
      </c>
      <c r="E153" s="147" t="s">
        <v>4748</v>
      </c>
      <c r="F153" s="12"/>
      <c r="G153" s="148" t="s">
        <v>4880</v>
      </c>
      <c r="H153" s="55"/>
      <c r="I153" s="154"/>
      <c r="J153" s="12"/>
      <c r="K153" s="59"/>
      <c r="L153" s="55"/>
      <c r="M153" s="55"/>
    </row>
    <row r="154" spans="2:13">
      <c r="B154" s="59" t="s">
        <v>5722</v>
      </c>
      <c r="C154" s="59" t="s">
        <v>203</v>
      </c>
      <c r="D154" s="59" t="s">
        <v>1731</v>
      </c>
      <c r="E154" s="147" t="s">
        <v>4748</v>
      </c>
      <c r="F154" s="12"/>
      <c r="G154" s="148" t="s">
        <v>4882</v>
      </c>
      <c r="H154" s="55"/>
      <c r="I154" s="154"/>
      <c r="J154" s="12"/>
      <c r="K154" s="59"/>
      <c r="L154" s="55"/>
      <c r="M154" s="55"/>
    </row>
    <row r="155" spans="2:13">
      <c r="B155" s="59" t="s">
        <v>5723</v>
      </c>
      <c r="C155" s="59" t="s">
        <v>203</v>
      </c>
      <c r="D155" s="59" t="s">
        <v>1735</v>
      </c>
      <c r="E155" s="147" t="s">
        <v>4748</v>
      </c>
      <c r="F155" s="12"/>
      <c r="G155" s="148" t="s">
        <v>4884</v>
      </c>
      <c r="H155" s="55"/>
      <c r="I155" s="154"/>
      <c r="J155" s="12"/>
      <c r="K155" s="59"/>
      <c r="L155" s="55"/>
      <c r="M155" s="55"/>
    </row>
    <row r="156" spans="2:13">
      <c r="B156" s="65" t="s">
        <v>5724</v>
      </c>
      <c r="C156" s="65" t="s">
        <v>203</v>
      </c>
      <c r="D156" s="65" t="s">
        <v>2005</v>
      </c>
      <c r="E156" s="147" t="s">
        <v>4748</v>
      </c>
      <c r="F156" s="12"/>
      <c r="G156" s="151" t="s">
        <v>5021</v>
      </c>
      <c r="H156" s="55"/>
      <c r="I156" s="154"/>
      <c r="J156" s="12"/>
      <c r="K156" s="65"/>
      <c r="L156" s="55"/>
      <c r="M156" s="55"/>
    </row>
    <row r="157" spans="2:13">
      <c r="B157" s="65" t="s">
        <v>5725</v>
      </c>
      <c r="C157" s="65" t="s">
        <v>203</v>
      </c>
      <c r="D157" s="65" t="s">
        <v>2007</v>
      </c>
      <c r="E157" s="147" t="s">
        <v>4748</v>
      </c>
      <c r="F157" s="12"/>
      <c r="G157" s="151" t="s">
        <v>5023</v>
      </c>
      <c r="H157" s="55"/>
      <c r="I157" s="154"/>
      <c r="J157" s="12"/>
      <c r="K157" s="65"/>
      <c r="L157" s="55"/>
      <c r="M157" s="55"/>
    </row>
    <row r="158" spans="2:13">
      <c r="B158" s="59" t="s">
        <v>2026</v>
      </c>
      <c r="C158" s="59" t="s">
        <v>229</v>
      </c>
      <c r="D158" s="59" t="s">
        <v>2027</v>
      </c>
      <c r="E158" s="147" t="s">
        <v>4748</v>
      </c>
      <c r="F158" s="12"/>
      <c r="G158" s="152" t="s">
        <v>5026</v>
      </c>
      <c r="H158" s="55"/>
      <c r="I158" s="154"/>
      <c r="J158" s="12"/>
      <c r="K158" s="59"/>
      <c r="L158" s="55"/>
      <c r="M158" s="55"/>
    </row>
    <row r="159" spans="2:13">
      <c r="B159" s="59" t="s">
        <v>2029</v>
      </c>
      <c r="C159" s="59" t="s">
        <v>229</v>
      </c>
      <c r="D159" s="59" t="s">
        <v>2030</v>
      </c>
      <c r="E159" s="147" t="s">
        <v>4748</v>
      </c>
      <c r="F159" s="12"/>
      <c r="G159" s="152" t="s">
        <v>5029</v>
      </c>
      <c r="H159" s="55"/>
      <c r="I159" s="154"/>
      <c r="J159" s="12"/>
      <c r="K159" s="59"/>
      <c r="L159" s="55"/>
      <c r="M159" s="55"/>
    </row>
    <row r="160" spans="2:13">
      <c r="B160" s="59" t="s">
        <v>2034</v>
      </c>
      <c r="C160" s="59" t="s">
        <v>229</v>
      </c>
      <c r="D160" s="59" t="s">
        <v>2035</v>
      </c>
      <c r="E160" s="147" t="s">
        <v>4748</v>
      </c>
      <c r="F160" s="12"/>
      <c r="G160" s="152" t="s">
        <v>5032</v>
      </c>
      <c r="H160" s="55"/>
      <c r="I160" s="154"/>
      <c r="J160" s="12"/>
      <c r="K160" s="59"/>
      <c r="L160" s="55"/>
      <c r="M160" s="55"/>
    </row>
    <row r="161" spans="2:13">
      <c r="B161" s="59" t="s">
        <v>2041</v>
      </c>
      <c r="C161" s="59" t="s">
        <v>229</v>
      </c>
      <c r="D161" s="59" t="s">
        <v>2042</v>
      </c>
      <c r="E161" s="147" t="s">
        <v>4748</v>
      </c>
      <c r="F161" s="12"/>
      <c r="G161" s="153" t="s">
        <v>5035</v>
      </c>
      <c r="H161" s="55"/>
      <c r="I161" s="154"/>
      <c r="J161" s="12"/>
      <c r="K161" s="59"/>
      <c r="L161" s="55"/>
      <c r="M161" s="55"/>
    </row>
    <row r="162" spans="2:13">
      <c r="B162" s="59" t="s">
        <v>2045</v>
      </c>
      <c r="C162" s="59" t="s">
        <v>229</v>
      </c>
      <c r="D162" s="59" t="s">
        <v>2046</v>
      </c>
      <c r="E162" s="147" t="s">
        <v>4748</v>
      </c>
      <c r="F162" s="12"/>
      <c r="G162" s="103" t="s">
        <v>5038</v>
      </c>
      <c r="H162" s="55"/>
      <c r="I162" s="154"/>
      <c r="J162" s="12"/>
      <c r="K162" s="59"/>
      <c r="L162" s="55"/>
      <c r="M162" s="55"/>
    </row>
    <row r="163" spans="2:13">
      <c r="B163" s="59" t="s">
        <v>5039</v>
      </c>
      <c r="C163" s="59" t="s">
        <v>229</v>
      </c>
      <c r="D163" s="59" t="s">
        <v>2178</v>
      </c>
      <c r="E163" s="147" t="s">
        <v>4748</v>
      </c>
      <c r="F163" s="12"/>
      <c r="G163" s="103" t="s">
        <v>4612</v>
      </c>
      <c r="H163" s="55"/>
      <c r="I163" s="154"/>
      <c r="J163" s="12"/>
      <c r="K163" s="59"/>
      <c r="L163" s="55"/>
      <c r="M163" s="55"/>
    </row>
    <row r="164" spans="2:13">
      <c r="B164" s="59" t="s">
        <v>5726</v>
      </c>
      <c r="C164" s="59" t="s">
        <v>229</v>
      </c>
      <c r="D164" s="59" t="s">
        <v>2182</v>
      </c>
      <c r="E164" s="147" t="s">
        <v>4748</v>
      </c>
      <c r="F164" s="12"/>
      <c r="G164" s="103" t="s">
        <v>5043</v>
      </c>
      <c r="H164" s="55"/>
      <c r="I164" s="154"/>
      <c r="J164" s="12"/>
      <c r="K164" s="59"/>
      <c r="L164" s="55"/>
      <c r="M164" s="55"/>
    </row>
    <row r="165" spans="2:13">
      <c r="B165" s="59" t="s">
        <v>5727</v>
      </c>
      <c r="C165" s="59" t="s">
        <v>229</v>
      </c>
      <c r="D165" s="59" t="s">
        <v>2186</v>
      </c>
      <c r="E165" s="147" t="s">
        <v>4748</v>
      </c>
      <c r="F165" s="12"/>
      <c r="G165" s="103" t="s">
        <v>5046</v>
      </c>
      <c r="H165" s="55"/>
      <c r="I165" s="154"/>
      <c r="J165" s="12"/>
      <c r="K165" s="59"/>
      <c r="L165" s="55"/>
      <c r="M165" s="55"/>
    </row>
    <row r="166" spans="2:13">
      <c r="B166" s="59" t="s">
        <v>5728</v>
      </c>
      <c r="C166" s="59" t="s">
        <v>229</v>
      </c>
      <c r="D166" s="59" t="s">
        <v>2190</v>
      </c>
      <c r="E166" s="147" t="s">
        <v>4748</v>
      </c>
      <c r="F166" s="12"/>
      <c r="G166" s="103" t="s">
        <v>4615</v>
      </c>
      <c r="H166" s="55"/>
      <c r="I166" s="154"/>
      <c r="J166" s="12"/>
      <c r="K166" s="59"/>
      <c r="L166" s="55"/>
      <c r="M166" s="55"/>
    </row>
    <row r="167" spans="2:13">
      <c r="B167" s="59" t="s">
        <v>5729</v>
      </c>
      <c r="C167" s="59" t="s">
        <v>229</v>
      </c>
      <c r="D167" s="59" t="s">
        <v>2194</v>
      </c>
      <c r="E167" s="147" t="s">
        <v>4748</v>
      </c>
      <c r="F167" s="12"/>
      <c r="G167" s="103" t="s">
        <v>5051</v>
      </c>
      <c r="H167" s="55"/>
      <c r="I167" s="154"/>
      <c r="J167" s="12"/>
      <c r="K167" s="59"/>
      <c r="L167" s="55"/>
      <c r="M167" s="55"/>
    </row>
    <row r="168" spans="2:13">
      <c r="B168" s="59" t="s">
        <v>5730</v>
      </c>
      <c r="C168" s="59" t="s">
        <v>229</v>
      </c>
      <c r="D168" s="59" t="s">
        <v>2198</v>
      </c>
      <c r="E168" s="147" t="s">
        <v>4748</v>
      </c>
      <c r="F168" s="12"/>
      <c r="G168" s="103" t="s">
        <v>5054</v>
      </c>
      <c r="H168" s="55"/>
      <c r="I168" s="154"/>
      <c r="J168" s="12"/>
      <c r="K168" s="59"/>
      <c r="L168" s="55"/>
      <c r="M168" s="55"/>
    </row>
    <row r="169" spans="2:13">
      <c r="B169" s="65" t="s">
        <v>2049</v>
      </c>
      <c r="C169" s="65" t="s">
        <v>229</v>
      </c>
      <c r="D169" s="65" t="s">
        <v>3837</v>
      </c>
      <c r="E169" s="147" t="s">
        <v>4748</v>
      </c>
      <c r="F169" s="12"/>
      <c r="G169" s="103" t="s">
        <v>5057</v>
      </c>
      <c r="H169" s="55"/>
      <c r="I169" s="154"/>
      <c r="J169" s="12"/>
      <c r="K169" s="65" t="s">
        <v>1575</v>
      </c>
      <c r="L169" s="55"/>
      <c r="M169" s="55"/>
    </row>
    <row r="170" spans="2:13">
      <c r="B170" s="65" t="s">
        <v>3981</v>
      </c>
      <c r="C170" s="65" t="s">
        <v>203</v>
      </c>
      <c r="D170" s="65" t="s">
        <v>2282</v>
      </c>
      <c r="E170" s="147" t="s">
        <v>4748</v>
      </c>
      <c r="F170" s="12"/>
      <c r="G170" s="103" t="s">
        <v>5060</v>
      </c>
      <c r="H170" s="55"/>
      <c r="I170" s="154"/>
      <c r="J170" s="12"/>
      <c r="K170" s="65"/>
      <c r="L170" s="55"/>
      <c r="M170" s="55"/>
    </row>
    <row r="171" spans="2:13">
      <c r="B171" s="65" t="s">
        <v>3987</v>
      </c>
      <c r="C171" s="65" t="s">
        <v>203</v>
      </c>
      <c r="D171" s="65" t="s">
        <v>2306</v>
      </c>
      <c r="E171" s="147" t="s">
        <v>4748</v>
      </c>
      <c r="F171" s="12"/>
      <c r="G171" s="103" t="s">
        <v>5063</v>
      </c>
      <c r="H171" s="55"/>
      <c r="I171" s="154"/>
      <c r="J171" s="12"/>
      <c r="K171" s="65"/>
      <c r="L171" s="55"/>
      <c r="M171" s="55"/>
    </row>
    <row r="172" spans="2:13">
      <c r="B172" s="65" t="s">
        <v>3993</v>
      </c>
      <c r="C172" s="65" t="s">
        <v>203</v>
      </c>
      <c r="D172" s="65" t="s">
        <v>3994</v>
      </c>
      <c r="E172" s="147" t="s">
        <v>4748</v>
      </c>
      <c r="F172" s="12"/>
      <c r="G172" s="103" t="s">
        <v>5066</v>
      </c>
      <c r="H172" s="55"/>
      <c r="I172" s="154"/>
      <c r="J172" s="12"/>
      <c r="K172" s="65"/>
      <c r="L172" s="55"/>
      <c r="M172" s="55"/>
    </row>
    <row r="173" spans="2:13">
      <c r="B173" s="65" t="s">
        <v>4018</v>
      </c>
      <c r="C173" s="65" t="s">
        <v>203</v>
      </c>
      <c r="D173" s="65" t="s">
        <v>4019</v>
      </c>
      <c r="E173" s="147" t="s">
        <v>4748</v>
      </c>
      <c r="F173" s="12"/>
      <c r="G173" s="103" t="s">
        <v>5068</v>
      </c>
      <c r="H173" s="55"/>
      <c r="I173" s="154"/>
      <c r="J173" s="12"/>
      <c r="K173" s="65"/>
      <c r="L173" s="55"/>
      <c r="M173" s="55"/>
    </row>
    <row r="174" spans="2:13">
      <c r="B174" s="65" t="s">
        <v>3857</v>
      </c>
      <c r="C174" s="65" t="s">
        <v>229</v>
      </c>
      <c r="D174" s="65" t="s">
        <v>2114</v>
      </c>
      <c r="E174" s="147" t="s">
        <v>4748</v>
      </c>
      <c r="F174" s="12"/>
      <c r="G174" s="103" t="s">
        <v>5071</v>
      </c>
      <c r="H174" s="55"/>
      <c r="I174" s="154"/>
      <c r="J174" s="12"/>
      <c r="K174" s="65"/>
      <c r="L174" s="55"/>
      <c r="M174" s="55"/>
    </row>
    <row r="175" spans="2:13">
      <c r="B175" s="65" t="s">
        <v>2071</v>
      </c>
      <c r="C175" s="59" t="s">
        <v>203</v>
      </c>
      <c r="D175" s="65" t="s">
        <v>2072</v>
      </c>
      <c r="E175" s="147" t="s">
        <v>4748</v>
      </c>
      <c r="F175" s="12"/>
      <c r="G175" s="103" t="s">
        <v>5074</v>
      </c>
      <c r="H175" s="55"/>
      <c r="I175" s="154"/>
      <c r="J175" s="12"/>
      <c r="K175" s="65"/>
      <c r="L175" s="55"/>
      <c r="M175" s="55"/>
    </row>
    <row r="176" spans="2:13">
      <c r="B176" s="65" t="s">
        <v>5731</v>
      </c>
      <c r="C176" s="59" t="s">
        <v>203</v>
      </c>
      <c r="D176" s="65" t="s">
        <v>3896</v>
      </c>
      <c r="E176" s="147" t="s">
        <v>4748</v>
      </c>
      <c r="F176" s="12"/>
      <c r="G176" s="103" t="s">
        <v>5077</v>
      </c>
      <c r="H176" s="55"/>
      <c r="I176" s="154"/>
      <c r="J176" s="12"/>
      <c r="K176" s="65"/>
      <c r="L176" s="55"/>
      <c r="M176" s="55"/>
    </row>
    <row r="177" spans="2:13">
      <c r="B177" s="59" t="s">
        <v>5732</v>
      </c>
      <c r="C177" s="59" t="s">
        <v>229</v>
      </c>
      <c r="D177" s="59" t="s">
        <v>5636</v>
      </c>
      <c r="E177" s="147" t="s">
        <v>4748</v>
      </c>
      <c r="F177" s="12"/>
      <c r="G177" s="148" t="s">
        <v>4764</v>
      </c>
      <c r="H177" s="55"/>
      <c r="I177" s="154"/>
      <c r="J177" s="12"/>
      <c r="K177" s="59"/>
      <c r="L177" s="55"/>
      <c r="M177" s="55"/>
    </row>
    <row r="178" spans="2:13">
      <c r="B178" s="59" t="s">
        <v>5733</v>
      </c>
      <c r="C178" s="59" t="s">
        <v>203</v>
      </c>
      <c r="D178" s="59" t="s">
        <v>5638</v>
      </c>
      <c r="E178" s="147" t="s">
        <v>4748</v>
      </c>
      <c r="F178" s="12"/>
      <c r="G178" s="148" t="s">
        <v>4767</v>
      </c>
      <c r="H178" s="55"/>
      <c r="I178" s="155"/>
      <c r="J178" s="12"/>
      <c r="K178" s="59"/>
      <c r="L178" s="55"/>
      <c r="M178" s="55"/>
    </row>
    <row r="179" spans="2:13">
      <c r="B179" s="59" t="s">
        <v>4160</v>
      </c>
      <c r="C179" s="59" t="s">
        <v>203</v>
      </c>
      <c r="D179" s="59" t="s">
        <v>4161</v>
      </c>
      <c r="E179" s="59" t="s">
        <v>5573</v>
      </c>
      <c r="F179" s="12"/>
      <c r="G179" s="59" t="s">
        <v>4160</v>
      </c>
      <c r="H179" s="55"/>
      <c r="I179" s="59" t="s">
        <v>5734</v>
      </c>
      <c r="J179" s="12"/>
      <c r="K179" s="59"/>
      <c r="L179" s="55"/>
      <c r="M179" s="55"/>
    </row>
    <row r="180" spans="2:13">
      <c r="B180" s="59" t="s">
        <v>4163</v>
      </c>
      <c r="C180" s="59" t="s">
        <v>229</v>
      </c>
      <c r="D180" s="59" t="s">
        <v>4164</v>
      </c>
      <c r="E180" s="59" t="s">
        <v>5573</v>
      </c>
      <c r="F180" s="12"/>
      <c r="G180" s="59" t="s">
        <v>4163</v>
      </c>
      <c r="H180" s="55"/>
      <c r="I180" s="59" t="s">
        <v>5734</v>
      </c>
      <c r="J180" s="12"/>
      <c r="K180" s="59"/>
      <c r="L180" s="55"/>
      <c r="M180" s="55"/>
    </row>
    <row r="181" spans="2:13">
      <c r="B181" s="59" t="s">
        <v>4166</v>
      </c>
      <c r="C181" s="59" t="s">
        <v>229</v>
      </c>
      <c r="D181" s="59" t="s">
        <v>4167</v>
      </c>
      <c r="E181" s="59" t="s">
        <v>5573</v>
      </c>
      <c r="F181" s="12"/>
      <c r="G181" s="59" t="s">
        <v>4166</v>
      </c>
      <c r="H181" s="55"/>
      <c r="I181" s="59" t="s">
        <v>5734</v>
      </c>
      <c r="J181" s="12"/>
      <c r="K181" s="59"/>
      <c r="L181" s="55"/>
      <c r="M181" s="55"/>
    </row>
    <row r="182" spans="2:13">
      <c r="B182" s="59" t="s">
        <v>4169</v>
      </c>
      <c r="C182" s="59" t="s">
        <v>229</v>
      </c>
      <c r="D182" s="59" t="s">
        <v>4170</v>
      </c>
      <c r="E182" s="59" t="s">
        <v>5573</v>
      </c>
      <c r="F182" s="12"/>
      <c r="G182" s="59" t="s">
        <v>4169</v>
      </c>
      <c r="H182" s="55"/>
      <c r="I182" s="59" t="s">
        <v>5734</v>
      </c>
      <c r="J182" s="12"/>
      <c r="K182" s="59"/>
      <c r="L182" s="55"/>
      <c r="M182" s="55"/>
    </row>
    <row r="183" spans="2:13">
      <c r="B183" s="59" t="s">
        <v>4172</v>
      </c>
      <c r="C183" s="59" t="s">
        <v>203</v>
      </c>
      <c r="D183" s="59" t="s">
        <v>4173</v>
      </c>
      <c r="E183" s="59" t="s">
        <v>5573</v>
      </c>
      <c r="F183" s="12"/>
      <c r="G183" s="59" t="s">
        <v>4172</v>
      </c>
      <c r="H183" s="55"/>
      <c r="I183" s="59" t="s">
        <v>5734</v>
      </c>
      <c r="J183" s="12"/>
      <c r="K183" s="59"/>
      <c r="L183" s="55"/>
      <c r="M183" s="55"/>
    </row>
    <row r="184" spans="2:13">
      <c r="B184" s="59" t="s">
        <v>4175</v>
      </c>
      <c r="C184" s="59" t="s">
        <v>203</v>
      </c>
      <c r="D184" s="59" t="s">
        <v>4176</v>
      </c>
      <c r="E184" s="59" t="s">
        <v>5573</v>
      </c>
      <c r="F184" s="12"/>
      <c r="G184" s="59" t="s">
        <v>4175</v>
      </c>
      <c r="H184" s="55"/>
      <c r="I184" s="59" t="s">
        <v>5734</v>
      </c>
      <c r="J184" s="12"/>
      <c r="K184" s="59"/>
      <c r="L184" s="55"/>
      <c r="M184" s="55"/>
    </row>
    <row r="185" spans="2:13">
      <c r="B185" s="59" t="s">
        <v>4178</v>
      </c>
      <c r="C185" s="59" t="s">
        <v>203</v>
      </c>
      <c r="D185" s="59" t="s">
        <v>4179</v>
      </c>
      <c r="E185" s="59" t="s">
        <v>5573</v>
      </c>
      <c r="F185" s="12"/>
      <c r="G185" s="59" t="s">
        <v>4178</v>
      </c>
      <c r="H185" s="55"/>
      <c r="I185" s="59" t="s">
        <v>5734</v>
      </c>
      <c r="J185" s="12"/>
      <c r="K185" s="59"/>
      <c r="L185" s="55"/>
      <c r="M185" s="55"/>
    </row>
    <row r="186" spans="2:13">
      <c r="B186" s="59" t="s">
        <v>4181</v>
      </c>
      <c r="C186" s="59" t="s">
        <v>229</v>
      </c>
      <c r="D186" s="59" t="s">
        <v>4182</v>
      </c>
      <c r="E186" s="59" t="s">
        <v>5573</v>
      </c>
      <c r="F186" s="12"/>
      <c r="G186" s="59" t="s">
        <v>4181</v>
      </c>
      <c r="H186" s="55"/>
      <c r="I186" s="59" t="s">
        <v>5734</v>
      </c>
      <c r="J186" s="12"/>
      <c r="K186" s="59"/>
      <c r="L186" s="55"/>
      <c r="M186" s="55"/>
    </row>
    <row r="187" spans="2:13">
      <c r="B187" s="59" t="s">
        <v>4184</v>
      </c>
      <c r="C187" s="59" t="s">
        <v>229</v>
      </c>
      <c r="D187" s="59" t="s">
        <v>4185</v>
      </c>
      <c r="E187" s="59" t="s">
        <v>5573</v>
      </c>
      <c r="F187" s="12"/>
      <c r="G187" s="59" t="s">
        <v>4184</v>
      </c>
      <c r="H187" s="55"/>
      <c r="I187" s="59" t="s">
        <v>5734</v>
      </c>
      <c r="J187" s="12"/>
      <c r="K187" s="59"/>
      <c r="L187" s="55"/>
      <c r="M187" s="55"/>
    </row>
    <row r="188" spans="2:13">
      <c r="B188" s="59" t="s">
        <v>4187</v>
      </c>
      <c r="C188" s="59" t="s">
        <v>203</v>
      </c>
      <c r="D188" s="59" t="s">
        <v>4188</v>
      </c>
      <c r="E188" s="59" t="s">
        <v>5573</v>
      </c>
      <c r="F188" s="12"/>
      <c r="G188" s="59" t="s">
        <v>4187</v>
      </c>
      <c r="H188" s="55"/>
      <c r="I188" s="59" t="s">
        <v>5734</v>
      </c>
      <c r="J188" s="12"/>
      <c r="K188" s="59"/>
      <c r="L188" s="55"/>
      <c r="M188" s="55"/>
    </row>
    <row r="189" spans="2:13">
      <c r="B189" s="59" t="s">
        <v>4190</v>
      </c>
      <c r="C189" s="59" t="s">
        <v>203</v>
      </c>
      <c r="D189" s="59" t="s">
        <v>4191</v>
      </c>
      <c r="E189" s="59" t="s">
        <v>5573</v>
      </c>
      <c r="F189" s="12"/>
      <c r="G189" s="59" t="s">
        <v>4190</v>
      </c>
      <c r="H189" s="55"/>
      <c r="I189" s="59" t="s">
        <v>5734</v>
      </c>
      <c r="J189" s="12"/>
      <c r="K189" s="59"/>
      <c r="L189" s="55"/>
      <c r="M189" s="55"/>
    </row>
    <row r="190" spans="2:13">
      <c r="B190" s="59" t="s">
        <v>4192</v>
      </c>
      <c r="C190" s="59" t="s">
        <v>229</v>
      </c>
      <c r="D190" s="59" t="s">
        <v>4193</v>
      </c>
      <c r="E190" s="59" t="s">
        <v>5573</v>
      </c>
      <c r="F190" s="12"/>
      <c r="G190" s="59" t="s">
        <v>4192</v>
      </c>
      <c r="H190" s="55"/>
      <c r="I190" s="59" t="s">
        <v>5734</v>
      </c>
      <c r="J190" s="12"/>
      <c r="K190" s="59"/>
      <c r="L190" s="55"/>
      <c r="M190" s="55"/>
    </row>
    <row r="191" spans="2:13">
      <c r="B191" s="59" t="s">
        <v>4194</v>
      </c>
      <c r="C191" s="59" t="s">
        <v>229</v>
      </c>
      <c r="D191" s="59" t="s">
        <v>4195</v>
      </c>
      <c r="E191" s="59" t="s">
        <v>5573</v>
      </c>
      <c r="F191" s="12"/>
      <c r="G191" s="59" t="s">
        <v>4194</v>
      </c>
      <c r="H191" s="55"/>
      <c r="I191" s="59" t="s">
        <v>5734</v>
      </c>
      <c r="J191" s="12"/>
      <c r="K191" s="59"/>
      <c r="L191" s="55"/>
      <c r="M191" s="55"/>
    </row>
    <row r="192" spans="2:13">
      <c r="B192" s="59" t="s">
        <v>4196</v>
      </c>
      <c r="C192" s="59" t="s">
        <v>203</v>
      </c>
      <c r="D192" s="59" t="s">
        <v>4197</v>
      </c>
      <c r="E192" s="59" t="s">
        <v>5573</v>
      </c>
      <c r="F192" s="12"/>
      <c r="G192" s="59" t="s">
        <v>4196</v>
      </c>
      <c r="H192" s="55"/>
      <c r="I192" s="59" t="s">
        <v>5734</v>
      </c>
      <c r="J192" s="12"/>
      <c r="K192" s="59"/>
      <c r="L192" s="55"/>
      <c r="M192" s="55"/>
    </row>
    <row r="193" spans="2:13">
      <c r="B193" s="59" t="s">
        <v>4198</v>
      </c>
      <c r="C193" s="59" t="s">
        <v>229</v>
      </c>
      <c r="D193" s="59" t="s">
        <v>4199</v>
      </c>
      <c r="E193" s="59" t="s">
        <v>5573</v>
      </c>
      <c r="F193" s="12"/>
      <c r="G193" s="59" t="s">
        <v>4198</v>
      </c>
      <c r="H193" s="55"/>
      <c r="I193" s="59" t="s">
        <v>5734</v>
      </c>
      <c r="J193" s="12"/>
      <c r="K193" s="59"/>
      <c r="L193" s="55"/>
      <c r="M193" s="55"/>
    </row>
    <row r="194" spans="2:13">
      <c r="B194" s="59" t="s">
        <v>4200</v>
      </c>
      <c r="C194" s="59" t="s">
        <v>229</v>
      </c>
      <c r="D194" s="59" t="s">
        <v>4201</v>
      </c>
      <c r="E194" s="59" t="s">
        <v>5573</v>
      </c>
      <c r="F194" s="12"/>
      <c r="G194" s="59" t="s">
        <v>4200</v>
      </c>
      <c r="H194" s="55"/>
      <c r="I194" s="59" t="s">
        <v>5734</v>
      </c>
      <c r="J194" s="12"/>
      <c r="K194" s="59"/>
      <c r="L194" s="55"/>
      <c r="M194" s="55"/>
    </row>
    <row r="195" spans="2:13">
      <c r="B195" s="59" t="s">
        <v>4202</v>
      </c>
      <c r="C195" s="59" t="s">
        <v>229</v>
      </c>
      <c r="D195" s="59" t="s">
        <v>4203</v>
      </c>
      <c r="E195" s="59" t="s">
        <v>5573</v>
      </c>
      <c r="F195" s="12"/>
      <c r="G195" s="59" t="s">
        <v>4202</v>
      </c>
      <c r="H195" s="55"/>
      <c r="I195" s="59" t="s">
        <v>5734</v>
      </c>
      <c r="J195" s="12"/>
      <c r="K195" s="59"/>
      <c r="L195" s="55"/>
      <c r="M195" s="55"/>
    </row>
    <row r="196" spans="2:13">
      <c r="B196" s="59" t="s">
        <v>4204</v>
      </c>
      <c r="C196" s="59" t="s">
        <v>229</v>
      </c>
      <c r="D196" s="59" t="s">
        <v>4205</v>
      </c>
      <c r="E196" s="59" t="s">
        <v>5573</v>
      </c>
      <c r="F196" s="12"/>
      <c r="G196" s="59" t="s">
        <v>4204</v>
      </c>
      <c r="H196" s="55"/>
      <c r="I196" s="59" t="s">
        <v>5734</v>
      </c>
      <c r="J196" s="12"/>
      <c r="K196" s="59"/>
      <c r="L196" s="55"/>
      <c r="M196" s="55"/>
    </row>
    <row r="197" spans="2:13">
      <c r="B197" s="59" t="s">
        <v>4206</v>
      </c>
      <c r="C197" s="59" t="s">
        <v>203</v>
      </c>
      <c r="D197" s="59" t="s">
        <v>4207</v>
      </c>
      <c r="E197" s="59" t="s">
        <v>5573</v>
      </c>
      <c r="F197" s="12"/>
      <c r="G197" s="59" t="s">
        <v>4206</v>
      </c>
      <c r="H197" s="55"/>
      <c r="I197" s="59" t="s">
        <v>5734</v>
      </c>
      <c r="J197" s="12"/>
      <c r="K197" s="59"/>
      <c r="L197" s="55"/>
      <c r="M197" s="55"/>
    </row>
    <row r="198" spans="2:13">
      <c r="B198" s="59" t="s">
        <v>4208</v>
      </c>
      <c r="C198" s="59" t="s">
        <v>203</v>
      </c>
      <c r="D198" s="59" t="s">
        <v>4209</v>
      </c>
      <c r="E198" s="59" t="s">
        <v>5573</v>
      </c>
      <c r="F198" s="12"/>
      <c r="G198" s="59" t="s">
        <v>4208</v>
      </c>
      <c r="H198" s="55"/>
      <c r="I198" s="59" t="s">
        <v>5734</v>
      </c>
      <c r="J198" s="12"/>
      <c r="K198" s="59"/>
      <c r="L198" s="55"/>
      <c r="M198" s="55"/>
    </row>
    <row r="199" spans="2:13">
      <c r="B199" s="59" t="s">
        <v>4210</v>
      </c>
      <c r="C199" s="59" t="s">
        <v>203</v>
      </c>
      <c r="D199" s="59" t="s">
        <v>4211</v>
      </c>
      <c r="E199" s="59" t="s">
        <v>5573</v>
      </c>
      <c r="F199" s="12"/>
      <c r="G199" s="59" t="s">
        <v>4210</v>
      </c>
      <c r="H199" s="55"/>
      <c r="I199" s="59" t="s">
        <v>5734</v>
      </c>
      <c r="J199" s="12"/>
      <c r="K199" s="59"/>
      <c r="L199" s="55"/>
      <c r="M199" s="55"/>
    </row>
    <row r="200" spans="2:13">
      <c r="B200" s="59" t="s">
        <v>4212</v>
      </c>
      <c r="C200" s="59" t="s">
        <v>203</v>
      </c>
      <c r="D200" s="59" t="s">
        <v>4213</v>
      </c>
      <c r="E200" s="59" t="s">
        <v>5573</v>
      </c>
      <c r="F200" s="12"/>
      <c r="G200" s="59" t="s">
        <v>4212</v>
      </c>
      <c r="H200" s="55"/>
      <c r="I200" s="59" t="s">
        <v>5734</v>
      </c>
      <c r="J200" s="12"/>
      <c r="K200" s="59"/>
      <c r="L200" s="55"/>
      <c r="M200" s="55"/>
    </row>
    <row r="201" spans="2:13">
      <c r="B201" s="59" t="s">
        <v>4214</v>
      </c>
      <c r="C201" s="59" t="s">
        <v>229</v>
      </c>
      <c r="D201" s="59" t="s">
        <v>4215</v>
      </c>
      <c r="E201" s="59" t="s">
        <v>5573</v>
      </c>
      <c r="F201" s="12"/>
      <c r="G201" s="59" t="s">
        <v>4214</v>
      </c>
      <c r="H201" s="55"/>
      <c r="I201" s="59" t="s">
        <v>5734</v>
      </c>
      <c r="J201" s="12"/>
      <c r="K201" s="59"/>
      <c r="L201" s="55"/>
      <c r="M201" s="55"/>
    </row>
    <row r="202" spans="2:13">
      <c r="B202" s="59" t="s">
        <v>4217</v>
      </c>
      <c r="C202" s="59" t="s">
        <v>229</v>
      </c>
      <c r="D202" s="59" t="s">
        <v>4218</v>
      </c>
      <c r="E202" s="59" t="s">
        <v>5573</v>
      </c>
      <c r="F202" s="12"/>
      <c r="G202" s="59" t="s">
        <v>4217</v>
      </c>
      <c r="H202" s="55"/>
      <c r="I202" s="59" t="s">
        <v>5734</v>
      </c>
      <c r="J202" s="12"/>
      <c r="K202" s="59"/>
      <c r="L202" s="55"/>
      <c r="M202" s="55"/>
    </row>
    <row r="203" spans="2:13">
      <c r="B203" s="59" t="s">
        <v>4219</v>
      </c>
      <c r="C203" s="59" t="s">
        <v>229</v>
      </c>
      <c r="D203" s="59" t="s">
        <v>4220</v>
      </c>
      <c r="E203" s="59" t="s">
        <v>5573</v>
      </c>
      <c r="F203" s="12"/>
      <c r="G203" s="59" t="s">
        <v>4219</v>
      </c>
      <c r="H203" s="55"/>
      <c r="I203" s="59" t="s">
        <v>5734</v>
      </c>
      <c r="J203" s="12"/>
      <c r="K203" s="59"/>
      <c r="L203" s="55"/>
      <c r="M203" s="55"/>
    </row>
    <row r="204" spans="2:13">
      <c r="B204" s="59" t="s">
        <v>4221</v>
      </c>
      <c r="C204" s="59" t="s">
        <v>229</v>
      </c>
      <c r="D204" s="59" t="s">
        <v>4222</v>
      </c>
      <c r="E204" s="59" t="s">
        <v>5573</v>
      </c>
      <c r="F204" s="12"/>
      <c r="G204" s="59" t="s">
        <v>4221</v>
      </c>
      <c r="H204" s="55"/>
      <c r="I204" s="59" t="s">
        <v>5734</v>
      </c>
      <c r="J204" s="12"/>
      <c r="K204" s="59"/>
      <c r="L204" s="55"/>
      <c r="M204" s="55"/>
    </row>
    <row r="205" spans="2:13">
      <c r="B205" s="59" t="s">
        <v>5735</v>
      </c>
      <c r="C205" s="59" t="s">
        <v>229</v>
      </c>
      <c r="D205" s="59" t="s">
        <v>5736</v>
      </c>
      <c r="E205" s="59" t="s">
        <v>5580</v>
      </c>
      <c r="F205" s="12"/>
      <c r="G205" s="147" t="s">
        <v>1693</v>
      </c>
      <c r="H205" s="55"/>
      <c r="I205" s="59" t="s">
        <v>5734</v>
      </c>
      <c r="J205" s="12"/>
      <c r="K205" s="59"/>
      <c r="L205" s="55"/>
      <c r="M205" s="55"/>
    </row>
    <row r="206" spans="2:13">
      <c r="B206" s="59" t="s">
        <v>5737</v>
      </c>
      <c r="C206" s="59" t="s">
        <v>229</v>
      </c>
      <c r="D206" s="59" t="s">
        <v>5738</v>
      </c>
      <c r="E206" s="59"/>
      <c r="F206" s="12"/>
      <c r="G206" s="147" t="s">
        <v>1693</v>
      </c>
      <c r="H206" s="55"/>
      <c r="I206" s="59" t="s">
        <v>5734</v>
      </c>
      <c r="J206" s="12"/>
      <c r="K206" s="59"/>
      <c r="L206" s="55"/>
      <c r="M206" s="55"/>
    </row>
    <row r="207" spans="2:13">
      <c r="B207" s="59" t="s">
        <v>4223</v>
      </c>
      <c r="C207" s="59" t="s">
        <v>203</v>
      </c>
      <c r="D207" s="59" t="s">
        <v>4224</v>
      </c>
      <c r="E207" s="59" t="s">
        <v>5573</v>
      </c>
      <c r="F207" s="12"/>
      <c r="G207" s="59" t="s">
        <v>4223</v>
      </c>
      <c r="H207" s="55"/>
      <c r="I207" s="59" t="s">
        <v>5734</v>
      </c>
      <c r="J207" s="12"/>
      <c r="K207" s="59"/>
      <c r="L207" s="55"/>
      <c r="M207" s="55"/>
    </row>
    <row r="208" spans="2:13">
      <c r="B208" s="59" t="s">
        <v>4225</v>
      </c>
      <c r="C208" s="59" t="s">
        <v>203</v>
      </c>
      <c r="D208" s="59" t="s">
        <v>4226</v>
      </c>
      <c r="E208" s="59" t="s">
        <v>5573</v>
      </c>
      <c r="F208" s="12"/>
      <c r="G208" s="59" t="s">
        <v>4225</v>
      </c>
      <c r="H208" s="55"/>
      <c r="I208" s="59" t="s">
        <v>5734</v>
      </c>
      <c r="J208" s="12"/>
      <c r="K208" s="59"/>
      <c r="L208" s="55"/>
      <c r="M208" s="55"/>
    </row>
    <row r="209" spans="2:13">
      <c r="B209" s="59" t="s">
        <v>4227</v>
      </c>
      <c r="C209" s="59" t="s">
        <v>203</v>
      </c>
      <c r="D209" s="59" t="s">
        <v>4228</v>
      </c>
      <c r="E209" s="59" t="s">
        <v>5573</v>
      </c>
      <c r="F209" s="12"/>
      <c r="G209" s="50" t="s">
        <v>4227</v>
      </c>
      <c r="H209" s="55"/>
      <c r="I209" s="59" t="s">
        <v>5734</v>
      </c>
      <c r="J209" s="12"/>
      <c r="K209" s="59"/>
      <c r="L209" s="55"/>
      <c r="M209" s="55"/>
    </row>
    <row r="210" spans="2:13">
      <c r="B210" s="59" t="s">
        <v>4229</v>
      </c>
      <c r="C210" s="59" t="s">
        <v>203</v>
      </c>
      <c r="D210" s="59" t="s">
        <v>4230</v>
      </c>
      <c r="E210" s="59" t="s">
        <v>5573</v>
      </c>
      <c r="F210" s="12"/>
      <c r="G210" s="59" t="s">
        <v>4229</v>
      </c>
      <c r="H210" s="55"/>
      <c r="I210" s="59" t="s">
        <v>5734</v>
      </c>
      <c r="J210" s="12"/>
      <c r="K210" s="59"/>
      <c r="L210" s="55"/>
      <c r="M210" s="55"/>
    </row>
    <row r="211" spans="2:13">
      <c r="B211" s="59" t="s">
        <v>4148</v>
      </c>
      <c r="C211" s="59" t="s">
        <v>203</v>
      </c>
      <c r="D211" s="59" t="s">
        <v>4149</v>
      </c>
      <c r="E211" s="59" t="s">
        <v>5573</v>
      </c>
      <c r="F211" s="12"/>
      <c r="G211" s="59" t="s">
        <v>4148</v>
      </c>
      <c r="H211" s="55"/>
      <c r="I211" s="59" t="s">
        <v>5734</v>
      </c>
      <c r="J211" s="12"/>
      <c r="K211" s="59"/>
      <c r="L211" s="55"/>
      <c r="M211" s="55"/>
    </row>
    <row r="212" spans="2:13">
      <c r="B212" s="59" t="s">
        <v>4151</v>
      </c>
      <c r="C212" s="59" t="s">
        <v>203</v>
      </c>
      <c r="D212" s="59" t="s">
        <v>4152</v>
      </c>
      <c r="E212" s="59" t="s">
        <v>5573</v>
      </c>
      <c r="F212" s="12"/>
      <c r="G212" s="59" t="s">
        <v>4151</v>
      </c>
      <c r="H212" s="55"/>
      <c r="I212" s="59" t="s">
        <v>5734</v>
      </c>
      <c r="J212" s="12"/>
      <c r="K212" s="59"/>
      <c r="L212" s="55"/>
      <c r="M212" s="55"/>
    </row>
    <row r="213" spans="2:13">
      <c r="B213" s="59" t="s">
        <v>4154</v>
      </c>
      <c r="C213" s="59" t="s">
        <v>203</v>
      </c>
      <c r="D213" s="59" t="s">
        <v>4155</v>
      </c>
      <c r="E213" s="59" t="s">
        <v>5573</v>
      </c>
      <c r="F213" s="12"/>
      <c r="G213" s="55" t="s">
        <v>5739</v>
      </c>
      <c r="H213" s="55"/>
      <c r="I213" s="59" t="s">
        <v>5734</v>
      </c>
      <c r="J213" s="12"/>
      <c r="K213" s="59"/>
      <c r="L213" s="55"/>
      <c r="M213" s="55"/>
    </row>
    <row r="214" spans="2:13">
      <c r="B214" s="59" t="s">
        <v>4156</v>
      </c>
      <c r="C214" s="59" t="s">
        <v>203</v>
      </c>
      <c r="D214" s="59" t="s">
        <v>4157</v>
      </c>
      <c r="E214" s="59" t="s">
        <v>5573</v>
      </c>
      <c r="F214" s="12"/>
      <c r="G214" s="55" t="s">
        <v>5740</v>
      </c>
      <c r="H214" s="55"/>
      <c r="I214" s="59" t="s">
        <v>5734</v>
      </c>
      <c r="J214" s="12"/>
      <c r="K214" s="59"/>
      <c r="L214" s="55"/>
      <c r="M214" s="55"/>
    </row>
    <row r="215" spans="2:13">
      <c r="B215" s="59" t="s">
        <v>4158</v>
      </c>
      <c r="C215" s="59" t="s">
        <v>229</v>
      </c>
      <c r="D215" s="59" t="s">
        <v>4159</v>
      </c>
      <c r="E215" s="59" t="s">
        <v>5573</v>
      </c>
      <c r="F215" s="12"/>
      <c r="G215" s="55" t="s">
        <v>4158</v>
      </c>
      <c r="H215" s="55"/>
      <c r="I215" s="59" t="s">
        <v>5734</v>
      </c>
      <c r="J215" s="12"/>
      <c r="K215" s="59"/>
      <c r="L215" s="55"/>
      <c r="M215" s="55"/>
    </row>
    <row r="216" spans="2:13">
      <c r="B216" s="59" t="s">
        <v>5741</v>
      </c>
      <c r="C216" s="59" t="s">
        <v>170</v>
      </c>
      <c r="D216" s="59" t="s">
        <v>5742</v>
      </c>
      <c r="E216" s="59" t="s">
        <v>5580</v>
      </c>
      <c r="F216" s="12"/>
      <c r="G216" s="147" t="s">
        <v>1693</v>
      </c>
      <c r="H216" s="55"/>
      <c r="I216" s="59" t="s">
        <v>5743</v>
      </c>
      <c r="J216" s="12"/>
      <c r="K216" s="59"/>
      <c r="L216" s="55"/>
      <c r="M216" s="55"/>
    </row>
    <row r="217" spans="2:13">
      <c r="B217" s="59" t="s">
        <v>5744</v>
      </c>
      <c r="C217" s="59" t="s">
        <v>170</v>
      </c>
      <c r="D217" s="59" t="s">
        <v>5745</v>
      </c>
      <c r="E217" s="59"/>
      <c r="F217" s="12"/>
      <c r="G217" s="147" t="s">
        <v>1693</v>
      </c>
      <c r="H217" s="55"/>
      <c r="I217" s="59" t="s">
        <v>5743</v>
      </c>
      <c r="J217" s="12"/>
      <c r="K217" s="59"/>
      <c r="L217" s="55"/>
      <c r="M217" s="55"/>
    </row>
    <row r="218" spans="2:13">
      <c r="B218" s="59" t="s">
        <v>5746</v>
      </c>
      <c r="C218" s="59" t="s">
        <v>203</v>
      </c>
      <c r="D218" s="59" t="s">
        <v>5747</v>
      </c>
      <c r="E218" s="59" t="s">
        <v>5577</v>
      </c>
      <c r="F218" s="12"/>
      <c r="G218" s="147" t="s">
        <v>5748</v>
      </c>
      <c r="H218" s="55"/>
      <c r="I218" s="59" t="s">
        <v>5743</v>
      </c>
      <c r="J218" s="12"/>
      <c r="K218" s="59"/>
      <c r="L218" s="55"/>
      <c r="M218" s="55"/>
    </row>
    <row r="219" spans="2:13">
      <c r="B219" s="59" t="s">
        <v>5749</v>
      </c>
      <c r="C219" s="59" t="s">
        <v>203</v>
      </c>
      <c r="D219" s="59" t="s">
        <v>5750</v>
      </c>
      <c r="E219" s="59" t="s">
        <v>5577</v>
      </c>
      <c r="F219" s="12"/>
      <c r="G219" s="147" t="s">
        <v>5751</v>
      </c>
      <c r="H219" s="55"/>
      <c r="I219" s="59" t="s">
        <v>5743</v>
      </c>
      <c r="J219" s="12"/>
      <c r="K219" s="59"/>
      <c r="L219" s="55"/>
      <c r="M219" s="55"/>
    </row>
    <row r="220" spans="2:13">
      <c r="B220" s="59" t="s">
        <v>5752</v>
      </c>
      <c r="C220" s="59" t="s">
        <v>203</v>
      </c>
      <c r="D220" s="59" t="s">
        <v>5753</v>
      </c>
      <c r="E220" s="59" t="s">
        <v>5577</v>
      </c>
      <c r="F220" s="12"/>
      <c r="G220" s="147" t="s">
        <v>5754</v>
      </c>
      <c r="H220" s="55"/>
      <c r="I220" s="59" t="s">
        <v>5743</v>
      </c>
      <c r="J220" s="12"/>
      <c r="K220" s="59"/>
      <c r="L220" s="55"/>
      <c r="M220" s="55"/>
    </row>
    <row r="221" spans="2:13">
      <c r="B221" s="59" t="s">
        <v>5755</v>
      </c>
      <c r="C221" s="59" t="s">
        <v>203</v>
      </c>
      <c r="D221" s="59" t="s">
        <v>5756</v>
      </c>
      <c r="E221" s="59" t="s">
        <v>5577</v>
      </c>
      <c r="F221" s="12"/>
      <c r="G221" s="147" t="s">
        <v>5757</v>
      </c>
      <c r="H221" s="55"/>
      <c r="I221" s="59" t="s">
        <v>5743</v>
      </c>
      <c r="J221" s="12"/>
      <c r="K221" s="59"/>
      <c r="L221" s="55"/>
      <c r="M221" s="55"/>
    </row>
    <row r="222" spans="2:13">
      <c r="B222" s="59" t="s">
        <v>5758</v>
      </c>
      <c r="C222" s="59" t="s">
        <v>229</v>
      </c>
      <c r="D222" s="59" t="s">
        <v>5759</v>
      </c>
      <c r="E222" s="59" t="s">
        <v>5577</v>
      </c>
      <c r="F222" s="12"/>
      <c r="G222" s="147" t="s">
        <v>5758</v>
      </c>
      <c r="H222" s="55"/>
      <c r="I222" s="59" t="s">
        <v>5743</v>
      </c>
      <c r="J222" s="12"/>
      <c r="K222" s="59"/>
      <c r="L222" s="55"/>
      <c r="M222" s="55"/>
    </row>
    <row r="223" spans="2:13">
      <c r="B223" s="59" t="s">
        <v>5760</v>
      </c>
      <c r="C223" s="59" t="s">
        <v>229</v>
      </c>
      <c r="D223" s="59" t="s">
        <v>5761</v>
      </c>
      <c r="E223" s="59" t="s">
        <v>5577</v>
      </c>
      <c r="F223" s="12"/>
      <c r="G223" s="147" t="s">
        <v>5760</v>
      </c>
      <c r="H223" s="55"/>
      <c r="I223" s="59" t="s">
        <v>5743</v>
      </c>
      <c r="J223" s="12"/>
      <c r="K223" s="59"/>
      <c r="L223" s="55"/>
      <c r="M223" s="55"/>
    </row>
    <row r="224" spans="2:13">
      <c r="B224" s="59" t="s">
        <v>5762</v>
      </c>
      <c r="C224" s="59" t="s">
        <v>203</v>
      </c>
      <c r="D224" s="59" t="s">
        <v>5763</v>
      </c>
      <c r="E224" s="59" t="s">
        <v>5577</v>
      </c>
      <c r="F224" s="12"/>
      <c r="G224" s="147" t="s">
        <v>5762</v>
      </c>
      <c r="H224" s="55"/>
      <c r="I224" s="59" t="s">
        <v>5743</v>
      </c>
      <c r="J224" s="12"/>
      <c r="K224" s="59"/>
      <c r="L224" s="55"/>
      <c r="M224" s="55"/>
    </row>
    <row r="225" spans="2:13">
      <c r="B225" s="59" t="s">
        <v>5764</v>
      </c>
      <c r="C225" s="59" t="s">
        <v>203</v>
      </c>
      <c r="D225" s="59" t="s">
        <v>5765</v>
      </c>
      <c r="E225" s="59" t="s">
        <v>5577</v>
      </c>
      <c r="F225" s="12"/>
      <c r="G225" s="147" t="s">
        <v>5764</v>
      </c>
      <c r="H225" s="55"/>
      <c r="I225" s="59" t="s">
        <v>5743</v>
      </c>
      <c r="J225" s="12"/>
      <c r="K225" s="59"/>
      <c r="L225" s="55"/>
      <c r="M225" s="55"/>
    </row>
    <row r="226" spans="2:13">
      <c r="B226" s="59" t="s">
        <v>5766</v>
      </c>
      <c r="C226" s="59" t="s">
        <v>229</v>
      </c>
      <c r="D226" s="59" t="s">
        <v>5767</v>
      </c>
      <c r="E226" s="59" t="s">
        <v>5577</v>
      </c>
      <c r="F226" s="12"/>
      <c r="G226" s="147" t="s">
        <v>5768</v>
      </c>
      <c r="H226" s="55"/>
      <c r="I226" s="59" t="s">
        <v>5743</v>
      </c>
      <c r="J226" s="12"/>
      <c r="K226" s="59"/>
      <c r="L226" s="55"/>
      <c r="M226" s="55"/>
    </row>
    <row r="227" spans="2:13">
      <c r="B227" s="59" t="s">
        <v>5769</v>
      </c>
      <c r="C227" s="59" t="s">
        <v>203</v>
      </c>
      <c r="D227" s="59" t="s">
        <v>5770</v>
      </c>
      <c r="E227" s="59" t="s">
        <v>5577</v>
      </c>
      <c r="F227" s="12"/>
      <c r="G227" s="147" t="s">
        <v>5769</v>
      </c>
      <c r="H227" s="55"/>
      <c r="I227" s="59" t="s">
        <v>5743</v>
      </c>
      <c r="J227" s="12"/>
      <c r="K227" s="59"/>
      <c r="L227" s="55"/>
      <c r="M227" s="55"/>
    </row>
    <row r="228" spans="2:13">
      <c r="B228" s="59" t="s">
        <v>5771</v>
      </c>
      <c r="C228" s="59" t="s">
        <v>229</v>
      </c>
      <c r="D228" s="59" t="s">
        <v>5759</v>
      </c>
      <c r="E228" s="59"/>
      <c r="F228" s="12"/>
      <c r="G228" s="59" t="s">
        <v>1693</v>
      </c>
      <c r="H228" s="55"/>
      <c r="I228" s="59" t="s">
        <v>5743</v>
      </c>
      <c r="J228" s="12"/>
      <c r="K228" s="59"/>
      <c r="L228" s="55"/>
      <c r="M228" s="55"/>
    </row>
    <row r="229" spans="2:13">
      <c r="B229" s="59" t="s">
        <v>5772</v>
      </c>
      <c r="C229" s="59" t="s">
        <v>229</v>
      </c>
      <c r="D229" s="59" t="s">
        <v>5761</v>
      </c>
      <c r="E229" s="59"/>
      <c r="F229" s="12"/>
      <c r="G229" s="59" t="s">
        <v>1693</v>
      </c>
      <c r="H229" s="55"/>
      <c r="I229" s="59" t="s">
        <v>5743</v>
      </c>
      <c r="J229" s="12"/>
      <c r="K229" s="59"/>
      <c r="L229" s="55"/>
      <c r="M229" s="55"/>
    </row>
    <row r="230" spans="2:13">
      <c r="B230" s="59" t="s">
        <v>5773</v>
      </c>
      <c r="C230" s="59" t="s">
        <v>203</v>
      </c>
      <c r="D230" s="59" t="s">
        <v>5774</v>
      </c>
      <c r="E230" s="59" t="s">
        <v>5580</v>
      </c>
      <c r="F230" s="12"/>
      <c r="G230" s="147" t="s">
        <v>5775</v>
      </c>
      <c r="H230" s="55"/>
      <c r="I230" s="59" t="s">
        <v>5743</v>
      </c>
      <c r="J230" s="12"/>
      <c r="K230" s="59"/>
      <c r="L230" s="55"/>
      <c r="M230" s="55"/>
    </row>
    <row r="231" spans="2:12">
      <c r="B231" s="59" t="s">
        <v>5776</v>
      </c>
      <c r="C231" s="59" t="s">
        <v>203</v>
      </c>
      <c r="D231" s="59" t="s">
        <v>5777</v>
      </c>
      <c r="E231" s="59" t="s">
        <v>5580</v>
      </c>
      <c r="F231" s="12"/>
      <c r="G231" s="147" t="s">
        <v>5778</v>
      </c>
      <c r="H231" s="55"/>
      <c r="I231" s="59" t="s">
        <v>5743</v>
      </c>
      <c r="J231" s="55"/>
      <c r="K231" s="59"/>
      <c r="L231" s="55"/>
    </row>
    <row r="232" spans="2:13">
      <c r="B232" s="59" t="s">
        <v>5779</v>
      </c>
      <c r="C232" s="59" t="s">
        <v>203</v>
      </c>
      <c r="D232" s="59" t="s">
        <v>5780</v>
      </c>
      <c r="E232" s="59" t="s">
        <v>5580</v>
      </c>
      <c r="F232" s="12"/>
      <c r="G232" s="147" t="s">
        <v>5781</v>
      </c>
      <c r="H232" s="55"/>
      <c r="I232" s="59" t="s">
        <v>5743</v>
      </c>
      <c r="J232" s="12"/>
      <c r="K232" s="59"/>
      <c r="L232" s="55"/>
      <c r="M232" s="55"/>
    </row>
    <row r="233" spans="2:13">
      <c r="B233" s="59" t="s">
        <v>5782</v>
      </c>
      <c r="C233" s="59" t="s">
        <v>229</v>
      </c>
      <c r="D233" s="59" t="s">
        <v>5783</v>
      </c>
      <c r="E233" s="59" t="s">
        <v>5580</v>
      </c>
      <c r="F233" s="12"/>
      <c r="G233" s="147" t="s">
        <v>1693</v>
      </c>
      <c r="H233" s="55"/>
      <c r="I233" s="59" t="s">
        <v>5743</v>
      </c>
      <c r="J233" s="12"/>
      <c r="K233" s="59"/>
      <c r="L233" s="55"/>
      <c r="M233" s="55"/>
    </row>
    <row r="234" spans="2:13">
      <c r="B234" s="59" t="s">
        <v>5784</v>
      </c>
      <c r="C234" s="59" t="s">
        <v>229</v>
      </c>
      <c r="D234" s="59" t="s">
        <v>5785</v>
      </c>
      <c r="E234" s="59" t="s">
        <v>5580</v>
      </c>
      <c r="F234" s="12"/>
      <c r="G234" s="147" t="s">
        <v>1693</v>
      </c>
      <c r="H234" s="55"/>
      <c r="I234" s="59" t="s">
        <v>5743</v>
      </c>
      <c r="J234" s="12"/>
      <c r="K234" s="59"/>
      <c r="L234" s="55"/>
      <c r="M234" s="55"/>
    </row>
    <row r="235" spans="2:13">
      <c r="B235" s="59" t="s">
        <v>5786</v>
      </c>
      <c r="C235" s="59" t="s">
        <v>203</v>
      </c>
      <c r="D235" s="59" t="s">
        <v>5787</v>
      </c>
      <c r="E235" s="59" t="s">
        <v>5580</v>
      </c>
      <c r="F235" s="12"/>
      <c r="G235" s="147" t="s">
        <v>5786</v>
      </c>
      <c r="H235" s="55"/>
      <c r="I235" s="59" t="s">
        <v>5743</v>
      </c>
      <c r="J235" s="12"/>
      <c r="K235" s="59"/>
      <c r="L235" s="55"/>
      <c r="M235" s="55"/>
    </row>
    <row r="236" spans="2:13">
      <c r="B236" s="59" t="s">
        <v>5788</v>
      </c>
      <c r="C236" s="59" t="s">
        <v>203</v>
      </c>
      <c r="D236" s="59" t="s">
        <v>5789</v>
      </c>
      <c r="E236" s="59" t="s">
        <v>5580</v>
      </c>
      <c r="F236" s="12"/>
      <c r="G236" s="147" t="s">
        <v>5788</v>
      </c>
      <c r="H236" s="55"/>
      <c r="I236" s="59" t="s">
        <v>5743</v>
      </c>
      <c r="J236" s="12"/>
      <c r="K236" s="59"/>
      <c r="L236" s="55"/>
      <c r="M236" s="55"/>
    </row>
    <row r="237" spans="2:13">
      <c r="B237" s="59" t="s">
        <v>5790</v>
      </c>
      <c r="C237" s="59" t="s">
        <v>203</v>
      </c>
      <c r="D237" s="59" t="s">
        <v>5791</v>
      </c>
      <c r="E237" s="59" t="s">
        <v>5580</v>
      </c>
      <c r="F237" s="12"/>
      <c r="G237" s="147" t="s">
        <v>1693</v>
      </c>
      <c r="H237" s="55"/>
      <c r="I237" s="59" t="s">
        <v>5743</v>
      </c>
      <c r="J237" s="12"/>
      <c r="K237" s="59"/>
      <c r="L237" s="55"/>
      <c r="M237" s="55"/>
    </row>
    <row r="238" spans="2:13">
      <c r="B238" s="59" t="s">
        <v>5792</v>
      </c>
      <c r="C238" s="59" t="s">
        <v>203</v>
      </c>
      <c r="D238" s="59" t="s">
        <v>5793</v>
      </c>
      <c r="E238" s="59"/>
      <c r="F238" s="12"/>
      <c r="G238" s="59" t="s">
        <v>1693</v>
      </c>
      <c r="H238" s="55"/>
      <c r="I238" s="59" t="s">
        <v>5743</v>
      </c>
      <c r="J238" s="12"/>
      <c r="K238" s="59"/>
      <c r="L238" s="55"/>
      <c r="M238" s="55"/>
    </row>
    <row r="239" spans="2:13">
      <c r="B239" s="59" t="s">
        <v>5794</v>
      </c>
      <c r="C239" s="59" t="s">
        <v>203</v>
      </c>
      <c r="D239" s="59" t="s">
        <v>5795</v>
      </c>
      <c r="E239" s="59"/>
      <c r="F239" s="12"/>
      <c r="G239" s="59" t="s">
        <v>1693</v>
      </c>
      <c r="H239" s="55"/>
      <c r="I239" s="59" t="s">
        <v>5743</v>
      </c>
      <c r="J239" s="12"/>
      <c r="K239" s="59"/>
      <c r="L239" s="55"/>
      <c r="M239" s="55"/>
    </row>
    <row r="240" spans="2:13">
      <c r="B240" s="59" t="s">
        <v>5796</v>
      </c>
      <c r="C240" s="59" t="s">
        <v>203</v>
      </c>
      <c r="D240" s="59" t="s">
        <v>5797</v>
      </c>
      <c r="E240" s="59"/>
      <c r="F240" s="12"/>
      <c r="G240" s="59" t="s">
        <v>1693</v>
      </c>
      <c r="H240" s="55"/>
      <c r="I240" s="59" t="s">
        <v>5743</v>
      </c>
      <c r="J240" s="12"/>
      <c r="K240" s="59"/>
      <c r="L240" s="55"/>
      <c r="M240" s="55"/>
    </row>
    <row r="241" spans="2:13">
      <c r="B241" s="59" t="s">
        <v>5798</v>
      </c>
      <c r="C241" s="59" t="s">
        <v>203</v>
      </c>
      <c r="D241" s="59" t="s">
        <v>5799</v>
      </c>
      <c r="E241" s="59" t="s">
        <v>5580</v>
      </c>
      <c r="F241" s="12"/>
      <c r="G241" s="147" t="s">
        <v>5800</v>
      </c>
      <c r="H241" s="55"/>
      <c r="I241" s="59" t="s">
        <v>5743</v>
      </c>
      <c r="J241" s="12"/>
      <c r="K241" s="59"/>
      <c r="L241" s="55"/>
      <c r="M241" s="55"/>
    </row>
    <row r="242" spans="2:13">
      <c r="B242" s="59" t="s">
        <v>5801</v>
      </c>
      <c r="C242" s="59" t="s">
        <v>203</v>
      </c>
      <c r="D242" s="59" t="s">
        <v>5802</v>
      </c>
      <c r="E242" s="59" t="s">
        <v>5580</v>
      </c>
      <c r="F242" s="12"/>
      <c r="G242" s="147" t="s">
        <v>5803</v>
      </c>
      <c r="H242" s="12"/>
      <c r="I242" s="59" t="s">
        <v>5743</v>
      </c>
      <c r="J242" s="12"/>
      <c r="K242" s="59"/>
      <c r="L242" s="55"/>
      <c r="M242" s="55"/>
    </row>
    <row r="243" spans="2:13">
      <c r="B243" s="59" t="s">
        <v>5804</v>
      </c>
      <c r="C243" s="59" t="s">
        <v>203</v>
      </c>
      <c r="D243" s="59" t="s">
        <v>5805</v>
      </c>
      <c r="E243" s="59" t="s">
        <v>5580</v>
      </c>
      <c r="F243" s="12"/>
      <c r="G243" s="147" t="s">
        <v>5806</v>
      </c>
      <c r="H243" s="12"/>
      <c r="I243" s="59" t="s">
        <v>5743</v>
      </c>
      <c r="J243" s="12"/>
      <c r="K243" s="59"/>
      <c r="L243" s="55"/>
      <c r="M243" s="55"/>
    </row>
    <row r="244" ht="66" spans="2:12">
      <c r="B244" s="59" t="s">
        <v>5807</v>
      </c>
      <c r="C244" s="59" t="s">
        <v>203</v>
      </c>
      <c r="D244" s="59" t="s">
        <v>5808</v>
      </c>
      <c r="E244" s="59" t="s">
        <v>5580</v>
      </c>
      <c r="F244" s="12"/>
      <c r="G244" s="156" t="s">
        <v>5809</v>
      </c>
      <c r="H244" s="12"/>
      <c r="I244" s="59" t="s">
        <v>5743</v>
      </c>
      <c r="J244" s="12"/>
      <c r="K244" s="59"/>
      <c r="L244" s="55"/>
    </row>
    <row r="245" spans="2:12">
      <c r="B245" s="59" t="s">
        <v>5810</v>
      </c>
      <c r="C245" s="59" t="s">
        <v>203</v>
      </c>
      <c r="D245" s="59" t="s">
        <v>5811</v>
      </c>
      <c r="E245" s="59" t="s">
        <v>5580</v>
      </c>
      <c r="F245" s="12"/>
      <c r="G245" s="147" t="s">
        <v>5812</v>
      </c>
      <c r="H245" s="12"/>
      <c r="I245" s="59" t="s">
        <v>5743</v>
      </c>
      <c r="J245" s="12"/>
      <c r="K245" s="59"/>
      <c r="L245" s="55"/>
    </row>
    <row r="246" spans="2:12">
      <c r="B246" s="59" t="s">
        <v>5813</v>
      </c>
      <c r="C246" s="59" t="s">
        <v>229</v>
      </c>
      <c r="D246" s="59" t="s">
        <v>5814</v>
      </c>
      <c r="E246" s="59" t="s">
        <v>5580</v>
      </c>
      <c r="F246" s="12"/>
      <c r="G246" s="147" t="s">
        <v>5813</v>
      </c>
      <c r="H246" s="12"/>
      <c r="I246" s="59" t="s">
        <v>5743</v>
      </c>
      <c r="J246" s="12"/>
      <c r="K246" s="59"/>
      <c r="L246" s="55"/>
    </row>
    <row r="247" spans="2:12">
      <c r="B247" s="59" t="s">
        <v>5815</v>
      </c>
      <c r="C247" s="59" t="s">
        <v>229</v>
      </c>
      <c r="D247" s="59" t="s">
        <v>5816</v>
      </c>
      <c r="E247" s="59" t="s">
        <v>5580</v>
      </c>
      <c r="F247" s="12"/>
      <c r="G247" s="147" t="s">
        <v>5815</v>
      </c>
      <c r="H247" s="12"/>
      <c r="I247" s="59" t="s">
        <v>5743</v>
      </c>
      <c r="J247" s="12"/>
      <c r="K247" s="59"/>
      <c r="L247" s="55"/>
    </row>
    <row r="248" spans="2:12">
      <c r="B248" s="59" t="s">
        <v>5817</v>
      </c>
      <c r="C248" s="59" t="s">
        <v>229</v>
      </c>
      <c r="D248" s="59" t="s">
        <v>5818</v>
      </c>
      <c r="E248" s="59" t="s">
        <v>5580</v>
      </c>
      <c r="F248" s="12"/>
      <c r="G248" s="147" t="s">
        <v>5817</v>
      </c>
      <c r="H248" s="12"/>
      <c r="I248" s="59" t="s">
        <v>5743</v>
      </c>
      <c r="J248" s="12"/>
      <c r="K248" s="59"/>
      <c r="L248" s="55"/>
    </row>
    <row r="249" spans="2:12">
      <c r="B249" s="59" t="s">
        <v>5819</v>
      </c>
      <c r="C249" s="59" t="s">
        <v>229</v>
      </c>
      <c r="D249" s="59" t="s">
        <v>5820</v>
      </c>
      <c r="E249" s="59" t="s">
        <v>5580</v>
      </c>
      <c r="F249" s="12"/>
      <c r="G249" s="147" t="s">
        <v>5819</v>
      </c>
      <c r="H249" s="12"/>
      <c r="I249" s="59" t="s">
        <v>5743</v>
      </c>
      <c r="J249" s="12"/>
      <c r="K249" s="59"/>
      <c r="L249" s="55"/>
    </row>
    <row r="250" spans="2:12">
      <c r="B250" s="59" t="s">
        <v>5821</v>
      </c>
      <c r="C250" s="59" t="s">
        <v>229</v>
      </c>
      <c r="D250" s="59" t="s">
        <v>5822</v>
      </c>
      <c r="E250" s="59" t="s">
        <v>5580</v>
      </c>
      <c r="F250" s="12"/>
      <c r="G250" s="147" t="s">
        <v>5821</v>
      </c>
      <c r="H250" s="12"/>
      <c r="I250" s="59" t="s">
        <v>5743</v>
      </c>
      <c r="J250" s="12"/>
      <c r="K250" s="59"/>
      <c r="L250" s="55"/>
    </row>
    <row r="251" spans="2:12">
      <c r="B251" s="59" t="s">
        <v>5823</v>
      </c>
      <c r="C251" s="59" t="s">
        <v>229</v>
      </c>
      <c r="D251" s="59" t="s">
        <v>5824</v>
      </c>
      <c r="E251" s="59" t="s">
        <v>5580</v>
      </c>
      <c r="F251" s="12"/>
      <c r="G251" s="147" t="s">
        <v>5823</v>
      </c>
      <c r="H251" s="12"/>
      <c r="I251" s="59" t="s">
        <v>5743</v>
      </c>
      <c r="J251" s="12"/>
      <c r="K251" s="59"/>
      <c r="L251" s="55"/>
    </row>
    <row r="252" spans="2:12">
      <c r="B252" s="59" t="s">
        <v>5825</v>
      </c>
      <c r="C252" s="59" t="s">
        <v>229</v>
      </c>
      <c r="D252" s="59" t="s">
        <v>5826</v>
      </c>
      <c r="E252" s="59" t="s">
        <v>5580</v>
      </c>
      <c r="F252" s="12"/>
      <c r="G252" s="147" t="s">
        <v>5825</v>
      </c>
      <c r="H252" s="12"/>
      <c r="I252" s="59" t="s">
        <v>5743</v>
      </c>
      <c r="J252" s="12"/>
      <c r="K252" s="59"/>
      <c r="L252" s="55"/>
    </row>
    <row r="253" spans="2:12">
      <c r="B253" s="59" t="s">
        <v>5827</v>
      </c>
      <c r="C253" s="59" t="s">
        <v>229</v>
      </c>
      <c r="D253" s="59" t="s">
        <v>5828</v>
      </c>
      <c r="E253" s="59" t="s">
        <v>5580</v>
      </c>
      <c r="F253" s="12"/>
      <c r="G253" s="147" t="s">
        <v>5827</v>
      </c>
      <c r="H253" s="12"/>
      <c r="I253" s="59" t="s">
        <v>5743</v>
      </c>
      <c r="J253" s="12"/>
      <c r="K253" s="59"/>
      <c r="L253" s="55"/>
    </row>
    <row r="254" spans="2:12">
      <c r="B254" s="59" t="s">
        <v>5829</v>
      </c>
      <c r="C254" s="59" t="s">
        <v>229</v>
      </c>
      <c r="D254" s="59" t="s">
        <v>5830</v>
      </c>
      <c r="E254" s="59" t="s">
        <v>5580</v>
      </c>
      <c r="F254" s="12"/>
      <c r="G254" s="147" t="s">
        <v>1693</v>
      </c>
      <c r="H254" s="12"/>
      <c r="I254" s="59" t="s">
        <v>5743</v>
      </c>
      <c r="J254" s="12"/>
      <c r="K254" s="59"/>
      <c r="L254" s="55"/>
    </row>
    <row r="255" spans="2:12">
      <c r="B255" s="59" t="s">
        <v>5831</v>
      </c>
      <c r="C255" s="59" t="s">
        <v>229</v>
      </c>
      <c r="D255" s="59" t="s">
        <v>5832</v>
      </c>
      <c r="E255" s="59" t="s">
        <v>5580</v>
      </c>
      <c r="F255" s="12"/>
      <c r="G255" s="147" t="s">
        <v>1693</v>
      </c>
      <c r="H255" s="12"/>
      <c r="I255" s="59" t="s">
        <v>5743</v>
      </c>
      <c r="J255" s="12"/>
      <c r="K255" s="59"/>
      <c r="L255" s="55"/>
    </row>
    <row r="256" spans="2:12">
      <c r="B256" s="59" t="s">
        <v>5833</v>
      </c>
      <c r="C256" s="59" t="s">
        <v>229</v>
      </c>
      <c r="D256" s="59" t="s">
        <v>5834</v>
      </c>
      <c r="E256" s="59" t="s">
        <v>5580</v>
      </c>
      <c r="F256" s="12"/>
      <c r="G256" s="147" t="s">
        <v>5833</v>
      </c>
      <c r="H256" s="12"/>
      <c r="I256" s="59" t="s">
        <v>5743</v>
      </c>
      <c r="J256" s="12"/>
      <c r="K256" s="59"/>
      <c r="L256" s="55"/>
    </row>
    <row r="257" spans="2:12">
      <c r="B257" s="59" t="s">
        <v>5835</v>
      </c>
      <c r="C257" s="59" t="s">
        <v>229</v>
      </c>
      <c r="D257" s="59" t="s">
        <v>5836</v>
      </c>
      <c r="E257" s="59" t="s">
        <v>5580</v>
      </c>
      <c r="F257" s="12"/>
      <c r="G257" s="147" t="s">
        <v>5835</v>
      </c>
      <c r="H257" s="12"/>
      <c r="I257" s="59" t="s">
        <v>5743</v>
      </c>
      <c r="J257" s="12"/>
      <c r="K257" s="59"/>
      <c r="L257" s="55"/>
    </row>
    <row r="258" spans="2:12">
      <c r="B258" s="59" t="s">
        <v>5837</v>
      </c>
      <c r="C258" s="59" t="s">
        <v>229</v>
      </c>
      <c r="D258" s="59" t="s">
        <v>5838</v>
      </c>
      <c r="E258" s="59" t="s">
        <v>5580</v>
      </c>
      <c r="F258" s="12"/>
      <c r="G258" s="147" t="s">
        <v>5837</v>
      </c>
      <c r="H258" s="12"/>
      <c r="I258" s="59" t="s">
        <v>5743</v>
      </c>
      <c r="J258" s="12"/>
      <c r="K258" s="59"/>
      <c r="L258" s="55"/>
    </row>
    <row r="259" spans="2:12">
      <c r="B259" s="59" t="s">
        <v>5839</v>
      </c>
      <c r="C259" s="59" t="s">
        <v>229</v>
      </c>
      <c r="D259" s="59" t="s">
        <v>5840</v>
      </c>
      <c r="E259" s="59" t="s">
        <v>5580</v>
      </c>
      <c r="F259" s="12"/>
      <c r="G259" s="147" t="s">
        <v>5839</v>
      </c>
      <c r="H259" s="12"/>
      <c r="I259" s="59" t="s">
        <v>5743</v>
      </c>
      <c r="J259" s="12"/>
      <c r="K259" s="59"/>
      <c r="L259" s="55"/>
    </row>
    <row r="260" spans="2:12">
      <c r="B260" s="59" t="s">
        <v>5841</v>
      </c>
      <c r="C260" s="59" t="s">
        <v>229</v>
      </c>
      <c r="D260" s="59" t="s">
        <v>5842</v>
      </c>
      <c r="E260" s="59" t="s">
        <v>5580</v>
      </c>
      <c r="F260" s="12"/>
      <c r="G260" s="147" t="s">
        <v>5841</v>
      </c>
      <c r="H260" s="12"/>
      <c r="I260" s="59" t="s">
        <v>5743</v>
      </c>
      <c r="J260" s="12"/>
      <c r="K260" s="59"/>
      <c r="L260" s="55"/>
    </row>
    <row r="261" spans="2:12">
      <c r="B261" s="59" t="s">
        <v>5843</v>
      </c>
      <c r="C261" s="59" t="s">
        <v>170</v>
      </c>
      <c r="D261" s="59" t="s">
        <v>5844</v>
      </c>
      <c r="E261" s="59" t="s">
        <v>5580</v>
      </c>
      <c r="F261" s="12"/>
      <c r="G261" s="147" t="s">
        <v>5845</v>
      </c>
      <c r="H261" s="12"/>
      <c r="I261" s="59" t="s">
        <v>5743</v>
      </c>
      <c r="J261" s="12"/>
      <c r="K261" s="59"/>
      <c r="L261" s="55"/>
    </row>
    <row r="262" spans="2:12">
      <c r="B262" s="59" t="s">
        <v>5846</v>
      </c>
      <c r="C262" s="59" t="s">
        <v>170</v>
      </c>
      <c r="D262" s="59" t="s">
        <v>5847</v>
      </c>
      <c r="E262" s="59" t="s">
        <v>5580</v>
      </c>
      <c r="F262" s="12"/>
      <c r="G262" s="147" t="s">
        <v>5848</v>
      </c>
      <c r="H262" s="12"/>
      <c r="I262" s="59" t="s">
        <v>5743</v>
      </c>
      <c r="J262" s="12"/>
      <c r="K262" s="59"/>
      <c r="L262" s="55"/>
    </row>
    <row r="263" spans="2:12">
      <c r="B263" s="59" t="s">
        <v>5849</v>
      </c>
      <c r="C263" s="59" t="s">
        <v>170</v>
      </c>
      <c r="D263" s="59" t="s">
        <v>5850</v>
      </c>
      <c r="E263" s="59" t="s">
        <v>5580</v>
      </c>
      <c r="F263" s="12"/>
      <c r="G263" s="147" t="s">
        <v>5851</v>
      </c>
      <c r="H263" s="12"/>
      <c r="I263" s="59" t="s">
        <v>5743</v>
      </c>
      <c r="J263" s="12"/>
      <c r="K263" s="59"/>
      <c r="L263" s="55"/>
    </row>
    <row r="264" spans="2:12">
      <c r="B264" s="59" t="s">
        <v>5852</v>
      </c>
      <c r="C264" s="59" t="s">
        <v>170</v>
      </c>
      <c r="D264" s="59" t="s">
        <v>5853</v>
      </c>
      <c r="E264" s="59" t="s">
        <v>5580</v>
      </c>
      <c r="F264" s="12"/>
      <c r="G264" s="147" t="s">
        <v>5854</v>
      </c>
      <c r="H264" s="12"/>
      <c r="I264" s="59" t="s">
        <v>5743</v>
      </c>
      <c r="J264" s="12"/>
      <c r="K264" s="59"/>
      <c r="L264" s="55"/>
    </row>
    <row r="265" spans="2:12">
      <c r="B265" s="59" t="s">
        <v>5855</v>
      </c>
      <c r="C265" s="59" t="s">
        <v>203</v>
      </c>
      <c r="D265" s="59" t="s">
        <v>5856</v>
      </c>
      <c r="E265" s="59" t="s">
        <v>5583</v>
      </c>
      <c r="F265" s="12"/>
      <c r="G265" s="59" t="s">
        <v>5855</v>
      </c>
      <c r="H265" s="12"/>
      <c r="I265" s="59" t="s">
        <v>5743</v>
      </c>
      <c r="J265" s="12"/>
      <c r="K265" s="59"/>
      <c r="L265" s="55"/>
    </row>
    <row r="266" spans="2:12">
      <c r="B266" s="59" t="s">
        <v>5857</v>
      </c>
      <c r="C266" s="59" t="s">
        <v>229</v>
      </c>
      <c r="D266" s="59" t="s">
        <v>5858</v>
      </c>
      <c r="E266" s="59" t="s">
        <v>5583</v>
      </c>
      <c r="F266" s="12"/>
      <c r="G266" s="59" t="s">
        <v>5857</v>
      </c>
      <c r="H266" s="12"/>
      <c r="I266" s="59" t="s">
        <v>5743</v>
      </c>
      <c r="J266" s="12"/>
      <c r="K266" s="59"/>
      <c r="L266" s="55"/>
    </row>
    <row r="267" spans="2:12">
      <c r="B267" s="59" t="s">
        <v>5859</v>
      </c>
      <c r="C267" s="59" t="s">
        <v>203</v>
      </c>
      <c r="D267" s="59" t="s">
        <v>5860</v>
      </c>
      <c r="E267" s="59" t="s">
        <v>5583</v>
      </c>
      <c r="F267" s="12"/>
      <c r="G267" s="59" t="s">
        <v>5861</v>
      </c>
      <c r="H267" s="12"/>
      <c r="I267" s="59" t="s">
        <v>5743</v>
      </c>
      <c r="J267" s="12"/>
      <c r="K267" s="59"/>
      <c r="L267" s="55"/>
    </row>
    <row r="268" spans="2:12">
      <c r="B268" s="59" t="s">
        <v>5862</v>
      </c>
      <c r="C268" s="59" t="s">
        <v>203</v>
      </c>
      <c r="D268" s="59" t="s">
        <v>5863</v>
      </c>
      <c r="E268" s="59" t="s">
        <v>5583</v>
      </c>
      <c r="F268" s="12"/>
      <c r="G268" s="59" t="s">
        <v>5864</v>
      </c>
      <c r="H268" s="12"/>
      <c r="I268" s="59" t="s">
        <v>5743</v>
      </c>
      <c r="J268" s="12"/>
      <c r="K268" s="59"/>
      <c r="L268" s="55"/>
    </row>
    <row r="269" spans="2:12">
      <c r="B269" s="59" t="s">
        <v>5865</v>
      </c>
      <c r="C269" s="59" t="s">
        <v>203</v>
      </c>
      <c r="D269" s="59" t="s">
        <v>5866</v>
      </c>
      <c r="E269" s="59" t="s">
        <v>5583</v>
      </c>
      <c r="F269" s="12"/>
      <c r="G269" s="59" t="s">
        <v>5867</v>
      </c>
      <c r="H269" s="12"/>
      <c r="I269" s="59" t="s">
        <v>5743</v>
      </c>
      <c r="J269" s="12"/>
      <c r="K269" s="59"/>
      <c r="L269" s="55"/>
    </row>
    <row r="270" spans="2:12">
      <c r="B270" s="59" t="s">
        <v>5868</v>
      </c>
      <c r="C270" s="59" t="s">
        <v>203</v>
      </c>
      <c r="D270" s="59" t="s">
        <v>5869</v>
      </c>
      <c r="E270" s="59" t="s">
        <v>5583</v>
      </c>
      <c r="F270" s="12"/>
      <c r="G270" s="59" t="s">
        <v>5870</v>
      </c>
      <c r="H270" s="12"/>
      <c r="I270" s="59" t="s">
        <v>5743</v>
      </c>
      <c r="J270" s="12"/>
      <c r="K270" s="59"/>
      <c r="L270" s="55"/>
    </row>
    <row r="271" spans="2:12">
      <c r="B271" s="59" t="s">
        <v>5871</v>
      </c>
      <c r="C271" s="59" t="s">
        <v>203</v>
      </c>
      <c r="D271" s="59" t="s">
        <v>5872</v>
      </c>
      <c r="E271" s="59" t="s">
        <v>5583</v>
      </c>
      <c r="F271" s="12"/>
      <c r="G271" s="59" t="s">
        <v>5873</v>
      </c>
      <c r="H271" s="12"/>
      <c r="I271" s="59" t="s">
        <v>5743</v>
      </c>
      <c r="J271" s="12"/>
      <c r="K271" s="59"/>
      <c r="L271" s="55"/>
    </row>
    <row r="272" spans="2:12">
      <c r="B272" s="59" t="s">
        <v>5874</v>
      </c>
      <c r="C272" s="59" t="s">
        <v>203</v>
      </c>
      <c r="D272" s="59" t="s">
        <v>5875</v>
      </c>
      <c r="E272" s="59" t="s">
        <v>5583</v>
      </c>
      <c r="F272" s="12"/>
      <c r="G272" s="59" t="s">
        <v>5876</v>
      </c>
      <c r="H272" s="12"/>
      <c r="I272" s="59" t="s">
        <v>5743</v>
      </c>
      <c r="J272" s="12"/>
      <c r="K272" s="59"/>
      <c r="L272" s="55"/>
    </row>
    <row r="273" spans="2:12">
      <c r="B273" s="59" t="s">
        <v>5877</v>
      </c>
      <c r="C273" s="59" t="s">
        <v>203</v>
      </c>
      <c r="D273" s="59" t="s">
        <v>5878</v>
      </c>
      <c r="E273" s="59" t="s">
        <v>5583</v>
      </c>
      <c r="F273" s="12"/>
      <c r="G273" s="59" t="s">
        <v>5879</v>
      </c>
      <c r="H273" s="12"/>
      <c r="I273" s="59" t="s">
        <v>5743</v>
      </c>
      <c r="J273" s="12"/>
      <c r="K273" s="59"/>
      <c r="L273" s="55"/>
    </row>
    <row r="274" spans="2:12">
      <c r="B274" s="59" t="s">
        <v>5880</v>
      </c>
      <c r="C274" s="59" t="s">
        <v>203</v>
      </c>
      <c r="D274" s="59" t="s">
        <v>5881</v>
      </c>
      <c r="E274" s="59" t="s">
        <v>5583</v>
      </c>
      <c r="F274" s="12"/>
      <c r="G274" s="59" t="s">
        <v>5882</v>
      </c>
      <c r="H274" s="12"/>
      <c r="I274" s="59" t="s">
        <v>5743</v>
      </c>
      <c r="J274" s="12"/>
      <c r="K274" s="59"/>
      <c r="L274" s="55"/>
    </row>
    <row r="275" spans="2:12">
      <c r="B275" s="59" t="s">
        <v>5883</v>
      </c>
      <c r="C275" s="59" t="s">
        <v>229</v>
      </c>
      <c r="D275" s="59" t="s">
        <v>5884</v>
      </c>
      <c r="E275" s="59" t="s">
        <v>5583</v>
      </c>
      <c r="F275" s="12"/>
      <c r="G275" s="59" t="s">
        <v>5883</v>
      </c>
      <c r="H275" s="12"/>
      <c r="I275" s="59" t="s">
        <v>5743</v>
      </c>
      <c r="J275" s="12"/>
      <c r="K275" s="59"/>
      <c r="L275" s="55"/>
    </row>
    <row r="276" spans="2:12">
      <c r="B276" s="59" t="s">
        <v>5885</v>
      </c>
      <c r="C276" s="59" t="s">
        <v>229</v>
      </c>
      <c r="D276" s="59" t="s">
        <v>5886</v>
      </c>
      <c r="E276" s="59" t="s">
        <v>5583</v>
      </c>
      <c r="F276" s="12"/>
      <c r="G276" s="59" t="s">
        <v>5885</v>
      </c>
      <c r="H276" s="12"/>
      <c r="I276" s="59" t="s">
        <v>5743</v>
      </c>
      <c r="J276" s="12"/>
      <c r="K276" s="59"/>
      <c r="L276" s="55"/>
    </row>
    <row r="277" spans="2:12">
      <c r="B277" s="59" t="s">
        <v>5887</v>
      </c>
      <c r="C277" s="59" t="s">
        <v>229</v>
      </c>
      <c r="D277" s="59" t="s">
        <v>5888</v>
      </c>
      <c r="E277" s="59" t="s">
        <v>5583</v>
      </c>
      <c r="F277" s="12"/>
      <c r="G277" s="59" t="s">
        <v>5887</v>
      </c>
      <c r="H277" s="12"/>
      <c r="I277" s="59" t="s">
        <v>5743</v>
      </c>
      <c r="J277" s="12"/>
      <c r="K277" s="59"/>
      <c r="L277" s="55"/>
    </row>
    <row r="278" spans="2:12">
      <c r="B278" s="59" t="s">
        <v>5889</v>
      </c>
      <c r="C278" s="59" t="s">
        <v>229</v>
      </c>
      <c r="D278" s="59" t="s">
        <v>5890</v>
      </c>
      <c r="E278" s="59" t="s">
        <v>5583</v>
      </c>
      <c r="F278" s="12"/>
      <c r="G278" s="59" t="s">
        <v>5889</v>
      </c>
      <c r="H278" s="12"/>
      <c r="I278" s="59" t="s">
        <v>5743</v>
      </c>
      <c r="J278" s="12"/>
      <c r="K278" s="59"/>
      <c r="L278" s="55"/>
    </row>
    <row r="279" spans="2:12">
      <c r="B279" s="59" t="s">
        <v>5891</v>
      </c>
      <c r="C279" s="59" t="s">
        <v>229</v>
      </c>
      <c r="D279" s="59" t="s">
        <v>5892</v>
      </c>
      <c r="E279" s="59" t="s">
        <v>5583</v>
      </c>
      <c r="F279" s="12"/>
      <c r="G279" s="59" t="s">
        <v>5891</v>
      </c>
      <c r="H279" s="12"/>
      <c r="I279" s="59" t="s">
        <v>5743</v>
      </c>
      <c r="J279" s="12"/>
      <c r="K279" s="59"/>
      <c r="L279" s="55"/>
    </row>
    <row r="280" spans="2:12">
      <c r="B280" s="59" t="s">
        <v>5893</v>
      </c>
      <c r="C280" s="59" t="s">
        <v>229</v>
      </c>
      <c r="D280" s="59" t="s">
        <v>5894</v>
      </c>
      <c r="E280" s="59" t="s">
        <v>5583</v>
      </c>
      <c r="F280" s="12"/>
      <c r="G280" s="59" t="s">
        <v>5893</v>
      </c>
      <c r="H280" s="12"/>
      <c r="I280" s="59" t="s">
        <v>5743</v>
      </c>
      <c r="J280" s="12"/>
      <c r="K280" s="59"/>
      <c r="L280" s="55"/>
    </row>
    <row r="281" spans="2:12">
      <c r="B281" s="59" t="s">
        <v>5895</v>
      </c>
      <c r="C281" s="59" t="s">
        <v>229</v>
      </c>
      <c r="D281" s="59" t="s">
        <v>5896</v>
      </c>
      <c r="E281" s="59" t="s">
        <v>5583</v>
      </c>
      <c r="F281" s="12"/>
      <c r="G281" s="59" t="s">
        <v>5895</v>
      </c>
      <c r="H281" s="12"/>
      <c r="I281" s="59" t="s">
        <v>5743</v>
      </c>
      <c r="J281" s="12"/>
      <c r="K281" s="59"/>
      <c r="L281" s="55"/>
    </row>
    <row r="282" spans="2:12">
      <c r="B282" s="59" t="s">
        <v>5897</v>
      </c>
      <c r="C282" s="59" t="s">
        <v>229</v>
      </c>
      <c r="D282" s="59" t="s">
        <v>5898</v>
      </c>
      <c r="E282" s="59" t="s">
        <v>5583</v>
      </c>
      <c r="F282" s="12"/>
      <c r="G282" s="59" t="s">
        <v>5897</v>
      </c>
      <c r="H282" s="12"/>
      <c r="I282" s="59" t="s">
        <v>5743</v>
      </c>
      <c r="J282" s="12"/>
      <c r="K282" s="59"/>
      <c r="L282" s="55"/>
    </row>
    <row r="283" spans="2:12">
      <c r="B283" s="59" t="s">
        <v>5899</v>
      </c>
      <c r="C283" s="59" t="s">
        <v>229</v>
      </c>
      <c r="D283" s="59" t="s">
        <v>5900</v>
      </c>
      <c r="E283" s="59" t="s">
        <v>5583</v>
      </c>
      <c r="F283" s="12"/>
      <c r="G283" s="59" t="s">
        <v>5899</v>
      </c>
      <c r="H283" s="12"/>
      <c r="I283" s="59" t="s">
        <v>5743</v>
      </c>
      <c r="J283" s="12"/>
      <c r="K283" s="59"/>
      <c r="L283" s="55"/>
    </row>
    <row r="284" spans="2:12">
      <c r="B284" s="59" t="s">
        <v>5901</v>
      </c>
      <c r="C284" s="59" t="s">
        <v>229</v>
      </c>
      <c r="D284" s="59" t="s">
        <v>5902</v>
      </c>
      <c r="E284" s="59" t="s">
        <v>5583</v>
      </c>
      <c r="F284" s="12"/>
      <c r="G284" s="59" t="s">
        <v>5901</v>
      </c>
      <c r="H284" s="12"/>
      <c r="I284" s="59" t="s">
        <v>5743</v>
      </c>
      <c r="J284" s="12"/>
      <c r="K284" s="59"/>
      <c r="L284" s="55"/>
    </row>
    <row r="285" spans="2:12">
      <c r="B285" s="59" t="s">
        <v>5903</v>
      </c>
      <c r="C285" s="59" t="s">
        <v>229</v>
      </c>
      <c r="D285" s="59" t="s">
        <v>5904</v>
      </c>
      <c r="E285" s="59" t="s">
        <v>5583</v>
      </c>
      <c r="F285" s="12"/>
      <c r="G285" s="59" t="s">
        <v>5903</v>
      </c>
      <c r="H285" s="12"/>
      <c r="I285" s="59" t="s">
        <v>5743</v>
      </c>
      <c r="J285" s="12"/>
      <c r="K285" s="59"/>
      <c r="L285" s="55"/>
    </row>
    <row r="286" spans="2:12">
      <c r="B286" s="59" t="s">
        <v>5905</v>
      </c>
      <c r="C286" s="59" t="s">
        <v>229</v>
      </c>
      <c r="D286" s="59" t="s">
        <v>5906</v>
      </c>
      <c r="E286" s="59" t="s">
        <v>5583</v>
      </c>
      <c r="F286" s="12"/>
      <c r="G286" s="59" t="s">
        <v>5905</v>
      </c>
      <c r="H286" s="12"/>
      <c r="I286" s="59" t="s">
        <v>5743</v>
      </c>
      <c r="J286" s="12"/>
      <c r="K286" s="59"/>
      <c r="L286" s="55"/>
    </row>
    <row r="287" spans="2:12">
      <c r="B287" s="59" t="s">
        <v>5907</v>
      </c>
      <c r="C287" s="59" t="s">
        <v>229</v>
      </c>
      <c r="D287" s="59" t="s">
        <v>5908</v>
      </c>
      <c r="E287" s="59" t="s">
        <v>5583</v>
      </c>
      <c r="F287" s="12"/>
      <c r="G287" s="59" t="s">
        <v>5907</v>
      </c>
      <c r="H287" s="12"/>
      <c r="I287" s="59" t="s">
        <v>5743</v>
      </c>
      <c r="J287" s="12"/>
      <c r="K287" s="59"/>
      <c r="L287" s="55"/>
    </row>
    <row r="288" spans="2:12">
      <c r="B288" s="59" t="s">
        <v>5909</v>
      </c>
      <c r="C288" s="59" t="s">
        <v>229</v>
      </c>
      <c r="D288" s="59" t="s">
        <v>5910</v>
      </c>
      <c r="E288" s="59" t="s">
        <v>5583</v>
      </c>
      <c r="F288" s="12"/>
      <c r="G288" s="59" t="s">
        <v>5909</v>
      </c>
      <c r="H288" s="12"/>
      <c r="I288" s="59" t="s">
        <v>5743</v>
      </c>
      <c r="J288" s="12"/>
      <c r="K288" s="59"/>
      <c r="L288" s="55"/>
    </row>
    <row r="289" spans="2:12">
      <c r="B289" s="59" t="s">
        <v>5911</v>
      </c>
      <c r="C289" s="59" t="s">
        <v>229</v>
      </c>
      <c r="D289" s="59" t="s">
        <v>5912</v>
      </c>
      <c r="E289" s="59" t="s">
        <v>5583</v>
      </c>
      <c r="F289" s="12"/>
      <c r="G289" s="59" t="s">
        <v>5911</v>
      </c>
      <c r="H289" s="12"/>
      <c r="I289" s="59" t="s">
        <v>5743</v>
      </c>
      <c r="J289" s="12"/>
      <c r="K289" s="59"/>
      <c r="L289" s="55"/>
    </row>
    <row r="290" spans="2:12">
      <c r="B290" s="59" t="s">
        <v>5913</v>
      </c>
      <c r="C290" s="59" t="s">
        <v>229</v>
      </c>
      <c r="D290" s="59" t="s">
        <v>5914</v>
      </c>
      <c r="E290" s="59" t="s">
        <v>5583</v>
      </c>
      <c r="F290" s="12"/>
      <c r="G290" s="59" t="s">
        <v>5913</v>
      </c>
      <c r="H290" s="12"/>
      <c r="I290" s="59" t="s">
        <v>5743</v>
      </c>
      <c r="J290" s="12"/>
      <c r="K290" s="59"/>
      <c r="L290" s="55"/>
    </row>
    <row r="291" spans="2:12">
      <c r="B291" s="59" t="s">
        <v>5915</v>
      </c>
      <c r="C291" s="59" t="s">
        <v>229</v>
      </c>
      <c r="D291" s="59" t="s">
        <v>5916</v>
      </c>
      <c r="E291" s="59" t="s">
        <v>5583</v>
      </c>
      <c r="F291" s="12"/>
      <c r="G291" s="59" t="s">
        <v>5915</v>
      </c>
      <c r="H291" s="12"/>
      <c r="I291" s="59" t="s">
        <v>5743</v>
      </c>
      <c r="J291" s="12"/>
      <c r="K291" s="59"/>
      <c r="L291" s="55"/>
    </row>
    <row r="292" spans="2:12">
      <c r="B292" s="59" t="s">
        <v>5917</v>
      </c>
      <c r="C292" s="59" t="s">
        <v>229</v>
      </c>
      <c r="D292" s="59" t="s">
        <v>5918</v>
      </c>
      <c r="E292" s="59" t="s">
        <v>5583</v>
      </c>
      <c r="F292" s="12"/>
      <c r="G292" s="59" t="s">
        <v>5917</v>
      </c>
      <c r="H292" s="12"/>
      <c r="I292" s="59" t="s">
        <v>5743</v>
      </c>
      <c r="J292" s="12"/>
      <c r="K292" s="59"/>
      <c r="L292" s="55"/>
    </row>
    <row r="293" spans="2:12">
      <c r="B293" s="59" t="s">
        <v>5919</v>
      </c>
      <c r="C293" s="59" t="s">
        <v>203</v>
      </c>
      <c r="D293" s="59" t="s">
        <v>5920</v>
      </c>
      <c r="E293" s="59" t="s">
        <v>5583</v>
      </c>
      <c r="F293" s="12"/>
      <c r="G293" s="59" t="s">
        <v>5919</v>
      </c>
      <c r="H293" s="12"/>
      <c r="I293" s="59" t="s">
        <v>5743</v>
      </c>
      <c r="J293" s="12"/>
      <c r="K293" s="59"/>
      <c r="L293" s="55"/>
    </row>
    <row r="294" spans="2:12">
      <c r="B294" s="59" t="s">
        <v>5921</v>
      </c>
      <c r="C294" s="59" t="s">
        <v>203</v>
      </c>
      <c r="D294" s="59" t="s">
        <v>5922</v>
      </c>
      <c r="E294" s="59" t="s">
        <v>5583</v>
      </c>
      <c r="F294" s="12"/>
      <c r="G294" s="59" t="s">
        <v>5921</v>
      </c>
      <c r="H294" s="12"/>
      <c r="I294" s="59" t="s">
        <v>5743</v>
      </c>
      <c r="J294" s="12"/>
      <c r="K294" s="59"/>
      <c r="L294" s="55"/>
    </row>
    <row r="295" spans="2:12">
      <c r="B295" s="59" t="s">
        <v>5923</v>
      </c>
      <c r="C295" s="59" t="s">
        <v>229</v>
      </c>
      <c r="D295" s="59" t="s">
        <v>5924</v>
      </c>
      <c r="E295" s="59" t="s">
        <v>5583</v>
      </c>
      <c r="F295" s="12"/>
      <c r="G295" s="59" t="s">
        <v>5923</v>
      </c>
      <c r="H295" s="12"/>
      <c r="I295" s="59" t="s">
        <v>5743</v>
      </c>
      <c r="J295" s="12"/>
      <c r="K295" s="59"/>
      <c r="L295" s="55"/>
    </row>
    <row r="296" spans="2:12">
      <c r="B296" s="59" t="s">
        <v>5925</v>
      </c>
      <c r="C296" s="59" t="s">
        <v>229</v>
      </c>
      <c r="D296" s="59" t="s">
        <v>5926</v>
      </c>
      <c r="E296" s="59" t="s">
        <v>5583</v>
      </c>
      <c r="F296" s="12"/>
      <c r="G296" s="59" t="s">
        <v>5925</v>
      </c>
      <c r="H296" s="12"/>
      <c r="I296" s="59" t="s">
        <v>5743</v>
      </c>
      <c r="J296" s="12"/>
      <c r="K296" s="59"/>
      <c r="L296" s="55"/>
    </row>
    <row r="297" spans="2:12">
      <c r="B297" s="59" t="s">
        <v>5927</v>
      </c>
      <c r="C297" s="59" t="s">
        <v>229</v>
      </c>
      <c r="D297" s="59" t="s">
        <v>5928</v>
      </c>
      <c r="E297" s="59" t="s">
        <v>5140</v>
      </c>
      <c r="F297" s="12"/>
      <c r="G297" s="59" t="s">
        <v>5927</v>
      </c>
      <c r="H297" s="12"/>
      <c r="I297" s="59" t="s">
        <v>5743</v>
      </c>
      <c r="J297" s="12"/>
      <c r="K297" s="59"/>
      <c r="L297" s="55"/>
    </row>
    <row r="298" spans="2:12">
      <c r="B298" s="59" t="s">
        <v>5929</v>
      </c>
      <c r="C298" s="59" t="s">
        <v>229</v>
      </c>
      <c r="D298" s="59" t="s">
        <v>5930</v>
      </c>
      <c r="E298" s="59" t="s">
        <v>5140</v>
      </c>
      <c r="F298" s="12"/>
      <c r="G298" s="59" t="s">
        <v>5929</v>
      </c>
      <c r="H298" s="12"/>
      <c r="I298" s="59" t="s">
        <v>5743</v>
      </c>
      <c r="J298" s="12"/>
      <c r="K298" s="59"/>
      <c r="L298" s="55"/>
    </row>
    <row r="299" spans="2:12">
      <c r="B299" s="59" t="s">
        <v>5931</v>
      </c>
      <c r="C299" s="59" t="s">
        <v>203</v>
      </c>
      <c r="D299" s="59" t="s">
        <v>5932</v>
      </c>
      <c r="E299" s="59" t="s">
        <v>5140</v>
      </c>
      <c r="F299" s="12"/>
      <c r="G299" s="59" t="s">
        <v>5933</v>
      </c>
      <c r="H299" s="12"/>
      <c r="I299" s="59" t="s">
        <v>5743</v>
      </c>
      <c r="J299" s="12"/>
      <c r="K299" s="59"/>
      <c r="L299" s="55"/>
    </row>
    <row r="300" spans="2:12">
      <c r="B300" s="59" t="s">
        <v>5934</v>
      </c>
      <c r="C300" s="59" t="s">
        <v>203</v>
      </c>
      <c r="D300" s="59" t="s">
        <v>5935</v>
      </c>
      <c r="E300" s="59" t="s">
        <v>5140</v>
      </c>
      <c r="F300" s="12"/>
      <c r="G300" s="59" t="s">
        <v>5936</v>
      </c>
      <c r="H300" s="12"/>
      <c r="I300" s="59" t="s">
        <v>5743</v>
      </c>
      <c r="J300" s="12"/>
      <c r="K300" s="59"/>
      <c r="L300" s="55"/>
    </row>
    <row r="301" spans="2:12">
      <c r="B301" s="59" t="s">
        <v>5937</v>
      </c>
      <c r="C301" s="59" t="s">
        <v>203</v>
      </c>
      <c r="D301" s="59" t="s">
        <v>5938</v>
      </c>
      <c r="E301" s="59" t="s">
        <v>5140</v>
      </c>
      <c r="F301" s="12"/>
      <c r="G301" s="59" t="s">
        <v>5939</v>
      </c>
      <c r="H301" s="12"/>
      <c r="I301" s="59" t="s">
        <v>5743</v>
      </c>
      <c r="J301" s="12"/>
      <c r="K301" s="59"/>
      <c r="L301" s="55"/>
    </row>
    <row r="302" spans="2:12">
      <c r="B302" s="59" t="s">
        <v>5940</v>
      </c>
      <c r="C302" s="59" t="s">
        <v>203</v>
      </c>
      <c r="D302" s="59" t="s">
        <v>5941</v>
      </c>
      <c r="E302" s="59" t="s">
        <v>5140</v>
      </c>
      <c r="F302" s="12"/>
      <c r="G302" s="59" t="s">
        <v>5940</v>
      </c>
      <c r="H302" s="12"/>
      <c r="I302" s="59" t="s">
        <v>5743</v>
      </c>
      <c r="J302" s="12"/>
      <c r="K302" s="59"/>
      <c r="L302" s="55"/>
    </row>
    <row r="303" spans="2:12">
      <c r="B303" s="59" t="s">
        <v>5942</v>
      </c>
      <c r="C303" s="59" t="s">
        <v>203</v>
      </c>
      <c r="D303" s="59" t="s">
        <v>5943</v>
      </c>
      <c r="E303" s="59" t="s">
        <v>5140</v>
      </c>
      <c r="F303" s="12"/>
      <c r="G303" s="59" t="s">
        <v>5942</v>
      </c>
      <c r="H303" s="12"/>
      <c r="I303" s="59" t="s">
        <v>5743</v>
      </c>
      <c r="J303" s="12"/>
      <c r="K303" s="59"/>
      <c r="L303" s="55"/>
    </row>
    <row r="304" spans="2:12">
      <c r="B304" s="59" t="s">
        <v>5944</v>
      </c>
      <c r="C304" s="59" t="s">
        <v>229</v>
      </c>
      <c r="D304" s="59" t="s">
        <v>5945</v>
      </c>
      <c r="E304" s="59" t="s">
        <v>5140</v>
      </c>
      <c r="F304" s="12"/>
      <c r="G304" s="59" t="s">
        <v>5944</v>
      </c>
      <c r="H304" s="12"/>
      <c r="I304" s="59" t="s">
        <v>5743</v>
      </c>
      <c r="J304" s="12"/>
      <c r="K304" s="59"/>
      <c r="L304" s="55"/>
    </row>
    <row r="305" spans="2:12">
      <c r="B305" s="59" t="s">
        <v>5946</v>
      </c>
      <c r="C305" s="59" t="s">
        <v>229</v>
      </c>
      <c r="D305" s="59" t="s">
        <v>5947</v>
      </c>
      <c r="E305" s="59" t="s">
        <v>5140</v>
      </c>
      <c r="F305" s="12"/>
      <c r="G305" s="59" t="s">
        <v>5946</v>
      </c>
      <c r="H305" s="12"/>
      <c r="I305" s="59" t="s">
        <v>5743</v>
      </c>
      <c r="J305" s="12"/>
      <c r="K305" s="59"/>
      <c r="L305" s="55"/>
    </row>
    <row r="306" spans="2:12">
      <c r="B306" s="59" t="s">
        <v>5948</v>
      </c>
      <c r="C306" s="59" t="s">
        <v>229</v>
      </c>
      <c r="D306" s="59" t="s">
        <v>5949</v>
      </c>
      <c r="E306" s="59"/>
      <c r="F306" s="12"/>
      <c r="G306" s="147" t="s">
        <v>1693</v>
      </c>
      <c r="H306" s="12"/>
      <c r="I306" s="59" t="s">
        <v>5950</v>
      </c>
      <c r="J306" s="12"/>
      <c r="K306" s="59"/>
      <c r="L306" s="55"/>
    </row>
    <row r="307" spans="2:12">
      <c r="B307" s="59" t="s">
        <v>5951</v>
      </c>
      <c r="C307" s="59" t="s">
        <v>203</v>
      </c>
      <c r="D307" s="59" t="s">
        <v>5952</v>
      </c>
      <c r="E307" s="59"/>
      <c r="F307" s="12"/>
      <c r="G307" s="147" t="s">
        <v>1693</v>
      </c>
      <c r="H307" s="12"/>
      <c r="I307" s="59" t="s">
        <v>5950</v>
      </c>
      <c r="J307" s="12"/>
      <c r="K307" s="59"/>
      <c r="L307" s="55"/>
    </row>
    <row r="308" spans="2:12">
      <c r="B308" s="59" t="s">
        <v>5953</v>
      </c>
      <c r="C308" s="59" t="s">
        <v>203</v>
      </c>
      <c r="D308" s="59" t="s">
        <v>5954</v>
      </c>
      <c r="E308" s="59"/>
      <c r="F308" s="12"/>
      <c r="G308" s="147" t="s">
        <v>1693</v>
      </c>
      <c r="H308" s="12"/>
      <c r="I308" s="59" t="s">
        <v>5950</v>
      </c>
      <c r="J308" s="12"/>
      <c r="K308" s="59"/>
      <c r="L308" s="55"/>
    </row>
    <row r="309" spans="2:12">
      <c r="B309" s="59" t="s">
        <v>5955</v>
      </c>
      <c r="C309" s="59" t="s">
        <v>229</v>
      </c>
      <c r="D309" s="59" t="s">
        <v>1586</v>
      </c>
      <c r="E309" s="59"/>
      <c r="F309" s="12"/>
      <c r="G309" s="147" t="s">
        <v>1693</v>
      </c>
      <c r="H309" s="12"/>
      <c r="I309" s="59" t="s">
        <v>5950</v>
      </c>
      <c r="J309" s="12"/>
      <c r="K309" s="59" t="s">
        <v>1588</v>
      </c>
      <c r="L309" s="55"/>
    </row>
    <row r="310" spans="2:12">
      <c r="B310" s="59" t="s">
        <v>5956</v>
      </c>
      <c r="C310" s="59" t="s">
        <v>229</v>
      </c>
      <c r="D310" s="59" t="s">
        <v>1591</v>
      </c>
      <c r="E310" s="59"/>
      <c r="F310" s="12"/>
      <c r="G310" s="147" t="s">
        <v>1693</v>
      </c>
      <c r="H310" s="12"/>
      <c r="I310" s="59" t="s">
        <v>5950</v>
      </c>
      <c r="J310" s="12"/>
      <c r="K310" s="59" t="s">
        <v>1588</v>
      </c>
      <c r="L310" s="55"/>
    </row>
    <row r="311" spans="2:12">
      <c r="B311" s="59" t="s">
        <v>5957</v>
      </c>
      <c r="C311" s="59" t="s">
        <v>229</v>
      </c>
      <c r="D311" s="59" t="s">
        <v>4867</v>
      </c>
      <c r="E311" s="59"/>
      <c r="F311" s="12"/>
      <c r="G311" s="147" t="s">
        <v>1693</v>
      </c>
      <c r="H311" s="12"/>
      <c r="I311" s="59" t="s">
        <v>5950</v>
      </c>
      <c r="J311" s="12"/>
      <c r="K311" s="59" t="s">
        <v>231</v>
      </c>
      <c r="L311" s="55"/>
    </row>
    <row r="312" spans="2:12">
      <c r="B312" s="59" t="s">
        <v>5958</v>
      </c>
      <c r="C312" s="59" t="s">
        <v>229</v>
      </c>
      <c r="D312" s="59" t="s">
        <v>4578</v>
      </c>
      <c r="E312" s="59"/>
      <c r="F312" s="12"/>
      <c r="G312" s="147" t="s">
        <v>1693</v>
      </c>
      <c r="H312" s="12"/>
      <c r="I312" s="59" t="s">
        <v>5950</v>
      </c>
      <c r="J312" s="12"/>
      <c r="K312" s="59" t="s">
        <v>231</v>
      </c>
      <c r="L312" s="55"/>
    </row>
    <row r="313" spans="2:12">
      <c r="B313" s="59" t="s">
        <v>5959</v>
      </c>
      <c r="C313" s="59" t="s">
        <v>203</v>
      </c>
      <c r="D313" s="59" t="s">
        <v>2005</v>
      </c>
      <c r="E313" s="59"/>
      <c r="F313" s="12"/>
      <c r="G313" s="147" t="s">
        <v>1693</v>
      </c>
      <c r="H313" s="12"/>
      <c r="I313" s="59" t="s">
        <v>5950</v>
      </c>
      <c r="J313" s="12"/>
      <c r="K313" s="59"/>
      <c r="L313" s="55"/>
    </row>
    <row r="314" spans="2:12">
      <c r="B314" s="59" t="s">
        <v>5960</v>
      </c>
      <c r="C314" s="59" t="s">
        <v>203</v>
      </c>
      <c r="D314" s="59" t="s">
        <v>2007</v>
      </c>
      <c r="E314" s="59"/>
      <c r="F314" s="12"/>
      <c r="G314" s="147" t="s">
        <v>1693</v>
      </c>
      <c r="H314" s="12"/>
      <c r="I314" s="59" t="s">
        <v>5950</v>
      </c>
      <c r="J314" s="12"/>
      <c r="K314" s="59"/>
      <c r="L314" s="55"/>
    </row>
    <row r="315" spans="2:12">
      <c r="B315" s="59" t="s">
        <v>5961</v>
      </c>
      <c r="C315" s="59" t="s">
        <v>229</v>
      </c>
      <c r="D315" s="59" t="s">
        <v>1607</v>
      </c>
      <c r="E315" s="59"/>
      <c r="F315" s="12"/>
      <c r="G315" s="147" t="s">
        <v>1693</v>
      </c>
      <c r="H315" s="12"/>
      <c r="I315" s="59" t="s">
        <v>5950</v>
      </c>
      <c r="J315" s="12"/>
      <c r="K315" s="59"/>
      <c r="L315" s="55"/>
    </row>
    <row r="316" spans="2:12">
      <c r="B316" s="59" t="s">
        <v>5962</v>
      </c>
      <c r="C316" s="59" t="s">
        <v>229</v>
      </c>
      <c r="D316" s="59" t="s">
        <v>1611</v>
      </c>
      <c r="E316" s="59"/>
      <c r="F316" s="12"/>
      <c r="G316" s="147" t="s">
        <v>1693</v>
      </c>
      <c r="H316" s="12"/>
      <c r="I316" s="59" t="s">
        <v>5950</v>
      </c>
      <c r="J316" s="12"/>
      <c r="K316" s="59"/>
      <c r="L316" s="55"/>
    </row>
    <row r="317" spans="2:12">
      <c r="B317" s="59" t="s">
        <v>5963</v>
      </c>
      <c r="C317" s="59" t="s">
        <v>229</v>
      </c>
      <c r="D317" s="59" t="s">
        <v>1615</v>
      </c>
      <c r="E317" s="59"/>
      <c r="F317" s="12"/>
      <c r="G317" s="147" t="s">
        <v>1693</v>
      </c>
      <c r="H317" s="12"/>
      <c r="I317" s="59" t="s">
        <v>5950</v>
      </c>
      <c r="J317" s="12"/>
      <c r="K317" s="59"/>
      <c r="L317" s="55"/>
    </row>
    <row r="318" spans="2:12">
      <c r="B318" s="59" t="s">
        <v>5964</v>
      </c>
      <c r="C318" s="59" t="s">
        <v>229</v>
      </c>
      <c r="D318" s="59" t="s">
        <v>1619</v>
      </c>
      <c r="E318" s="59"/>
      <c r="F318" s="12"/>
      <c r="G318" s="147" t="s">
        <v>1693</v>
      </c>
      <c r="H318" s="12"/>
      <c r="I318" s="59" t="s">
        <v>5950</v>
      </c>
      <c r="J318" s="12"/>
      <c r="K318" s="59"/>
      <c r="L318" s="55"/>
    </row>
    <row r="319" spans="2:12">
      <c r="B319" s="59" t="s">
        <v>5965</v>
      </c>
      <c r="C319" s="59" t="s">
        <v>203</v>
      </c>
      <c r="D319" s="59" t="s">
        <v>1721</v>
      </c>
      <c r="E319" s="59"/>
      <c r="F319" s="12"/>
      <c r="G319" s="147" t="s">
        <v>1693</v>
      </c>
      <c r="H319" s="12"/>
      <c r="I319" s="59" t="s">
        <v>5950</v>
      </c>
      <c r="J319" s="12"/>
      <c r="K319" s="59"/>
      <c r="L319" s="55"/>
    </row>
    <row r="320" spans="2:12">
      <c r="B320" s="59" t="s">
        <v>5966</v>
      </c>
      <c r="C320" s="59" t="s">
        <v>203</v>
      </c>
      <c r="D320" s="59" t="s">
        <v>1724</v>
      </c>
      <c r="E320" s="59"/>
      <c r="F320" s="12"/>
      <c r="G320" s="147" t="s">
        <v>1693</v>
      </c>
      <c r="H320" s="12"/>
      <c r="I320" s="59" t="s">
        <v>5950</v>
      </c>
      <c r="J320" s="12"/>
      <c r="K320" s="59"/>
      <c r="L320" s="55"/>
    </row>
    <row r="321" spans="2:12">
      <c r="B321" s="59" t="s">
        <v>5967</v>
      </c>
      <c r="C321" s="59" t="s">
        <v>203</v>
      </c>
      <c r="D321" s="59" t="s">
        <v>1731</v>
      </c>
      <c r="E321" s="59"/>
      <c r="F321" s="12"/>
      <c r="G321" s="147" t="s">
        <v>1693</v>
      </c>
      <c r="H321" s="12"/>
      <c r="I321" s="59" t="s">
        <v>5950</v>
      </c>
      <c r="J321" s="12"/>
      <c r="K321" s="59"/>
      <c r="L321" s="55"/>
    </row>
    <row r="322" spans="2:12">
      <c r="B322" s="59" t="s">
        <v>5968</v>
      </c>
      <c r="C322" s="59" t="s">
        <v>203</v>
      </c>
      <c r="D322" s="59" t="s">
        <v>1735</v>
      </c>
      <c r="E322" s="59"/>
      <c r="F322" s="12"/>
      <c r="G322" s="147" t="s">
        <v>1693</v>
      </c>
      <c r="H322" s="12"/>
      <c r="I322" s="59" t="s">
        <v>5950</v>
      </c>
      <c r="J322" s="12"/>
      <c r="K322" s="59"/>
      <c r="L322" s="55"/>
    </row>
    <row r="323" spans="2:12">
      <c r="B323" s="59" t="s">
        <v>5969</v>
      </c>
      <c r="C323" s="59" t="s">
        <v>229</v>
      </c>
      <c r="D323" s="59" t="s">
        <v>3442</v>
      </c>
      <c r="E323" s="59"/>
      <c r="F323" s="12"/>
      <c r="G323" s="147" t="s">
        <v>1693</v>
      </c>
      <c r="H323" s="12"/>
      <c r="I323" s="59" t="s">
        <v>5950</v>
      </c>
      <c r="J323" s="12"/>
      <c r="K323" s="59"/>
      <c r="L323" s="55"/>
    </row>
    <row r="324" spans="2:12">
      <c r="B324" s="59" t="s">
        <v>5970</v>
      </c>
      <c r="C324" s="59" t="s">
        <v>203</v>
      </c>
      <c r="D324" s="59" t="s">
        <v>5971</v>
      </c>
      <c r="E324" s="59"/>
      <c r="F324" s="12"/>
      <c r="G324" s="147" t="s">
        <v>1693</v>
      </c>
      <c r="H324" s="12"/>
      <c r="I324" s="59" t="s">
        <v>5950</v>
      </c>
      <c r="J324" s="12"/>
      <c r="K324" s="59"/>
      <c r="L324" s="55"/>
    </row>
    <row r="325" spans="2:12">
      <c r="B325" s="59" t="s">
        <v>5972</v>
      </c>
      <c r="C325" s="59" t="s">
        <v>229</v>
      </c>
      <c r="D325" s="59" t="s">
        <v>5949</v>
      </c>
      <c r="E325" s="59"/>
      <c r="F325" s="12"/>
      <c r="G325" s="147" t="s">
        <v>1693</v>
      </c>
      <c r="H325" s="12"/>
      <c r="I325" s="59" t="s">
        <v>5950</v>
      </c>
      <c r="J325" s="12"/>
      <c r="K325" s="59"/>
      <c r="L325" s="55"/>
    </row>
    <row r="326" spans="2:12">
      <c r="B326" s="59" t="s">
        <v>5973</v>
      </c>
      <c r="C326" s="59" t="s">
        <v>229</v>
      </c>
      <c r="D326" s="59" t="s">
        <v>5952</v>
      </c>
      <c r="E326" s="59"/>
      <c r="F326" s="12"/>
      <c r="G326" s="147" t="s">
        <v>1693</v>
      </c>
      <c r="H326" s="12"/>
      <c r="I326" s="59" t="s">
        <v>5974</v>
      </c>
      <c r="J326" s="12"/>
      <c r="K326" s="59"/>
      <c r="L326" s="55"/>
    </row>
    <row r="327" spans="2:12">
      <c r="B327" s="59" t="s">
        <v>5975</v>
      </c>
      <c r="C327" s="59" t="s">
        <v>229</v>
      </c>
      <c r="D327" s="59" t="s">
        <v>5679</v>
      </c>
      <c r="E327" s="59"/>
      <c r="F327" s="12"/>
      <c r="G327" s="147" t="s">
        <v>1693</v>
      </c>
      <c r="H327" s="12"/>
      <c r="I327" s="59" t="s">
        <v>5974</v>
      </c>
      <c r="J327" s="12"/>
      <c r="K327" s="59"/>
      <c r="L327" s="55"/>
    </row>
    <row r="328" spans="2:12">
      <c r="B328" s="59" t="s">
        <v>5976</v>
      </c>
      <c r="C328" s="59" t="s">
        <v>229</v>
      </c>
      <c r="D328" s="59" t="s">
        <v>1586</v>
      </c>
      <c r="E328" s="59"/>
      <c r="F328" s="12"/>
      <c r="G328" s="147" t="s">
        <v>1693</v>
      </c>
      <c r="H328" s="12"/>
      <c r="I328" s="59" t="s">
        <v>5974</v>
      </c>
      <c r="J328" s="12"/>
      <c r="K328" s="59" t="s">
        <v>1588</v>
      </c>
      <c r="L328" s="55"/>
    </row>
    <row r="329" spans="2:12">
      <c r="B329" s="59" t="s">
        <v>5977</v>
      </c>
      <c r="C329" s="59" t="s">
        <v>229</v>
      </c>
      <c r="D329" s="59" t="s">
        <v>1591</v>
      </c>
      <c r="E329" s="59"/>
      <c r="F329" s="12"/>
      <c r="G329" s="147" t="s">
        <v>1693</v>
      </c>
      <c r="H329" s="12"/>
      <c r="I329" s="59" t="s">
        <v>5974</v>
      </c>
      <c r="J329" s="12"/>
      <c r="K329" s="59" t="s">
        <v>1588</v>
      </c>
      <c r="L329" s="55"/>
    </row>
    <row r="330" spans="2:12">
      <c r="B330" s="59" t="s">
        <v>5978</v>
      </c>
      <c r="C330" s="59" t="s">
        <v>229</v>
      </c>
      <c r="D330" s="59" t="s">
        <v>4867</v>
      </c>
      <c r="E330" s="59"/>
      <c r="F330" s="12"/>
      <c r="G330" s="147" t="s">
        <v>1693</v>
      </c>
      <c r="H330" s="12"/>
      <c r="I330" s="59" t="s">
        <v>5974</v>
      </c>
      <c r="J330" s="12"/>
      <c r="K330" s="59" t="s">
        <v>231</v>
      </c>
      <c r="L330" s="55"/>
    </row>
    <row r="331" spans="2:12">
      <c r="B331" s="59" t="s">
        <v>5979</v>
      </c>
      <c r="C331" s="59" t="s">
        <v>229</v>
      </c>
      <c r="D331" s="59" t="s">
        <v>4578</v>
      </c>
      <c r="E331" s="59"/>
      <c r="F331" s="12"/>
      <c r="G331" s="147" t="s">
        <v>1693</v>
      </c>
      <c r="H331" s="12"/>
      <c r="I331" s="59" t="s">
        <v>5974</v>
      </c>
      <c r="J331" s="12"/>
      <c r="K331" s="59" t="s">
        <v>231</v>
      </c>
      <c r="L331" s="55"/>
    </row>
    <row r="332" spans="2:12">
      <c r="B332" s="59" t="s">
        <v>5980</v>
      </c>
      <c r="C332" s="59" t="s">
        <v>203</v>
      </c>
      <c r="D332" s="59" t="s">
        <v>2005</v>
      </c>
      <c r="E332" s="59"/>
      <c r="F332" s="12"/>
      <c r="G332" s="147" t="s">
        <v>1693</v>
      </c>
      <c r="H332" s="12"/>
      <c r="I332" s="59" t="s">
        <v>5974</v>
      </c>
      <c r="J332" s="12"/>
      <c r="K332" s="59"/>
      <c r="L332" s="55"/>
    </row>
    <row r="333" spans="2:12">
      <c r="B333" s="59" t="s">
        <v>5981</v>
      </c>
      <c r="C333" s="59" t="s">
        <v>203</v>
      </c>
      <c r="D333" s="59" t="s">
        <v>2007</v>
      </c>
      <c r="E333" s="59"/>
      <c r="F333" s="12"/>
      <c r="G333" s="147" t="s">
        <v>1693</v>
      </c>
      <c r="H333" s="12"/>
      <c r="I333" s="59" t="s">
        <v>5974</v>
      </c>
      <c r="J333" s="12"/>
      <c r="K333" s="59"/>
      <c r="L333" s="55"/>
    </row>
    <row r="334" spans="2:12">
      <c r="B334" s="59" t="s">
        <v>5982</v>
      </c>
      <c r="C334" s="59" t="s">
        <v>229</v>
      </c>
      <c r="D334" s="59" t="s">
        <v>1607</v>
      </c>
      <c r="E334" s="59"/>
      <c r="F334" s="12"/>
      <c r="G334" s="147" t="s">
        <v>1693</v>
      </c>
      <c r="H334" s="12"/>
      <c r="I334" s="59" t="s">
        <v>5974</v>
      </c>
      <c r="J334" s="12"/>
      <c r="K334" s="59"/>
      <c r="L334" s="55"/>
    </row>
    <row r="335" spans="2:12">
      <c r="B335" s="59" t="s">
        <v>5983</v>
      </c>
      <c r="C335" s="59" t="s">
        <v>229</v>
      </c>
      <c r="D335" s="59" t="s">
        <v>1611</v>
      </c>
      <c r="E335" s="59"/>
      <c r="F335" s="12"/>
      <c r="G335" s="147" t="s">
        <v>1693</v>
      </c>
      <c r="H335" s="12"/>
      <c r="I335" s="59" t="s">
        <v>5974</v>
      </c>
      <c r="J335" s="12"/>
      <c r="K335" s="59"/>
      <c r="L335" s="55"/>
    </row>
    <row r="336" spans="2:12">
      <c r="B336" s="59" t="s">
        <v>5984</v>
      </c>
      <c r="C336" s="59" t="s">
        <v>229</v>
      </c>
      <c r="D336" s="59" t="s">
        <v>1615</v>
      </c>
      <c r="E336" s="59"/>
      <c r="F336" s="12"/>
      <c r="G336" s="147" t="s">
        <v>1693</v>
      </c>
      <c r="H336" s="12"/>
      <c r="I336" s="59" t="s">
        <v>5974</v>
      </c>
      <c r="J336" s="12"/>
      <c r="K336" s="59"/>
      <c r="L336" s="55"/>
    </row>
    <row r="337" spans="2:12">
      <c r="B337" s="59" t="s">
        <v>5985</v>
      </c>
      <c r="C337" s="59" t="s">
        <v>229</v>
      </c>
      <c r="D337" s="59" t="s">
        <v>1619</v>
      </c>
      <c r="E337" s="59"/>
      <c r="F337" s="12"/>
      <c r="G337" s="147" t="s">
        <v>1693</v>
      </c>
      <c r="H337" s="12"/>
      <c r="I337" s="59" t="s">
        <v>5974</v>
      </c>
      <c r="J337" s="12"/>
      <c r="K337" s="59"/>
      <c r="L337" s="55"/>
    </row>
    <row r="338" spans="2:12">
      <c r="B338" s="59" t="s">
        <v>5986</v>
      </c>
      <c r="C338" s="59" t="s">
        <v>203</v>
      </c>
      <c r="D338" s="59" t="s">
        <v>1721</v>
      </c>
      <c r="E338" s="59"/>
      <c r="F338" s="12"/>
      <c r="G338" s="147" t="s">
        <v>1693</v>
      </c>
      <c r="H338" s="12"/>
      <c r="I338" s="59" t="s">
        <v>5974</v>
      </c>
      <c r="J338" s="12"/>
      <c r="K338" s="59"/>
      <c r="L338" s="55"/>
    </row>
    <row r="339" spans="2:12">
      <c r="B339" s="59" t="s">
        <v>5987</v>
      </c>
      <c r="C339" s="59" t="s">
        <v>203</v>
      </c>
      <c r="D339" s="59" t="s">
        <v>1724</v>
      </c>
      <c r="E339" s="59"/>
      <c r="F339" s="12"/>
      <c r="G339" s="147" t="s">
        <v>1693</v>
      </c>
      <c r="H339" s="12"/>
      <c r="I339" s="59" t="s">
        <v>5974</v>
      </c>
      <c r="J339" s="12"/>
      <c r="K339" s="59"/>
      <c r="L339" s="55"/>
    </row>
    <row r="340" spans="2:12">
      <c r="B340" s="59" t="s">
        <v>5988</v>
      </c>
      <c r="C340" s="59" t="s">
        <v>203</v>
      </c>
      <c r="D340" s="59" t="s">
        <v>1731</v>
      </c>
      <c r="E340" s="59"/>
      <c r="F340" s="12"/>
      <c r="G340" s="147" t="s">
        <v>1693</v>
      </c>
      <c r="H340" s="12"/>
      <c r="I340" s="59" t="s">
        <v>5974</v>
      </c>
      <c r="J340" s="12"/>
      <c r="K340" s="59"/>
      <c r="L340" s="55"/>
    </row>
    <row r="341" spans="2:12">
      <c r="B341" s="59" t="s">
        <v>5989</v>
      </c>
      <c r="C341" s="59" t="s">
        <v>203</v>
      </c>
      <c r="D341" s="59" t="s">
        <v>1735</v>
      </c>
      <c r="E341" s="59"/>
      <c r="F341" s="12"/>
      <c r="G341" s="147" t="s">
        <v>1693</v>
      </c>
      <c r="H341" s="12"/>
      <c r="I341" s="59" t="s">
        <v>5974</v>
      </c>
      <c r="J341" s="12"/>
      <c r="K341" s="59"/>
      <c r="L341" s="55"/>
    </row>
    <row r="342" spans="2:12">
      <c r="B342" s="59" t="s">
        <v>5990</v>
      </c>
      <c r="C342" s="59" t="s">
        <v>229</v>
      </c>
      <c r="D342" s="59" t="s">
        <v>3442</v>
      </c>
      <c r="E342" s="59"/>
      <c r="F342" s="12"/>
      <c r="G342" s="147" t="s">
        <v>1693</v>
      </c>
      <c r="H342" s="12"/>
      <c r="I342" s="59" t="s">
        <v>5974</v>
      </c>
      <c r="J342" s="12"/>
      <c r="K342" s="59"/>
      <c r="L342" s="55"/>
    </row>
    <row r="343" spans="2:12">
      <c r="B343" s="59" t="s">
        <v>5991</v>
      </c>
      <c r="C343" s="59" t="s">
        <v>203</v>
      </c>
      <c r="D343" s="59" t="s">
        <v>5971</v>
      </c>
      <c r="E343" s="59"/>
      <c r="F343" s="12"/>
      <c r="G343" s="147" t="s">
        <v>1693</v>
      </c>
      <c r="H343" s="12"/>
      <c r="I343" s="59" t="s">
        <v>5974</v>
      </c>
      <c r="J343" s="12"/>
      <c r="K343" s="59"/>
      <c r="L343" s="55"/>
    </row>
    <row r="344" spans="2:12">
      <c r="B344" s="59" t="s">
        <v>1639</v>
      </c>
      <c r="C344" s="59" t="s">
        <v>229</v>
      </c>
      <c r="D344" s="59" t="s">
        <v>1640</v>
      </c>
      <c r="E344" s="59"/>
      <c r="F344" s="12"/>
      <c r="G344" s="147" t="s">
        <v>1693</v>
      </c>
      <c r="H344" s="12"/>
      <c r="I344" s="59" t="s">
        <v>5992</v>
      </c>
      <c r="J344" s="12"/>
      <c r="K344" s="59"/>
      <c r="L344" s="55"/>
    </row>
    <row r="345" spans="2:12">
      <c r="B345" s="59" t="s">
        <v>1643</v>
      </c>
      <c r="C345" s="59" t="s">
        <v>229</v>
      </c>
      <c r="D345" s="59" t="s">
        <v>2907</v>
      </c>
      <c r="E345" s="59"/>
      <c r="F345" s="12"/>
      <c r="G345" s="147" t="s">
        <v>1693</v>
      </c>
      <c r="H345" s="12"/>
      <c r="I345" s="59" t="s">
        <v>5992</v>
      </c>
      <c r="J345" s="12"/>
      <c r="K345" s="59"/>
      <c r="L345" s="55"/>
    </row>
    <row r="346" spans="2:12">
      <c r="B346" s="59" t="s">
        <v>5993</v>
      </c>
      <c r="C346" s="59" t="s">
        <v>229</v>
      </c>
      <c r="D346" s="59" t="s">
        <v>5994</v>
      </c>
      <c r="E346" s="59"/>
      <c r="F346" s="12"/>
      <c r="G346" s="147" t="s">
        <v>1693</v>
      </c>
      <c r="H346" s="12"/>
      <c r="I346" s="59" t="s">
        <v>5992</v>
      </c>
      <c r="J346" s="12"/>
      <c r="K346" s="59"/>
      <c r="L346" s="55"/>
    </row>
    <row r="347" spans="2:12">
      <c r="B347" s="59" t="s">
        <v>5995</v>
      </c>
      <c r="C347" s="59" t="s">
        <v>229</v>
      </c>
      <c r="D347" s="59" t="s">
        <v>5996</v>
      </c>
      <c r="E347" s="59"/>
      <c r="F347" s="12"/>
      <c r="G347" s="147" t="s">
        <v>1693</v>
      </c>
      <c r="H347" s="12"/>
      <c r="I347" s="59" t="s">
        <v>5992</v>
      </c>
      <c r="J347" s="12"/>
      <c r="K347" s="59"/>
      <c r="L347" s="55"/>
    </row>
    <row r="348" spans="2:8">
      <c r="B348" s="157" t="s">
        <v>4232</v>
      </c>
      <c r="C348" s="157" t="s">
        <v>170</v>
      </c>
      <c r="D348" s="157" t="s">
        <v>4233</v>
      </c>
      <c r="E348" s="144" t="s">
        <v>5586</v>
      </c>
      <c r="F348" s="144"/>
      <c r="G348" s="157" t="s">
        <v>5997</v>
      </c>
      <c r="H348" s="144"/>
    </row>
    <row r="349" spans="2:8">
      <c r="B349" s="157" t="s">
        <v>4235</v>
      </c>
      <c r="C349" s="157" t="s">
        <v>170</v>
      </c>
      <c r="D349" s="157" t="s">
        <v>4236</v>
      </c>
      <c r="E349" s="144" t="s">
        <v>5586</v>
      </c>
      <c r="F349" s="144"/>
      <c r="G349" s="157" t="s">
        <v>5998</v>
      </c>
      <c r="H349" s="144"/>
    </row>
    <row r="350" spans="2:8">
      <c r="B350" s="157" t="s">
        <v>4238</v>
      </c>
      <c r="C350" s="157" t="s">
        <v>203</v>
      </c>
      <c r="D350" s="157" t="s">
        <v>4239</v>
      </c>
      <c r="E350" s="144" t="s">
        <v>5586</v>
      </c>
      <c r="F350" s="144"/>
      <c r="G350" s="157" t="s">
        <v>5999</v>
      </c>
      <c r="H350" s="144"/>
    </row>
    <row r="351" spans="2:12">
      <c r="B351" s="59" t="s">
        <v>4242</v>
      </c>
      <c r="C351" s="59" t="s">
        <v>229</v>
      </c>
      <c r="D351" s="59" t="s">
        <v>6000</v>
      </c>
      <c r="E351" s="59" t="s">
        <v>5586</v>
      </c>
      <c r="F351" s="12"/>
      <c r="G351" s="147" t="s">
        <v>831</v>
      </c>
      <c r="H351" s="12"/>
      <c r="I351" s="12"/>
      <c r="J351" s="12"/>
      <c r="K351" s="12"/>
      <c r="L351" s="55"/>
    </row>
    <row r="352" spans="2:12">
      <c r="B352" s="59" t="s">
        <v>6001</v>
      </c>
      <c r="C352" s="59" t="s">
        <v>175</v>
      </c>
      <c r="D352" s="59" t="s">
        <v>240</v>
      </c>
      <c r="E352" s="12"/>
      <c r="F352" s="12"/>
      <c r="G352" s="12"/>
      <c r="H352" s="12"/>
      <c r="I352" s="12"/>
      <c r="J352" s="12"/>
      <c r="K352" s="12"/>
      <c r="L352" s="55"/>
    </row>
    <row r="353" spans="2:12">
      <c r="B353" s="59" t="s">
        <v>177</v>
      </c>
      <c r="C353" s="59" t="s">
        <v>175</v>
      </c>
      <c r="D353" s="59" t="s">
        <v>599</v>
      </c>
      <c r="E353" s="12"/>
      <c r="F353" s="12"/>
      <c r="G353" s="12"/>
      <c r="H353" s="12"/>
      <c r="I353" s="12"/>
      <c r="J353" s="12"/>
      <c r="K353" s="12"/>
      <c r="L353" s="55"/>
    </row>
    <row r="354" spans="2:12">
      <c r="B354" s="59" t="s">
        <v>693</v>
      </c>
      <c r="C354" s="59" t="s">
        <v>170</v>
      </c>
      <c r="D354" s="59" t="s">
        <v>1859</v>
      </c>
      <c r="E354" s="12"/>
      <c r="F354" s="12"/>
      <c r="G354" s="12"/>
      <c r="H354" s="12"/>
      <c r="I354" s="12"/>
      <c r="J354" s="12"/>
      <c r="K354" s="12"/>
      <c r="L354" s="55"/>
    </row>
    <row r="355" spans="2:12">
      <c r="B355" s="12" t="s">
        <v>696</v>
      </c>
      <c r="C355" s="59" t="s">
        <v>170</v>
      </c>
      <c r="D355" s="59" t="s">
        <v>1534</v>
      </c>
      <c r="E355" s="12"/>
      <c r="F355" s="12"/>
      <c r="G355" s="12"/>
      <c r="H355" s="12"/>
      <c r="I355" s="12"/>
      <c r="J355" s="12"/>
      <c r="K355" s="12"/>
      <c r="L355" s="55"/>
    </row>
  </sheetData>
  <autoFilter xmlns:etc="http://www.wps.cn/officeDocument/2017/etCustomData" ref="A16:S355" etc:filterBottomFollowUsedRange="0">
    <extLst/>
  </autoFilter>
  <mergeCells count="8">
    <mergeCell ref="B2:H2"/>
    <mergeCell ref="B6:H6"/>
    <mergeCell ref="B15:L15"/>
    <mergeCell ref="A10:A13"/>
    <mergeCell ref="I59:I82"/>
    <mergeCell ref="I83:I112"/>
    <mergeCell ref="I113:I140"/>
    <mergeCell ref="I141:I178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hyperlinks>
    <hyperlink ref="B1" location="导航!A1" display="=HYPERLINK(&quot;#&quot;&amp;&quot;导航应用&quot;&amp;&quot;!B1&quot;,&quot;返回&quot;)"/>
  </hyperlinks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265"/>
  <sheetViews>
    <sheetView topLeftCell="A36" workbookViewId="0">
      <selection activeCell="J27" sqref="J27"/>
    </sheetView>
  </sheetViews>
  <sheetFormatPr defaultColWidth="67.75" defaultRowHeight="15"/>
  <cols>
    <col min="1" max="1" width="5.12962962962963" style="75" customWidth="1"/>
    <col min="2" max="2" width="29.75" style="40" customWidth="1"/>
    <col min="3" max="3" width="27.5" style="128" customWidth="1"/>
    <col min="4" max="4" width="28.3796296296296" style="128" customWidth="1"/>
    <col min="5" max="5" width="9.25" style="129" customWidth="1"/>
    <col min="6" max="6" width="30.25" style="40" customWidth="1"/>
    <col min="7" max="7" width="47.1296296296296" style="40" customWidth="1"/>
    <col min="8" max="8" width="12.8796296296296" style="40" customWidth="1"/>
    <col min="9" max="9" width="4.12962962962963" style="75" customWidth="1"/>
    <col min="10" max="10" width="7.5" style="75" customWidth="1"/>
    <col min="11" max="11" width="4.12962962962963" style="75" customWidth="1"/>
    <col min="12" max="12" width="7.5" style="75" customWidth="1"/>
    <col min="13" max="16384" width="67.75" style="75"/>
  </cols>
  <sheetData>
    <row r="1" s="40" customFormat="1" ht="15.6" spans="1:14">
      <c r="A1" s="100"/>
      <c r="B1" s="77" t="str">
        <f>HYPERLINK("#"&amp;"导航应用"&amp;"!B1","返回")</f>
        <v>返回</v>
      </c>
      <c r="C1" s="78"/>
      <c r="D1" s="78"/>
      <c r="E1" s="78"/>
      <c r="F1" s="78"/>
      <c r="G1" s="78"/>
      <c r="H1" s="78"/>
      <c r="I1" s="76"/>
      <c r="J1" s="76"/>
      <c r="K1" s="76"/>
      <c r="L1" s="100"/>
      <c r="M1" s="100"/>
      <c r="N1" s="100"/>
    </row>
    <row r="2" s="40" customFormat="1" ht="18" customHeight="1" spans="1:14">
      <c r="A2" s="100"/>
      <c r="B2" s="79" t="s">
        <v>653</v>
      </c>
      <c r="C2" s="79"/>
      <c r="D2" s="79"/>
      <c r="E2" s="79"/>
      <c r="F2" s="79"/>
      <c r="G2" s="79"/>
      <c r="H2" s="79"/>
      <c r="I2" s="76"/>
      <c r="J2" s="76"/>
      <c r="K2" s="76"/>
      <c r="L2" s="100"/>
      <c r="M2" s="100"/>
      <c r="N2" s="100"/>
    </row>
    <row r="3" s="40" customFormat="1" ht="15.6" spans="1:14">
      <c r="A3" s="100"/>
      <c r="B3" s="80" t="s">
        <v>654</v>
      </c>
      <c r="C3" s="81" t="s">
        <v>655</v>
      </c>
      <c r="D3" s="81" t="s">
        <v>656</v>
      </c>
      <c r="E3" s="81" t="s">
        <v>657</v>
      </c>
      <c r="F3" s="81" t="s">
        <v>658</v>
      </c>
      <c r="G3" s="81" t="s">
        <v>659</v>
      </c>
      <c r="H3" s="81" t="s">
        <v>660</v>
      </c>
      <c r="I3" s="76"/>
      <c r="J3" s="76"/>
      <c r="K3" s="76"/>
      <c r="L3" s="100"/>
      <c r="M3" s="100"/>
      <c r="N3" s="100"/>
    </row>
    <row r="4" s="40" customFormat="1" ht="15.6" spans="1:14">
      <c r="A4" s="100"/>
      <c r="B4" s="82" t="s">
        <v>14</v>
      </c>
      <c r="C4" s="130" t="s">
        <v>108</v>
      </c>
      <c r="D4" s="69" t="s">
        <v>6002</v>
      </c>
      <c r="E4" s="84" t="s">
        <v>174</v>
      </c>
      <c r="F4" s="85" t="s">
        <v>4244</v>
      </c>
      <c r="G4" s="64"/>
      <c r="H4" s="64"/>
      <c r="I4" s="76"/>
      <c r="J4" s="76"/>
      <c r="K4" s="76"/>
      <c r="L4" s="100"/>
      <c r="M4" s="100"/>
      <c r="N4" s="76"/>
    </row>
    <row r="5" s="40" customFormat="1" ht="15.6" spans="1:14">
      <c r="A5" s="100"/>
      <c r="B5" s="86"/>
      <c r="C5" s="131"/>
      <c r="D5" s="87"/>
      <c r="E5" s="87"/>
      <c r="F5" s="87"/>
      <c r="G5" s="87"/>
      <c r="H5" s="87"/>
      <c r="I5" s="76"/>
      <c r="J5" s="76"/>
      <c r="K5" s="76"/>
      <c r="L5" s="100"/>
      <c r="M5" s="100"/>
      <c r="N5" s="100"/>
    </row>
    <row r="6" s="40" customFormat="1" ht="18" customHeight="1" spans="1:14">
      <c r="A6" s="100"/>
      <c r="B6" s="79" t="s">
        <v>662</v>
      </c>
      <c r="C6" s="79"/>
      <c r="D6" s="79"/>
      <c r="E6" s="79"/>
      <c r="F6" s="79"/>
      <c r="G6" s="79"/>
      <c r="H6" s="79"/>
      <c r="I6" s="76"/>
      <c r="J6" s="76"/>
      <c r="K6" s="76"/>
      <c r="L6" s="100"/>
      <c r="M6" s="100"/>
      <c r="N6" s="100"/>
    </row>
    <row r="7" s="40" customFormat="1" ht="15.6" spans="1:14">
      <c r="A7" s="100"/>
      <c r="B7" s="88" t="s">
        <v>663</v>
      </c>
      <c r="C7" s="89" t="s">
        <v>664</v>
      </c>
      <c r="D7" s="89" t="s">
        <v>665</v>
      </c>
      <c r="E7" s="89" t="s">
        <v>666</v>
      </c>
      <c r="F7" s="89" t="s">
        <v>667</v>
      </c>
      <c r="G7" s="89" t="s">
        <v>668</v>
      </c>
      <c r="H7" s="89" t="s">
        <v>669</v>
      </c>
      <c r="I7" s="76"/>
      <c r="J7" s="76"/>
      <c r="K7" s="76"/>
      <c r="L7" s="100"/>
      <c r="M7" s="100"/>
      <c r="N7" s="100"/>
    </row>
    <row r="8" s="40" customFormat="1" ht="15.6" spans="1:14">
      <c r="A8" s="100"/>
      <c r="B8" s="132"/>
      <c r="C8" s="133" t="s">
        <v>96</v>
      </c>
      <c r="D8" s="67"/>
      <c r="E8" s="134" t="s">
        <v>6003</v>
      </c>
      <c r="F8" s="134"/>
      <c r="G8" s="135"/>
      <c r="H8" s="134" t="s">
        <v>672</v>
      </c>
      <c r="I8" s="76"/>
      <c r="J8" s="76"/>
      <c r="K8" s="76"/>
      <c r="L8" s="100"/>
      <c r="M8" s="100"/>
      <c r="N8" s="100"/>
    </row>
    <row r="9" s="40" customFormat="1" ht="15.6" spans="1:14">
      <c r="A9" s="100"/>
      <c r="B9" s="132"/>
      <c r="C9" s="67"/>
      <c r="D9" s="67"/>
      <c r="E9" s="134"/>
      <c r="F9" s="134"/>
      <c r="G9" s="135"/>
      <c r="H9" s="134"/>
      <c r="I9" s="76"/>
      <c r="J9" s="76"/>
      <c r="K9" s="76"/>
      <c r="L9" s="100"/>
      <c r="M9" s="100"/>
      <c r="N9" s="100"/>
    </row>
    <row r="10" s="40" customFormat="1" ht="16.5" customHeight="1" spans="1:14">
      <c r="A10" s="100"/>
      <c r="B10" s="136" t="s">
        <v>158</v>
      </c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00"/>
      <c r="N10" s="100"/>
    </row>
    <row r="11" s="40" customFormat="1" ht="15.6" spans="1:14">
      <c r="A11" s="100"/>
      <c r="B11" s="137" t="s">
        <v>159</v>
      </c>
      <c r="C11" s="137" t="s">
        <v>160</v>
      </c>
      <c r="D11" s="137" t="s">
        <v>161</v>
      </c>
      <c r="E11" s="137" t="s">
        <v>162</v>
      </c>
      <c r="F11" s="137" t="s">
        <v>163</v>
      </c>
      <c r="G11" s="137" t="s">
        <v>164</v>
      </c>
      <c r="H11" s="137" t="s">
        <v>165</v>
      </c>
      <c r="I11" s="137" t="s">
        <v>13</v>
      </c>
      <c r="J11" s="137" t="s">
        <v>166</v>
      </c>
      <c r="K11" s="137" t="s">
        <v>167</v>
      </c>
      <c r="L11" s="137" t="s">
        <v>168</v>
      </c>
      <c r="M11" s="100"/>
      <c r="N11" s="100"/>
    </row>
    <row r="12" s="40" customFormat="1" ht="15.6" spans="1:14">
      <c r="A12" s="100"/>
      <c r="B12" s="105" t="s">
        <v>174</v>
      </c>
      <c r="C12" s="67" t="s">
        <v>175</v>
      </c>
      <c r="D12" s="67" t="s">
        <v>4251</v>
      </c>
      <c r="E12" s="109" t="s">
        <v>422</v>
      </c>
      <c r="F12" s="109"/>
      <c r="G12" s="138" t="s">
        <v>174</v>
      </c>
      <c r="H12" s="67"/>
      <c r="I12" s="67"/>
      <c r="J12" s="67"/>
      <c r="K12" s="121"/>
      <c r="L12" s="109"/>
      <c r="M12" s="100"/>
      <c r="N12" s="100"/>
    </row>
    <row r="13" ht="15.6" spans="1:14">
      <c r="A13" s="100"/>
      <c r="B13" s="139" t="s">
        <v>169</v>
      </c>
      <c r="C13" s="67" t="s">
        <v>170</v>
      </c>
      <c r="D13" s="67" t="s">
        <v>1985</v>
      </c>
      <c r="E13" s="109" t="s">
        <v>422</v>
      </c>
      <c r="F13" s="109"/>
      <c r="G13" s="67" t="s">
        <v>169</v>
      </c>
      <c r="H13" s="67"/>
      <c r="I13" s="67"/>
      <c r="J13" s="67"/>
      <c r="K13" s="109"/>
      <c r="L13" s="67"/>
      <c r="M13" s="100"/>
      <c r="N13" s="100"/>
    </row>
    <row r="14" ht="15.6" spans="1:14">
      <c r="A14" s="100"/>
      <c r="B14" s="139" t="s">
        <v>178</v>
      </c>
      <c r="C14" s="67" t="s">
        <v>170</v>
      </c>
      <c r="D14" s="67" t="s">
        <v>4255</v>
      </c>
      <c r="E14" s="109" t="s">
        <v>422</v>
      </c>
      <c r="F14" s="109"/>
      <c r="G14" s="67" t="s">
        <v>178</v>
      </c>
      <c r="H14" s="67"/>
      <c r="I14" s="67"/>
      <c r="J14" s="67"/>
      <c r="K14" s="109"/>
      <c r="L14" s="67"/>
      <c r="M14" s="100"/>
      <c r="N14" s="100"/>
    </row>
    <row r="15" ht="15.6" spans="1:14">
      <c r="A15" s="100"/>
      <c r="B15" s="139" t="s">
        <v>180</v>
      </c>
      <c r="C15" s="67" t="s">
        <v>170</v>
      </c>
      <c r="D15" s="67" t="s">
        <v>1547</v>
      </c>
      <c r="E15" s="109" t="s">
        <v>422</v>
      </c>
      <c r="F15" s="109"/>
      <c r="G15" s="67" t="s">
        <v>180</v>
      </c>
      <c r="H15" s="67"/>
      <c r="I15" s="67"/>
      <c r="J15" s="67"/>
      <c r="K15" s="109"/>
      <c r="L15" s="67"/>
      <c r="M15" s="100"/>
      <c r="N15" s="100"/>
    </row>
    <row r="16" ht="15.6" spans="1:14">
      <c r="A16" s="100"/>
      <c r="B16" s="139" t="s">
        <v>211</v>
      </c>
      <c r="C16" s="67" t="s">
        <v>175</v>
      </c>
      <c r="D16" s="67" t="s">
        <v>4256</v>
      </c>
      <c r="E16" s="109" t="s">
        <v>422</v>
      </c>
      <c r="F16" s="109"/>
      <c r="G16" s="67" t="s">
        <v>4257</v>
      </c>
      <c r="H16" s="67"/>
      <c r="I16" s="67"/>
      <c r="J16" s="67"/>
      <c r="K16" s="109"/>
      <c r="L16" s="67"/>
      <c r="M16" s="100"/>
      <c r="N16" s="100"/>
    </row>
    <row r="17" ht="15.6" spans="1:14">
      <c r="A17" s="100"/>
      <c r="B17" s="139" t="s">
        <v>191</v>
      </c>
      <c r="C17" s="67" t="s">
        <v>175</v>
      </c>
      <c r="D17" s="67" t="s">
        <v>192</v>
      </c>
      <c r="E17" s="109" t="s">
        <v>422</v>
      </c>
      <c r="F17" s="109"/>
      <c r="G17" s="67" t="s">
        <v>191</v>
      </c>
      <c r="H17" s="67"/>
      <c r="I17" s="67"/>
      <c r="J17" s="67"/>
      <c r="K17" s="109"/>
      <c r="L17" s="67"/>
      <c r="M17" s="100"/>
      <c r="N17" s="100"/>
    </row>
    <row r="18" ht="15.6" spans="1:14">
      <c r="A18" s="100"/>
      <c r="B18" s="139" t="s">
        <v>188</v>
      </c>
      <c r="C18" s="67" t="s">
        <v>175</v>
      </c>
      <c r="D18" s="67" t="s">
        <v>189</v>
      </c>
      <c r="E18" s="109" t="s">
        <v>422</v>
      </c>
      <c r="F18" s="109"/>
      <c r="G18" s="67" t="s">
        <v>188</v>
      </c>
      <c r="H18" s="67"/>
      <c r="I18" s="67"/>
      <c r="J18" s="67"/>
      <c r="K18" s="109"/>
      <c r="L18" s="67"/>
      <c r="M18" s="100"/>
      <c r="N18" s="100"/>
    </row>
    <row r="19" s="127" customFormat="1" ht="15.6" spans="1:14">
      <c r="A19" s="100"/>
      <c r="B19" s="139" t="s">
        <v>246</v>
      </c>
      <c r="C19" s="67" t="s">
        <v>175</v>
      </c>
      <c r="D19" s="67" t="s">
        <v>1980</v>
      </c>
      <c r="E19" s="109" t="s">
        <v>422</v>
      </c>
      <c r="F19" s="109"/>
      <c r="G19" s="67" t="s">
        <v>246</v>
      </c>
      <c r="H19" s="67"/>
      <c r="I19" s="67"/>
      <c r="J19" s="67"/>
      <c r="K19" s="109"/>
      <c r="L19" s="67"/>
      <c r="M19" s="100"/>
      <c r="N19" s="100"/>
    </row>
    <row r="20" ht="15.6" spans="1:14">
      <c r="A20" s="100"/>
      <c r="B20" s="139" t="s">
        <v>252</v>
      </c>
      <c r="C20" s="67" t="s">
        <v>175</v>
      </c>
      <c r="D20" s="67" t="s">
        <v>613</v>
      </c>
      <c r="E20" s="109" t="s">
        <v>422</v>
      </c>
      <c r="F20" s="109"/>
      <c r="G20" s="68" t="s">
        <v>4258</v>
      </c>
      <c r="H20" s="67"/>
      <c r="I20" s="67"/>
      <c r="J20" s="67"/>
      <c r="K20" s="109"/>
      <c r="L20" s="67"/>
      <c r="M20" s="100"/>
      <c r="N20" s="100"/>
    </row>
    <row r="21" ht="15.6" spans="1:14">
      <c r="A21" s="100"/>
      <c r="B21" s="139" t="s">
        <v>1564</v>
      </c>
      <c r="C21" s="67" t="s">
        <v>175</v>
      </c>
      <c r="D21" s="67" t="s">
        <v>4259</v>
      </c>
      <c r="E21" s="109" t="s">
        <v>422</v>
      </c>
      <c r="F21" s="109"/>
      <c r="G21" s="67" t="s">
        <v>1564</v>
      </c>
      <c r="H21" s="67"/>
      <c r="I21" s="67"/>
      <c r="J21" s="67"/>
      <c r="K21" s="109"/>
      <c r="L21" s="67"/>
      <c r="M21" s="100"/>
      <c r="N21" s="100"/>
    </row>
    <row r="22" ht="15.6" spans="1:14">
      <c r="A22" s="100"/>
      <c r="B22" s="139" t="s">
        <v>1867</v>
      </c>
      <c r="C22" s="67" t="s">
        <v>175</v>
      </c>
      <c r="D22" s="67" t="s">
        <v>2795</v>
      </c>
      <c r="E22" s="109" t="s">
        <v>422</v>
      </c>
      <c r="F22" s="109"/>
      <c r="G22" s="67" t="s">
        <v>4260</v>
      </c>
      <c r="H22" s="67"/>
      <c r="I22" s="67"/>
      <c r="J22" s="67"/>
      <c r="K22" s="109"/>
      <c r="L22" s="67"/>
      <c r="M22" s="100"/>
      <c r="N22" s="100"/>
    </row>
    <row r="23" ht="15.6" spans="1:14">
      <c r="A23" s="100"/>
      <c r="B23" s="140" t="s">
        <v>746</v>
      </c>
      <c r="C23" s="67" t="s">
        <v>175</v>
      </c>
      <c r="D23" s="67" t="s">
        <v>4261</v>
      </c>
      <c r="E23" s="109" t="s">
        <v>422</v>
      </c>
      <c r="F23" s="109"/>
      <c r="G23" s="67" t="s">
        <v>746</v>
      </c>
      <c r="H23" s="67"/>
      <c r="I23" s="67"/>
      <c r="J23" s="67"/>
      <c r="K23" s="109"/>
      <c r="L23" s="67"/>
      <c r="M23" s="100"/>
      <c r="N23" s="100"/>
    </row>
    <row r="24" ht="15.6" spans="1:14">
      <c r="A24" s="100"/>
      <c r="B24" s="67" t="s">
        <v>255</v>
      </c>
      <c r="C24" s="67" t="s">
        <v>229</v>
      </c>
      <c r="D24" s="67" t="s">
        <v>618</v>
      </c>
      <c r="E24" s="109" t="s">
        <v>422</v>
      </c>
      <c r="F24" s="67" t="s">
        <v>255</v>
      </c>
      <c r="G24" s="67" t="s">
        <v>392</v>
      </c>
      <c r="H24" s="67"/>
      <c r="I24" s="67"/>
      <c r="J24" s="67"/>
      <c r="K24" s="109"/>
      <c r="L24" s="67"/>
      <c r="M24" s="100"/>
      <c r="N24" s="100"/>
    </row>
    <row r="25" ht="15.6" spans="1:14">
      <c r="A25" s="100"/>
      <c r="B25" s="67" t="s">
        <v>4263</v>
      </c>
      <c r="C25" s="67" t="s">
        <v>229</v>
      </c>
      <c r="D25" s="67" t="s">
        <v>4264</v>
      </c>
      <c r="E25" s="109" t="s">
        <v>422</v>
      </c>
      <c r="F25" s="67" t="s">
        <v>4263</v>
      </c>
      <c r="G25" s="67" t="s">
        <v>392</v>
      </c>
      <c r="H25" s="67"/>
      <c r="I25" s="67"/>
      <c r="J25" s="67"/>
      <c r="K25" s="109"/>
      <c r="L25" s="67"/>
      <c r="M25" s="100"/>
      <c r="N25" s="100"/>
    </row>
    <row r="26" ht="15.6" spans="1:14">
      <c r="A26" s="100"/>
      <c r="B26" s="67" t="s">
        <v>4266</v>
      </c>
      <c r="C26" s="67" t="s">
        <v>203</v>
      </c>
      <c r="D26" s="67" t="s">
        <v>4267</v>
      </c>
      <c r="E26" s="109" t="s">
        <v>422</v>
      </c>
      <c r="F26" s="67"/>
      <c r="G26" s="67" t="s">
        <v>4268</v>
      </c>
      <c r="H26" s="67"/>
      <c r="I26" s="67"/>
      <c r="J26" s="67"/>
      <c r="K26" s="109"/>
      <c r="L26" s="67"/>
      <c r="M26" s="100"/>
      <c r="N26" s="100"/>
    </row>
    <row r="27" ht="15.6" spans="1:14">
      <c r="A27" s="100"/>
      <c r="B27" s="67" t="s">
        <v>4269</v>
      </c>
      <c r="C27" s="67" t="s">
        <v>229</v>
      </c>
      <c r="D27" s="67" t="s">
        <v>1847</v>
      </c>
      <c r="E27" s="109" t="s">
        <v>422</v>
      </c>
      <c r="F27" s="67" t="s">
        <v>4269</v>
      </c>
      <c r="G27" s="67" t="s">
        <v>392</v>
      </c>
      <c r="H27" s="67"/>
      <c r="I27" s="67"/>
      <c r="J27" s="67"/>
      <c r="K27" s="109"/>
      <c r="L27" s="67"/>
      <c r="M27" s="100"/>
      <c r="N27" s="100"/>
    </row>
    <row r="28" ht="15.6" spans="1:14">
      <c r="A28" s="100"/>
      <c r="B28" s="67" t="s">
        <v>4271</v>
      </c>
      <c r="C28" s="67" t="s">
        <v>229</v>
      </c>
      <c r="D28" s="67" t="s">
        <v>1849</v>
      </c>
      <c r="E28" s="109" t="s">
        <v>422</v>
      </c>
      <c r="F28" s="67" t="s">
        <v>4271</v>
      </c>
      <c r="G28" s="67" t="s">
        <v>392</v>
      </c>
      <c r="H28" s="67"/>
      <c r="I28" s="67"/>
      <c r="J28" s="67"/>
      <c r="K28" s="109"/>
      <c r="L28" s="67"/>
      <c r="M28" s="100"/>
      <c r="N28" s="100"/>
    </row>
    <row r="29" ht="15.6" spans="1:14">
      <c r="A29" s="100"/>
      <c r="B29" s="67" t="s">
        <v>4273</v>
      </c>
      <c r="C29" s="67" t="s">
        <v>229</v>
      </c>
      <c r="D29" s="67" t="s">
        <v>1851</v>
      </c>
      <c r="E29" s="109" t="s">
        <v>422</v>
      </c>
      <c r="F29" s="67" t="s">
        <v>4273</v>
      </c>
      <c r="G29" s="67" t="s">
        <v>392</v>
      </c>
      <c r="H29" s="67"/>
      <c r="I29" s="67"/>
      <c r="J29" s="67"/>
      <c r="K29" s="109"/>
      <c r="L29" s="67"/>
      <c r="M29" s="100"/>
      <c r="N29" s="100"/>
    </row>
    <row r="30" ht="15.6" spans="1:14">
      <c r="A30" s="100"/>
      <c r="B30" s="67" t="s">
        <v>4275</v>
      </c>
      <c r="C30" s="67" t="s">
        <v>229</v>
      </c>
      <c r="D30" s="67" t="s">
        <v>1853</v>
      </c>
      <c r="E30" s="109" t="s">
        <v>422</v>
      </c>
      <c r="F30" s="67" t="s">
        <v>4275</v>
      </c>
      <c r="G30" s="67" t="s">
        <v>392</v>
      </c>
      <c r="H30" s="67"/>
      <c r="I30" s="67"/>
      <c r="J30" s="67"/>
      <c r="K30" s="109"/>
      <c r="L30" s="67"/>
      <c r="M30" s="100"/>
      <c r="N30" s="100"/>
    </row>
    <row r="31" ht="15.6" spans="1:14">
      <c r="A31" s="100"/>
      <c r="B31" s="67" t="s">
        <v>4277</v>
      </c>
      <c r="C31" s="67" t="s">
        <v>229</v>
      </c>
      <c r="D31" s="67" t="s">
        <v>1855</v>
      </c>
      <c r="E31" s="109" t="s">
        <v>422</v>
      </c>
      <c r="F31" s="67" t="s">
        <v>4277</v>
      </c>
      <c r="G31" s="67" t="s">
        <v>392</v>
      </c>
      <c r="H31" s="67"/>
      <c r="I31" s="67"/>
      <c r="J31" s="67"/>
      <c r="K31" s="109"/>
      <c r="L31" s="67"/>
      <c r="M31" s="100"/>
      <c r="N31" s="100"/>
    </row>
    <row r="32" ht="15.6" spans="1:14">
      <c r="A32" s="100"/>
      <c r="B32" s="67" t="s">
        <v>4279</v>
      </c>
      <c r="C32" s="67" t="s">
        <v>229</v>
      </c>
      <c r="D32" s="67" t="s">
        <v>1857</v>
      </c>
      <c r="E32" s="109" t="s">
        <v>422</v>
      </c>
      <c r="F32" s="67" t="s">
        <v>4279</v>
      </c>
      <c r="G32" s="67" t="s">
        <v>392</v>
      </c>
      <c r="H32" s="67"/>
      <c r="I32" s="67"/>
      <c r="J32" s="67"/>
      <c r="K32" s="109"/>
      <c r="L32" s="67"/>
      <c r="M32" s="100"/>
      <c r="N32" s="100"/>
    </row>
    <row r="33" ht="15.6" spans="1:14">
      <c r="A33" s="100"/>
      <c r="B33" s="67" t="s">
        <v>257</v>
      </c>
      <c r="C33" s="67" t="s">
        <v>229</v>
      </c>
      <c r="D33" s="67" t="s">
        <v>394</v>
      </c>
      <c r="E33" s="109" t="s">
        <v>422</v>
      </c>
      <c r="F33" s="67" t="s">
        <v>257</v>
      </c>
      <c r="G33" s="67" t="s">
        <v>392</v>
      </c>
      <c r="H33" s="67"/>
      <c r="I33" s="67"/>
      <c r="J33" s="67"/>
      <c r="K33" s="109"/>
      <c r="L33" s="67"/>
      <c r="M33" s="100"/>
      <c r="N33" s="100"/>
    </row>
    <row r="34" ht="15.6" spans="1:14">
      <c r="A34" s="100"/>
      <c r="B34" s="67" t="s">
        <v>264</v>
      </c>
      <c r="C34" s="67" t="s">
        <v>229</v>
      </c>
      <c r="D34" s="67" t="s">
        <v>395</v>
      </c>
      <c r="E34" s="109" t="s">
        <v>422</v>
      </c>
      <c r="F34" s="67" t="s">
        <v>264</v>
      </c>
      <c r="G34" s="67" t="s">
        <v>392</v>
      </c>
      <c r="H34" s="67"/>
      <c r="I34" s="67"/>
      <c r="J34" s="67"/>
      <c r="K34" s="109"/>
      <c r="L34" s="67"/>
      <c r="M34" s="100"/>
      <c r="N34" s="100"/>
    </row>
    <row r="35" ht="15.6" spans="1:14">
      <c r="A35" s="100"/>
      <c r="B35" s="67" t="s">
        <v>1989</v>
      </c>
      <c r="C35" s="67" t="s">
        <v>229</v>
      </c>
      <c r="D35" s="67" t="s">
        <v>4283</v>
      </c>
      <c r="E35" s="109" t="s">
        <v>422</v>
      </c>
      <c r="F35" s="67" t="s">
        <v>1989</v>
      </c>
      <c r="G35" s="67" t="s">
        <v>392</v>
      </c>
      <c r="H35" s="67"/>
      <c r="I35" s="67"/>
      <c r="J35" s="67"/>
      <c r="K35" s="109"/>
      <c r="L35" s="67"/>
      <c r="M35" s="100"/>
      <c r="N35" s="100"/>
    </row>
    <row r="36" ht="15.6" spans="1:14">
      <c r="A36" s="100"/>
      <c r="B36" s="67" t="s">
        <v>1991</v>
      </c>
      <c r="C36" s="67" t="s">
        <v>229</v>
      </c>
      <c r="D36" s="67" t="s">
        <v>4285</v>
      </c>
      <c r="E36" s="109" t="s">
        <v>422</v>
      </c>
      <c r="F36" s="67" t="s">
        <v>1991</v>
      </c>
      <c r="G36" s="67" t="s">
        <v>392</v>
      </c>
      <c r="H36" s="67"/>
      <c r="I36" s="67"/>
      <c r="J36" s="67"/>
      <c r="K36" s="109"/>
      <c r="L36" s="67"/>
      <c r="M36" s="100"/>
      <c r="N36" s="100"/>
    </row>
    <row r="37" ht="15.6" spans="1:14">
      <c r="A37" s="100"/>
      <c r="B37" s="67" t="s">
        <v>4287</v>
      </c>
      <c r="C37" s="67" t="s">
        <v>229</v>
      </c>
      <c r="D37" s="67" t="s">
        <v>4288</v>
      </c>
      <c r="E37" s="109" t="s">
        <v>422</v>
      </c>
      <c r="F37" s="67" t="s">
        <v>4287</v>
      </c>
      <c r="G37" s="67" t="s">
        <v>392</v>
      </c>
      <c r="H37" s="67"/>
      <c r="I37" s="67"/>
      <c r="J37" s="67"/>
      <c r="K37" s="109"/>
      <c r="L37" s="67"/>
      <c r="M37" s="100"/>
      <c r="N37" s="100"/>
    </row>
    <row r="38" ht="15.6" spans="1:14">
      <c r="A38" s="100"/>
      <c r="B38" s="67" t="s">
        <v>4290</v>
      </c>
      <c r="C38" s="67" t="s">
        <v>229</v>
      </c>
      <c r="D38" s="67" t="s">
        <v>4291</v>
      </c>
      <c r="E38" s="109" t="s">
        <v>422</v>
      </c>
      <c r="F38" s="67" t="s">
        <v>4290</v>
      </c>
      <c r="G38" s="67" t="s">
        <v>392</v>
      </c>
      <c r="H38" s="67"/>
      <c r="I38" s="67"/>
      <c r="J38" s="67"/>
      <c r="K38" s="109"/>
      <c r="L38" s="67"/>
      <c r="M38" s="100"/>
      <c r="N38" s="100"/>
    </row>
    <row r="39" ht="15.6" spans="1:14">
      <c r="A39" s="100"/>
      <c r="B39" s="67" t="s">
        <v>1993</v>
      </c>
      <c r="C39" s="67" t="s">
        <v>229</v>
      </c>
      <c r="D39" s="67" t="s">
        <v>4293</v>
      </c>
      <c r="E39" s="109" t="s">
        <v>422</v>
      </c>
      <c r="F39" s="67" t="s">
        <v>1993</v>
      </c>
      <c r="G39" s="67" t="s">
        <v>392</v>
      </c>
      <c r="H39" s="67"/>
      <c r="I39" s="67"/>
      <c r="J39" s="67"/>
      <c r="K39" s="109"/>
      <c r="L39" s="67"/>
      <c r="M39" s="100"/>
      <c r="N39" s="100"/>
    </row>
    <row r="40" ht="15.6" spans="1:14">
      <c r="A40" s="100"/>
      <c r="B40" s="67" t="s">
        <v>1995</v>
      </c>
      <c r="C40" s="67" t="s">
        <v>229</v>
      </c>
      <c r="D40" s="67" t="s">
        <v>4295</v>
      </c>
      <c r="E40" s="109" t="s">
        <v>422</v>
      </c>
      <c r="F40" s="67" t="s">
        <v>1995</v>
      </c>
      <c r="G40" s="67" t="s">
        <v>392</v>
      </c>
      <c r="H40" s="67"/>
      <c r="I40" s="67"/>
      <c r="J40" s="67"/>
      <c r="K40" s="109"/>
      <c r="L40" s="67"/>
      <c r="M40" s="100"/>
      <c r="N40" s="100"/>
    </row>
    <row r="41" ht="15.6" spans="1:14">
      <c r="A41" s="100"/>
      <c r="B41" s="67" t="s">
        <v>4297</v>
      </c>
      <c r="C41" s="67" t="s">
        <v>203</v>
      </c>
      <c r="D41" s="67" t="s">
        <v>4298</v>
      </c>
      <c r="E41" s="109" t="s">
        <v>422</v>
      </c>
      <c r="F41" s="67"/>
      <c r="G41" s="67" t="s">
        <v>6004</v>
      </c>
      <c r="H41" s="67"/>
      <c r="I41" s="67"/>
      <c r="J41" s="67"/>
      <c r="K41" s="109"/>
      <c r="L41" s="67"/>
      <c r="M41" s="100"/>
      <c r="N41" s="100"/>
    </row>
    <row r="42" ht="15.6" spans="1:14">
      <c r="A42" s="100"/>
      <c r="B42" s="67" t="s">
        <v>4300</v>
      </c>
      <c r="C42" s="67" t="s">
        <v>203</v>
      </c>
      <c r="D42" s="67" t="s">
        <v>4301</v>
      </c>
      <c r="E42" s="109" t="s">
        <v>422</v>
      </c>
      <c r="F42" s="67"/>
      <c r="G42" s="67" t="s">
        <v>2512</v>
      </c>
      <c r="H42" s="67"/>
      <c r="I42" s="67"/>
      <c r="J42" s="67"/>
      <c r="K42" s="109"/>
      <c r="L42" s="67"/>
      <c r="M42" s="100"/>
      <c r="N42" s="100"/>
    </row>
    <row r="43" ht="15.6" spans="1:14">
      <c r="A43" s="100"/>
      <c r="B43" s="67" t="s">
        <v>4303</v>
      </c>
      <c r="C43" s="67" t="s">
        <v>203</v>
      </c>
      <c r="D43" s="67" t="s">
        <v>4304</v>
      </c>
      <c r="E43" s="109" t="s">
        <v>422</v>
      </c>
      <c r="F43" s="67"/>
      <c r="G43" s="67" t="s">
        <v>6005</v>
      </c>
      <c r="H43" s="67"/>
      <c r="I43" s="67"/>
      <c r="J43" s="67"/>
      <c r="K43" s="109"/>
      <c r="L43" s="67"/>
      <c r="M43" s="100"/>
      <c r="N43" s="100"/>
    </row>
    <row r="44" ht="15.6" spans="1:14">
      <c r="A44" s="100"/>
      <c r="B44" s="67" t="s">
        <v>4306</v>
      </c>
      <c r="C44" s="67" t="s">
        <v>203</v>
      </c>
      <c r="D44" s="67" t="s">
        <v>4307</v>
      </c>
      <c r="E44" s="109" t="s">
        <v>422</v>
      </c>
      <c r="F44" s="67"/>
      <c r="G44" s="67" t="s">
        <v>1959</v>
      </c>
      <c r="H44" s="67"/>
      <c r="I44" s="67"/>
      <c r="J44" s="67"/>
      <c r="K44" s="109"/>
      <c r="L44" s="67"/>
      <c r="M44" s="100"/>
      <c r="N44" s="100"/>
    </row>
    <row r="45" ht="15.6" spans="1:14">
      <c r="A45" s="100"/>
      <c r="B45" s="67" t="s">
        <v>4309</v>
      </c>
      <c r="C45" s="67" t="s">
        <v>203</v>
      </c>
      <c r="D45" s="67" t="s">
        <v>4310</v>
      </c>
      <c r="E45" s="109" t="s">
        <v>422</v>
      </c>
      <c r="F45" s="67"/>
      <c r="G45" s="67" t="s">
        <v>1387</v>
      </c>
      <c r="H45" s="67"/>
      <c r="I45" s="67"/>
      <c r="J45" s="67"/>
      <c r="K45" s="109"/>
      <c r="L45" s="67"/>
      <c r="M45" s="100"/>
      <c r="N45" s="100"/>
    </row>
    <row r="46" ht="15.6" spans="1:14">
      <c r="A46" s="100"/>
      <c r="B46" s="67" t="s">
        <v>4312</v>
      </c>
      <c r="C46" s="67" t="s">
        <v>203</v>
      </c>
      <c r="D46" s="67" t="s">
        <v>4313</v>
      </c>
      <c r="E46" s="109" t="s">
        <v>422</v>
      </c>
      <c r="F46" s="67"/>
      <c r="G46" s="67" t="s">
        <v>5606</v>
      </c>
      <c r="H46" s="67"/>
      <c r="I46" s="67"/>
      <c r="J46" s="67"/>
      <c r="K46" s="109"/>
      <c r="L46" s="67"/>
      <c r="M46" s="100"/>
      <c r="N46" s="100"/>
    </row>
    <row r="47" ht="15.6" spans="1:14">
      <c r="A47" s="100"/>
      <c r="B47" s="67" t="s">
        <v>1577</v>
      </c>
      <c r="C47" s="67" t="s">
        <v>229</v>
      </c>
      <c r="D47" s="67" t="s">
        <v>4315</v>
      </c>
      <c r="E47" s="109" t="s">
        <v>422</v>
      </c>
      <c r="F47" s="67" t="s">
        <v>1577</v>
      </c>
      <c r="G47" s="67" t="s">
        <v>392</v>
      </c>
      <c r="H47" s="67"/>
      <c r="I47" s="67"/>
      <c r="J47" s="67"/>
      <c r="K47" s="109"/>
      <c r="L47" s="67"/>
      <c r="M47" s="100"/>
      <c r="N47" s="100"/>
    </row>
    <row r="48" ht="15.6" spans="1:14">
      <c r="A48" s="100"/>
      <c r="B48" s="67" t="s">
        <v>1581</v>
      </c>
      <c r="C48" s="67" t="s">
        <v>203</v>
      </c>
      <c r="D48" s="67" t="s">
        <v>4317</v>
      </c>
      <c r="E48" s="109" t="s">
        <v>422</v>
      </c>
      <c r="F48" s="67" t="s">
        <v>1581</v>
      </c>
      <c r="G48" s="67" t="s">
        <v>392</v>
      </c>
      <c r="H48" s="67"/>
      <c r="I48" s="67"/>
      <c r="J48" s="67"/>
      <c r="K48" s="109"/>
      <c r="L48" s="67"/>
      <c r="M48" s="100"/>
      <c r="N48" s="100"/>
    </row>
    <row r="49" ht="15.6" spans="1:14">
      <c r="A49" s="100"/>
      <c r="B49" s="67" t="s">
        <v>1796</v>
      </c>
      <c r="C49" s="67" t="s">
        <v>229</v>
      </c>
      <c r="D49" s="67" t="s">
        <v>4319</v>
      </c>
      <c r="E49" s="109" t="s">
        <v>422</v>
      </c>
      <c r="F49" s="67" t="s">
        <v>1796</v>
      </c>
      <c r="G49" s="67" t="s">
        <v>392</v>
      </c>
      <c r="H49" s="67"/>
      <c r="I49" s="67"/>
      <c r="J49" s="67"/>
      <c r="K49" s="109"/>
      <c r="L49" s="67"/>
      <c r="M49" s="100"/>
      <c r="N49" s="100"/>
    </row>
    <row r="50" ht="15.6" spans="1:14">
      <c r="A50" s="100"/>
      <c r="B50" s="67" t="s">
        <v>1798</v>
      </c>
      <c r="C50" s="67" t="s">
        <v>229</v>
      </c>
      <c r="D50" s="67" t="s">
        <v>4321</v>
      </c>
      <c r="E50" s="109" t="s">
        <v>422</v>
      </c>
      <c r="F50" s="67" t="s">
        <v>1798</v>
      </c>
      <c r="G50" s="67" t="s">
        <v>392</v>
      </c>
      <c r="H50" s="67"/>
      <c r="I50" s="67"/>
      <c r="J50" s="67"/>
      <c r="K50" s="109"/>
      <c r="L50" s="67"/>
      <c r="M50" s="100"/>
      <c r="N50" s="100"/>
    </row>
    <row r="51" ht="15.6" spans="1:14">
      <c r="A51" s="100"/>
      <c r="B51" s="67" t="s">
        <v>4323</v>
      </c>
      <c r="C51" s="67" t="s">
        <v>203</v>
      </c>
      <c r="D51" s="67" t="s">
        <v>4324</v>
      </c>
      <c r="E51" s="109" t="s">
        <v>422</v>
      </c>
      <c r="F51" s="67"/>
      <c r="G51" s="67" t="s">
        <v>6006</v>
      </c>
      <c r="H51" s="67"/>
      <c r="I51" s="67"/>
      <c r="J51" s="67"/>
      <c r="K51" s="109"/>
      <c r="L51" s="67"/>
      <c r="M51" s="100"/>
      <c r="N51" s="100"/>
    </row>
    <row r="52" ht="15.6" spans="1:14">
      <c r="A52" s="100"/>
      <c r="B52" s="67" t="s">
        <v>4326</v>
      </c>
      <c r="C52" s="67" t="s">
        <v>203</v>
      </c>
      <c r="D52" s="67" t="s">
        <v>4327</v>
      </c>
      <c r="E52" s="109" t="s">
        <v>422</v>
      </c>
      <c r="F52" s="67"/>
      <c r="G52" s="67" t="s">
        <v>6007</v>
      </c>
      <c r="H52" s="67"/>
      <c r="I52" s="67"/>
      <c r="J52" s="67"/>
      <c r="K52" s="109"/>
      <c r="L52" s="67"/>
      <c r="M52" s="100"/>
      <c r="N52" s="100"/>
    </row>
    <row r="53" ht="15.6" spans="1:14">
      <c r="A53" s="100"/>
      <c r="B53" s="67" t="s">
        <v>4329</v>
      </c>
      <c r="C53" s="67" t="s">
        <v>203</v>
      </c>
      <c r="D53" s="67" t="s">
        <v>4330</v>
      </c>
      <c r="E53" s="109" t="s">
        <v>422</v>
      </c>
      <c r="F53" s="67"/>
      <c r="G53" s="67" t="s">
        <v>6008</v>
      </c>
      <c r="H53" s="67"/>
      <c r="I53" s="67"/>
      <c r="J53" s="67"/>
      <c r="K53" s="109"/>
      <c r="L53" s="67"/>
      <c r="M53" s="100"/>
      <c r="N53" s="100"/>
    </row>
    <row r="54" ht="15.6" spans="1:14">
      <c r="A54" s="100"/>
      <c r="B54" s="67" t="s">
        <v>1622</v>
      </c>
      <c r="C54" s="67" t="s">
        <v>229</v>
      </c>
      <c r="D54" s="67" t="s">
        <v>1623</v>
      </c>
      <c r="E54" s="109" t="s">
        <v>422</v>
      </c>
      <c r="F54" s="67" t="s">
        <v>1622</v>
      </c>
      <c r="G54" s="67" t="s">
        <v>392</v>
      </c>
      <c r="H54" s="67"/>
      <c r="I54" s="67"/>
      <c r="J54" s="67"/>
      <c r="K54" s="109"/>
      <c r="L54" s="67"/>
      <c r="M54" s="100"/>
      <c r="N54" s="100"/>
    </row>
    <row r="55" ht="15.6" spans="1:14">
      <c r="A55" s="100"/>
      <c r="B55" s="67" t="s">
        <v>1627</v>
      </c>
      <c r="C55" s="67" t="s">
        <v>229</v>
      </c>
      <c r="D55" s="67" t="s">
        <v>1628</v>
      </c>
      <c r="E55" s="109" t="s">
        <v>422</v>
      </c>
      <c r="F55" s="67" t="s">
        <v>1627</v>
      </c>
      <c r="G55" s="67" t="s">
        <v>392</v>
      </c>
      <c r="H55" s="67"/>
      <c r="I55" s="67"/>
      <c r="J55" s="67"/>
      <c r="K55" s="109"/>
      <c r="L55" s="67"/>
      <c r="M55" s="100"/>
      <c r="N55" s="100"/>
    </row>
    <row r="56" ht="15.6" spans="1:14">
      <c r="A56" s="100"/>
      <c r="B56" s="67" t="s">
        <v>1631</v>
      </c>
      <c r="C56" s="67" t="s">
        <v>229</v>
      </c>
      <c r="D56" s="67" t="s">
        <v>1632</v>
      </c>
      <c r="E56" s="109" t="s">
        <v>422</v>
      </c>
      <c r="F56" s="67" t="s">
        <v>1631</v>
      </c>
      <c r="G56" s="67" t="s">
        <v>392</v>
      </c>
      <c r="H56" s="67"/>
      <c r="I56" s="67"/>
      <c r="J56" s="67"/>
      <c r="K56" s="109"/>
      <c r="L56" s="67"/>
      <c r="M56" s="100"/>
      <c r="N56" s="100"/>
    </row>
    <row r="57" ht="15.6" spans="1:14">
      <c r="A57" s="100"/>
      <c r="B57" s="67" t="s">
        <v>1635</v>
      </c>
      <c r="C57" s="67" t="s">
        <v>229</v>
      </c>
      <c r="D57" s="67" t="s">
        <v>1636</v>
      </c>
      <c r="E57" s="109" t="s">
        <v>422</v>
      </c>
      <c r="F57" s="67" t="s">
        <v>1635</v>
      </c>
      <c r="G57" s="67" t="s">
        <v>392</v>
      </c>
      <c r="H57" s="67"/>
      <c r="I57" s="67"/>
      <c r="J57" s="67"/>
      <c r="K57" s="109"/>
      <c r="L57" s="67"/>
      <c r="M57" s="100"/>
      <c r="N57" s="100"/>
    </row>
    <row r="58" ht="15.6" spans="1:14">
      <c r="A58" s="100"/>
      <c r="B58" s="67" t="s">
        <v>1639</v>
      </c>
      <c r="C58" s="67" t="s">
        <v>229</v>
      </c>
      <c r="D58" s="67" t="s">
        <v>1640</v>
      </c>
      <c r="E58" s="109" t="s">
        <v>422</v>
      </c>
      <c r="F58" s="67" t="s">
        <v>1639</v>
      </c>
      <c r="G58" s="67" t="s">
        <v>392</v>
      </c>
      <c r="H58" s="67"/>
      <c r="I58" s="67"/>
      <c r="J58" s="67"/>
      <c r="K58" s="109"/>
      <c r="L58" s="67"/>
      <c r="M58" s="100"/>
      <c r="N58" s="100"/>
    </row>
    <row r="59" ht="15.6" spans="1:14">
      <c r="A59" s="100"/>
      <c r="B59" s="67" t="s">
        <v>1643</v>
      </c>
      <c r="C59" s="67" t="s">
        <v>229</v>
      </c>
      <c r="D59" s="67" t="s">
        <v>1644</v>
      </c>
      <c r="E59" s="109" t="s">
        <v>422</v>
      </c>
      <c r="F59" s="67" t="s">
        <v>1643</v>
      </c>
      <c r="G59" s="67" t="s">
        <v>392</v>
      </c>
      <c r="H59" s="67"/>
      <c r="I59" s="67"/>
      <c r="J59" s="67"/>
      <c r="K59" s="109"/>
      <c r="L59" s="67"/>
      <c r="M59" s="100"/>
      <c r="N59" s="100"/>
    </row>
    <row r="60" ht="15.6" spans="1:14">
      <c r="A60" s="100"/>
      <c r="B60" s="67" t="s">
        <v>2909</v>
      </c>
      <c r="C60" s="67" t="s">
        <v>229</v>
      </c>
      <c r="D60" s="67" t="s">
        <v>2910</v>
      </c>
      <c r="E60" s="109" t="s">
        <v>422</v>
      </c>
      <c r="F60" s="67" t="s">
        <v>2909</v>
      </c>
      <c r="G60" s="67" t="s">
        <v>392</v>
      </c>
      <c r="H60" s="67"/>
      <c r="I60" s="67"/>
      <c r="J60" s="67"/>
      <c r="K60" s="109"/>
      <c r="L60" s="67"/>
      <c r="M60" s="100"/>
      <c r="N60" s="100"/>
    </row>
    <row r="61" ht="15.6" spans="1:14">
      <c r="A61" s="100"/>
      <c r="B61" s="67" t="s">
        <v>2912</v>
      </c>
      <c r="C61" s="67" t="s">
        <v>229</v>
      </c>
      <c r="D61" s="67" t="s">
        <v>2913</v>
      </c>
      <c r="E61" s="109" t="s">
        <v>422</v>
      </c>
      <c r="F61" s="67" t="s">
        <v>2912</v>
      </c>
      <c r="G61" s="67" t="s">
        <v>392</v>
      </c>
      <c r="H61" s="67"/>
      <c r="I61" s="67"/>
      <c r="J61" s="67"/>
      <c r="K61" s="109"/>
      <c r="L61" s="67"/>
      <c r="M61" s="100"/>
      <c r="N61" s="100"/>
    </row>
    <row r="62" ht="15.6" spans="1:14">
      <c r="A62" s="100"/>
      <c r="B62" s="67" t="s">
        <v>2915</v>
      </c>
      <c r="C62" s="67" t="s">
        <v>203</v>
      </c>
      <c r="D62" s="67" t="s">
        <v>2916</v>
      </c>
      <c r="E62" s="109" t="s">
        <v>422</v>
      </c>
      <c r="F62" s="67"/>
      <c r="G62" s="67" t="s">
        <v>6009</v>
      </c>
      <c r="H62" s="67"/>
      <c r="I62" s="67"/>
      <c r="J62" s="67"/>
      <c r="K62" s="109"/>
      <c r="L62" s="67"/>
      <c r="M62" s="100"/>
      <c r="N62" s="100"/>
    </row>
    <row r="63" ht="15.6" spans="1:14">
      <c r="A63" s="100"/>
      <c r="B63" s="67" t="s">
        <v>2917</v>
      </c>
      <c r="C63" s="67" t="s">
        <v>203</v>
      </c>
      <c r="D63" s="67" t="s">
        <v>2918</v>
      </c>
      <c r="E63" s="109" t="s">
        <v>422</v>
      </c>
      <c r="F63" s="67"/>
      <c r="G63" s="67" t="s">
        <v>6010</v>
      </c>
      <c r="H63" s="67"/>
      <c r="I63" s="67"/>
      <c r="J63" s="67"/>
      <c r="K63" s="109"/>
      <c r="L63" s="67"/>
      <c r="M63" s="100"/>
      <c r="N63" s="100"/>
    </row>
    <row r="64" ht="15.6" spans="1:14">
      <c r="A64" s="100"/>
      <c r="B64" s="67" t="s">
        <v>2921</v>
      </c>
      <c r="C64" s="67" t="s">
        <v>229</v>
      </c>
      <c r="D64" s="67" t="s">
        <v>2922</v>
      </c>
      <c r="E64" s="109" t="s">
        <v>422</v>
      </c>
      <c r="F64" s="67" t="s">
        <v>2921</v>
      </c>
      <c r="G64" s="67" t="s">
        <v>392</v>
      </c>
      <c r="H64" s="67"/>
      <c r="I64" s="67"/>
      <c r="J64" s="67"/>
      <c r="K64" s="109"/>
      <c r="L64" s="67"/>
      <c r="M64" s="100"/>
      <c r="N64" s="100"/>
    </row>
    <row r="65" ht="15.6" spans="1:14">
      <c r="A65" s="100"/>
      <c r="B65" s="67" t="s">
        <v>2925</v>
      </c>
      <c r="C65" s="67" t="s">
        <v>229</v>
      </c>
      <c r="D65" s="67" t="s">
        <v>2926</v>
      </c>
      <c r="E65" s="109" t="s">
        <v>422</v>
      </c>
      <c r="F65" s="67" t="s">
        <v>2925</v>
      </c>
      <c r="G65" s="67" t="s">
        <v>392</v>
      </c>
      <c r="H65" s="67"/>
      <c r="I65" s="67"/>
      <c r="J65" s="67"/>
      <c r="K65" s="109"/>
      <c r="L65" s="67"/>
      <c r="M65" s="100"/>
      <c r="N65" s="100"/>
    </row>
    <row r="66" ht="15.6" spans="1:14">
      <c r="A66" s="100"/>
      <c r="B66" s="67" t="s">
        <v>2929</v>
      </c>
      <c r="C66" s="67" t="s">
        <v>229</v>
      </c>
      <c r="D66" s="67" t="s">
        <v>2930</v>
      </c>
      <c r="E66" s="109" t="s">
        <v>422</v>
      </c>
      <c r="F66" s="67" t="s">
        <v>2929</v>
      </c>
      <c r="G66" s="67" t="s">
        <v>392</v>
      </c>
      <c r="H66" s="67"/>
      <c r="I66" s="67"/>
      <c r="J66" s="67"/>
      <c r="K66" s="109"/>
      <c r="L66" s="67"/>
      <c r="M66" s="100"/>
      <c r="N66" s="100"/>
    </row>
    <row r="67" ht="15.6" spans="1:14">
      <c r="A67" s="100"/>
      <c r="B67" s="67" t="s">
        <v>2933</v>
      </c>
      <c r="C67" s="67" t="s">
        <v>229</v>
      </c>
      <c r="D67" s="67" t="s">
        <v>2934</v>
      </c>
      <c r="E67" s="109" t="s">
        <v>422</v>
      </c>
      <c r="F67" s="67" t="s">
        <v>2933</v>
      </c>
      <c r="G67" s="67" t="s">
        <v>392</v>
      </c>
      <c r="H67" s="67"/>
      <c r="I67" s="67"/>
      <c r="J67" s="67"/>
      <c r="K67" s="109"/>
      <c r="L67" s="67"/>
      <c r="M67" s="100"/>
      <c r="N67" s="100"/>
    </row>
    <row r="68" ht="15.6" spans="1:14">
      <c r="A68" s="100"/>
      <c r="B68" s="67" t="s">
        <v>2937</v>
      </c>
      <c r="C68" s="67" t="s">
        <v>229</v>
      </c>
      <c r="D68" s="67" t="s">
        <v>2938</v>
      </c>
      <c r="E68" s="109" t="s">
        <v>422</v>
      </c>
      <c r="F68" s="67" t="s">
        <v>2937</v>
      </c>
      <c r="G68" s="67" t="s">
        <v>392</v>
      </c>
      <c r="H68" s="67"/>
      <c r="I68" s="67"/>
      <c r="J68" s="67"/>
      <c r="K68" s="109"/>
      <c r="L68" s="67"/>
      <c r="M68" s="100"/>
      <c r="N68" s="100"/>
    </row>
    <row r="69" ht="26.4" spans="1:14">
      <c r="A69" s="100"/>
      <c r="B69" s="67" t="s">
        <v>1647</v>
      </c>
      <c r="C69" s="67" t="s">
        <v>203</v>
      </c>
      <c r="D69" s="67" t="s">
        <v>1648</v>
      </c>
      <c r="E69" s="109" t="s">
        <v>422</v>
      </c>
      <c r="F69" s="67"/>
      <c r="G69" s="141" t="s">
        <v>6011</v>
      </c>
      <c r="H69" s="67"/>
      <c r="I69" s="67"/>
      <c r="J69" s="67"/>
      <c r="K69" s="109"/>
      <c r="L69" s="67"/>
      <c r="M69" s="100"/>
      <c r="N69" s="100"/>
    </row>
    <row r="70" ht="15.6" spans="1:14">
      <c r="A70" s="100"/>
      <c r="B70" s="67" t="s">
        <v>1756</v>
      </c>
      <c r="C70" s="67" t="s">
        <v>229</v>
      </c>
      <c r="D70" s="67" t="s">
        <v>1757</v>
      </c>
      <c r="E70" s="109" t="s">
        <v>422</v>
      </c>
      <c r="F70" s="67" t="s">
        <v>1756</v>
      </c>
      <c r="G70" s="67" t="s">
        <v>392</v>
      </c>
      <c r="H70" s="67"/>
      <c r="I70" s="67"/>
      <c r="J70" s="67"/>
      <c r="K70" s="109"/>
      <c r="L70" s="67"/>
      <c r="M70" s="100"/>
      <c r="N70" s="100"/>
    </row>
    <row r="71" ht="15.6" spans="1:14">
      <c r="A71" s="100"/>
      <c r="B71" s="67" t="s">
        <v>1760</v>
      </c>
      <c r="C71" s="67" t="s">
        <v>229</v>
      </c>
      <c r="D71" s="67" t="s">
        <v>1761</v>
      </c>
      <c r="E71" s="109" t="s">
        <v>422</v>
      </c>
      <c r="F71" s="67" t="s">
        <v>1760</v>
      </c>
      <c r="G71" s="67" t="s">
        <v>392</v>
      </c>
      <c r="H71" s="67"/>
      <c r="I71" s="67"/>
      <c r="J71" s="67"/>
      <c r="K71" s="109"/>
      <c r="L71" s="67"/>
      <c r="M71" s="100"/>
      <c r="N71" s="100"/>
    </row>
    <row r="72" ht="15.6" spans="1:14">
      <c r="A72" s="100"/>
      <c r="B72" s="67" t="s">
        <v>1764</v>
      </c>
      <c r="C72" s="67" t="s">
        <v>229</v>
      </c>
      <c r="D72" s="67" t="s">
        <v>1765</v>
      </c>
      <c r="E72" s="109" t="s">
        <v>422</v>
      </c>
      <c r="F72" s="67" t="s">
        <v>1764</v>
      </c>
      <c r="G72" s="67" t="s">
        <v>392</v>
      </c>
      <c r="H72" s="67"/>
      <c r="I72" s="67"/>
      <c r="J72" s="67"/>
      <c r="K72" s="109"/>
      <c r="L72" s="67"/>
      <c r="M72" s="100"/>
      <c r="N72" s="100"/>
    </row>
    <row r="73" ht="15.6" spans="1:14">
      <c r="A73" s="100"/>
      <c r="B73" s="67" t="s">
        <v>1768</v>
      </c>
      <c r="C73" s="67" t="s">
        <v>229</v>
      </c>
      <c r="D73" s="67" t="s">
        <v>1769</v>
      </c>
      <c r="E73" s="109" t="s">
        <v>422</v>
      </c>
      <c r="F73" s="67" t="s">
        <v>1768</v>
      </c>
      <c r="G73" s="67" t="s">
        <v>392</v>
      </c>
      <c r="H73" s="67"/>
      <c r="I73" s="67"/>
      <c r="J73" s="67"/>
      <c r="K73" s="109"/>
      <c r="L73" s="67"/>
      <c r="M73" s="100"/>
      <c r="N73" s="100"/>
    </row>
    <row r="74" ht="15.6" spans="1:14">
      <c r="A74" s="100"/>
      <c r="B74" s="67" t="s">
        <v>1772</v>
      </c>
      <c r="C74" s="67" t="s">
        <v>229</v>
      </c>
      <c r="D74" s="67" t="s">
        <v>1773</v>
      </c>
      <c r="E74" s="109" t="s">
        <v>422</v>
      </c>
      <c r="F74" s="67" t="s">
        <v>1772</v>
      </c>
      <c r="G74" s="67" t="s">
        <v>392</v>
      </c>
      <c r="H74" s="67"/>
      <c r="I74" s="67"/>
      <c r="J74" s="67"/>
      <c r="K74" s="109"/>
      <c r="L74" s="67"/>
      <c r="M74" s="100"/>
      <c r="N74" s="100"/>
    </row>
    <row r="75" ht="26.4" spans="1:14">
      <c r="A75" s="100"/>
      <c r="B75" s="67" t="s">
        <v>1651</v>
      </c>
      <c r="C75" s="67" t="s">
        <v>203</v>
      </c>
      <c r="D75" s="67" t="s">
        <v>1652</v>
      </c>
      <c r="E75" s="109" t="s">
        <v>422</v>
      </c>
      <c r="F75" s="67"/>
      <c r="G75" s="141" t="s">
        <v>6012</v>
      </c>
      <c r="H75" s="67"/>
      <c r="I75" s="67"/>
      <c r="J75" s="67"/>
      <c r="K75" s="109"/>
      <c r="L75" s="67"/>
      <c r="M75" s="100"/>
      <c r="N75" s="100"/>
    </row>
    <row r="76" ht="15.6" spans="1:14">
      <c r="A76" s="100"/>
      <c r="B76" s="67" t="s">
        <v>1776</v>
      </c>
      <c r="C76" s="67" t="s">
        <v>229</v>
      </c>
      <c r="D76" s="67" t="s">
        <v>1777</v>
      </c>
      <c r="E76" s="109" t="s">
        <v>422</v>
      </c>
      <c r="F76" s="67" t="s">
        <v>1776</v>
      </c>
      <c r="G76" s="67" t="s">
        <v>392</v>
      </c>
      <c r="H76" s="67"/>
      <c r="I76" s="67"/>
      <c r="J76" s="67"/>
      <c r="K76" s="109"/>
      <c r="L76" s="67"/>
      <c r="M76" s="100"/>
      <c r="N76" s="100"/>
    </row>
    <row r="77" ht="15.6" spans="1:14">
      <c r="A77" s="100"/>
      <c r="B77" s="67" t="s">
        <v>1780</v>
      </c>
      <c r="C77" s="67" t="s">
        <v>229</v>
      </c>
      <c r="D77" s="67" t="s">
        <v>1781</v>
      </c>
      <c r="E77" s="109" t="s">
        <v>422</v>
      </c>
      <c r="F77" s="67" t="s">
        <v>1780</v>
      </c>
      <c r="G77" s="67" t="s">
        <v>392</v>
      </c>
      <c r="H77" s="67"/>
      <c r="I77" s="67"/>
      <c r="J77" s="67"/>
      <c r="K77" s="109"/>
      <c r="L77" s="67"/>
      <c r="M77" s="100"/>
      <c r="N77" s="100"/>
    </row>
    <row r="78" ht="15.6" spans="1:14">
      <c r="A78" s="100"/>
      <c r="B78" s="67" t="s">
        <v>1784</v>
      </c>
      <c r="C78" s="67" t="s">
        <v>229</v>
      </c>
      <c r="D78" s="67" t="s">
        <v>1785</v>
      </c>
      <c r="E78" s="109" t="s">
        <v>422</v>
      </c>
      <c r="F78" s="67" t="s">
        <v>1784</v>
      </c>
      <c r="G78" s="67" t="s">
        <v>392</v>
      </c>
      <c r="H78" s="67"/>
      <c r="I78" s="67"/>
      <c r="J78" s="67"/>
      <c r="K78" s="109"/>
      <c r="L78" s="67"/>
      <c r="M78" s="100"/>
      <c r="N78" s="100"/>
    </row>
    <row r="79" ht="15.6" spans="1:14">
      <c r="A79" s="100"/>
      <c r="B79" s="67" t="s">
        <v>1788</v>
      </c>
      <c r="C79" s="67" t="s">
        <v>229</v>
      </c>
      <c r="D79" s="67" t="s">
        <v>1789</v>
      </c>
      <c r="E79" s="109" t="s">
        <v>422</v>
      </c>
      <c r="F79" s="67" t="s">
        <v>1788</v>
      </c>
      <c r="G79" s="67" t="s">
        <v>392</v>
      </c>
      <c r="H79" s="67"/>
      <c r="I79" s="67"/>
      <c r="J79" s="67"/>
      <c r="K79" s="109"/>
      <c r="L79" s="67"/>
      <c r="M79" s="100"/>
      <c r="N79" s="100"/>
    </row>
    <row r="80" ht="15.6" spans="1:14">
      <c r="A80" s="100"/>
      <c r="B80" s="67" t="s">
        <v>1792</v>
      </c>
      <c r="C80" s="67" t="s">
        <v>229</v>
      </c>
      <c r="D80" s="67" t="s">
        <v>1793</v>
      </c>
      <c r="E80" s="109" t="s">
        <v>422</v>
      </c>
      <c r="F80" s="67" t="s">
        <v>1792</v>
      </c>
      <c r="G80" s="67" t="s">
        <v>392</v>
      </c>
      <c r="H80" s="67"/>
      <c r="I80" s="67"/>
      <c r="J80" s="67"/>
      <c r="K80" s="109"/>
      <c r="L80" s="67"/>
      <c r="M80" s="100"/>
      <c r="N80" s="100"/>
    </row>
    <row r="81" ht="15.6" spans="1:14">
      <c r="A81" s="100"/>
      <c r="B81" s="67" t="s">
        <v>1655</v>
      </c>
      <c r="C81" s="67" t="s">
        <v>203</v>
      </c>
      <c r="D81" s="67" t="s">
        <v>1656</v>
      </c>
      <c r="E81" s="109" t="s">
        <v>422</v>
      </c>
      <c r="F81" s="67"/>
      <c r="G81" s="67" t="s">
        <v>4360</v>
      </c>
      <c r="H81" s="67"/>
      <c r="I81" s="67"/>
      <c r="J81" s="67"/>
      <c r="K81" s="109"/>
      <c r="L81" s="67"/>
      <c r="M81" s="100"/>
      <c r="N81" s="100"/>
    </row>
    <row r="82" ht="15.6" spans="1:14">
      <c r="A82" s="100"/>
      <c r="B82" s="67" t="s">
        <v>2214</v>
      </c>
      <c r="C82" s="67" t="s">
        <v>229</v>
      </c>
      <c r="D82" s="67" t="s">
        <v>2215</v>
      </c>
      <c r="E82" s="109" t="s">
        <v>422</v>
      </c>
      <c r="F82" s="67" t="s">
        <v>2214</v>
      </c>
      <c r="G82" s="67" t="s">
        <v>392</v>
      </c>
      <c r="H82" s="67"/>
      <c r="I82" s="67"/>
      <c r="J82" s="67"/>
      <c r="K82" s="109"/>
      <c r="L82" s="67"/>
      <c r="M82" s="100"/>
      <c r="N82" s="100"/>
    </row>
    <row r="83" ht="15.6" spans="1:14">
      <c r="A83" s="100"/>
      <c r="B83" s="67" t="s">
        <v>2218</v>
      </c>
      <c r="C83" s="67" t="s">
        <v>229</v>
      </c>
      <c r="D83" s="67" t="s">
        <v>2219</v>
      </c>
      <c r="E83" s="109" t="s">
        <v>422</v>
      </c>
      <c r="F83" s="67" t="s">
        <v>2218</v>
      </c>
      <c r="G83" s="67" t="s">
        <v>392</v>
      </c>
      <c r="H83" s="67"/>
      <c r="I83" s="67"/>
      <c r="J83" s="67"/>
      <c r="K83" s="109"/>
      <c r="L83" s="67"/>
      <c r="M83" s="100"/>
      <c r="N83" s="100"/>
    </row>
    <row r="84" ht="15.6" spans="1:14">
      <c r="A84" s="100"/>
      <c r="B84" s="67" t="s">
        <v>2222</v>
      </c>
      <c r="C84" s="67" t="s">
        <v>229</v>
      </c>
      <c r="D84" s="67" t="s">
        <v>2223</v>
      </c>
      <c r="E84" s="109" t="s">
        <v>422</v>
      </c>
      <c r="F84" s="67" t="s">
        <v>2222</v>
      </c>
      <c r="G84" s="67" t="s">
        <v>392</v>
      </c>
      <c r="H84" s="67"/>
      <c r="I84" s="67"/>
      <c r="J84" s="67"/>
      <c r="K84" s="109"/>
      <c r="L84" s="67"/>
      <c r="M84" s="100"/>
      <c r="N84" s="100"/>
    </row>
    <row r="85" ht="15.6" spans="1:14">
      <c r="A85" s="100"/>
      <c r="B85" s="67" t="s">
        <v>2226</v>
      </c>
      <c r="C85" s="67" t="s">
        <v>229</v>
      </c>
      <c r="D85" s="67" t="s">
        <v>2227</v>
      </c>
      <c r="E85" s="109" t="s">
        <v>422</v>
      </c>
      <c r="F85" s="67" t="s">
        <v>2226</v>
      </c>
      <c r="G85" s="67" t="s">
        <v>392</v>
      </c>
      <c r="H85" s="67"/>
      <c r="I85" s="67"/>
      <c r="J85" s="67"/>
      <c r="K85" s="109"/>
      <c r="L85" s="67"/>
      <c r="M85" s="100"/>
      <c r="N85" s="100"/>
    </row>
    <row r="86" ht="15.6" spans="1:14">
      <c r="A86" s="100"/>
      <c r="B86" s="67" t="s">
        <v>2230</v>
      </c>
      <c r="C86" s="67" t="s">
        <v>229</v>
      </c>
      <c r="D86" s="67" t="s">
        <v>2231</v>
      </c>
      <c r="E86" s="109" t="s">
        <v>422</v>
      </c>
      <c r="F86" s="67" t="s">
        <v>2230</v>
      </c>
      <c r="G86" s="67" t="s">
        <v>392</v>
      </c>
      <c r="H86" s="67"/>
      <c r="I86" s="67"/>
      <c r="J86" s="67"/>
      <c r="K86" s="109"/>
      <c r="L86" s="67"/>
      <c r="M86" s="100"/>
      <c r="N86" s="100"/>
    </row>
    <row r="87" ht="15.6" spans="1:14">
      <c r="A87" s="100"/>
      <c r="B87" s="67" t="s">
        <v>1659</v>
      </c>
      <c r="C87" s="67" t="s">
        <v>203</v>
      </c>
      <c r="D87" s="67" t="s">
        <v>1660</v>
      </c>
      <c r="E87" s="109" t="s">
        <v>422</v>
      </c>
      <c r="F87" s="67"/>
      <c r="G87" s="67" t="s">
        <v>6013</v>
      </c>
      <c r="H87" s="67"/>
      <c r="I87" s="67"/>
      <c r="J87" s="67"/>
      <c r="K87" s="109"/>
      <c r="L87" s="67"/>
      <c r="M87" s="100"/>
      <c r="N87" s="100"/>
    </row>
    <row r="88" ht="15.6" spans="1:14">
      <c r="A88" s="100"/>
      <c r="B88" s="67" t="s">
        <v>4367</v>
      </c>
      <c r="C88" s="67" t="s">
        <v>229</v>
      </c>
      <c r="D88" s="67" t="s">
        <v>2972</v>
      </c>
      <c r="E88" s="109" t="s">
        <v>422</v>
      </c>
      <c r="F88" s="67" t="s">
        <v>4367</v>
      </c>
      <c r="G88" s="67" t="s">
        <v>392</v>
      </c>
      <c r="H88" s="67"/>
      <c r="I88" s="67"/>
      <c r="J88" s="67"/>
      <c r="K88" s="109"/>
      <c r="L88" s="67"/>
      <c r="M88" s="100"/>
      <c r="N88" s="100"/>
    </row>
    <row r="89" ht="15.6" spans="1:14">
      <c r="A89" s="100"/>
      <c r="B89" s="67" t="s">
        <v>4369</v>
      </c>
      <c r="C89" s="67" t="s">
        <v>229</v>
      </c>
      <c r="D89" s="67" t="s">
        <v>2976</v>
      </c>
      <c r="E89" s="109" t="s">
        <v>422</v>
      </c>
      <c r="F89" s="67" t="s">
        <v>4369</v>
      </c>
      <c r="G89" s="67" t="s">
        <v>392</v>
      </c>
      <c r="H89" s="67"/>
      <c r="I89" s="67"/>
      <c r="J89" s="67"/>
      <c r="K89" s="109"/>
      <c r="L89" s="67"/>
      <c r="M89" s="100"/>
      <c r="N89" s="100"/>
    </row>
    <row r="90" ht="15.6" spans="1:14">
      <c r="A90" s="100"/>
      <c r="B90" s="67" t="s">
        <v>4371</v>
      </c>
      <c r="C90" s="67" t="s">
        <v>229</v>
      </c>
      <c r="D90" s="67" t="s">
        <v>2980</v>
      </c>
      <c r="E90" s="109" t="s">
        <v>422</v>
      </c>
      <c r="F90" s="67" t="s">
        <v>4371</v>
      </c>
      <c r="G90" s="67" t="s">
        <v>392</v>
      </c>
      <c r="H90" s="67"/>
      <c r="I90" s="67"/>
      <c r="J90" s="67"/>
      <c r="K90" s="109"/>
      <c r="L90" s="67"/>
      <c r="M90" s="100"/>
      <c r="N90" s="100"/>
    </row>
    <row r="91" ht="15.6" spans="1:14">
      <c r="A91" s="100"/>
      <c r="B91" s="67" t="s">
        <v>4373</v>
      </c>
      <c r="C91" s="67" t="s">
        <v>229</v>
      </c>
      <c r="D91" s="67" t="s">
        <v>2984</v>
      </c>
      <c r="E91" s="109" t="s">
        <v>422</v>
      </c>
      <c r="F91" s="67" t="s">
        <v>4373</v>
      </c>
      <c r="G91" s="67" t="s">
        <v>392</v>
      </c>
      <c r="H91" s="67"/>
      <c r="I91" s="67"/>
      <c r="J91" s="67"/>
      <c r="K91" s="109"/>
      <c r="L91" s="67"/>
      <c r="M91" s="100"/>
      <c r="N91" s="100"/>
    </row>
    <row r="92" ht="15.6" spans="1:14">
      <c r="A92" s="100"/>
      <c r="B92" s="67" t="s">
        <v>4375</v>
      </c>
      <c r="C92" s="67" t="s">
        <v>229</v>
      </c>
      <c r="D92" s="67" t="s">
        <v>2988</v>
      </c>
      <c r="E92" s="109" t="s">
        <v>422</v>
      </c>
      <c r="F92" s="67" t="s">
        <v>4375</v>
      </c>
      <c r="G92" s="67" t="s">
        <v>392</v>
      </c>
      <c r="H92" s="67"/>
      <c r="I92" s="67"/>
      <c r="J92" s="67"/>
      <c r="K92" s="109"/>
      <c r="L92" s="67"/>
      <c r="M92" s="100"/>
      <c r="N92" s="100"/>
    </row>
    <row r="93" ht="15.6" spans="1:14">
      <c r="A93" s="100"/>
      <c r="B93" s="67" t="s">
        <v>1663</v>
      </c>
      <c r="C93" s="67" t="s">
        <v>203</v>
      </c>
      <c r="D93" s="67" t="s">
        <v>1664</v>
      </c>
      <c r="E93" s="109" t="s">
        <v>422</v>
      </c>
      <c r="F93" s="67"/>
      <c r="G93" s="67" t="s">
        <v>6014</v>
      </c>
      <c r="H93" s="67"/>
      <c r="I93" s="67"/>
      <c r="J93" s="67"/>
      <c r="K93" s="109"/>
      <c r="L93" s="67"/>
      <c r="M93" s="100"/>
      <c r="N93" s="100"/>
    </row>
    <row r="94" ht="15.6" spans="1:14">
      <c r="A94" s="100"/>
      <c r="B94" s="67" t="s">
        <v>4378</v>
      </c>
      <c r="C94" s="67" t="s">
        <v>229</v>
      </c>
      <c r="D94" s="67" t="s">
        <v>2995</v>
      </c>
      <c r="E94" s="109" t="s">
        <v>422</v>
      </c>
      <c r="F94" s="67" t="s">
        <v>4378</v>
      </c>
      <c r="G94" s="67" t="s">
        <v>392</v>
      </c>
      <c r="H94" s="67"/>
      <c r="I94" s="67"/>
      <c r="J94" s="67"/>
      <c r="K94" s="109"/>
      <c r="L94" s="67"/>
      <c r="M94" s="100"/>
      <c r="N94" s="100"/>
    </row>
    <row r="95" ht="15.6" spans="1:14">
      <c r="A95" s="100"/>
      <c r="B95" s="67" t="s">
        <v>4380</v>
      </c>
      <c r="C95" s="67" t="s">
        <v>229</v>
      </c>
      <c r="D95" s="67" t="s">
        <v>2999</v>
      </c>
      <c r="E95" s="109" t="s">
        <v>422</v>
      </c>
      <c r="F95" s="67" t="s">
        <v>4380</v>
      </c>
      <c r="G95" s="67" t="s">
        <v>392</v>
      </c>
      <c r="H95" s="67"/>
      <c r="I95" s="67"/>
      <c r="J95" s="67"/>
      <c r="K95" s="109"/>
      <c r="L95" s="67"/>
      <c r="M95" s="100"/>
      <c r="N95" s="100"/>
    </row>
    <row r="96" ht="15.6" spans="1:14">
      <c r="A96" s="100"/>
      <c r="B96" s="67" t="s">
        <v>4382</v>
      </c>
      <c r="C96" s="67" t="s">
        <v>229</v>
      </c>
      <c r="D96" s="67" t="s">
        <v>3003</v>
      </c>
      <c r="E96" s="109" t="s">
        <v>422</v>
      </c>
      <c r="F96" s="67" t="s">
        <v>4382</v>
      </c>
      <c r="G96" s="67" t="s">
        <v>392</v>
      </c>
      <c r="H96" s="67"/>
      <c r="I96" s="67"/>
      <c r="J96" s="67"/>
      <c r="K96" s="109"/>
      <c r="L96" s="67"/>
      <c r="M96" s="100"/>
      <c r="N96" s="100"/>
    </row>
    <row r="97" ht="15.6" spans="1:14">
      <c r="A97" s="100"/>
      <c r="B97" s="67" t="s">
        <v>4384</v>
      </c>
      <c r="C97" s="67" t="s">
        <v>229</v>
      </c>
      <c r="D97" s="67" t="s">
        <v>3007</v>
      </c>
      <c r="E97" s="109" t="s">
        <v>422</v>
      </c>
      <c r="F97" s="67" t="s">
        <v>4384</v>
      </c>
      <c r="G97" s="67" t="s">
        <v>392</v>
      </c>
      <c r="H97" s="67"/>
      <c r="I97" s="67"/>
      <c r="J97" s="67"/>
      <c r="K97" s="109"/>
      <c r="L97" s="67"/>
      <c r="M97" s="100"/>
      <c r="N97" s="100"/>
    </row>
    <row r="98" ht="15.6" spans="1:14">
      <c r="A98" s="100"/>
      <c r="B98" s="67" t="s">
        <v>4386</v>
      </c>
      <c r="C98" s="67" t="s">
        <v>229</v>
      </c>
      <c r="D98" s="67" t="s">
        <v>3010</v>
      </c>
      <c r="E98" s="109" t="s">
        <v>422</v>
      </c>
      <c r="F98" s="67" t="s">
        <v>4386</v>
      </c>
      <c r="G98" s="67" t="s">
        <v>392</v>
      </c>
      <c r="H98" s="67"/>
      <c r="I98" s="67"/>
      <c r="J98" s="67"/>
      <c r="K98" s="109"/>
      <c r="L98" s="67"/>
      <c r="M98" s="100"/>
      <c r="N98" s="100"/>
    </row>
    <row r="99" ht="15.6" spans="1:14">
      <c r="A99" s="100"/>
      <c r="B99" s="67" t="s">
        <v>1671</v>
      </c>
      <c r="C99" s="67" t="s">
        <v>203</v>
      </c>
      <c r="D99" s="67" t="s">
        <v>1672</v>
      </c>
      <c r="E99" s="109" t="s">
        <v>422</v>
      </c>
      <c r="F99" s="67"/>
      <c r="G99" s="67" t="s">
        <v>6015</v>
      </c>
      <c r="H99" s="67"/>
      <c r="I99" s="67"/>
      <c r="J99" s="67"/>
      <c r="K99" s="109"/>
      <c r="L99" s="67"/>
      <c r="M99" s="100"/>
      <c r="N99" s="100"/>
    </row>
    <row r="100" ht="15.6" spans="1:14">
      <c r="A100" s="100"/>
      <c r="B100" s="67" t="s">
        <v>3018</v>
      </c>
      <c r="C100" s="67" t="s">
        <v>229</v>
      </c>
      <c r="D100" s="67" t="s">
        <v>3019</v>
      </c>
      <c r="E100" s="109" t="s">
        <v>422</v>
      </c>
      <c r="F100" s="67" t="s">
        <v>3018</v>
      </c>
      <c r="G100" s="67" t="s">
        <v>392</v>
      </c>
      <c r="H100" s="67"/>
      <c r="I100" s="67"/>
      <c r="J100" s="67"/>
      <c r="K100" s="109"/>
      <c r="L100" s="67"/>
      <c r="M100" s="100"/>
      <c r="N100" s="100"/>
    </row>
    <row r="101" ht="15.6" spans="1:14">
      <c r="A101" s="100"/>
      <c r="B101" s="67" t="s">
        <v>3022</v>
      </c>
      <c r="C101" s="67" t="s">
        <v>229</v>
      </c>
      <c r="D101" s="67" t="s">
        <v>3023</v>
      </c>
      <c r="E101" s="109" t="s">
        <v>422</v>
      </c>
      <c r="F101" s="67" t="s">
        <v>3022</v>
      </c>
      <c r="G101" s="67" t="s">
        <v>392</v>
      </c>
      <c r="H101" s="67"/>
      <c r="I101" s="67"/>
      <c r="J101" s="67"/>
      <c r="K101" s="109"/>
      <c r="L101" s="67"/>
      <c r="M101" s="100"/>
      <c r="N101" s="100"/>
    </row>
    <row r="102" ht="15.6" spans="1:14">
      <c r="A102" s="100"/>
      <c r="B102" s="67" t="s">
        <v>3025</v>
      </c>
      <c r="C102" s="67" t="s">
        <v>229</v>
      </c>
      <c r="D102" s="67" t="s">
        <v>3026</v>
      </c>
      <c r="E102" s="109" t="s">
        <v>422</v>
      </c>
      <c r="F102" s="67" t="s">
        <v>3025</v>
      </c>
      <c r="G102" s="67" t="s">
        <v>392</v>
      </c>
      <c r="H102" s="67"/>
      <c r="I102" s="67"/>
      <c r="J102" s="67"/>
      <c r="K102" s="109"/>
      <c r="L102" s="67"/>
      <c r="M102" s="100"/>
      <c r="N102" s="100"/>
    </row>
    <row r="103" ht="15.6" spans="1:14">
      <c r="A103" s="100"/>
      <c r="B103" s="67" t="s">
        <v>3028</v>
      </c>
      <c r="C103" s="67" t="s">
        <v>229</v>
      </c>
      <c r="D103" s="67" t="s">
        <v>3029</v>
      </c>
      <c r="E103" s="109" t="s">
        <v>422</v>
      </c>
      <c r="F103" s="67" t="s">
        <v>3028</v>
      </c>
      <c r="G103" s="67" t="s">
        <v>392</v>
      </c>
      <c r="H103" s="67"/>
      <c r="I103" s="67"/>
      <c r="J103" s="67"/>
      <c r="K103" s="109"/>
      <c r="L103" s="67"/>
      <c r="M103" s="100"/>
      <c r="N103" s="100"/>
    </row>
    <row r="104" ht="15.6" spans="1:14">
      <c r="A104" s="100"/>
      <c r="B104" s="67" t="s">
        <v>3031</v>
      </c>
      <c r="C104" s="67" t="s">
        <v>229</v>
      </c>
      <c r="D104" s="67" t="s">
        <v>3032</v>
      </c>
      <c r="E104" s="109" t="s">
        <v>422</v>
      </c>
      <c r="F104" s="67" t="s">
        <v>3031</v>
      </c>
      <c r="G104" s="67" t="s">
        <v>392</v>
      </c>
      <c r="H104" s="67"/>
      <c r="I104" s="67"/>
      <c r="J104" s="67"/>
      <c r="K104" s="109"/>
      <c r="L104" s="67"/>
      <c r="M104" s="100"/>
      <c r="N104" s="100"/>
    </row>
    <row r="105" ht="15.6" spans="1:14">
      <c r="A105" s="100"/>
      <c r="B105" s="67" t="s">
        <v>1675</v>
      </c>
      <c r="C105" s="67" t="s">
        <v>203</v>
      </c>
      <c r="D105" s="67" t="s">
        <v>1676</v>
      </c>
      <c r="E105" s="109" t="s">
        <v>422</v>
      </c>
      <c r="F105" s="67"/>
      <c r="G105" s="67" t="s">
        <v>6016</v>
      </c>
      <c r="H105" s="67"/>
      <c r="I105" s="67"/>
      <c r="J105" s="67"/>
      <c r="K105" s="109"/>
      <c r="L105" s="67"/>
      <c r="M105" s="100"/>
      <c r="N105" s="100"/>
    </row>
    <row r="106" ht="15.6" spans="1:14">
      <c r="A106" s="100"/>
      <c r="B106" s="67" t="s">
        <v>4395</v>
      </c>
      <c r="C106" s="67" t="s">
        <v>229</v>
      </c>
      <c r="D106" s="67" t="s">
        <v>3041</v>
      </c>
      <c r="E106" s="109" t="s">
        <v>422</v>
      </c>
      <c r="F106" s="67" t="s">
        <v>4395</v>
      </c>
      <c r="G106" s="67" t="s">
        <v>392</v>
      </c>
      <c r="H106" s="67"/>
      <c r="I106" s="67"/>
      <c r="J106" s="67"/>
      <c r="K106" s="109"/>
      <c r="L106" s="67"/>
      <c r="M106" s="100"/>
      <c r="N106" s="100"/>
    </row>
    <row r="107" ht="15.6" spans="1:14">
      <c r="A107" s="100"/>
      <c r="B107" s="67" t="s">
        <v>4397</v>
      </c>
      <c r="C107" s="67" t="s">
        <v>229</v>
      </c>
      <c r="D107" s="67" t="s">
        <v>3045</v>
      </c>
      <c r="E107" s="109" t="s">
        <v>422</v>
      </c>
      <c r="F107" s="67" t="s">
        <v>4397</v>
      </c>
      <c r="G107" s="67" t="s">
        <v>392</v>
      </c>
      <c r="H107" s="67"/>
      <c r="I107" s="67"/>
      <c r="J107" s="67"/>
      <c r="K107" s="109"/>
      <c r="L107" s="67"/>
      <c r="M107" s="100"/>
      <c r="N107" s="100"/>
    </row>
    <row r="108" ht="15.6" spans="1:14">
      <c r="A108" s="100"/>
      <c r="B108" s="67" t="s">
        <v>4399</v>
      </c>
      <c r="C108" s="67" t="s">
        <v>229</v>
      </c>
      <c r="D108" s="67" t="s">
        <v>3049</v>
      </c>
      <c r="E108" s="109" t="s">
        <v>422</v>
      </c>
      <c r="F108" s="67" t="s">
        <v>4399</v>
      </c>
      <c r="G108" s="67" t="s">
        <v>392</v>
      </c>
      <c r="H108" s="67"/>
      <c r="I108" s="67"/>
      <c r="J108" s="67"/>
      <c r="K108" s="109"/>
      <c r="L108" s="67"/>
      <c r="M108" s="100"/>
      <c r="N108" s="100"/>
    </row>
    <row r="109" ht="15.6" spans="1:14">
      <c r="A109" s="100"/>
      <c r="B109" s="67" t="s">
        <v>4401</v>
      </c>
      <c r="C109" s="67" t="s">
        <v>229</v>
      </c>
      <c r="D109" s="67" t="s">
        <v>3053</v>
      </c>
      <c r="E109" s="109" t="s">
        <v>422</v>
      </c>
      <c r="F109" s="67" t="s">
        <v>4401</v>
      </c>
      <c r="G109" s="67" t="s">
        <v>392</v>
      </c>
      <c r="H109" s="67"/>
      <c r="I109" s="67"/>
      <c r="J109" s="67"/>
      <c r="K109" s="109"/>
      <c r="L109" s="67"/>
      <c r="M109" s="100"/>
      <c r="N109" s="100"/>
    </row>
    <row r="110" ht="15.6" spans="1:14">
      <c r="A110" s="100"/>
      <c r="B110" s="67" t="s">
        <v>4403</v>
      </c>
      <c r="C110" s="67" t="s">
        <v>229</v>
      </c>
      <c r="D110" s="67" t="s">
        <v>3057</v>
      </c>
      <c r="E110" s="109" t="s">
        <v>422</v>
      </c>
      <c r="F110" s="67" t="s">
        <v>4403</v>
      </c>
      <c r="G110" s="67" t="s">
        <v>392</v>
      </c>
      <c r="H110" s="67"/>
      <c r="I110" s="67"/>
      <c r="J110" s="67"/>
      <c r="K110" s="109"/>
      <c r="L110" s="67"/>
      <c r="M110" s="100"/>
      <c r="N110" s="100"/>
    </row>
    <row r="111" ht="15.6" spans="1:14">
      <c r="A111" s="100"/>
      <c r="B111" s="67" t="s">
        <v>1679</v>
      </c>
      <c r="C111" s="67" t="s">
        <v>203</v>
      </c>
      <c r="D111" s="67" t="s">
        <v>1680</v>
      </c>
      <c r="E111" s="109" t="s">
        <v>422</v>
      </c>
      <c r="F111" s="67"/>
      <c r="G111" s="67" t="s">
        <v>6017</v>
      </c>
      <c r="H111" s="67"/>
      <c r="I111" s="67"/>
      <c r="J111" s="67"/>
      <c r="K111" s="109"/>
      <c r="L111" s="67"/>
      <c r="M111" s="100"/>
      <c r="N111" s="100"/>
    </row>
    <row r="112" ht="15.6" spans="1:14">
      <c r="A112" s="100"/>
      <c r="B112" s="67" t="s">
        <v>3064</v>
      </c>
      <c r="C112" s="67" t="s">
        <v>229</v>
      </c>
      <c r="D112" s="67" t="s">
        <v>3065</v>
      </c>
      <c r="E112" s="109" t="s">
        <v>422</v>
      </c>
      <c r="F112" s="67" t="s">
        <v>3064</v>
      </c>
      <c r="G112" s="67" t="s">
        <v>392</v>
      </c>
      <c r="H112" s="67"/>
      <c r="I112" s="67"/>
      <c r="J112" s="67"/>
      <c r="K112" s="109"/>
      <c r="L112" s="67"/>
      <c r="M112" s="100"/>
      <c r="N112" s="100"/>
    </row>
    <row r="113" ht="15.6" spans="1:14">
      <c r="A113" s="100"/>
      <c r="B113" s="67" t="s">
        <v>3068</v>
      </c>
      <c r="C113" s="67" t="s">
        <v>229</v>
      </c>
      <c r="D113" s="67" t="s">
        <v>3069</v>
      </c>
      <c r="E113" s="109" t="s">
        <v>422</v>
      </c>
      <c r="F113" s="67" t="s">
        <v>3068</v>
      </c>
      <c r="G113" s="67" t="s">
        <v>392</v>
      </c>
      <c r="H113" s="67"/>
      <c r="I113" s="67"/>
      <c r="J113" s="67"/>
      <c r="K113" s="109"/>
      <c r="L113" s="67"/>
      <c r="M113" s="100"/>
      <c r="N113" s="100"/>
    </row>
    <row r="114" ht="15.6" spans="1:14">
      <c r="A114" s="100"/>
      <c r="B114" s="67" t="s">
        <v>3072</v>
      </c>
      <c r="C114" s="67" t="s">
        <v>229</v>
      </c>
      <c r="D114" s="67" t="s">
        <v>3073</v>
      </c>
      <c r="E114" s="109" t="s">
        <v>422</v>
      </c>
      <c r="F114" s="67" t="s">
        <v>3072</v>
      </c>
      <c r="G114" s="67" t="s">
        <v>392</v>
      </c>
      <c r="H114" s="67"/>
      <c r="I114" s="67"/>
      <c r="J114" s="67"/>
      <c r="K114" s="109"/>
      <c r="L114" s="67"/>
      <c r="M114" s="100"/>
      <c r="N114" s="100"/>
    </row>
    <row r="115" ht="15.6" spans="1:14">
      <c r="A115" s="100"/>
      <c r="B115" s="67" t="s">
        <v>3076</v>
      </c>
      <c r="C115" s="67" t="s">
        <v>229</v>
      </c>
      <c r="D115" s="67" t="s">
        <v>3077</v>
      </c>
      <c r="E115" s="109" t="s">
        <v>422</v>
      </c>
      <c r="F115" s="67" t="s">
        <v>3076</v>
      </c>
      <c r="G115" s="67" t="s">
        <v>392</v>
      </c>
      <c r="H115" s="67"/>
      <c r="I115" s="67"/>
      <c r="J115" s="67"/>
      <c r="K115" s="109"/>
      <c r="L115" s="67"/>
      <c r="M115" s="100"/>
      <c r="N115" s="100"/>
    </row>
    <row r="116" ht="15.6" spans="1:14">
      <c r="A116" s="100"/>
      <c r="B116" s="67" t="s">
        <v>3080</v>
      </c>
      <c r="C116" s="67" t="s">
        <v>229</v>
      </c>
      <c r="D116" s="67" t="s">
        <v>3081</v>
      </c>
      <c r="E116" s="109" t="s">
        <v>422</v>
      </c>
      <c r="F116" s="67" t="s">
        <v>3080</v>
      </c>
      <c r="G116" s="67" t="s">
        <v>392</v>
      </c>
      <c r="H116" s="67"/>
      <c r="I116" s="67"/>
      <c r="J116" s="67"/>
      <c r="K116" s="109"/>
      <c r="L116" s="67"/>
      <c r="M116" s="100"/>
      <c r="N116" s="100"/>
    </row>
    <row r="117" ht="15.6" spans="1:14">
      <c r="A117" s="100"/>
      <c r="B117" s="67" t="s">
        <v>1683</v>
      </c>
      <c r="C117" s="67" t="s">
        <v>203</v>
      </c>
      <c r="D117" s="67" t="s">
        <v>1684</v>
      </c>
      <c r="E117" s="109" t="s">
        <v>422</v>
      </c>
      <c r="F117" s="67"/>
      <c r="G117" s="67" t="s">
        <v>6018</v>
      </c>
      <c r="H117" s="67"/>
      <c r="I117" s="67"/>
      <c r="J117" s="67"/>
      <c r="K117" s="109"/>
      <c r="L117" s="67"/>
      <c r="M117" s="100"/>
      <c r="N117" s="100"/>
    </row>
    <row r="118" ht="15.6" spans="1:14">
      <c r="A118" s="100"/>
      <c r="B118" s="67" t="s">
        <v>3089</v>
      </c>
      <c r="C118" s="67" t="s">
        <v>229</v>
      </c>
      <c r="D118" s="67" t="s">
        <v>3090</v>
      </c>
      <c r="E118" s="109" t="s">
        <v>422</v>
      </c>
      <c r="F118" s="67" t="s">
        <v>3089</v>
      </c>
      <c r="G118" s="67" t="s">
        <v>392</v>
      </c>
      <c r="H118" s="67"/>
      <c r="I118" s="67"/>
      <c r="J118" s="67"/>
      <c r="K118" s="109"/>
      <c r="L118" s="67"/>
      <c r="M118" s="100"/>
      <c r="N118" s="100"/>
    </row>
    <row r="119" ht="15.6" spans="1:14">
      <c r="A119" s="100"/>
      <c r="B119" s="67" t="s">
        <v>3093</v>
      </c>
      <c r="C119" s="67" t="s">
        <v>229</v>
      </c>
      <c r="D119" s="67" t="s">
        <v>3094</v>
      </c>
      <c r="E119" s="109" t="s">
        <v>422</v>
      </c>
      <c r="F119" s="67" t="s">
        <v>3093</v>
      </c>
      <c r="G119" s="67" t="s">
        <v>392</v>
      </c>
      <c r="H119" s="67"/>
      <c r="I119" s="67"/>
      <c r="J119" s="67"/>
      <c r="K119" s="109"/>
      <c r="L119" s="67"/>
      <c r="M119" s="100"/>
      <c r="N119" s="100"/>
    </row>
    <row r="120" ht="15.6" spans="1:14">
      <c r="A120" s="100"/>
      <c r="B120" s="67" t="s">
        <v>3097</v>
      </c>
      <c r="C120" s="67" t="s">
        <v>229</v>
      </c>
      <c r="D120" s="67" t="s">
        <v>3098</v>
      </c>
      <c r="E120" s="109" t="s">
        <v>422</v>
      </c>
      <c r="F120" s="67" t="s">
        <v>3097</v>
      </c>
      <c r="G120" s="67" t="s">
        <v>392</v>
      </c>
      <c r="H120" s="67"/>
      <c r="I120" s="67"/>
      <c r="J120" s="67"/>
      <c r="K120" s="109"/>
      <c r="L120" s="67"/>
      <c r="M120" s="100"/>
      <c r="N120" s="100"/>
    </row>
    <row r="121" ht="15.6" spans="1:14">
      <c r="A121" s="100"/>
      <c r="B121" s="67" t="s">
        <v>3101</v>
      </c>
      <c r="C121" s="67" t="s">
        <v>229</v>
      </c>
      <c r="D121" s="67" t="s">
        <v>3102</v>
      </c>
      <c r="E121" s="109" t="s">
        <v>422</v>
      </c>
      <c r="F121" s="67" t="s">
        <v>3101</v>
      </c>
      <c r="G121" s="67" t="s">
        <v>392</v>
      </c>
      <c r="H121" s="67"/>
      <c r="I121" s="67"/>
      <c r="J121" s="67"/>
      <c r="K121" s="109"/>
      <c r="L121" s="67"/>
      <c r="M121" s="100"/>
      <c r="N121" s="100"/>
    </row>
    <row r="122" ht="15.6" spans="1:14">
      <c r="A122" s="100"/>
      <c r="B122" s="67" t="s">
        <v>3105</v>
      </c>
      <c r="C122" s="67" t="s">
        <v>229</v>
      </c>
      <c r="D122" s="67" t="s">
        <v>3106</v>
      </c>
      <c r="E122" s="109" t="s">
        <v>422</v>
      </c>
      <c r="F122" s="67" t="s">
        <v>3105</v>
      </c>
      <c r="G122" s="67" t="s">
        <v>392</v>
      </c>
      <c r="H122" s="67"/>
      <c r="I122" s="67"/>
      <c r="J122" s="67"/>
      <c r="K122" s="109"/>
      <c r="L122" s="67"/>
      <c r="M122" s="100"/>
      <c r="N122" s="100"/>
    </row>
    <row r="123" ht="15.6" spans="1:14">
      <c r="A123" s="100"/>
      <c r="B123" s="67" t="s">
        <v>1687</v>
      </c>
      <c r="C123" s="67" t="s">
        <v>203</v>
      </c>
      <c r="D123" s="67" t="s">
        <v>1688</v>
      </c>
      <c r="E123" s="109" t="s">
        <v>422</v>
      </c>
      <c r="F123" s="67"/>
      <c r="G123" s="67" t="s">
        <v>6019</v>
      </c>
      <c r="H123" s="67"/>
      <c r="I123" s="67"/>
      <c r="J123" s="67"/>
      <c r="K123" s="109"/>
      <c r="L123" s="67"/>
      <c r="M123" s="100"/>
      <c r="N123" s="100"/>
    </row>
    <row r="124" ht="15.6" spans="1:14">
      <c r="A124" s="100"/>
      <c r="B124" s="67" t="s">
        <v>3117</v>
      </c>
      <c r="C124" s="67" t="s">
        <v>229</v>
      </c>
      <c r="D124" s="67" t="s">
        <v>3118</v>
      </c>
      <c r="E124" s="109" t="s">
        <v>422</v>
      </c>
      <c r="F124" s="67" t="s">
        <v>3117</v>
      </c>
      <c r="G124" s="67" t="s">
        <v>392</v>
      </c>
      <c r="H124" s="67"/>
      <c r="I124" s="67"/>
      <c r="J124" s="67"/>
      <c r="K124" s="109"/>
      <c r="L124" s="67"/>
      <c r="M124" s="100"/>
      <c r="N124" s="100"/>
    </row>
    <row r="125" ht="15.6" spans="1:14">
      <c r="A125" s="100"/>
      <c r="B125" s="67" t="s">
        <v>3121</v>
      </c>
      <c r="C125" s="67" t="s">
        <v>229</v>
      </c>
      <c r="D125" s="67" t="s">
        <v>3122</v>
      </c>
      <c r="E125" s="109" t="s">
        <v>422</v>
      </c>
      <c r="F125" s="67" t="s">
        <v>3121</v>
      </c>
      <c r="G125" s="67" t="s">
        <v>392</v>
      </c>
      <c r="H125" s="67"/>
      <c r="I125" s="67"/>
      <c r="J125" s="67"/>
      <c r="K125" s="109"/>
      <c r="L125" s="67"/>
      <c r="M125" s="100"/>
      <c r="N125" s="100"/>
    </row>
    <row r="126" ht="15.6" spans="1:14">
      <c r="A126" s="100"/>
      <c r="B126" s="67" t="s">
        <v>3125</v>
      </c>
      <c r="C126" s="67" t="s">
        <v>229</v>
      </c>
      <c r="D126" s="67" t="s">
        <v>3126</v>
      </c>
      <c r="E126" s="109" t="s">
        <v>422</v>
      </c>
      <c r="F126" s="67" t="s">
        <v>3125</v>
      </c>
      <c r="G126" s="67" t="s">
        <v>392</v>
      </c>
      <c r="H126" s="67"/>
      <c r="I126" s="67"/>
      <c r="J126" s="67"/>
      <c r="K126" s="109"/>
      <c r="L126" s="67"/>
      <c r="M126" s="100"/>
      <c r="N126" s="100"/>
    </row>
    <row r="127" ht="15.6" spans="1:14">
      <c r="A127" s="100"/>
      <c r="B127" s="67" t="s">
        <v>3129</v>
      </c>
      <c r="C127" s="67" t="s">
        <v>229</v>
      </c>
      <c r="D127" s="67" t="s">
        <v>3130</v>
      </c>
      <c r="E127" s="109" t="s">
        <v>422</v>
      </c>
      <c r="F127" s="67" t="s">
        <v>3129</v>
      </c>
      <c r="G127" s="67" t="s">
        <v>392</v>
      </c>
      <c r="H127" s="67"/>
      <c r="I127" s="67"/>
      <c r="J127" s="67"/>
      <c r="K127" s="109"/>
      <c r="L127" s="67"/>
      <c r="M127" s="100"/>
      <c r="N127" s="100"/>
    </row>
    <row r="128" ht="15.6" spans="1:14">
      <c r="A128" s="100"/>
      <c r="B128" s="67" t="s">
        <v>3133</v>
      </c>
      <c r="C128" s="67" t="s">
        <v>229</v>
      </c>
      <c r="D128" s="67" t="s">
        <v>3134</v>
      </c>
      <c r="E128" s="109" t="s">
        <v>422</v>
      </c>
      <c r="F128" s="67" t="s">
        <v>3133</v>
      </c>
      <c r="G128" s="67" t="s">
        <v>392</v>
      </c>
      <c r="H128" s="67"/>
      <c r="I128" s="67"/>
      <c r="J128" s="67"/>
      <c r="K128" s="109"/>
      <c r="L128" s="67"/>
      <c r="M128" s="100"/>
      <c r="N128" s="100"/>
    </row>
    <row r="129" ht="15.6" spans="1:14">
      <c r="A129" s="100"/>
      <c r="B129" s="67" t="s">
        <v>1691</v>
      </c>
      <c r="C129" s="67" t="s">
        <v>203</v>
      </c>
      <c r="D129" s="67" t="s">
        <v>1692</v>
      </c>
      <c r="E129" s="109" t="s">
        <v>422</v>
      </c>
      <c r="F129" s="67"/>
      <c r="G129" s="67" t="s">
        <v>6020</v>
      </c>
      <c r="H129" s="67"/>
      <c r="I129" s="67"/>
      <c r="J129" s="67"/>
      <c r="K129" s="109"/>
      <c r="L129" s="67"/>
      <c r="M129" s="100"/>
      <c r="N129" s="100"/>
    </row>
    <row r="130" ht="15.6" spans="1:14">
      <c r="A130" s="100"/>
      <c r="B130" s="67" t="s">
        <v>3142</v>
      </c>
      <c r="C130" s="67" t="s">
        <v>229</v>
      </c>
      <c r="D130" s="67" t="s">
        <v>3143</v>
      </c>
      <c r="E130" s="109" t="s">
        <v>422</v>
      </c>
      <c r="F130" s="67" t="s">
        <v>3142</v>
      </c>
      <c r="G130" s="67" t="s">
        <v>392</v>
      </c>
      <c r="H130" s="67"/>
      <c r="I130" s="67"/>
      <c r="J130" s="67"/>
      <c r="K130" s="109"/>
      <c r="L130" s="67"/>
      <c r="M130" s="100"/>
      <c r="N130" s="100"/>
    </row>
    <row r="131" ht="15.6" spans="1:14">
      <c r="A131" s="100"/>
      <c r="B131" s="67" t="s">
        <v>3146</v>
      </c>
      <c r="C131" s="67" t="s">
        <v>229</v>
      </c>
      <c r="D131" s="67" t="s">
        <v>3147</v>
      </c>
      <c r="E131" s="109" t="s">
        <v>422</v>
      </c>
      <c r="F131" s="67" t="s">
        <v>3146</v>
      </c>
      <c r="G131" s="67" t="s">
        <v>392</v>
      </c>
      <c r="H131" s="67"/>
      <c r="I131" s="67"/>
      <c r="J131" s="67"/>
      <c r="K131" s="109"/>
      <c r="L131" s="67"/>
      <c r="M131" s="100"/>
      <c r="N131" s="100"/>
    </row>
    <row r="132" ht="15.6" spans="1:14">
      <c r="A132" s="100"/>
      <c r="B132" s="67" t="s">
        <v>3150</v>
      </c>
      <c r="C132" s="67" t="s">
        <v>229</v>
      </c>
      <c r="D132" s="67" t="s">
        <v>3151</v>
      </c>
      <c r="E132" s="109" t="s">
        <v>422</v>
      </c>
      <c r="F132" s="67" t="s">
        <v>3150</v>
      </c>
      <c r="G132" s="67" t="s">
        <v>392</v>
      </c>
      <c r="H132" s="67"/>
      <c r="I132" s="67"/>
      <c r="J132" s="67"/>
      <c r="K132" s="109"/>
      <c r="L132" s="67"/>
      <c r="M132" s="100"/>
      <c r="N132" s="100"/>
    </row>
    <row r="133" ht="15.6" spans="1:14">
      <c r="A133" s="100"/>
      <c r="B133" s="67" t="s">
        <v>3154</v>
      </c>
      <c r="C133" s="67" t="s">
        <v>229</v>
      </c>
      <c r="D133" s="67" t="s">
        <v>3155</v>
      </c>
      <c r="E133" s="109" t="s">
        <v>422</v>
      </c>
      <c r="F133" s="67" t="s">
        <v>3154</v>
      </c>
      <c r="G133" s="67" t="s">
        <v>392</v>
      </c>
      <c r="H133" s="67"/>
      <c r="I133" s="67"/>
      <c r="J133" s="67"/>
      <c r="K133" s="109"/>
      <c r="L133" s="67"/>
      <c r="M133" s="100"/>
      <c r="N133" s="100"/>
    </row>
    <row r="134" ht="15.6" spans="1:14">
      <c r="A134" s="100"/>
      <c r="B134" s="67" t="s">
        <v>3158</v>
      </c>
      <c r="C134" s="67" t="s">
        <v>229</v>
      </c>
      <c r="D134" s="67" t="s">
        <v>3159</v>
      </c>
      <c r="E134" s="109" t="s">
        <v>422</v>
      </c>
      <c r="F134" s="67" t="s">
        <v>3158</v>
      </c>
      <c r="G134" s="67" t="s">
        <v>392</v>
      </c>
      <c r="H134" s="67"/>
      <c r="I134" s="67"/>
      <c r="J134" s="67"/>
      <c r="K134" s="109"/>
      <c r="L134" s="67"/>
      <c r="M134" s="100"/>
      <c r="N134" s="100"/>
    </row>
    <row r="135" ht="15.6" spans="1:14">
      <c r="A135" s="100"/>
      <c r="B135" s="67" t="s">
        <v>1695</v>
      </c>
      <c r="C135" s="67" t="s">
        <v>203</v>
      </c>
      <c r="D135" s="67" t="s">
        <v>1696</v>
      </c>
      <c r="E135" s="109" t="s">
        <v>422</v>
      </c>
      <c r="F135" s="67"/>
      <c r="G135" s="67" t="s">
        <v>6021</v>
      </c>
      <c r="H135" s="67"/>
      <c r="I135" s="67"/>
      <c r="J135" s="67"/>
      <c r="K135" s="109"/>
      <c r="L135" s="67"/>
      <c r="M135" s="100"/>
      <c r="N135" s="100"/>
    </row>
    <row r="136" ht="15.6" spans="1:14">
      <c r="A136" s="100"/>
      <c r="B136" s="67" t="s">
        <v>3166</v>
      </c>
      <c r="C136" s="67" t="s">
        <v>229</v>
      </c>
      <c r="D136" s="67" t="s">
        <v>3167</v>
      </c>
      <c r="E136" s="109" t="s">
        <v>422</v>
      </c>
      <c r="F136" s="67" t="s">
        <v>3166</v>
      </c>
      <c r="G136" s="67" t="s">
        <v>392</v>
      </c>
      <c r="H136" s="67"/>
      <c r="I136" s="67"/>
      <c r="J136" s="67"/>
      <c r="K136" s="109"/>
      <c r="L136" s="67"/>
      <c r="M136" s="100"/>
      <c r="N136" s="100"/>
    </row>
    <row r="137" ht="15.6" spans="1:14">
      <c r="A137" s="100"/>
      <c r="B137" s="67" t="s">
        <v>3170</v>
      </c>
      <c r="C137" s="67" t="s">
        <v>229</v>
      </c>
      <c r="D137" s="67" t="s">
        <v>3171</v>
      </c>
      <c r="E137" s="109" t="s">
        <v>422</v>
      </c>
      <c r="F137" s="67" t="s">
        <v>3170</v>
      </c>
      <c r="G137" s="67" t="s">
        <v>392</v>
      </c>
      <c r="H137" s="67"/>
      <c r="I137" s="67"/>
      <c r="J137" s="67"/>
      <c r="K137" s="109"/>
      <c r="L137" s="67"/>
      <c r="M137" s="100"/>
      <c r="N137" s="100"/>
    </row>
    <row r="138" ht="15.6" spans="1:14">
      <c r="A138" s="100"/>
      <c r="B138" s="67" t="s">
        <v>3174</v>
      </c>
      <c r="C138" s="67" t="s">
        <v>229</v>
      </c>
      <c r="D138" s="67" t="s">
        <v>3175</v>
      </c>
      <c r="E138" s="109" t="s">
        <v>422</v>
      </c>
      <c r="F138" s="67" t="s">
        <v>3174</v>
      </c>
      <c r="G138" s="67" t="s">
        <v>392</v>
      </c>
      <c r="H138" s="67"/>
      <c r="I138" s="67"/>
      <c r="J138" s="67"/>
      <c r="K138" s="109"/>
      <c r="L138" s="67"/>
      <c r="M138" s="100"/>
      <c r="N138" s="100"/>
    </row>
    <row r="139" ht="15.6" spans="1:14">
      <c r="A139" s="100"/>
      <c r="B139" s="67" t="s">
        <v>3178</v>
      </c>
      <c r="C139" s="67" t="s">
        <v>229</v>
      </c>
      <c r="D139" s="67" t="s">
        <v>3179</v>
      </c>
      <c r="E139" s="109" t="s">
        <v>422</v>
      </c>
      <c r="F139" s="67" t="s">
        <v>3178</v>
      </c>
      <c r="G139" s="67" t="s">
        <v>392</v>
      </c>
      <c r="H139" s="67"/>
      <c r="I139" s="67"/>
      <c r="J139" s="67"/>
      <c r="K139" s="109"/>
      <c r="L139" s="67"/>
      <c r="M139" s="100"/>
      <c r="N139" s="100"/>
    </row>
    <row r="140" ht="15.6" spans="1:14">
      <c r="A140" s="100"/>
      <c r="B140" s="67" t="s">
        <v>3182</v>
      </c>
      <c r="C140" s="67" t="s">
        <v>229</v>
      </c>
      <c r="D140" s="67" t="s">
        <v>3183</v>
      </c>
      <c r="E140" s="109" t="s">
        <v>422</v>
      </c>
      <c r="F140" s="67" t="s">
        <v>3182</v>
      </c>
      <c r="G140" s="67" t="s">
        <v>392</v>
      </c>
      <c r="H140" s="67"/>
      <c r="I140" s="67"/>
      <c r="J140" s="67"/>
      <c r="K140" s="109"/>
      <c r="L140" s="67"/>
      <c r="M140" s="100"/>
      <c r="N140" s="100"/>
    </row>
    <row r="141" ht="15.6" spans="1:14">
      <c r="A141" s="100"/>
      <c r="B141" s="67" t="s">
        <v>1698</v>
      </c>
      <c r="C141" s="67" t="s">
        <v>203</v>
      </c>
      <c r="D141" s="67" t="s">
        <v>1699</v>
      </c>
      <c r="E141" s="109" t="s">
        <v>422</v>
      </c>
      <c r="F141" s="67"/>
      <c r="G141" s="67" t="s">
        <v>6022</v>
      </c>
      <c r="H141" s="67"/>
      <c r="I141" s="67"/>
      <c r="J141" s="67"/>
      <c r="K141" s="109"/>
      <c r="L141" s="67"/>
      <c r="M141" s="100"/>
      <c r="N141" s="100"/>
    </row>
    <row r="142" ht="15.6" spans="1:14">
      <c r="A142" s="100"/>
      <c r="B142" s="67" t="s">
        <v>3191</v>
      </c>
      <c r="C142" s="67" t="s">
        <v>229</v>
      </c>
      <c r="D142" s="67" t="s">
        <v>3192</v>
      </c>
      <c r="E142" s="109" t="s">
        <v>422</v>
      </c>
      <c r="F142" s="67" t="s">
        <v>3191</v>
      </c>
      <c r="G142" s="67" t="s">
        <v>392</v>
      </c>
      <c r="H142" s="67"/>
      <c r="I142" s="67"/>
      <c r="J142" s="67"/>
      <c r="K142" s="109"/>
      <c r="L142" s="67"/>
      <c r="M142" s="100"/>
      <c r="N142" s="100"/>
    </row>
    <row r="143" ht="15.6" spans="1:14">
      <c r="A143" s="100"/>
      <c r="B143" s="67" t="s">
        <v>3194</v>
      </c>
      <c r="C143" s="67" t="s">
        <v>229</v>
      </c>
      <c r="D143" s="67" t="s">
        <v>3195</v>
      </c>
      <c r="E143" s="109" t="s">
        <v>422</v>
      </c>
      <c r="F143" s="67" t="s">
        <v>3194</v>
      </c>
      <c r="G143" s="67" t="s">
        <v>392</v>
      </c>
      <c r="H143" s="67"/>
      <c r="I143" s="67"/>
      <c r="J143" s="67"/>
      <c r="K143" s="109"/>
      <c r="L143" s="67"/>
      <c r="M143" s="100"/>
      <c r="N143" s="100"/>
    </row>
    <row r="144" ht="15.6" spans="1:14">
      <c r="A144" s="100"/>
      <c r="B144" s="67" t="s">
        <v>3197</v>
      </c>
      <c r="C144" s="67" t="s">
        <v>229</v>
      </c>
      <c r="D144" s="67" t="s">
        <v>3198</v>
      </c>
      <c r="E144" s="109" t="s">
        <v>422</v>
      </c>
      <c r="F144" s="67" t="s">
        <v>3197</v>
      </c>
      <c r="G144" s="67" t="s">
        <v>392</v>
      </c>
      <c r="H144" s="67"/>
      <c r="I144" s="67"/>
      <c r="J144" s="67"/>
      <c r="K144" s="109"/>
      <c r="L144" s="67"/>
      <c r="M144" s="100"/>
      <c r="N144" s="100"/>
    </row>
    <row r="145" ht="15.6" spans="1:14">
      <c r="A145" s="100"/>
      <c r="B145" s="67" t="s">
        <v>3200</v>
      </c>
      <c r="C145" s="67" t="s">
        <v>229</v>
      </c>
      <c r="D145" s="67" t="s">
        <v>3201</v>
      </c>
      <c r="E145" s="109" t="s">
        <v>422</v>
      </c>
      <c r="F145" s="67" t="s">
        <v>3200</v>
      </c>
      <c r="G145" s="67" t="s">
        <v>392</v>
      </c>
      <c r="H145" s="67"/>
      <c r="I145" s="67"/>
      <c r="J145" s="67"/>
      <c r="K145" s="109"/>
      <c r="L145" s="67"/>
      <c r="M145" s="100"/>
      <c r="N145" s="100"/>
    </row>
    <row r="146" ht="15.6" spans="1:14">
      <c r="A146" s="100"/>
      <c r="B146" s="67" t="s">
        <v>3203</v>
      </c>
      <c r="C146" s="67" t="s">
        <v>229</v>
      </c>
      <c r="D146" s="67" t="s">
        <v>3204</v>
      </c>
      <c r="E146" s="109" t="s">
        <v>422</v>
      </c>
      <c r="F146" s="67" t="s">
        <v>3203</v>
      </c>
      <c r="G146" s="67" t="s">
        <v>392</v>
      </c>
      <c r="H146" s="67"/>
      <c r="I146" s="67"/>
      <c r="J146" s="67"/>
      <c r="K146" s="109"/>
      <c r="L146" s="67"/>
      <c r="M146" s="100"/>
      <c r="N146" s="100"/>
    </row>
    <row r="147" ht="15.6" spans="1:14">
      <c r="A147" s="100"/>
      <c r="B147" s="67" t="s">
        <v>1701</v>
      </c>
      <c r="C147" s="67" t="s">
        <v>203</v>
      </c>
      <c r="D147" s="67" t="s">
        <v>1702</v>
      </c>
      <c r="E147" s="109" t="s">
        <v>422</v>
      </c>
      <c r="F147" s="67"/>
      <c r="G147" s="67" t="s">
        <v>6023</v>
      </c>
      <c r="H147" s="67"/>
      <c r="I147" s="67"/>
      <c r="J147" s="67"/>
      <c r="K147" s="109"/>
      <c r="L147" s="67"/>
      <c r="M147" s="100"/>
      <c r="N147" s="100"/>
    </row>
    <row r="148" ht="15.6" spans="1:14">
      <c r="A148" s="100"/>
      <c r="B148" s="67" t="s">
        <v>3211</v>
      </c>
      <c r="C148" s="67" t="s">
        <v>229</v>
      </c>
      <c r="D148" s="67" t="s">
        <v>3212</v>
      </c>
      <c r="E148" s="109" t="s">
        <v>422</v>
      </c>
      <c r="F148" s="67" t="s">
        <v>3211</v>
      </c>
      <c r="G148" s="67" t="s">
        <v>392</v>
      </c>
      <c r="H148" s="67"/>
      <c r="I148" s="67"/>
      <c r="J148" s="67"/>
      <c r="K148" s="109"/>
      <c r="L148" s="67"/>
      <c r="M148" s="100"/>
      <c r="N148" s="100"/>
    </row>
    <row r="149" ht="15.6" spans="1:14">
      <c r="A149" s="100"/>
      <c r="B149" s="67" t="s">
        <v>3215</v>
      </c>
      <c r="C149" s="67" t="s">
        <v>229</v>
      </c>
      <c r="D149" s="67" t="s">
        <v>3216</v>
      </c>
      <c r="E149" s="109" t="s">
        <v>422</v>
      </c>
      <c r="F149" s="67" t="s">
        <v>3215</v>
      </c>
      <c r="G149" s="67" t="s">
        <v>392</v>
      </c>
      <c r="H149" s="67"/>
      <c r="I149" s="67"/>
      <c r="J149" s="67"/>
      <c r="K149" s="109"/>
      <c r="L149" s="67"/>
      <c r="M149" s="100"/>
      <c r="N149" s="100"/>
    </row>
    <row r="150" ht="15.6" spans="1:14">
      <c r="A150" s="100"/>
      <c r="B150" s="67" t="s">
        <v>3219</v>
      </c>
      <c r="C150" s="67" t="s">
        <v>229</v>
      </c>
      <c r="D150" s="67" t="s">
        <v>3220</v>
      </c>
      <c r="E150" s="109" t="s">
        <v>422</v>
      </c>
      <c r="F150" s="67" t="s">
        <v>3219</v>
      </c>
      <c r="G150" s="67" t="s">
        <v>392</v>
      </c>
      <c r="H150" s="67"/>
      <c r="I150" s="67"/>
      <c r="J150" s="67"/>
      <c r="K150" s="109"/>
      <c r="L150" s="67"/>
      <c r="M150" s="100"/>
      <c r="N150" s="100"/>
    </row>
    <row r="151" ht="15.6" spans="1:14">
      <c r="A151" s="100"/>
      <c r="B151" s="67" t="s">
        <v>3222</v>
      </c>
      <c r="C151" s="67" t="s">
        <v>229</v>
      </c>
      <c r="D151" s="67" t="s">
        <v>3223</v>
      </c>
      <c r="E151" s="109" t="s">
        <v>422</v>
      </c>
      <c r="F151" s="67" t="s">
        <v>3222</v>
      </c>
      <c r="G151" s="67" t="s">
        <v>392</v>
      </c>
      <c r="H151" s="67"/>
      <c r="I151" s="67"/>
      <c r="J151" s="67"/>
      <c r="K151" s="109"/>
      <c r="L151" s="67"/>
      <c r="M151" s="100"/>
      <c r="N151" s="100"/>
    </row>
    <row r="152" ht="15.6" spans="1:14">
      <c r="A152" s="100"/>
      <c r="B152" s="67" t="s">
        <v>3225</v>
      </c>
      <c r="C152" s="67" t="s">
        <v>229</v>
      </c>
      <c r="D152" s="67" t="s">
        <v>3226</v>
      </c>
      <c r="E152" s="109" t="s">
        <v>422</v>
      </c>
      <c r="F152" s="67" t="s">
        <v>3225</v>
      </c>
      <c r="G152" s="67" t="s">
        <v>392</v>
      </c>
      <c r="H152" s="67"/>
      <c r="I152" s="67"/>
      <c r="J152" s="67"/>
      <c r="K152" s="109"/>
      <c r="L152" s="67"/>
      <c r="M152" s="100"/>
      <c r="N152" s="100"/>
    </row>
    <row r="153" ht="15.6" spans="1:14">
      <c r="A153" s="100"/>
      <c r="B153" s="67" t="s">
        <v>1704</v>
      </c>
      <c r="C153" s="67" t="s">
        <v>203</v>
      </c>
      <c r="D153" s="67" t="s">
        <v>1705</v>
      </c>
      <c r="E153" s="109" t="s">
        <v>422</v>
      </c>
      <c r="F153" s="67"/>
      <c r="G153" s="67" t="s">
        <v>6024</v>
      </c>
      <c r="H153" s="67"/>
      <c r="I153" s="67"/>
      <c r="J153" s="67"/>
      <c r="K153" s="109"/>
      <c r="L153" s="67"/>
      <c r="M153" s="100"/>
      <c r="N153" s="100"/>
    </row>
    <row r="154" ht="15.6" spans="1:14">
      <c r="A154" s="100"/>
      <c r="B154" s="67" t="s">
        <v>3233</v>
      </c>
      <c r="C154" s="67" t="s">
        <v>229</v>
      </c>
      <c r="D154" s="67" t="s">
        <v>3234</v>
      </c>
      <c r="E154" s="109" t="s">
        <v>422</v>
      </c>
      <c r="F154" s="67" t="s">
        <v>3233</v>
      </c>
      <c r="G154" s="67" t="s">
        <v>392</v>
      </c>
      <c r="H154" s="67"/>
      <c r="I154" s="67"/>
      <c r="J154" s="67"/>
      <c r="K154" s="109"/>
      <c r="L154" s="67"/>
      <c r="M154" s="100"/>
      <c r="N154" s="100"/>
    </row>
    <row r="155" ht="15.6" spans="1:14">
      <c r="A155" s="100"/>
      <c r="B155" s="67" t="s">
        <v>3237</v>
      </c>
      <c r="C155" s="67" t="s">
        <v>229</v>
      </c>
      <c r="D155" s="67" t="s">
        <v>3238</v>
      </c>
      <c r="E155" s="109" t="s">
        <v>422</v>
      </c>
      <c r="F155" s="67" t="s">
        <v>3237</v>
      </c>
      <c r="G155" s="67" t="s">
        <v>392</v>
      </c>
      <c r="H155" s="67"/>
      <c r="I155" s="67"/>
      <c r="J155" s="67"/>
      <c r="K155" s="109"/>
      <c r="L155" s="67"/>
      <c r="M155" s="100"/>
      <c r="N155" s="100"/>
    </row>
    <row r="156" ht="15.6" spans="1:14">
      <c r="A156" s="100"/>
      <c r="B156" s="67" t="s">
        <v>3241</v>
      </c>
      <c r="C156" s="67" t="s">
        <v>229</v>
      </c>
      <c r="D156" s="67" t="s">
        <v>3242</v>
      </c>
      <c r="E156" s="109" t="s">
        <v>422</v>
      </c>
      <c r="F156" s="67" t="s">
        <v>3241</v>
      </c>
      <c r="G156" s="67" t="s">
        <v>392</v>
      </c>
      <c r="H156" s="67"/>
      <c r="I156" s="67"/>
      <c r="J156" s="67"/>
      <c r="K156" s="109"/>
      <c r="L156" s="67"/>
      <c r="M156" s="100"/>
      <c r="N156" s="100"/>
    </row>
    <row r="157" ht="15.6" spans="1:14">
      <c r="A157" s="100"/>
      <c r="B157" s="67" t="s">
        <v>3245</v>
      </c>
      <c r="C157" s="67" t="s">
        <v>229</v>
      </c>
      <c r="D157" s="67" t="s">
        <v>3246</v>
      </c>
      <c r="E157" s="109" t="s">
        <v>422</v>
      </c>
      <c r="F157" s="67" t="s">
        <v>3245</v>
      </c>
      <c r="G157" s="67" t="s">
        <v>392</v>
      </c>
      <c r="H157" s="67"/>
      <c r="I157" s="67"/>
      <c r="J157" s="67"/>
      <c r="K157" s="109"/>
      <c r="L157" s="67"/>
      <c r="M157" s="100"/>
      <c r="N157" s="100"/>
    </row>
    <row r="158" ht="15.6" spans="1:14">
      <c r="A158" s="100"/>
      <c r="B158" s="67" t="s">
        <v>3249</v>
      </c>
      <c r="C158" s="67" t="s">
        <v>229</v>
      </c>
      <c r="D158" s="67" t="s">
        <v>3250</v>
      </c>
      <c r="E158" s="109" t="s">
        <v>422</v>
      </c>
      <c r="F158" s="67" t="s">
        <v>3249</v>
      </c>
      <c r="G158" s="67" t="s">
        <v>392</v>
      </c>
      <c r="H158" s="67"/>
      <c r="I158" s="67"/>
      <c r="J158" s="67"/>
      <c r="K158" s="109"/>
      <c r="L158" s="67"/>
      <c r="M158" s="100"/>
      <c r="N158" s="100"/>
    </row>
    <row r="159" ht="15.6" spans="1:14">
      <c r="A159" s="100"/>
      <c r="B159" s="67" t="s">
        <v>4453</v>
      </c>
      <c r="C159" s="67" t="s">
        <v>203</v>
      </c>
      <c r="D159" s="67" t="s">
        <v>4454</v>
      </c>
      <c r="E159" s="109" t="s">
        <v>422</v>
      </c>
      <c r="F159" s="67"/>
      <c r="G159" s="67" t="s">
        <v>6025</v>
      </c>
      <c r="H159" s="67"/>
      <c r="I159" s="67"/>
      <c r="J159" s="67"/>
      <c r="K159" s="109"/>
      <c r="L159" s="67"/>
      <c r="M159" s="100"/>
      <c r="N159" s="100"/>
    </row>
    <row r="160" ht="15.6" spans="1:14">
      <c r="A160" s="100"/>
      <c r="B160" s="67" t="s">
        <v>4456</v>
      </c>
      <c r="C160" s="67" t="s">
        <v>229</v>
      </c>
      <c r="D160" s="67" t="s">
        <v>4457</v>
      </c>
      <c r="E160" s="109" t="s">
        <v>422</v>
      </c>
      <c r="F160" s="67" t="s">
        <v>4456</v>
      </c>
      <c r="G160" s="67" t="s">
        <v>392</v>
      </c>
      <c r="H160" s="67"/>
      <c r="I160" s="67"/>
      <c r="J160" s="67"/>
      <c r="K160" s="109"/>
      <c r="L160" s="67"/>
      <c r="M160" s="100"/>
      <c r="N160" s="100"/>
    </row>
    <row r="161" ht="15.6" spans="1:14">
      <c r="A161" s="100"/>
      <c r="B161" s="67" t="s">
        <v>4459</v>
      </c>
      <c r="C161" s="67" t="s">
        <v>229</v>
      </c>
      <c r="D161" s="67" t="s">
        <v>4460</v>
      </c>
      <c r="E161" s="109" t="s">
        <v>422</v>
      </c>
      <c r="F161" s="67" t="s">
        <v>4459</v>
      </c>
      <c r="G161" s="67" t="s">
        <v>392</v>
      </c>
      <c r="H161" s="67"/>
      <c r="I161" s="67"/>
      <c r="J161" s="67"/>
      <c r="K161" s="109"/>
      <c r="L161" s="67"/>
      <c r="M161" s="100"/>
      <c r="N161" s="100"/>
    </row>
    <row r="162" ht="15.6" spans="1:14">
      <c r="A162" s="100"/>
      <c r="B162" s="67" t="s">
        <v>4462</v>
      </c>
      <c r="C162" s="67" t="s">
        <v>229</v>
      </c>
      <c r="D162" s="67" t="s">
        <v>4463</v>
      </c>
      <c r="E162" s="109" t="s">
        <v>422</v>
      </c>
      <c r="F162" s="67" t="s">
        <v>4462</v>
      </c>
      <c r="G162" s="67" t="s">
        <v>392</v>
      </c>
      <c r="H162" s="67"/>
      <c r="I162" s="67"/>
      <c r="J162" s="67"/>
      <c r="K162" s="109"/>
      <c r="L162" s="67"/>
      <c r="M162" s="100"/>
      <c r="N162" s="100"/>
    </row>
    <row r="163" ht="15.6" spans="1:14">
      <c r="A163" s="100"/>
      <c r="B163" s="67" t="s">
        <v>4465</v>
      </c>
      <c r="C163" s="67" t="s">
        <v>229</v>
      </c>
      <c r="D163" s="67" t="s">
        <v>4466</v>
      </c>
      <c r="E163" s="109" t="s">
        <v>422</v>
      </c>
      <c r="F163" s="67" t="s">
        <v>4465</v>
      </c>
      <c r="G163" s="67" t="s">
        <v>392</v>
      </c>
      <c r="H163" s="67"/>
      <c r="I163" s="67"/>
      <c r="J163" s="67"/>
      <c r="K163" s="109"/>
      <c r="L163" s="67"/>
      <c r="M163" s="100"/>
      <c r="N163" s="100"/>
    </row>
    <row r="164" ht="15.6" spans="1:14">
      <c r="A164" s="100"/>
      <c r="B164" s="67" t="s">
        <v>4468</v>
      </c>
      <c r="C164" s="67" t="s">
        <v>229</v>
      </c>
      <c r="D164" s="67" t="s">
        <v>4469</v>
      </c>
      <c r="E164" s="109" t="s">
        <v>422</v>
      </c>
      <c r="F164" s="67" t="s">
        <v>4468</v>
      </c>
      <c r="G164" s="67" t="s">
        <v>392</v>
      </c>
      <c r="H164" s="67"/>
      <c r="I164" s="67"/>
      <c r="J164" s="67"/>
      <c r="K164" s="109"/>
      <c r="L164" s="67"/>
      <c r="M164" s="100"/>
      <c r="N164" s="100"/>
    </row>
    <row r="165" ht="15.6" spans="1:14">
      <c r="A165" s="100"/>
      <c r="B165" s="67" t="s">
        <v>1707</v>
      </c>
      <c r="C165" s="67" t="s">
        <v>203</v>
      </c>
      <c r="D165" s="67" t="s">
        <v>1708</v>
      </c>
      <c r="E165" s="109" t="s">
        <v>422</v>
      </c>
      <c r="F165" s="67"/>
      <c r="G165" s="67" t="s">
        <v>6026</v>
      </c>
      <c r="H165" s="67"/>
      <c r="I165" s="67"/>
      <c r="J165" s="67"/>
      <c r="K165" s="109"/>
      <c r="L165" s="67"/>
      <c r="M165" s="100"/>
      <c r="N165" s="100"/>
    </row>
    <row r="166" ht="15.6" spans="1:14">
      <c r="A166" s="100"/>
      <c r="B166" s="67" t="s">
        <v>3258</v>
      </c>
      <c r="C166" s="67" t="s">
        <v>229</v>
      </c>
      <c r="D166" s="67" t="s">
        <v>3259</v>
      </c>
      <c r="E166" s="109" t="s">
        <v>422</v>
      </c>
      <c r="F166" s="67" t="s">
        <v>3258</v>
      </c>
      <c r="G166" s="67" t="s">
        <v>392</v>
      </c>
      <c r="H166" s="67"/>
      <c r="I166" s="67"/>
      <c r="J166" s="67"/>
      <c r="K166" s="109"/>
      <c r="L166" s="67"/>
      <c r="M166" s="100"/>
      <c r="N166" s="100"/>
    </row>
    <row r="167" ht="15.6" spans="1:14">
      <c r="A167" s="100"/>
      <c r="B167" s="67" t="s">
        <v>3262</v>
      </c>
      <c r="C167" s="67" t="s">
        <v>229</v>
      </c>
      <c r="D167" s="67" t="s">
        <v>3263</v>
      </c>
      <c r="E167" s="109" t="s">
        <v>422</v>
      </c>
      <c r="F167" s="67" t="s">
        <v>3262</v>
      </c>
      <c r="G167" s="67" t="s">
        <v>392</v>
      </c>
      <c r="H167" s="67"/>
      <c r="I167" s="67"/>
      <c r="J167" s="67"/>
      <c r="K167" s="109"/>
      <c r="L167" s="67"/>
      <c r="M167" s="100"/>
      <c r="N167" s="100"/>
    </row>
    <row r="168" ht="15.6" spans="1:14">
      <c r="A168" s="100"/>
      <c r="B168" s="67" t="s">
        <v>3266</v>
      </c>
      <c r="C168" s="67" t="s">
        <v>229</v>
      </c>
      <c r="D168" s="67" t="s">
        <v>3267</v>
      </c>
      <c r="E168" s="109" t="s">
        <v>422</v>
      </c>
      <c r="F168" s="67" t="s">
        <v>3266</v>
      </c>
      <c r="G168" s="67" t="s">
        <v>392</v>
      </c>
      <c r="H168" s="67"/>
      <c r="I168" s="67"/>
      <c r="J168" s="67"/>
      <c r="K168" s="109"/>
      <c r="L168" s="67"/>
      <c r="M168" s="100"/>
      <c r="N168" s="100"/>
    </row>
    <row r="169" ht="15.6" spans="1:14">
      <c r="A169" s="100"/>
      <c r="B169" s="67" t="s">
        <v>3270</v>
      </c>
      <c r="C169" s="67" t="s">
        <v>229</v>
      </c>
      <c r="D169" s="67" t="s">
        <v>3271</v>
      </c>
      <c r="E169" s="109" t="s">
        <v>422</v>
      </c>
      <c r="F169" s="67" t="s">
        <v>3270</v>
      </c>
      <c r="G169" s="67" t="s">
        <v>392</v>
      </c>
      <c r="H169" s="67"/>
      <c r="I169" s="67"/>
      <c r="J169" s="67"/>
      <c r="K169" s="109"/>
      <c r="L169" s="67"/>
      <c r="M169" s="100"/>
      <c r="N169" s="100"/>
    </row>
    <row r="170" ht="15.6" spans="1:14">
      <c r="A170" s="100"/>
      <c r="B170" s="67" t="s">
        <v>3274</v>
      </c>
      <c r="C170" s="67" t="s">
        <v>229</v>
      </c>
      <c r="D170" s="67" t="s">
        <v>3275</v>
      </c>
      <c r="E170" s="109" t="s">
        <v>422</v>
      </c>
      <c r="F170" s="67" t="s">
        <v>3274</v>
      </c>
      <c r="G170" s="67" t="s">
        <v>392</v>
      </c>
      <c r="H170" s="67"/>
      <c r="I170" s="67"/>
      <c r="J170" s="67"/>
      <c r="K170" s="109"/>
      <c r="L170" s="67"/>
      <c r="M170" s="100"/>
      <c r="N170" s="100"/>
    </row>
    <row r="171" ht="15.6" spans="1:14">
      <c r="A171" s="100"/>
      <c r="B171" s="67" t="s">
        <v>1709</v>
      </c>
      <c r="C171" s="67" t="s">
        <v>203</v>
      </c>
      <c r="D171" s="67" t="s">
        <v>1710</v>
      </c>
      <c r="E171" s="109" t="s">
        <v>422</v>
      </c>
      <c r="F171" s="67"/>
      <c r="G171" s="67" t="s">
        <v>6027</v>
      </c>
      <c r="H171" s="67"/>
      <c r="I171" s="67"/>
      <c r="J171" s="67"/>
      <c r="K171" s="109"/>
      <c r="L171" s="67"/>
      <c r="M171" s="100"/>
      <c r="N171" s="100"/>
    </row>
    <row r="172" ht="15.6" spans="1:14">
      <c r="A172" s="100"/>
      <c r="B172" s="67" t="s">
        <v>3283</v>
      </c>
      <c r="C172" s="67" t="s">
        <v>229</v>
      </c>
      <c r="D172" s="67" t="s">
        <v>3284</v>
      </c>
      <c r="E172" s="109" t="s">
        <v>422</v>
      </c>
      <c r="F172" s="67" t="s">
        <v>3283</v>
      </c>
      <c r="G172" s="67" t="s">
        <v>392</v>
      </c>
      <c r="H172" s="67"/>
      <c r="I172" s="67"/>
      <c r="J172" s="67"/>
      <c r="K172" s="109"/>
      <c r="L172" s="67"/>
      <c r="M172" s="100"/>
      <c r="N172" s="100"/>
    </row>
    <row r="173" ht="15.6" spans="1:14">
      <c r="A173" s="100"/>
      <c r="B173" s="67" t="s">
        <v>3287</v>
      </c>
      <c r="C173" s="67" t="s">
        <v>229</v>
      </c>
      <c r="D173" s="67" t="s">
        <v>3288</v>
      </c>
      <c r="E173" s="109" t="s">
        <v>422</v>
      </c>
      <c r="F173" s="67" t="s">
        <v>3287</v>
      </c>
      <c r="G173" s="67" t="s">
        <v>392</v>
      </c>
      <c r="H173" s="67"/>
      <c r="I173" s="67"/>
      <c r="J173" s="67"/>
      <c r="K173" s="109"/>
      <c r="L173" s="67"/>
      <c r="M173" s="100"/>
      <c r="N173" s="100"/>
    </row>
    <row r="174" ht="15.6" spans="1:14">
      <c r="A174" s="100"/>
      <c r="B174" s="67" t="s">
        <v>3291</v>
      </c>
      <c r="C174" s="67" t="s">
        <v>229</v>
      </c>
      <c r="D174" s="67" t="s">
        <v>3292</v>
      </c>
      <c r="E174" s="109" t="s">
        <v>422</v>
      </c>
      <c r="F174" s="67" t="s">
        <v>3291</v>
      </c>
      <c r="G174" s="67" t="s">
        <v>392</v>
      </c>
      <c r="H174" s="67"/>
      <c r="I174" s="67"/>
      <c r="J174" s="67"/>
      <c r="K174" s="109"/>
      <c r="L174" s="67"/>
      <c r="M174" s="100"/>
      <c r="N174" s="100"/>
    </row>
    <row r="175" ht="15.6" spans="1:14">
      <c r="A175" s="100"/>
      <c r="B175" s="67" t="s">
        <v>3295</v>
      </c>
      <c r="C175" s="67" t="s">
        <v>229</v>
      </c>
      <c r="D175" s="67" t="s">
        <v>3296</v>
      </c>
      <c r="E175" s="109" t="s">
        <v>422</v>
      </c>
      <c r="F175" s="67" t="s">
        <v>3295</v>
      </c>
      <c r="G175" s="67" t="s">
        <v>392</v>
      </c>
      <c r="H175" s="67"/>
      <c r="I175" s="67"/>
      <c r="J175" s="67"/>
      <c r="K175" s="109"/>
      <c r="L175" s="67"/>
      <c r="M175" s="100"/>
      <c r="N175" s="100"/>
    </row>
    <row r="176" ht="15.6" spans="1:14">
      <c r="A176" s="100"/>
      <c r="B176" s="67" t="s">
        <v>3299</v>
      </c>
      <c r="C176" s="67" t="s">
        <v>229</v>
      </c>
      <c r="D176" s="67" t="s">
        <v>3300</v>
      </c>
      <c r="E176" s="109" t="s">
        <v>422</v>
      </c>
      <c r="F176" s="67" t="s">
        <v>3299</v>
      </c>
      <c r="G176" s="67" t="s">
        <v>392</v>
      </c>
      <c r="H176" s="67"/>
      <c r="I176" s="67"/>
      <c r="J176" s="67"/>
      <c r="K176" s="109"/>
      <c r="L176" s="67"/>
      <c r="M176" s="100"/>
      <c r="N176" s="100"/>
    </row>
    <row r="177" ht="15.6" spans="1:14">
      <c r="A177" s="100"/>
      <c r="B177" s="67" t="s">
        <v>1712</v>
      </c>
      <c r="C177" s="67" t="s">
        <v>203</v>
      </c>
      <c r="D177" s="67" t="s">
        <v>1713</v>
      </c>
      <c r="E177" s="109" t="s">
        <v>422</v>
      </c>
      <c r="F177" s="67"/>
      <c r="G177" s="67" t="s">
        <v>6028</v>
      </c>
      <c r="H177" s="67"/>
      <c r="I177" s="67"/>
      <c r="J177" s="67"/>
      <c r="K177" s="109"/>
      <c r="L177" s="67"/>
      <c r="M177" s="100"/>
      <c r="N177" s="100"/>
    </row>
    <row r="178" ht="15.6" spans="1:14">
      <c r="A178" s="100"/>
      <c r="B178" s="67" t="s">
        <v>4484</v>
      </c>
      <c r="C178" s="67" t="s">
        <v>229</v>
      </c>
      <c r="D178" s="67" t="s">
        <v>3310</v>
      </c>
      <c r="E178" s="109" t="s">
        <v>422</v>
      </c>
      <c r="F178" s="67" t="s">
        <v>4484</v>
      </c>
      <c r="G178" s="67" t="s">
        <v>392</v>
      </c>
      <c r="H178" s="67"/>
      <c r="I178" s="67"/>
      <c r="J178" s="67"/>
      <c r="K178" s="109"/>
      <c r="L178" s="67"/>
      <c r="M178" s="100"/>
      <c r="N178" s="100"/>
    </row>
    <row r="179" ht="15.6" spans="1:14">
      <c r="A179" s="100"/>
      <c r="B179" s="67" t="s">
        <v>4486</v>
      </c>
      <c r="C179" s="67" t="s">
        <v>229</v>
      </c>
      <c r="D179" s="67" t="s">
        <v>3313</v>
      </c>
      <c r="E179" s="109" t="s">
        <v>422</v>
      </c>
      <c r="F179" s="67" t="s">
        <v>4486</v>
      </c>
      <c r="G179" s="67" t="s">
        <v>392</v>
      </c>
      <c r="H179" s="67"/>
      <c r="I179" s="67"/>
      <c r="J179" s="67"/>
      <c r="K179" s="109"/>
      <c r="L179" s="67"/>
      <c r="M179" s="100"/>
      <c r="N179" s="100"/>
    </row>
    <row r="180" ht="15.6" spans="1:14">
      <c r="A180" s="100"/>
      <c r="B180" s="67" t="s">
        <v>4488</v>
      </c>
      <c r="C180" s="67" t="s">
        <v>229</v>
      </c>
      <c r="D180" s="67" t="s">
        <v>3315</v>
      </c>
      <c r="E180" s="109" t="s">
        <v>422</v>
      </c>
      <c r="F180" s="67" t="s">
        <v>4488</v>
      </c>
      <c r="G180" s="67" t="s">
        <v>392</v>
      </c>
      <c r="H180" s="67"/>
      <c r="I180" s="67"/>
      <c r="J180" s="67"/>
      <c r="K180" s="109"/>
      <c r="L180" s="67"/>
      <c r="M180" s="100"/>
      <c r="N180" s="100"/>
    </row>
    <row r="181" ht="15.6" spans="1:14">
      <c r="A181" s="100"/>
      <c r="B181" s="67" t="s">
        <v>4490</v>
      </c>
      <c r="C181" s="67" t="s">
        <v>229</v>
      </c>
      <c r="D181" s="67" t="s">
        <v>3318</v>
      </c>
      <c r="E181" s="109" t="s">
        <v>422</v>
      </c>
      <c r="F181" s="67" t="s">
        <v>4490</v>
      </c>
      <c r="G181" s="67" t="s">
        <v>392</v>
      </c>
      <c r="H181" s="67"/>
      <c r="I181" s="67"/>
      <c r="J181" s="67"/>
      <c r="K181" s="109"/>
      <c r="L181" s="67"/>
      <c r="M181" s="100"/>
      <c r="N181" s="100"/>
    </row>
    <row r="182" ht="15.6" spans="1:14">
      <c r="A182" s="100"/>
      <c r="B182" s="67" t="s">
        <v>4492</v>
      </c>
      <c r="C182" s="67" t="s">
        <v>229</v>
      </c>
      <c r="D182" s="67" t="s">
        <v>3321</v>
      </c>
      <c r="E182" s="109" t="s">
        <v>422</v>
      </c>
      <c r="F182" s="67" t="s">
        <v>4492</v>
      </c>
      <c r="G182" s="67" t="s">
        <v>392</v>
      </c>
      <c r="H182" s="67"/>
      <c r="I182" s="67"/>
      <c r="J182" s="67"/>
      <c r="K182" s="109"/>
      <c r="L182" s="67"/>
      <c r="M182" s="100"/>
      <c r="N182" s="100"/>
    </row>
    <row r="183" ht="15.6" spans="1:14">
      <c r="A183" s="100"/>
      <c r="B183" s="67" t="s">
        <v>3602</v>
      </c>
      <c r="C183" s="67" t="s">
        <v>203</v>
      </c>
      <c r="D183" s="67" t="s">
        <v>3328</v>
      </c>
      <c r="E183" s="109" t="s">
        <v>422</v>
      </c>
      <c r="F183" s="67" t="s">
        <v>3602</v>
      </c>
      <c r="G183" s="67" t="s">
        <v>6029</v>
      </c>
      <c r="H183" s="67"/>
      <c r="I183" s="67"/>
      <c r="J183" s="67"/>
      <c r="K183" s="109"/>
      <c r="L183" s="67"/>
      <c r="M183" s="100"/>
      <c r="N183" s="100"/>
    </row>
    <row r="184" ht="15.6" spans="1:14">
      <c r="A184" s="100"/>
      <c r="B184" s="67" t="s">
        <v>4495</v>
      </c>
      <c r="C184" s="67" t="s">
        <v>229</v>
      </c>
      <c r="D184" s="67" t="s">
        <v>3331</v>
      </c>
      <c r="E184" s="109" t="s">
        <v>422</v>
      </c>
      <c r="F184" s="67" t="s">
        <v>4495</v>
      </c>
      <c r="G184" s="67" t="s">
        <v>392</v>
      </c>
      <c r="H184" s="67"/>
      <c r="I184" s="67"/>
      <c r="J184" s="67"/>
      <c r="K184" s="109"/>
      <c r="L184" s="67"/>
      <c r="M184" s="100"/>
      <c r="N184" s="100"/>
    </row>
    <row r="185" ht="15.6" spans="1:14">
      <c r="A185" s="100"/>
      <c r="B185" s="67" t="s">
        <v>4497</v>
      </c>
      <c r="C185" s="67" t="s">
        <v>229</v>
      </c>
      <c r="D185" s="67" t="s">
        <v>3335</v>
      </c>
      <c r="E185" s="109" t="s">
        <v>422</v>
      </c>
      <c r="F185" s="67" t="s">
        <v>4497</v>
      </c>
      <c r="G185" s="67" t="s">
        <v>392</v>
      </c>
      <c r="H185" s="67"/>
      <c r="I185" s="67"/>
      <c r="J185" s="67"/>
      <c r="K185" s="109"/>
      <c r="L185" s="67"/>
      <c r="M185" s="100"/>
      <c r="N185" s="100"/>
    </row>
    <row r="186" ht="15.6" spans="1:14">
      <c r="A186" s="100"/>
      <c r="B186" s="67" t="s">
        <v>4499</v>
      </c>
      <c r="C186" s="67" t="s">
        <v>229</v>
      </c>
      <c r="D186" s="67" t="s">
        <v>3338</v>
      </c>
      <c r="E186" s="109" t="s">
        <v>422</v>
      </c>
      <c r="F186" s="67" t="s">
        <v>4499</v>
      </c>
      <c r="G186" s="67" t="s">
        <v>392</v>
      </c>
      <c r="H186" s="67"/>
      <c r="I186" s="67"/>
      <c r="J186" s="67"/>
      <c r="K186" s="109"/>
      <c r="L186" s="67"/>
      <c r="M186" s="100"/>
      <c r="N186" s="100"/>
    </row>
    <row r="187" ht="15.6" spans="1:14">
      <c r="A187" s="100"/>
      <c r="B187" s="67" t="s">
        <v>4501</v>
      </c>
      <c r="C187" s="67" t="s">
        <v>229</v>
      </c>
      <c r="D187" s="67" t="s">
        <v>3341</v>
      </c>
      <c r="E187" s="109" t="s">
        <v>422</v>
      </c>
      <c r="F187" s="67" t="s">
        <v>4501</v>
      </c>
      <c r="G187" s="67" t="s">
        <v>392</v>
      </c>
      <c r="H187" s="67"/>
      <c r="I187" s="67"/>
      <c r="J187" s="67"/>
      <c r="K187" s="109"/>
      <c r="L187" s="67"/>
      <c r="M187" s="100"/>
      <c r="N187" s="100"/>
    </row>
    <row r="188" ht="15.6" spans="1:14">
      <c r="A188" s="100"/>
      <c r="B188" s="67" t="s">
        <v>4503</v>
      </c>
      <c r="C188" s="67" t="s">
        <v>229</v>
      </c>
      <c r="D188" s="67" t="s">
        <v>3344</v>
      </c>
      <c r="E188" s="109" t="s">
        <v>422</v>
      </c>
      <c r="F188" s="67" t="s">
        <v>4503</v>
      </c>
      <c r="G188" s="67" t="s">
        <v>392</v>
      </c>
      <c r="H188" s="67"/>
      <c r="I188" s="67"/>
      <c r="J188" s="67"/>
      <c r="K188" s="109"/>
      <c r="L188" s="67"/>
      <c r="M188" s="100"/>
      <c r="N188" s="100"/>
    </row>
    <row r="189" ht="15.6" spans="1:14">
      <c r="A189" s="100"/>
      <c r="B189" s="67" t="s">
        <v>1715</v>
      </c>
      <c r="C189" s="67" t="s">
        <v>203</v>
      </c>
      <c r="D189" s="67" t="s">
        <v>1716</v>
      </c>
      <c r="E189" s="109" t="s">
        <v>422</v>
      </c>
      <c r="F189" s="67" t="s">
        <v>1715</v>
      </c>
      <c r="G189" s="67" t="s">
        <v>6030</v>
      </c>
      <c r="H189" s="67"/>
      <c r="I189" s="67"/>
      <c r="J189" s="67"/>
      <c r="K189" s="109"/>
      <c r="L189" s="67"/>
      <c r="M189" s="100"/>
      <c r="N189" s="100"/>
    </row>
    <row r="190" ht="15.6" spans="1:14">
      <c r="A190" s="100"/>
      <c r="B190" s="67" t="s">
        <v>4506</v>
      </c>
      <c r="C190" s="67" t="s">
        <v>229</v>
      </c>
      <c r="D190" s="67" t="s">
        <v>2401</v>
      </c>
      <c r="E190" s="109" t="s">
        <v>422</v>
      </c>
      <c r="F190" s="67" t="s">
        <v>4506</v>
      </c>
      <c r="G190" s="67" t="s">
        <v>392</v>
      </c>
      <c r="H190" s="67"/>
      <c r="I190" s="67"/>
      <c r="J190" s="67"/>
      <c r="K190" s="109"/>
      <c r="L190" s="67"/>
      <c r="M190" s="100"/>
      <c r="N190" s="100"/>
    </row>
    <row r="191" ht="15.6" spans="1:14">
      <c r="A191" s="100"/>
      <c r="B191" s="67" t="s">
        <v>4508</v>
      </c>
      <c r="C191" s="67" t="s">
        <v>229</v>
      </c>
      <c r="D191" s="67" t="s">
        <v>2405</v>
      </c>
      <c r="E191" s="109" t="s">
        <v>422</v>
      </c>
      <c r="F191" s="67" t="s">
        <v>4508</v>
      </c>
      <c r="G191" s="67" t="s">
        <v>392</v>
      </c>
      <c r="H191" s="67"/>
      <c r="I191" s="67"/>
      <c r="J191" s="67"/>
      <c r="K191" s="109"/>
      <c r="L191" s="67"/>
      <c r="M191" s="100"/>
      <c r="N191" s="100"/>
    </row>
    <row r="192" ht="15.6" spans="1:14">
      <c r="A192" s="100"/>
      <c r="B192" s="67" t="s">
        <v>4510</v>
      </c>
      <c r="C192" s="67" t="s">
        <v>229</v>
      </c>
      <c r="D192" s="67" t="s">
        <v>2409</v>
      </c>
      <c r="E192" s="109" t="s">
        <v>422</v>
      </c>
      <c r="F192" s="67" t="s">
        <v>4510</v>
      </c>
      <c r="G192" s="67" t="s">
        <v>392</v>
      </c>
      <c r="H192" s="67"/>
      <c r="I192" s="67"/>
      <c r="J192" s="67"/>
      <c r="K192" s="109"/>
      <c r="L192" s="67"/>
      <c r="M192" s="100"/>
      <c r="N192" s="100"/>
    </row>
    <row r="193" ht="15.6" spans="1:14">
      <c r="A193" s="100"/>
      <c r="B193" s="67" t="s">
        <v>4512</v>
      </c>
      <c r="C193" s="67" t="s">
        <v>229</v>
      </c>
      <c r="D193" s="67" t="s">
        <v>2413</v>
      </c>
      <c r="E193" s="109" t="s">
        <v>422</v>
      </c>
      <c r="F193" s="67" t="s">
        <v>4512</v>
      </c>
      <c r="G193" s="67" t="s">
        <v>392</v>
      </c>
      <c r="H193" s="67"/>
      <c r="I193" s="67"/>
      <c r="J193" s="67"/>
      <c r="K193" s="109"/>
      <c r="L193" s="67"/>
      <c r="M193" s="100"/>
      <c r="N193" s="100"/>
    </row>
    <row r="194" ht="15.6" spans="1:14">
      <c r="A194" s="100"/>
      <c r="B194" s="67" t="s">
        <v>4514</v>
      </c>
      <c r="C194" s="67" t="s">
        <v>229</v>
      </c>
      <c r="D194" s="67" t="s">
        <v>2417</v>
      </c>
      <c r="E194" s="109" t="s">
        <v>422</v>
      </c>
      <c r="F194" s="67" t="s">
        <v>4514</v>
      </c>
      <c r="G194" s="67" t="s">
        <v>392</v>
      </c>
      <c r="H194" s="67"/>
      <c r="I194" s="67"/>
      <c r="J194" s="67"/>
      <c r="K194" s="109"/>
      <c r="L194" s="67"/>
      <c r="M194" s="100"/>
      <c r="N194" s="100"/>
    </row>
    <row r="195" ht="15.6" spans="1:14">
      <c r="A195" s="100"/>
      <c r="B195" s="67" t="s">
        <v>1720</v>
      </c>
      <c r="C195" s="67" t="s">
        <v>203</v>
      </c>
      <c r="D195" s="67" t="s">
        <v>1721</v>
      </c>
      <c r="E195" s="109" t="s">
        <v>422</v>
      </c>
      <c r="F195" s="67" t="s">
        <v>1720</v>
      </c>
      <c r="G195" s="67" t="s">
        <v>6031</v>
      </c>
      <c r="H195" s="67"/>
      <c r="I195" s="67"/>
      <c r="J195" s="67"/>
      <c r="K195" s="109"/>
      <c r="L195" s="67"/>
      <c r="M195" s="100"/>
      <c r="N195" s="100"/>
    </row>
    <row r="196" ht="15.6" spans="1:14">
      <c r="A196" s="100"/>
      <c r="B196" s="67" t="s">
        <v>4517</v>
      </c>
      <c r="C196" s="67" t="s">
        <v>229</v>
      </c>
      <c r="D196" s="67" t="s">
        <v>2423</v>
      </c>
      <c r="E196" s="109" t="s">
        <v>422</v>
      </c>
      <c r="F196" s="67" t="s">
        <v>4517</v>
      </c>
      <c r="G196" s="67" t="s">
        <v>392</v>
      </c>
      <c r="H196" s="67"/>
      <c r="I196" s="67"/>
      <c r="J196" s="67"/>
      <c r="K196" s="109"/>
      <c r="L196" s="67"/>
      <c r="M196" s="100"/>
      <c r="N196" s="100"/>
    </row>
    <row r="197" ht="15.6" spans="1:14">
      <c r="A197" s="100"/>
      <c r="B197" s="67" t="s">
        <v>4519</v>
      </c>
      <c r="C197" s="67" t="s">
        <v>229</v>
      </c>
      <c r="D197" s="67" t="s">
        <v>2427</v>
      </c>
      <c r="E197" s="109" t="s">
        <v>422</v>
      </c>
      <c r="F197" s="67" t="s">
        <v>4519</v>
      </c>
      <c r="G197" s="67" t="s">
        <v>392</v>
      </c>
      <c r="H197" s="67"/>
      <c r="I197" s="67"/>
      <c r="J197" s="67"/>
      <c r="K197" s="109"/>
      <c r="L197" s="67"/>
      <c r="M197" s="100"/>
      <c r="N197" s="100"/>
    </row>
    <row r="198" ht="15.6" spans="1:14">
      <c r="A198" s="100"/>
      <c r="B198" s="67" t="s">
        <v>4521</v>
      </c>
      <c r="C198" s="67" t="s">
        <v>229</v>
      </c>
      <c r="D198" s="67" t="s">
        <v>2431</v>
      </c>
      <c r="E198" s="109" t="s">
        <v>422</v>
      </c>
      <c r="F198" s="67" t="s">
        <v>4521</v>
      </c>
      <c r="G198" s="67" t="s">
        <v>392</v>
      </c>
      <c r="H198" s="67"/>
      <c r="I198" s="67"/>
      <c r="J198" s="67"/>
      <c r="K198" s="109"/>
      <c r="L198" s="67"/>
      <c r="M198" s="100"/>
      <c r="N198" s="100"/>
    </row>
    <row r="199" ht="15.6" spans="1:14">
      <c r="A199" s="100"/>
      <c r="B199" s="67" t="s">
        <v>4523</v>
      </c>
      <c r="C199" s="67" t="s">
        <v>229</v>
      </c>
      <c r="D199" s="67" t="s">
        <v>2435</v>
      </c>
      <c r="E199" s="109" t="s">
        <v>422</v>
      </c>
      <c r="F199" s="67" t="s">
        <v>4523</v>
      </c>
      <c r="G199" s="67" t="s">
        <v>392</v>
      </c>
      <c r="H199" s="67"/>
      <c r="I199" s="67"/>
      <c r="J199" s="67"/>
      <c r="K199" s="109"/>
      <c r="L199" s="67"/>
      <c r="M199" s="100"/>
      <c r="N199" s="100"/>
    </row>
    <row r="200" ht="15.6" spans="1:14">
      <c r="A200" s="100"/>
      <c r="B200" s="67" t="s">
        <v>4525</v>
      </c>
      <c r="C200" s="67" t="s">
        <v>229</v>
      </c>
      <c r="D200" s="67" t="s">
        <v>2439</v>
      </c>
      <c r="E200" s="109" t="s">
        <v>422</v>
      </c>
      <c r="F200" s="67" t="s">
        <v>4525</v>
      </c>
      <c r="G200" s="67" t="s">
        <v>392</v>
      </c>
      <c r="H200" s="67"/>
      <c r="I200" s="67"/>
      <c r="J200" s="67"/>
      <c r="K200" s="109"/>
      <c r="L200" s="67"/>
      <c r="M200" s="100"/>
      <c r="N200" s="100"/>
    </row>
    <row r="201" ht="15.6" spans="1:14">
      <c r="A201" s="100"/>
      <c r="B201" s="67" t="s">
        <v>1723</v>
      </c>
      <c r="C201" s="67" t="s">
        <v>203</v>
      </c>
      <c r="D201" s="67" t="s">
        <v>1724</v>
      </c>
      <c r="E201" s="109" t="s">
        <v>422</v>
      </c>
      <c r="F201" s="67" t="s">
        <v>1723</v>
      </c>
      <c r="G201" s="67" t="s">
        <v>6032</v>
      </c>
      <c r="H201" s="67"/>
      <c r="I201" s="67"/>
      <c r="J201" s="67"/>
      <c r="K201" s="109"/>
      <c r="L201" s="67"/>
      <c r="M201" s="100"/>
      <c r="N201" s="100"/>
    </row>
    <row r="202" ht="15.6" spans="1:14">
      <c r="A202" s="100"/>
      <c r="B202" s="67" t="s">
        <v>4528</v>
      </c>
      <c r="C202" s="67" t="s">
        <v>229</v>
      </c>
      <c r="D202" s="67" t="s">
        <v>2445</v>
      </c>
      <c r="E202" s="109" t="s">
        <v>422</v>
      </c>
      <c r="F202" s="67" t="s">
        <v>4528</v>
      </c>
      <c r="G202" s="67" t="s">
        <v>392</v>
      </c>
      <c r="H202" s="67"/>
      <c r="I202" s="67"/>
      <c r="J202" s="67"/>
      <c r="K202" s="109"/>
      <c r="L202" s="67"/>
      <c r="M202" s="100"/>
      <c r="N202" s="100"/>
    </row>
    <row r="203" ht="15.6" spans="1:14">
      <c r="A203" s="100"/>
      <c r="B203" s="67" t="s">
        <v>4530</v>
      </c>
      <c r="C203" s="67" t="s">
        <v>229</v>
      </c>
      <c r="D203" s="67" t="s">
        <v>2449</v>
      </c>
      <c r="E203" s="109" t="s">
        <v>422</v>
      </c>
      <c r="F203" s="67" t="s">
        <v>4530</v>
      </c>
      <c r="G203" s="67" t="s">
        <v>392</v>
      </c>
      <c r="H203" s="67"/>
      <c r="I203" s="67"/>
      <c r="J203" s="67"/>
      <c r="K203" s="109"/>
      <c r="L203" s="67"/>
      <c r="M203" s="100"/>
      <c r="N203" s="100"/>
    </row>
    <row r="204" ht="15.6" spans="1:14">
      <c r="A204" s="100"/>
      <c r="B204" s="67" t="s">
        <v>4532</v>
      </c>
      <c r="C204" s="67" t="s">
        <v>229</v>
      </c>
      <c r="D204" s="67" t="s">
        <v>2453</v>
      </c>
      <c r="E204" s="109" t="s">
        <v>422</v>
      </c>
      <c r="F204" s="67" t="s">
        <v>4532</v>
      </c>
      <c r="G204" s="67" t="s">
        <v>392</v>
      </c>
      <c r="H204" s="67"/>
      <c r="I204" s="67"/>
      <c r="J204" s="67"/>
      <c r="K204" s="109"/>
      <c r="L204" s="67"/>
      <c r="M204" s="100"/>
      <c r="N204" s="100"/>
    </row>
    <row r="205" ht="15.6" spans="1:14">
      <c r="A205" s="100"/>
      <c r="B205" s="67" t="s">
        <v>4534</v>
      </c>
      <c r="C205" s="67" t="s">
        <v>229</v>
      </c>
      <c r="D205" s="67" t="s">
        <v>2457</v>
      </c>
      <c r="E205" s="109" t="s">
        <v>422</v>
      </c>
      <c r="F205" s="67" t="s">
        <v>4534</v>
      </c>
      <c r="G205" s="67" t="s">
        <v>392</v>
      </c>
      <c r="H205" s="67"/>
      <c r="I205" s="67"/>
      <c r="J205" s="67"/>
      <c r="K205" s="109"/>
      <c r="L205" s="67"/>
      <c r="M205" s="100"/>
      <c r="N205" s="100"/>
    </row>
    <row r="206" ht="15.6" spans="1:14">
      <c r="A206" s="100"/>
      <c r="B206" s="67" t="s">
        <v>4536</v>
      </c>
      <c r="C206" s="67" t="s">
        <v>229</v>
      </c>
      <c r="D206" s="67" t="s">
        <v>2461</v>
      </c>
      <c r="E206" s="109" t="s">
        <v>422</v>
      </c>
      <c r="F206" s="67" t="s">
        <v>4536</v>
      </c>
      <c r="G206" s="67" t="s">
        <v>392</v>
      </c>
      <c r="H206" s="67"/>
      <c r="I206" s="67"/>
      <c r="J206" s="67"/>
      <c r="K206" s="109"/>
      <c r="L206" s="67"/>
      <c r="M206" s="100"/>
      <c r="N206" s="100"/>
    </row>
    <row r="207" ht="15.6" spans="1:14">
      <c r="A207" s="100"/>
      <c r="B207" s="67" t="s">
        <v>1726</v>
      </c>
      <c r="C207" s="67" t="s">
        <v>203</v>
      </c>
      <c r="D207" s="67" t="s">
        <v>1727</v>
      </c>
      <c r="E207" s="109" t="s">
        <v>422</v>
      </c>
      <c r="F207" s="67" t="s">
        <v>1726</v>
      </c>
      <c r="G207" s="67" t="s">
        <v>6033</v>
      </c>
      <c r="H207" s="67"/>
      <c r="I207" s="67"/>
      <c r="J207" s="67"/>
      <c r="K207" s="109"/>
      <c r="L207" s="67"/>
      <c r="M207" s="100"/>
      <c r="N207" s="100"/>
    </row>
    <row r="208" ht="15.6" spans="1:14">
      <c r="A208" s="100"/>
      <c r="B208" s="67" t="s">
        <v>4539</v>
      </c>
      <c r="C208" s="67" t="s">
        <v>229</v>
      </c>
      <c r="D208" s="67" t="s">
        <v>2468</v>
      </c>
      <c r="E208" s="109" t="s">
        <v>422</v>
      </c>
      <c r="F208" s="67" t="s">
        <v>4539</v>
      </c>
      <c r="G208" s="67" t="s">
        <v>392</v>
      </c>
      <c r="H208" s="67"/>
      <c r="I208" s="67"/>
      <c r="J208" s="67"/>
      <c r="K208" s="109"/>
      <c r="L208" s="67"/>
      <c r="M208" s="100"/>
      <c r="N208" s="100"/>
    </row>
    <row r="209" ht="15.6" spans="1:14">
      <c r="A209" s="100"/>
      <c r="B209" s="67" t="s">
        <v>4541</v>
      </c>
      <c r="C209" s="67" t="s">
        <v>229</v>
      </c>
      <c r="D209" s="67" t="s">
        <v>2472</v>
      </c>
      <c r="E209" s="109" t="s">
        <v>422</v>
      </c>
      <c r="F209" s="67" t="s">
        <v>4541</v>
      </c>
      <c r="G209" s="67" t="s">
        <v>392</v>
      </c>
      <c r="H209" s="67"/>
      <c r="I209" s="67"/>
      <c r="J209" s="67"/>
      <c r="K209" s="109"/>
      <c r="L209" s="67"/>
      <c r="M209" s="100"/>
      <c r="N209" s="100"/>
    </row>
    <row r="210" ht="15.6" spans="1:14">
      <c r="A210" s="100"/>
      <c r="B210" s="67" t="s">
        <v>4543</v>
      </c>
      <c r="C210" s="67" t="s">
        <v>229</v>
      </c>
      <c r="D210" s="67" t="s">
        <v>2476</v>
      </c>
      <c r="E210" s="109" t="s">
        <v>422</v>
      </c>
      <c r="F210" s="67" t="s">
        <v>4543</v>
      </c>
      <c r="G210" s="67" t="s">
        <v>392</v>
      </c>
      <c r="H210" s="67"/>
      <c r="I210" s="67"/>
      <c r="J210" s="67"/>
      <c r="K210" s="109"/>
      <c r="L210" s="67"/>
      <c r="M210" s="100"/>
      <c r="N210" s="100"/>
    </row>
    <row r="211" ht="15.6" spans="1:14">
      <c r="A211" s="100"/>
      <c r="B211" s="67" t="s">
        <v>4545</v>
      </c>
      <c r="C211" s="67" t="s">
        <v>229</v>
      </c>
      <c r="D211" s="67" t="s">
        <v>2480</v>
      </c>
      <c r="E211" s="109" t="s">
        <v>422</v>
      </c>
      <c r="F211" s="67" t="s">
        <v>4545</v>
      </c>
      <c r="G211" s="67" t="s">
        <v>392</v>
      </c>
      <c r="H211" s="67"/>
      <c r="I211" s="67"/>
      <c r="J211" s="67"/>
      <c r="K211" s="109"/>
      <c r="L211" s="67"/>
      <c r="M211" s="100"/>
      <c r="N211" s="100"/>
    </row>
    <row r="212" ht="15.6" spans="1:14">
      <c r="A212" s="100"/>
      <c r="B212" s="67" t="s">
        <v>4547</v>
      </c>
      <c r="C212" s="67" t="s">
        <v>229</v>
      </c>
      <c r="D212" s="67" t="s">
        <v>2484</v>
      </c>
      <c r="E212" s="109" t="s">
        <v>422</v>
      </c>
      <c r="F212" s="67" t="s">
        <v>4547</v>
      </c>
      <c r="G212" s="67" t="s">
        <v>392</v>
      </c>
      <c r="H212" s="67"/>
      <c r="I212" s="67"/>
      <c r="J212" s="67"/>
      <c r="K212" s="109"/>
      <c r="L212" s="67"/>
      <c r="M212" s="100"/>
      <c r="N212" s="100"/>
    </row>
    <row r="213" ht="15.6" spans="1:14">
      <c r="A213" s="100"/>
      <c r="B213" s="67" t="s">
        <v>1730</v>
      </c>
      <c r="C213" s="67" t="s">
        <v>203</v>
      </c>
      <c r="D213" s="67" t="s">
        <v>1731</v>
      </c>
      <c r="E213" s="109" t="s">
        <v>422</v>
      </c>
      <c r="F213" s="67" t="s">
        <v>1730</v>
      </c>
      <c r="G213" s="67" t="s">
        <v>4299</v>
      </c>
      <c r="H213" s="67"/>
      <c r="I213" s="67"/>
      <c r="J213" s="67"/>
      <c r="K213" s="109"/>
      <c r="L213" s="67"/>
      <c r="M213" s="100"/>
      <c r="N213" s="100"/>
    </row>
    <row r="214" ht="15.6" spans="1:14">
      <c r="A214" s="100"/>
      <c r="B214" s="67" t="s">
        <v>4550</v>
      </c>
      <c r="C214" s="67" t="s">
        <v>229</v>
      </c>
      <c r="D214" s="67" t="s">
        <v>2491</v>
      </c>
      <c r="E214" s="109" t="s">
        <v>422</v>
      </c>
      <c r="F214" s="67" t="s">
        <v>4550</v>
      </c>
      <c r="G214" s="67" t="s">
        <v>392</v>
      </c>
      <c r="H214" s="67"/>
      <c r="I214" s="67"/>
      <c r="J214" s="67"/>
      <c r="K214" s="109"/>
      <c r="L214" s="67"/>
      <c r="M214" s="100"/>
      <c r="N214" s="100"/>
    </row>
    <row r="215" ht="15.6" spans="1:14">
      <c r="A215" s="100"/>
      <c r="B215" s="67" t="s">
        <v>4552</v>
      </c>
      <c r="C215" s="67" t="s">
        <v>229</v>
      </c>
      <c r="D215" s="67" t="s">
        <v>2495</v>
      </c>
      <c r="E215" s="109" t="s">
        <v>422</v>
      </c>
      <c r="F215" s="67" t="s">
        <v>4552</v>
      </c>
      <c r="G215" s="67" t="s">
        <v>392</v>
      </c>
      <c r="H215" s="67"/>
      <c r="I215" s="67"/>
      <c r="J215" s="67"/>
      <c r="K215" s="109"/>
      <c r="L215" s="67"/>
      <c r="M215" s="100"/>
      <c r="N215" s="100"/>
    </row>
    <row r="216" ht="15.6" spans="1:14">
      <c r="A216" s="100"/>
      <c r="B216" s="67" t="s">
        <v>4554</v>
      </c>
      <c r="C216" s="67" t="s">
        <v>229</v>
      </c>
      <c r="D216" s="67" t="s">
        <v>2499</v>
      </c>
      <c r="E216" s="109" t="s">
        <v>422</v>
      </c>
      <c r="F216" s="67" t="s">
        <v>4554</v>
      </c>
      <c r="G216" s="67" t="s">
        <v>392</v>
      </c>
      <c r="H216" s="67"/>
      <c r="I216" s="67"/>
      <c r="J216" s="67"/>
      <c r="K216" s="109"/>
      <c r="L216" s="67"/>
      <c r="M216" s="100"/>
      <c r="N216" s="100"/>
    </row>
    <row r="217" ht="15.6" spans="1:14">
      <c r="A217" s="100"/>
      <c r="B217" s="67" t="s">
        <v>4556</v>
      </c>
      <c r="C217" s="67" t="s">
        <v>229</v>
      </c>
      <c r="D217" s="67" t="s">
        <v>2503</v>
      </c>
      <c r="E217" s="109" t="s">
        <v>422</v>
      </c>
      <c r="F217" s="67" t="s">
        <v>4556</v>
      </c>
      <c r="G217" s="67" t="s">
        <v>392</v>
      </c>
      <c r="H217" s="67"/>
      <c r="I217" s="67"/>
      <c r="J217" s="67"/>
      <c r="K217" s="109"/>
      <c r="L217" s="67"/>
      <c r="M217" s="100"/>
      <c r="N217" s="100"/>
    </row>
    <row r="218" ht="15.6" spans="1:14">
      <c r="A218" s="100"/>
      <c r="B218" s="67" t="s">
        <v>4558</v>
      </c>
      <c r="C218" s="67" t="s">
        <v>229</v>
      </c>
      <c r="D218" s="67" t="s">
        <v>2507</v>
      </c>
      <c r="E218" s="109" t="s">
        <v>422</v>
      </c>
      <c r="F218" s="67" t="s">
        <v>4558</v>
      </c>
      <c r="G218" s="67" t="s">
        <v>392</v>
      </c>
      <c r="H218" s="67"/>
      <c r="I218" s="67"/>
      <c r="J218" s="67"/>
      <c r="K218" s="109"/>
      <c r="L218" s="67"/>
      <c r="M218" s="100"/>
      <c r="N218" s="100"/>
    </row>
    <row r="219" ht="15.6" spans="1:14">
      <c r="A219" s="100"/>
      <c r="B219" s="67" t="s">
        <v>1734</v>
      </c>
      <c r="C219" s="67" t="s">
        <v>203</v>
      </c>
      <c r="D219" s="67" t="s">
        <v>1735</v>
      </c>
      <c r="E219" s="109" t="s">
        <v>422</v>
      </c>
      <c r="F219" s="67" t="s">
        <v>1734</v>
      </c>
      <c r="G219" s="67" t="s">
        <v>6034</v>
      </c>
      <c r="H219" s="67"/>
      <c r="I219" s="67"/>
      <c r="J219" s="67"/>
      <c r="K219" s="109"/>
      <c r="L219" s="67"/>
      <c r="M219" s="100"/>
      <c r="N219" s="100"/>
    </row>
    <row r="220" ht="15.6" spans="1:14">
      <c r="A220" s="100"/>
      <c r="B220" s="67" t="s">
        <v>4561</v>
      </c>
      <c r="C220" s="67" t="s">
        <v>229</v>
      </c>
      <c r="D220" s="67" t="s">
        <v>2514</v>
      </c>
      <c r="E220" s="109" t="s">
        <v>422</v>
      </c>
      <c r="F220" s="67" t="s">
        <v>4561</v>
      </c>
      <c r="G220" s="67" t="s">
        <v>392</v>
      </c>
      <c r="H220" s="67"/>
      <c r="I220" s="67"/>
      <c r="J220" s="67"/>
      <c r="K220" s="109"/>
      <c r="L220" s="67"/>
      <c r="M220" s="100"/>
      <c r="N220" s="100"/>
    </row>
    <row r="221" ht="15.6" spans="1:14">
      <c r="A221" s="100"/>
      <c r="B221" s="67" t="s">
        <v>4563</v>
      </c>
      <c r="C221" s="67" t="s">
        <v>229</v>
      </c>
      <c r="D221" s="67" t="s">
        <v>2518</v>
      </c>
      <c r="E221" s="109" t="s">
        <v>422</v>
      </c>
      <c r="F221" s="67" t="s">
        <v>4563</v>
      </c>
      <c r="G221" s="67" t="s">
        <v>392</v>
      </c>
      <c r="H221" s="67"/>
      <c r="I221" s="67"/>
      <c r="J221" s="67"/>
      <c r="K221" s="109"/>
      <c r="L221" s="67"/>
      <c r="M221" s="100"/>
      <c r="N221" s="100"/>
    </row>
    <row r="222" ht="15.6" spans="1:14">
      <c r="A222" s="100"/>
      <c r="B222" s="67" t="s">
        <v>4565</v>
      </c>
      <c r="C222" s="67" t="s">
        <v>229</v>
      </c>
      <c r="D222" s="67" t="s">
        <v>2522</v>
      </c>
      <c r="E222" s="109" t="s">
        <v>422</v>
      </c>
      <c r="F222" s="67" t="s">
        <v>4565</v>
      </c>
      <c r="G222" s="67" t="s">
        <v>392</v>
      </c>
      <c r="H222" s="67"/>
      <c r="I222" s="67"/>
      <c r="J222" s="67"/>
      <c r="K222" s="109"/>
      <c r="L222" s="67"/>
      <c r="M222" s="100"/>
      <c r="N222" s="100"/>
    </row>
    <row r="223" ht="15.6" spans="1:14">
      <c r="A223" s="100"/>
      <c r="B223" s="67" t="s">
        <v>4567</v>
      </c>
      <c r="C223" s="67" t="s">
        <v>229</v>
      </c>
      <c r="D223" s="67" t="s">
        <v>2526</v>
      </c>
      <c r="E223" s="109" t="s">
        <v>422</v>
      </c>
      <c r="F223" s="67" t="s">
        <v>4567</v>
      </c>
      <c r="G223" s="67" t="s">
        <v>392</v>
      </c>
      <c r="H223" s="67"/>
      <c r="I223" s="67"/>
      <c r="J223" s="67"/>
      <c r="K223" s="109"/>
      <c r="L223" s="67"/>
      <c r="M223" s="100"/>
      <c r="N223" s="100"/>
    </row>
    <row r="224" ht="15.6" spans="1:14">
      <c r="A224" s="100"/>
      <c r="B224" s="67" t="s">
        <v>4569</v>
      </c>
      <c r="C224" s="67" t="s">
        <v>229</v>
      </c>
      <c r="D224" s="67" t="s">
        <v>2530</v>
      </c>
      <c r="E224" s="109" t="s">
        <v>422</v>
      </c>
      <c r="F224" s="67" t="s">
        <v>4569</v>
      </c>
      <c r="G224" s="67" t="s">
        <v>392</v>
      </c>
      <c r="H224" s="67"/>
      <c r="I224" s="67"/>
      <c r="J224" s="67"/>
      <c r="K224" s="109"/>
      <c r="L224" s="67"/>
      <c r="M224" s="100"/>
      <c r="N224" s="100"/>
    </row>
    <row r="225" ht="13.8" spans="2:12">
      <c r="B225" s="68" t="s">
        <v>4571</v>
      </c>
      <c r="C225" s="117" t="s">
        <v>229</v>
      </c>
      <c r="D225" s="68" t="s">
        <v>1586</v>
      </c>
      <c r="E225" s="109" t="s">
        <v>422</v>
      </c>
      <c r="F225" s="68" t="s">
        <v>4571</v>
      </c>
      <c r="G225" s="67" t="s">
        <v>392</v>
      </c>
      <c r="H225" s="118"/>
      <c r="I225" s="55"/>
      <c r="J225" s="55"/>
      <c r="K225" s="55"/>
      <c r="L225" s="55"/>
    </row>
    <row r="226" ht="13.8" spans="2:12">
      <c r="B226" s="68" t="s">
        <v>4573</v>
      </c>
      <c r="C226" s="117" t="s">
        <v>229</v>
      </c>
      <c r="D226" s="68" t="s">
        <v>1591</v>
      </c>
      <c r="E226" s="109" t="s">
        <v>422</v>
      </c>
      <c r="F226" s="68" t="s">
        <v>4573</v>
      </c>
      <c r="G226" s="67" t="s">
        <v>392</v>
      </c>
      <c r="H226" s="118"/>
      <c r="I226" s="55"/>
      <c r="J226" s="55"/>
      <c r="K226" s="55"/>
      <c r="L226" s="55"/>
    </row>
    <row r="227" ht="13.8" spans="2:12">
      <c r="B227" s="68" t="s">
        <v>4575</v>
      </c>
      <c r="C227" s="117" t="s">
        <v>229</v>
      </c>
      <c r="D227" s="68" t="s">
        <v>1599</v>
      </c>
      <c r="E227" s="109" t="s">
        <v>422</v>
      </c>
      <c r="F227" s="68" t="s">
        <v>4575</v>
      </c>
      <c r="G227" s="67" t="s">
        <v>392</v>
      </c>
      <c r="H227" s="118"/>
      <c r="I227" s="55"/>
      <c r="J227" s="55"/>
      <c r="K227" s="55"/>
      <c r="L227" s="55"/>
    </row>
    <row r="228" ht="13.8" spans="2:12">
      <c r="B228" s="68" t="s">
        <v>4577</v>
      </c>
      <c r="C228" s="117" t="s">
        <v>229</v>
      </c>
      <c r="D228" s="68" t="s">
        <v>4578</v>
      </c>
      <c r="E228" s="109" t="s">
        <v>422</v>
      </c>
      <c r="F228" s="68" t="s">
        <v>4577</v>
      </c>
      <c r="G228" s="67" t="s">
        <v>392</v>
      </c>
      <c r="H228" s="118"/>
      <c r="I228" s="55"/>
      <c r="J228" s="55"/>
      <c r="K228" s="55"/>
      <c r="L228" s="55"/>
    </row>
    <row r="229" ht="13.8" spans="2:12">
      <c r="B229" s="105" t="s">
        <v>3427</v>
      </c>
      <c r="C229" s="105" t="s">
        <v>229</v>
      </c>
      <c r="D229" s="105" t="s">
        <v>4580</v>
      </c>
      <c r="E229" s="109" t="s">
        <v>422</v>
      </c>
      <c r="F229" s="105" t="s">
        <v>3427</v>
      </c>
      <c r="G229" s="67" t="s">
        <v>392</v>
      </c>
      <c r="H229" s="118"/>
      <c r="I229" s="55"/>
      <c r="J229" s="55"/>
      <c r="K229" s="55"/>
      <c r="L229" s="55"/>
    </row>
    <row r="230" ht="13.8" spans="2:12">
      <c r="B230" s="105" t="s">
        <v>3431</v>
      </c>
      <c r="C230" s="105" t="s">
        <v>229</v>
      </c>
      <c r="D230" s="105" t="s">
        <v>4582</v>
      </c>
      <c r="E230" s="109" t="s">
        <v>422</v>
      </c>
      <c r="F230" s="105" t="s">
        <v>3431</v>
      </c>
      <c r="G230" s="67" t="s">
        <v>392</v>
      </c>
      <c r="H230" s="118"/>
      <c r="I230" s="55"/>
      <c r="J230" s="55"/>
      <c r="K230" s="55"/>
      <c r="L230" s="55"/>
    </row>
    <row r="231" ht="13.8" spans="2:12">
      <c r="B231" s="105" t="s">
        <v>3435</v>
      </c>
      <c r="C231" s="105" t="s">
        <v>229</v>
      </c>
      <c r="D231" s="105" t="s">
        <v>4584</v>
      </c>
      <c r="E231" s="109" t="s">
        <v>422</v>
      </c>
      <c r="F231" s="105" t="s">
        <v>3435</v>
      </c>
      <c r="G231" s="67" t="s">
        <v>392</v>
      </c>
      <c r="H231" s="118"/>
      <c r="I231" s="55"/>
      <c r="J231" s="55"/>
      <c r="K231" s="55"/>
      <c r="L231" s="55"/>
    </row>
    <row r="232" ht="13.8" spans="2:12">
      <c r="B232" s="105" t="s">
        <v>3399</v>
      </c>
      <c r="C232" s="119" t="s">
        <v>229</v>
      </c>
      <c r="D232" s="105" t="s">
        <v>3400</v>
      </c>
      <c r="E232" s="109" t="s">
        <v>422</v>
      </c>
      <c r="F232" s="105" t="s">
        <v>3399</v>
      </c>
      <c r="G232" s="67" t="s">
        <v>392</v>
      </c>
      <c r="H232" s="118"/>
      <c r="I232" s="55"/>
      <c r="J232" s="55"/>
      <c r="K232" s="55"/>
      <c r="L232" s="55"/>
    </row>
    <row r="233" ht="13.8" spans="2:12">
      <c r="B233" s="105" t="s">
        <v>3403</v>
      </c>
      <c r="C233" s="119" t="s">
        <v>229</v>
      </c>
      <c r="D233" s="105" t="s">
        <v>3404</v>
      </c>
      <c r="E233" s="109" t="s">
        <v>422</v>
      </c>
      <c r="F233" s="105" t="s">
        <v>3403</v>
      </c>
      <c r="G233" s="67" t="s">
        <v>392</v>
      </c>
      <c r="H233" s="55"/>
      <c r="I233" s="55"/>
      <c r="J233" s="55"/>
      <c r="K233" s="55"/>
      <c r="L233" s="55"/>
    </row>
    <row r="234" ht="13.8" spans="2:12">
      <c r="B234" s="105" t="s">
        <v>3407</v>
      </c>
      <c r="C234" s="119" t="s">
        <v>229</v>
      </c>
      <c r="D234" s="105" t="s">
        <v>3408</v>
      </c>
      <c r="E234" s="109" t="s">
        <v>422</v>
      </c>
      <c r="F234" s="105" t="s">
        <v>3407</v>
      </c>
      <c r="G234" s="67" t="s">
        <v>392</v>
      </c>
      <c r="H234" s="55"/>
      <c r="I234" s="55"/>
      <c r="J234" s="55"/>
      <c r="K234" s="55"/>
      <c r="L234" s="55"/>
    </row>
    <row r="235" ht="13.8" spans="2:12">
      <c r="B235" s="105" t="s">
        <v>3411</v>
      </c>
      <c r="C235" s="119" t="s">
        <v>229</v>
      </c>
      <c r="D235" s="105" t="s">
        <v>3412</v>
      </c>
      <c r="E235" s="109" t="s">
        <v>422</v>
      </c>
      <c r="F235" s="105" t="s">
        <v>3411</v>
      </c>
      <c r="G235" s="67" t="s">
        <v>392</v>
      </c>
      <c r="H235" s="55"/>
      <c r="I235" s="55"/>
      <c r="J235" s="55"/>
      <c r="K235" s="55"/>
      <c r="L235" s="55"/>
    </row>
    <row r="236" ht="13.8" spans="2:12">
      <c r="B236" s="105" t="s">
        <v>3414</v>
      </c>
      <c r="C236" s="119" t="s">
        <v>229</v>
      </c>
      <c r="D236" s="105" t="s">
        <v>3415</v>
      </c>
      <c r="E236" s="109" t="s">
        <v>422</v>
      </c>
      <c r="F236" s="105" t="s">
        <v>3414</v>
      </c>
      <c r="G236" s="67" t="s">
        <v>392</v>
      </c>
      <c r="H236" s="55"/>
      <c r="I236" s="55"/>
      <c r="J236" s="55"/>
      <c r="K236" s="55"/>
      <c r="L236" s="55"/>
    </row>
    <row r="237" ht="13.8" spans="2:12">
      <c r="B237" s="105" t="s">
        <v>3418</v>
      </c>
      <c r="C237" s="119" t="s">
        <v>229</v>
      </c>
      <c r="D237" s="105" t="s">
        <v>3419</v>
      </c>
      <c r="E237" s="109" t="s">
        <v>422</v>
      </c>
      <c r="F237" s="105" t="s">
        <v>3418</v>
      </c>
      <c r="G237" s="67" t="s">
        <v>392</v>
      </c>
      <c r="H237" s="55"/>
      <c r="I237" s="55"/>
      <c r="J237" s="55"/>
      <c r="K237" s="55"/>
      <c r="L237" s="55"/>
    </row>
    <row r="238" ht="13.8" spans="2:12">
      <c r="B238" s="67" t="s">
        <v>3494</v>
      </c>
      <c r="C238" s="120" t="s">
        <v>229</v>
      </c>
      <c r="D238" s="67" t="s">
        <v>4592</v>
      </c>
      <c r="E238" s="109" t="s">
        <v>422</v>
      </c>
      <c r="F238" s="67" t="s">
        <v>3494</v>
      </c>
      <c r="G238" s="67" t="s">
        <v>392</v>
      </c>
      <c r="H238" s="55"/>
      <c r="I238" s="55"/>
      <c r="J238" s="55"/>
      <c r="K238" s="55"/>
      <c r="L238" s="55"/>
    </row>
    <row r="239" ht="13.8" spans="2:12">
      <c r="B239" s="67" t="s">
        <v>3497</v>
      </c>
      <c r="C239" s="120" t="s">
        <v>229</v>
      </c>
      <c r="D239" s="67" t="s">
        <v>4594</v>
      </c>
      <c r="E239" s="109" t="s">
        <v>422</v>
      </c>
      <c r="F239" s="67" t="s">
        <v>3497</v>
      </c>
      <c r="G239" s="67" t="s">
        <v>392</v>
      </c>
      <c r="H239" s="55"/>
      <c r="I239" s="55"/>
      <c r="J239" s="55"/>
      <c r="K239" s="55"/>
      <c r="L239" s="55"/>
    </row>
    <row r="240" ht="13.8" spans="2:12">
      <c r="B240" s="67" t="s">
        <v>3500</v>
      </c>
      <c r="C240" s="120" t="s">
        <v>229</v>
      </c>
      <c r="D240" s="67" t="s">
        <v>4596</v>
      </c>
      <c r="E240" s="109" t="s">
        <v>422</v>
      </c>
      <c r="F240" s="67" t="s">
        <v>3500</v>
      </c>
      <c r="G240" s="67" t="s">
        <v>392</v>
      </c>
      <c r="H240" s="55"/>
      <c r="I240" s="55"/>
      <c r="J240" s="55"/>
      <c r="K240" s="55"/>
      <c r="L240" s="55"/>
    </row>
    <row r="241" ht="13.8" spans="2:12">
      <c r="B241" s="67" t="s">
        <v>3503</v>
      </c>
      <c r="C241" s="120" t="s">
        <v>229</v>
      </c>
      <c r="D241" s="67" t="s">
        <v>4598</v>
      </c>
      <c r="E241" s="109" t="s">
        <v>422</v>
      </c>
      <c r="F241" s="67" t="s">
        <v>3503</v>
      </c>
      <c r="G241" s="67" t="s">
        <v>392</v>
      </c>
      <c r="H241" s="55"/>
      <c r="I241" s="55"/>
      <c r="J241" s="55"/>
      <c r="K241" s="55"/>
      <c r="L241" s="55"/>
    </row>
    <row r="242" ht="13.8" spans="2:12">
      <c r="B242" s="67" t="s">
        <v>3506</v>
      </c>
      <c r="C242" s="120" t="s">
        <v>229</v>
      </c>
      <c r="D242" s="67" t="s">
        <v>4600</v>
      </c>
      <c r="E242" s="109" t="s">
        <v>422</v>
      </c>
      <c r="F242" s="67" t="s">
        <v>3506</v>
      </c>
      <c r="G242" s="67" t="s">
        <v>392</v>
      </c>
      <c r="H242" s="55"/>
      <c r="I242" s="55"/>
      <c r="J242" s="55"/>
      <c r="K242" s="55"/>
      <c r="L242" s="55"/>
    </row>
    <row r="243" ht="13.8" spans="2:12">
      <c r="B243" s="67" t="s">
        <v>3509</v>
      </c>
      <c r="C243" s="120" t="s">
        <v>229</v>
      </c>
      <c r="D243" s="67" t="s">
        <v>4602</v>
      </c>
      <c r="E243" s="109" t="s">
        <v>422</v>
      </c>
      <c r="F243" s="67" t="s">
        <v>3509</v>
      </c>
      <c r="G243" s="67" t="s">
        <v>392</v>
      </c>
      <c r="H243" s="55"/>
      <c r="I243" s="55"/>
      <c r="J243" s="55"/>
      <c r="K243" s="55"/>
      <c r="L243" s="55"/>
    </row>
    <row r="244" ht="13.8" spans="2:12">
      <c r="B244" s="67" t="s">
        <v>3422</v>
      </c>
      <c r="C244" s="120" t="s">
        <v>229</v>
      </c>
      <c r="D244" s="67" t="s">
        <v>4604</v>
      </c>
      <c r="E244" s="109" t="s">
        <v>422</v>
      </c>
      <c r="F244" s="67" t="s">
        <v>3422</v>
      </c>
      <c r="G244" s="67" t="s">
        <v>392</v>
      </c>
      <c r="H244" s="55"/>
      <c r="I244" s="55"/>
      <c r="J244" s="55"/>
      <c r="K244" s="55"/>
      <c r="L244" s="55"/>
    </row>
    <row r="245" ht="13.8" spans="2:12">
      <c r="B245" s="67" t="s">
        <v>3424</v>
      </c>
      <c r="C245" s="120" t="s">
        <v>229</v>
      </c>
      <c r="D245" s="67" t="s">
        <v>4606</v>
      </c>
      <c r="E245" s="109" t="s">
        <v>422</v>
      </c>
      <c r="F245" s="67" t="s">
        <v>3424</v>
      </c>
      <c r="G245" s="67" t="s">
        <v>392</v>
      </c>
      <c r="H245" s="55"/>
      <c r="I245" s="55"/>
      <c r="J245" s="55"/>
      <c r="K245" s="55"/>
      <c r="L245" s="55"/>
    </row>
    <row r="246" ht="13.8" spans="2:12">
      <c r="B246" s="68" t="s">
        <v>3512</v>
      </c>
      <c r="C246" s="122" t="s">
        <v>229</v>
      </c>
      <c r="D246" s="68" t="s">
        <v>4608</v>
      </c>
      <c r="E246" s="109" t="s">
        <v>422</v>
      </c>
      <c r="F246" s="68" t="s">
        <v>3512</v>
      </c>
      <c r="G246" s="67" t="s">
        <v>392</v>
      </c>
      <c r="H246" s="55"/>
      <c r="I246" s="55"/>
      <c r="J246" s="55"/>
      <c r="K246" s="55"/>
      <c r="L246" s="55"/>
    </row>
    <row r="247" ht="13.8" spans="1:12">
      <c r="A247" s="123"/>
      <c r="B247" s="121" t="s">
        <v>2026</v>
      </c>
      <c r="C247" s="120" t="s">
        <v>2724</v>
      </c>
      <c r="D247" s="121" t="s">
        <v>2027</v>
      </c>
      <c r="E247" s="109" t="s">
        <v>422</v>
      </c>
      <c r="F247" s="121" t="s">
        <v>2026</v>
      </c>
      <c r="G247" s="67" t="s">
        <v>392</v>
      </c>
      <c r="H247" s="55"/>
      <c r="I247" s="55"/>
      <c r="J247" s="55"/>
      <c r="K247" s="55"/>
      <c r="L247" s="55"/>
    </row>
    <row r="248" ht="13.8" spans="1:12">
      <c r="A248" s="123"/>
      <c r="B248" s="121" t="s">
        <v>2029</v>
      </c>
      <c r="C248" s="120" t="s">
        <v>2724</v>
      </c>
      <c r="D248" s="121" t="s">
        <v>2030</v>
      </c>
      <c r="E248" s="109" t="s">
        <v>422</v>
      </c>
      <c r="F248" s="121" t="s">
        <v>2029</v>
      </c>
      <c r="G248" s="67" t="s">
        <v>392</v>
      </c>
      <c r="H248" s="55"/>
      <c r="I248" s="55"/>
      <c r="J248" s="55"/>
      <c r="K248" s="55"/>
      <c r="L248" s="55"/>
    </row>
    <row r="249" ht="13.8" spans="1:12">
      <c r="A249" s="123"/>
      <c r="B249" s="121" t="s">
        <v>2034</v>
      </c>
      <c r="C249" s="120" t="s">
        <v>2724</v>
      </c>
      <c r="D249" s="121" t="s">
        <v>2035</v>
      </c>
      <c r="E249" s="109" t="s">
        <v>422</v>
      </c>
      <c r="F249" s="121" t="s">
        <v>2034</v>
      </c>
      <c r="G249" s="67" t="s">
        <v>392</v>
      </c>
      <c r="H249" s="55"/>
      <c r="I249" s="55"/>
      <c r="J249" s="55"/>
      <c r="K249" s="55"/>
      <c r="L249" s="55"/>
    </row>
    <row r="250" ht="13.8" spans="1:12">
      <c r="A250" s="123"/>
      <c r="B250" s="121" t="s">
        <v>2041</v>
      </c>
      <c r="C250" s="121" t="s">
        <v>229</v>
      </c>
      <c r="D250" s="121" t="s">
        <v>2042</v>
      </c>
      <c r="E250" s="109" t="s">
        <v>422</v>
      </c>
      <c r="F250" s="121" t="s">
        <v>2041</v>
      </c>
      <c r="G250" s="67" t="s">
        <v>392</v>
      </c>
      <c r="H250" s="118"/>
      <c r="I250" s="55"/>
      <c r="J250" s="55"/>
      <c r="K250" s="55"/>
      <c r="L250" s="55"/>
    </row>
    <row r="251" ht="13.8" spans="1:12">
      <c r="A251" s="123"/>
      <c r="B251" s="121" t="s">
        <v>2045</v>
      </c>
      <c r="C251" s="121" t="s">
        <v>229</v>
      </c>
      <c r="D251" s="121" t="s">
        <v>2046</v>
      </c>
      <c r="E251" s="109" t="s">
        <v>422</v>
      </c>
      <c r="F251" s="121" t="s">
        <v>2045</v>
      </c>
      <c r="G251" s="67" t="s">
        <v>392</v>
      </c>
      <c r="H251" s="118"/>
      <c r="I251" s="55"/>
      <c r="J251" s="55"/>
      <c r="K251" s="55"/>
      <c r="L251" s="55"/>
    </row>
    <row r="252" ht="13.8" spans="1:12">
      <c r="A252" s="123"/>
      <c r="B252" s="121" t="s">
        <v>2177</v>
      </c>
      <c r="C252" s="121" t="s">
        <v>229</v>
      </c>
      <c r="D252" s="121" t="s">
        <v>2178</v>
      </c>
      <c r="E252" s="109" t="s">
        <v>422</v>
      </c>
      <c r="F252" s="121" t="s">
        <v>2177</v>
      </c>
      <c r="G252" s="67" t="s">
        <v>392</v>
      </c>
      <c r="H252" s="118"/>
      <c r="I252" s="55"/>
      <c r="J252" s="55"/>
      <c r="K252" s="55"/>
      <c r="L252" s="55"/>
    </row>
    <row r="253" ht="13.8" spans="1:12">
      <c r="A253" s="123"/>
      <c r="B253" s="121" t="s">
        <v>2181</v>
      </c>
      <c r="C253" s="121" t="s">
        <v>229</v>
      </c>
      <c r="D253" s="121" t="s">
        <v>2182</v>
      </c>
      <c r="E253" s="109" t="s">
        <v>422</v>
      </c>
      <c r="F253" s="121" t="s">
        <v>2181</v>
      </c>
      <c r="G253" s="67" t="s">
        <v>392</v>
      </c>
      <c r="H253" s="118"/>
      <c r="I253" s="55"/>
      <c r="J253" s="55"/>
      <c r="K253" s="55"/>
      <c r="L253" s="55"/>
    </row>
    <row r="254" ht="13.8" spans="1:12">
      <c r="A254" s="123"/>
      <c r="B254" s="121" t="s">
        <v>2185</v>
      </c>
      <c r="C254" s="121" t="s">
        <v>229</v>
      </c>
      <c r="D254" s="121" t="s">
        <v>2186</v>
      </c>
      <c r="E254" s="109" t="s">
        <v>422</v>
      </c>
      <c r="F254" s="121" t="s">
        <v>2185</v>
      </c>
      <c r="G254" s="67" t="s">
        <v>392</v>
      </c>
      <c r="H254" s="118"/>
      <c r="I254" s="55"/>
      <c r="J254" s="55"/>
      <c r="K254" s="55"/>
      <c r="L254" s="55"/>
    </row>
    <row r="255" ht="13.8" spans="1:12">
      <c r="A255" s="123"/>
      <c r="B255" s="121" t="s">
        <v>2189</v>
      </c>
      <c r="C255" s="121" t="s">
        <v>229</v>
      </c>
      <c r="D255" s="121" t="s">
        <v>2190</v>
      </c>
      <c r="E255" s="109" t="s">
        <v>422</v>
      </c>
      <c r="F255" s="121" t="s">
        <v>2189</v>
      </c>
      <c r="G255" s="67" t="s">
        <v>392</v>
      </c>
      <c r="H255" s="118"/>
      <c r="I255" s="55"/>
      <c r="J255" s="55"/>
      <c r="K255" s="55"/>
      <c r="L255" s="55"/>
    </row>
    <row r="256" ht="13.8" spans="1:12">
      <c r="A256" s="123"/>
      <c r="B256" s="121" t="s">
        <v>2193</v>
      </c>
      <c r="C256" s="121" t="s">
        <v>229</v>
      </c>
      <c r="D256" s="121" t="s">
        <v>2194</v>
      </c>
      <c r="E256" s="109" t="s">
        <v>422</v>
      </c>
      <c r="F256" s="121" t="s">
        <v>2193</v>
      </c>
      <c r="G256" s="67" t="s">
        <v>392</v>
      </c>
      <c r="H256" s="118"/>
      <c r="I256" s="55"/>
      <c r="J256" s="55"/>
      <c r="K256" s="55"/>
      <c r="L256" s="55"/>
    </row>
    <row r="257" ht="13.8" spans="1:12">
      <c r="A257" s="123"/>
      <c r="B257" s="121" t="s">
        <v>2197</v>
      </c>
      <c r="C257" s="121" t="s">
        <v>229</v>
      </c>
      <c r="D257" s="121" t="s">
        <v>2198</v>
      </c>
      <c r="E257" s="109" t="s">
        <v>422</v>
      </c>
      <c r="F257" s="121" t="s">
        <v>2197</v>
      </c>
      <c r="G257" s="67" t="s">
        <v>392</v>
      </c>
      <c r="H257" s="118"/>
      <c r="I257" s="55"/>
      <c r="J257" s="55"/>
      <c r="K257" s="55"/>
      <c r="L257" s="55"/>
    </row>
    <row r="258" ht="13.8" spans="1:12">
      <c r="A258" s="123"/>
      <c r="B258" s="121" t="s">
        <v>2049</v>
      </c>
      <c r="C258" s="120" t="s">
        <v>229</v>
      </c>
      <c r="D258" s="121" t="s">
        <v>3837</v>
      </c>
      <c r="E258" s="109" t="s">
        <v>422</v>
      </c>
      <c r="F258" s="121" t="s">
        <v>2049</v>
      </c>
      <c r="G258" s="67" t="s">
        <v>392</v>
      </c>
      <c r="H258" s="118"/>
      <c r="I258" s="55"/>
      <c r="J258" s="55"/>
      <c r="K258" s="55"/>
      <c r="L258" s="55"/>
    </row>
    <row r="259" ht="13.8" spans="1:12">
      <c r="A259" s="123"/>
      <c r="B259" s="124" t="s">
        <v>3839</v>
      </c>
      <c r="C259" s="120" t="s">
        <v>229</v>
      </c>
      <c r="D259" s="121" t="s">
        <v>4619</v>
      </c>
      <c r="E259" s="109" t="s">
        <v>422</v>
      </c>
      <c r="F259" s="124" t="s">
        <v>3839</v>
      </c>
      <c r="G259" s="67" t="s">
        <v>392</v>
      </c>
      <c r="H259" s="118"/>
      <c r="I259" s="55"/>
      <c r="J259" s="55"/>
      <c r="K259" s="55"/>
      <c r="L259" s="55"/>
    </row>
    <row r="260" ht="13.8" spans="1:12">
      <c r="A260" s="123"/>
      <c r="B260" s="124" t="s">
        <v>3840</v>
      </c>
      <c r="C260" s="120" t="s">
        <v>229</v>
      </c>
      <c r="D260" s="121" t="s">
        <v>4621</v>
      </c>
      <c r="E260" s="109" t="s">
        <v>422</v>
      </c>
      <c r="F260" s="124" t="s">
        <v>3840</v>
      </c>
      <c r="G260" s="67" t="s">
        <v>392</v>
      </c>
      <c r="H260" s="118"/>
      <c r="I260" s="55"/>
      <c r="J260" s="55"/>
      <c r="K260" s="55"/>
      <c r="L260" s="55"/>
    </row>
    <row r="261" s="40" customFormat="1" spans="1:12">
      <c r="A261" s="123"/>
      <c r="B261" s="124" t="s">
        <v>3993</v>
      </c>
      <c r="C261" s="125" t="s">
        <v>203</v>
      </c>
      <c r="D261" s="125" t="s">
        <v>2537</v>
      </c>
      <c r="E261" s="109" t="s">
        <v>422</v>
      </c>
      <c r="F261" s="124" t="s">
        <v>3993</v>
      </c>
      <c r="G261" s="126" t="s">
        <v>6035</v>
      </c>
      <c r="H261" s="118"/>
      <c r="I261" s="118"/>
      <c r="J261" s="118"/>
      <c r="K261" s="118"/>
      <c r="L261" s="118"/>
    </row>
    <row r="262" s="40" customFormat="1" spans="1:12">
      <c r="A262" s="123"/>
      <c r="B262" s="126" t="s">
        <v>4018</v>
      </c>
      <c r="C262" s="125" t="s">
        <v>203</v>
      </c>
      <c r="D262" s="125" t="s">
        <v>4624</v>
      </c>
      <c r="E262" s="109" t="s">
        <v>422</v>
      </c>
      <c r="F262" s="126" t="s">
        <v>4018</v>
      </c>
      <c r="G262" s="126" t="s">
        <v>6035</v>
      </c>
      <c r="H262" s="118"/>
      <c r="I262" s="118"/>
      <c r="J262" s="118"/>
      <c r="K262" s="118"/>
      <c r="L262" s="118"/>
    </row>
    <row r="263" s="40" customFormat="1" spans="1:12">
      <c r="A263" s="123"/>
      <c r="B263" s="126" t="s">
        <v>3857</v>
      </c>
      <c r="C263" s="120" t="s">
        <v>229</v>
      </c>
      <c r="D263" s="125" t="s">
        <v>4626</v>
      </c>
      <c r="E263" s="109" t="s">
        <v>422</v>
      </c>
      <c r="F263" s="126" t="s">
        <v>3857</v>
      </c>
      <c r="G263" s="67" t="s">
        <v>392</v>
      </c>
      <c r="H263" s="118"/>
      <c r="I263" s="118"/>
      <c r="J263" s="118"/>
      <c r="K263" s="118"/>
      <c r="L263" s="118"/>
    </row>
    <row r="264" ht="15.6" spans="1:14">
      <c r="A264" s="100"/>
      <c r="B264" s="67" t="s">
        <v>239</v>
      </c>
      <c r="C264" s="67" t="s">
        <v>170</v>
      </c>
      <c r="D264" s="67" t="s">
        <v>240</v>
      </c>
      <c r="E264" s="109"/>
      <c r="F264" s="109"/>
      <c r="G264" s="109"/>
      <c r="H264" s="109"/>
      <c r="I264" s="109"/>
      <c r="J264" s="109"/>
      <c r="K264" s="109"/>
      <c r="L264" s="67"/>
      <c r="M264" s="100"/>
      <c r="N264" s="100"/>
    </row>
    <row r="265" ht="15.6" spans="1:14">
      <c r="A265" s="100"/>
      <c r="B265" s="67" t="s">
        <v>177</v>
      </c>
      <c r="C265" s="67" t="s">
        <v>175</v>
      </c>
      <c r="D265" s="67" t="s">
        <v>599</v>
      </c>
      <c r="E265" s="109"/>
      <c r="F265" s="109"/>
      <c r="G265" s="109"/>
      <c r="H265" s="109"/>
      <c r="I265" s="109"/>
      <c r="J265" s="109"/>
      <c r="K265" s="109"/>
      <c r="L265" s="67"/>
      <c r="M265" s="100"/>
      <c r="N265" s="100"/>
    </row>
  </sheetData>
  <mergeCells count="3">
    <mergeCell ref="B2:H2"/>
    <mergeCell ref="B6:H6"/>
    <mergeCell ref="B10:L10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hyperlinks>
    <hyperlink ref="B1" location="导航!B1" display="=HYPERLINK(&quot;#&quot;&amp;&quot;导航应用&quot;&amp;&quot;!B1&quot;,&quot;返回&quot;)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272"/>
  <sheetViews>
    <sheetView workbookViewId="0">
      <selection activeCell="J27" sqref="J27"/>
    </sheetView>
  </sheetViews>
  <sheetFormatPr defaultColWidth="9" defaultRowHeight="15.6"/>
  <cols>
    <col min="1" max="1" width="5" style="41" customWidth="1"/>
    <col min="2" max="2" width="29.75" style="41" customWidth="1"/>
    <col min="3" max="3" width="28.5" style="41" customWidth="1"/>
    <col min="4" max="4" width="20.5" style="41" customWidth="1"/>
    <col min="5" max="5" width="16.25" style="41" customWidth="1"/>
    <col min="6" max="6" width="31.3796296296296" style="41" customWidth="1"/>
    <col min="7" max="7" width="58.25" style="41" customWidth="1"/>
    <col min="8" max="8" width="12" style="41" customWidth="1"/>
    <col min="9" max="9" width="10.8796296296296" style="41" customWidth="1"/>
    <col min="10" max="10" width="12.5" style="41" customWidth="1"/>
    <col min="11" max="11" width="14.1296296296296" style="41" customWidth="1"/>
    <col min="12" max="12" width="12.3796296296296" style="42" customWidth="1"/>
    <col min="13" max="16384" width="9" style="42"/>
  </cols>
  <sheetData>
    <row r="1" s="40" customFormat="1" ht="15" spans="2:8">
      <c r="B1" s="43" t="str">
        <f>HYPERLINK("#"&amp;"导航应用"&amp;"!B1","返回")</f>
        <v>返回</v>
      </c>
      <c r="C1" s="106" t="str">
        <f>HYPERLINK("#D2!A2","D2")</f>
        <v>D2</v>
      </c>
      <c r="D1" s="44"/>
      <c r="E1" s="45"/>
      <c r="F1" s="46"/>
      <c r="G1" s="46"/>
      <c r="H1" s="47"/>
    </row>
    <row r="2" ht="17.4" spans="2:8">
      <c r="B2" s="48" t="s">
        <v>132</v>
      </c>
      <c r="C2" s="48"/>
      <c r="D2" s="48"/>
      <c r="E2" s="48"/>
      <c r="F2" s="48"/>
      <c r="G2" s="48"/>
      <c r="H2" s="48"/>
    </row>
    <row r="3" spans="2:8">
      <c r="B3" s="49" t="s">
        <v>133</v>
      </c>
      <c r="C3" s="49" t="s">
        <v>134</v>
      </c>
      <c r="D3" s="49" t="s">
        <v>135</v>
      </c>
      <c r="E3" s="49" t="s">
        <v>136</v>
      </c>
      <c r="F3" s="49" t="s">
        <v>137</v>
      </c>
      <c r="G3" s="49" t="s">
        <v>138</v>
      </c>
      <c r="H3" s="49" t="s">
        <v>139</v>
      </c>
    </row>
    <row r="4" spans="2:14">
      <c r="B4" s="12"/>
      <c r="C4" s="107" t="s">
        <v>111</v>
      </c>
      <c r="D4" s="55" t="s">
        <v>6036</v>
      </c>
      <c r="E4" s="12" t="s">
        <v>174</v>
      </c>
      <c r="F4" s="51" t="s">
        <v>141</v>
      </c>
      <c r="G4" s="108"/>
      <c r="H4" s="108"/>
      <c r="N4" s="41"/>
    </row>
    <row r="5" spans="2:8">
      <c r="B5" s="52"/>
      <c r="C5" s="52"/>
      <c r="D5" s="52"/>
      <c r="E5" s="52"/>
      <c r="F5" s="52"/>
      <c r="G5" s="52"/>
      <c r="H5" s="52"/>
    </row>
    <row r="6" ht="17.4" spans="2:8">
      <c r="B6" s="48" t="s">
        <v>142</v>
      </c>
      <c r="C6" s="48"/>
      <c r="D6" s="48"/>
      <c r="E6" s="48"/>
      <c r="F6" s="48"/>
      <c r="G6" s="48"/>
      <c r="H6" s="48"/>
    </row>
    <row r="7" spans="2:8">
      <c r="B7" s="53" t="s">
        <v>143</v>
      </c>
      <c r="C7" s="53" t="s">
        <v>144</v>
      </c>
      <c r="D7" s="53" t="s">
        <v>145</v>
      </c>
      <c r="E7" s="53" t="s">
        <v>146</v>
      </c>
      <c r="F7" s="53" t="s">
        <v>147</v>
      </c>
      <c r="G7" s="53" t="s">
        <v>13</v>
      </c>
      <c r="H7" s="53" t="s">
        <v>148</v>
      </c>
    </row>
    <row r="8" spans="2:8">
      <c r="B8" s="109"/>
      <c r="C8" s="107" t="s">
        <v>99</v>
      </c>
      <c r="D8" s="55" t="s">
        <v>4628</v>
      </c>
      <c r="E8" s="109" t="s">
        <v>422</v>
      </c>
      <c r="F8" s="109"/>
      <c r="G8" s="67"/>
      <c r="H8" s="16" t="s">
        <v>21</v>
      </c>
    </row>
    <row r="9" spans="2:8">
      <c r="B9" s="109"/>
      <c r="C9" s="67"/>
      <c r="D9" s="67"/>
      <c r="E9" s="109"/>
      <c r="F9" s="109"/>
      <c r="G9" s="110"/>
      <c r="H9" s="16"/>
    </row>
    <row r="10" spans="2:12">
      <c r="B10" s="111" t="s">
        <v>158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</row>
    <row r="11" ht="24" spans="2:12">
      <c r="B11" s="58" t="s">
        <v>159</v>
      </c>
      <c r="C11" s="58" t="s">
        <v>160</v>
      </c>
      <c r="D11" s="58" t="s">
        <v>161</v>
      </c>
      <c r="E11" s="58" t="s">
        <v>162</v>
      </c>
      <c r="F11" s="58" t="s">
        <v>163</v>
      </c>
      <c r="G11" s="58" t="s">
        <v>164</v>
      </c>
      <c r="H11" s="58" t="s">
        <v>165</v>
      </c>
      <c r="I11" s="58" t="s">
        <v>13</v>
      </c>
      <c r="J11" s="58" t="s">
        <v>166</v>
      </c>
      <c r="K11" s="58" t="s">
        <v>167</v>
      </c>
      <c r="L11" s="58" t="s">
        <v>168</v>
      </c>
    </row>
    <row r="12" spans="2:12">
      <c r="B12" s="112" t="s">
        <v>174</v>
      </c>
      <c r="C12" s="113" t="s">
        <v>175</v>
      </c>
      <c r="D12" s="113" t="s">
        <v>4251</v>
      </c>
      <c r="E12" s="12" t="s">
        <v>422</v>
      </c>
      <c r="F12" s="12"/>
      <c r="G12" s="67" t="s">
        <v>174</v>
      </c>
      <c r="H12" s="67"/>
      <c r="I12" s="55"/>
      <c r="J12" s="12"/>
      <c r="K12" s="12"/>
      <c r="L12" s="12"/>
    </row>
    <row r="13" spans="2:12">
      <c r="B13" s="114" t="s">
        <v>169</v>
      </c>
      <c r="C13" s="12" t="s">
        <v>170</v>
      </c>
      <c r="D13" s="12" t="s">
        <v>1985</v>
      </c>
      <c r="E13" s="12" t="s">
        <v>422</v>
      </c>
      <c r="F13" s="12"/>
      <c r="G13" s="67" t="s">
        <v>169</v>
      </c>
      <c r="H13" s="67"/>
      <c r="I13" s="12"/>
      <c r="J13" s="12"/>
      <c r="K13" s="12"/>
      <c r="L13" s="55"/>
    </row>
    <row r="14" spans="2:12">
      <c r="B14" s="114" t="s">
        <v>178</v>
      </c>
      <c r="C14" s="12" t="s">
        <v>170</v>
      </c>
      <c r="D14" s="12" t="s">
        <v>4255</v>
      </c>
      <c r="E14" s="12" t="s">
        <v>422</v>
      </c>
      <c r="F14" s="12"/>
      <c r="G14" s="67" t="s">
        <v>178</v>
      </c>
      <c r="H14" s="67"/>
      <c r="I14" s="12"/>
      <c r="J14" s="12"/>
      <c r="K14" s="12"/>
      <c r="L14" s="55"/>
    </row>
    <row r="15" spans="2:12">
      <c r="B15" s="114" t="s">
        <v>180</v>
      </c>
      <c r="C15" s="12" t="s">
        <v>170</v>
      </c>
      <c r="D15" s="12" t="s">
        <v>1547</v>
      </c>
      <c r="E15" s="12" t="s">
        <v>422</v>
      </c>
      <c r="F15" s="12"/>
      <c r="G15" s="67" t="s">
        <v>180</v>
      </c>
      <c r="H15" s="67"/>
      <c r="I15" s="12"/>
      <c r="J15" s="12"/>
      <c r="K15" s="12"/>
      <c r="L15" s="55"/>
    </row>
    <row r="16" spans="2:12">
      <c r="B16" s="114" t="s">
        <v>211</v>
      </c>
      <c r="C16" s="12" t="s">
        <v>175</v>
      </c>
      <c r="D16" s="12" t="s">
        <v>4256</v>
      </c>
      <c r="E16" s="12" t="s">
        <v>422</v>
      </c>
      <c r="F16" s="12"/>
      <c r="G16" s="67" t="s">
        <v>4632</v>
      </c>
      <c r="H16" s="67"/>
      <c r="I16" s="12"/>
      <c r="J16" s="12"/>
      <c r="K16" s="12"/>
      <c r="L16" s="55"/>
    </row>
    <row r="17" spans="2:12">
      <c r="B17" s="114" t="s">
        <v>191</v>
      </c>
      <c r="C17" s="12" t="s">
        <v>175</v>
      </c>
      <c r="D17" s="12" t="s">
        <v>192</v>
      </c>
      <c r="E17" s="12" t="s">
        <v>422</v>
      </c>
      <c r="F17" s="12"/>
      <c r="G17" s="67" t="s">
        <v>4633</v>
      </c>
      <c r="H17" s="67"/>
      <c r="I17" s="12"/>
      <c r="J17" s="12"/>
      <c r="K17" s="12"/>
      <c r="L17" s="55"/>
    </row>
    <row r="18" spans="2:12">
      <c r="B18" s="114" t="s">
        <v>188</v>
      </c>
      <c r="C18" s="12" t="s">
        <v>175</v>
      </c>
      <c r="D18" s="12" t="s">
        <v>189</v>
      </c>
      <c r="E18" s="12" t="s">
        <v>422</v>
      </c>
      <c r="F18" s="12"/>
      <c r="G18" s="67" t="s">
        <v>188</v>
      </c>
      <c r="H18" s="67"/>
      <c r="I18" s="12"/>
      <c r="J18" s="12"/>
      <c r="K18" s="12"/>
      <c r="L18" s="55"/>
    </row>
    <row r="19" spans="2:12">
      <c r="B19" s="114" t="s">
        <v>246</v>
      </c>
      <c r="C19" s="12" t="s">
        <v>175</v>
      </c>
      <c r="D19" s="12" t="s">
        <v>1980</v>
      </c>
      <c r="E19" s="12" t="s">
        <v>422</v>
      </c>
      <c r="F19" s="12"/>
      <c r="G19" s="67" t="s">
        <v>4634</v>
      </c>
      <c r="H19" s="67"/>
      <c r="I19" s="12"/>
      <c r="J19" s="12"/>
      <c r="K19" s="12"/>
      <c r="L19" s="55"/>
    </row>
    <row r="20" spans="2:12">
      <c r="B20" s="114" t="s">
        <v>248</v>
      </c>
      <c r="C20" s="12" t="s">
        <v>175</v>
      </c>
      <c r="D20" s="12" t="s">
        <v>4635</v>
      </c>
      <c r="E20" s="12" t="s">
        <v>422</v>
      </c>
      <c r="F20" s="12"/>
      <c r="G20" s="67" t="s">
        <v>248</v>
      </c>
      <c r="H20" s="67"/>
      <c r="I20" s="12"/>
      <c r="J20" s="12"/>
      <c r="K20" s="12"/>
      <c r="L20" s="55"/>
    </row>
    <row r="21" spans="2:12">
      <c r="B21" s="114" t="s">
        <v>252</v>
      </c>
      <c r="C21" s="12" t="s">
        <v>175</v>
      </c>
      <c r="D21" s="12" t="s">
        <v>613</v>
      </c>
      <c r="E21" s="12" t="s">
        <v>422</v>
      </c>
      <c r="F21" s="12"/>
      <c r="G21" s="67" t="s">
        <v>4636</v>
      </c>
      <c r="H21" s="67"/>
      <c r="I21" s="12"/>
      <c r="J21" s="12"/>
      <c r="K21" s="12"/>
      <c r="L21" s="55"/>
    </row>
    <row r="22" spans="2:12">
      <c r="B22" s="114" t="s">
        <v>4637</v>
      </c>
      <c r="C22" s="12" t="s">
        <v>175</v>
      </c>
      <c r="D22" s="12" t="e">
        <v>#N/A</v>
      </c>
      <c r="E22" s="12" t="s">
        <v>422</v>
      </c>
      <c r="F22" s="12"/>
      <c r="G22" s="67" t="s">
        <v>1564</v>
      </c>
      <c r="H22" s="67"/>
      <c r="I22" s="12"/>
      <c r="J22" s="12"/>
      <c r="K22" s="12"/>
      <c r="L22" s="55"/>
    </row>
    <row r="23" spans="2:12">
      <c r="B23" s="114" t="s">
        <v>1867</v>
      </c>
      <c r="C23" s="12" t="s">
        <v>175</v>
      </c>
      <c r="D23" s="12" t="s">
        <v>2795</v>
      </c>
      <c r="E23" s="12" t="s">
        <v>422</v>
      </c>
      <c r="F23" s="12"/>
      <c r="G23" s="67" t="s">
        <v>4638</v>
      </c>
      <c r="H23" s="67"/>
      <c r="I23" s="12"/>
      <c r="J23" s="12"/>
      <c r="K23" s="12"/>
      <c r="L23" s="55"/>
    </row>
    <row r="24" spans="2:12">
      <c r="B24" s="114" t="s">
        <v>746</v>
      </c>
      <c r="C24" s="12" t="s">
        <v>175</v>
      </c>
      <c r="D24" s="12" t="s">
        <v>4261</v>
      </c>
      <c r="E24" s="12" t="s">
        <v>422</v>
      </c>
      <c r="F24" s="115" t="s">
        <v>746</v>
      </c>
      <c r="G24" s="67" t="s">
        <v>746</v>
      </c>
      <c r="H24" s="67"/>
      <c r="I24" s="12"/>
      <c r="J24" s="12"/>
      <c r="K24" s="12"/>
      <c r="L24" s="55"/>
    </row>
    <row r="25" spans="2:12">
      <c r="B25" s="12" t="s">
        <v>255</v>
      </c>
      <c r="C25" s="12" t="s">
        <v>229</v>
      </c>
      <c r="D25" s="12" t="s">
        <v>618</v>
      </c>
      <c r="E25" s="12" t="s">
        <v>422</v>
      </c>
      <c r="F25" s="115" t="s">
        <v>255</v>
      </c>
      <c r="G25" s="67" t="s">
        <v>392</v>
      </c>
      <c r="H25" s="67"/>
      <c r="I25" s="12"/>
      <c r="J25" s="12"/>
      <c r="K25" s="12"/>
      <c r="L25" s="55"/>
    </row>
    <row r="26" spans="2:12">
      <c r="B26" s="12" t="s">
        <v>4263</v>
      </c>
      <c r="C26" s="12" t="s">
        <v>229</v>
      </c>
      <c r="D26" s="12" t="s">
        <v>4264</v>
      </c>
      <c r="E26" s="12" t="s">
        <v>422</v>
      </c>
      <c r="F26" s="115" t="s">
        <v>4263</v>
      </c>
      <c r="G26" s="67" t="s">
        <v>392</v>
      </c>
      <c r="H26" s="67"/>
      <c r="I26" s="12"/>
      <c r="J26" s="12"/>
      <c r="K26" s="12"/>
      <c r="L26" s="55"/>
    </row>
    <row r="27" spans="2:12">
      <c r="B27" s="12" t="s">
        <v>4266</v>
      </c>
      <c r="C27" s="12" t="s">
        <v>229</v>
      </c>
      <c r="D27" s="12" t="s">
        <v>4267</v>
      </c>
      <c r="E27" s="12" t="s">
        <v>422</v>
      </c>
      <c r="F27" s="115"/>
      <c r="G27" s="67" t="s">
        <v>5595</v>
      </c>
      <c r="H27" s="67"/>
      <c r="I27" s="12"/>
      <c r="J27" s="12"/>
      <c r="K27" s="12"/>
      <c r="L27" s="55"/>
    </row>
    <row r="28" spans="2:12">
      <c r="B28" s="12" t="s">
        <v>4269</v>
      </c>
      <c r="C28" s="12" t="s">
        <v>229</v>
      </c>
      <c r="D28" s="12" t="s">
        <v>1847</v>
      </c>
      <c r="E28" s="12" t="s">
        <v>422</v>
      </c>
      <c r="F28" s="115" t="s">
        <v>4269</v>
      </c>
      <c r="G28" s="67" t="s">
        <v>392</v>
      </c>
      <c r="H28" s="67"/>
      <c r="I28" s="12"/>
      <c r="J28" s="12"/>
      <c r="K28" s="12"/>
      <c r="L28" s="55"/>
    </row>
    <row r="29" spans="2:12">
      <c r="B29" s="12" t="s">
        <v>4271</v>
      </c>
      <c r="C29" s="12" t="s">
        <v>229</v>
      </c>
      <c r="D29" s="12" t="s">
        <v>1849</v>
      </c>
      <c r="E29" s="12" t="s">
        <v>422</v>
      </c>
      <c r="F29" s="115" t="s">
        <v>4271</v>
      </c>
      <c r="G29" s="67" t="s">
        <v>392</v>
      </c>
      <c r="H29" s="67"/>
      <c r="I29" s="12"/>
      <c r="J29" s="12"/>
      <c r="K29" s="12"/>
      <c r="L29" s="55"/>
    </row>
    <row r="30" spans="2:12">
      <c r="B30" s="12" t="s">
        <v>4273</v>
      </c>
      <c r="C30" s="12" t="s">
        <v>229</v>
      </c>
      <c r="D30" s="12" t="s">
        <v>1851</v>
      </c>
      <c r="E30" s="12" t="s">
        <v>422</v>
      </c>
      <c r="F30" s="115" t="s">
        <v>4273</v>
      </c>
      <c r="G30" s="67" t="s">
        <v>392</v>
      </c>
      <c r="H30" s="67"/>
      <c r="I30" s="12"/>
      <c r="J30" s="12"/>
      <c r="K30" s="12"/>
      <c r="L30" s="55"/>
    </row>
    <row r="31" spans="2:12">
      <c r="B31" s="12" t="s">
        <v>4275</v>
      </c>
      <c r="C31" s="12" t="s">
        <v>229</v>
      </c>
      <c r="D31" s="12" t="s">
        <v>1853</v>
      </c>
      <c r="E31" s="12" t="s">
        <v>422</v>
      </c>
      <c r="F31" s="115" t="s">
        <v>4275</v>
      </c>
      <c r="G31" s="67" t="s">
        <v>392</v>
      </c>
      <c r="H31" s="67"/>
      <c r="I31" s="12"/>
      <c r="J31" s="12"/>
      <c r="K31" s="12"/>
      <c r="L31" s="55"/>
    </row>
    <row r="32" spans="2:12">
      <c r="B32" s="12" t="s">
        <v>4277</v>
      </c>
      <c r="C32" s="12" t="s">
        <v>229</v>
      </c>
      <c r="D32" s="12" t="s">
        <v>1855</v>
      </c>
      <c r="E32" s="12" t="s">
        <v>422</v>
      </c>
      <c r="F32" s="115" t="s">
        <v>4277</v>
      </c>
      <c r="G32" s="67" t="s">
        <v>392</v>
      </c>
      <c r="H32" s="67"/>
      <c r="I32" s="12"/>
      <c r="J32" s="12"/>
      <c r="K32" s="12"/>
      <c r="L32" s="55"/>
    </row>
    <row r="33" spans="2:12">
      <c r="B33" s="12" t="s">
        <v>4279</v>
      </c>
      <c r="C33" s="12" t="s">
        <v>229</v>
      </c>
      <c r="D33" s="12" t="s">
        <v>1857</v>
      </c>
      <c r="E33" s="12" t="s">
        <v>422</v>
      </c>
      <c r="F33" s="115" t="s">
        <v>4279</v>
      </c>
      <c r="G33" s="67" t="s">
        <v>392</v>
      </c>
      <c r="H33" s="67"/>
      <c r="I33" s="12"/>
      <c r="J33" s="12"/>
      <c r="K33" s="12"/>
      <c r="L33" s="55"/>
    </row>
    <row r="34" spans="2:12">
      <c r="B34" s="12" t="s">
        <v>257</v>
      </c>
      <c r="C34" s="12" t="s">
        <v>229</v>
      </c>
      <c r="D34" s="12" t="s">
        <v>394</v>
      </c>
      <c r="E34" s="12" t="s">
        <v>422</v>
      </c>
      <c r="F34" s="115" t="s">
        <v>257</v>
      </c>
      <c r="G34" s="67" t="s">
        <v>392</v>
      </c>
      <c r="H34" s="67"/>
      <c r="I34" s="12"/>
      <c r="J34" s="12"/>
      <c r="K34" s="12"/>
      <c r="L34" s="55"/>
    </row>
    <row r="35" spans="2:12">
      <c r="B35" s="12" t="s">
        <v>264</v>
      </c>
      <c r="C35" s="12" t="s">
        <v>229</v>
      </c>
      <c r="D35" s="12" t="s">
        <v>395</v>
      </c>
      <c r="E35" s="12" t="s">
        <v>422</v>
      </c>
      <c r="F35" s="115" t="s">
        <v>264</v>
      </c>
      <c r="G35" s="67" t="s">
        <v>392</v>
      </c>
      <c r="H35" s="67"/>
      <c r="I35" s="12"/>
      <c r="J35" s="12"/>
      <c r="K35" s="12"/>
      <c r="L35" s="55"/>
    </row>
    <row r="36" spans="2:12">
      <c r="B36" s="12" t="s">
        <v>1989</v>
      </c>
      <c r="C36" s="12" t="s">
        <v>229</v>
      </c>
      <c r="D36" s="12" t="s">
        <v>3821</v>
      </c>
      <c r="E36" s="12" t="s">
        <v>422</v>
      </c>
      <c r="F36" s="115" t="s">
        <v>1989</v>
      </c>
      <c r="G36" s="67" t="s">
        <v>392</v>
      </c>
      <c r="H36" s="67"/>
      <c r="I36" s="12"/>
      <c r="J36" s="12"/>
      <c r="K36" s="12"/>
      <c r="L36" s="55"/>
    </row>
    <row r="37" spans="2:12">
      <c r="B37" s="12" t="s">
        <v>1991</v>
      </c>
      <c r="C37" s="12" t="s">
        <v>229</v>
      </c>
      <c r="D37" s="12" t="s">
        <v>3822</v>
      </c>
      <c r="E37" s="12" t="s">
        <v>422</v>
      </c>
      <c r="F37" s="115" t="s">
        <v>1991</v>
      </c>
      <c r="G37" s="67" t="s">
        <v>392</v>
      </c>
      <c r="H37" s="67"/>
      <c r="I37" s="12"/>
      <c r="J37" s="12"/>
      <c r="K37" s="12"/>
      <c r="L37" s="55"/>
    </row>
    <row r="38" spans="2:12">
      <c r="B38" s="12" t="s">
        <v>4287</v>
      </c>
      <c r="C38" s="12" t="s">
        <v>229</v>
      </c>
      <c r="D38" s="12" t="s">
        <v>4651</v>
      </c>
      <c r="E38" s="12" t="s">
        <v>422</v>
      </c>
      <c r="F38" s="115" t="s">
        <v>4287</v>
      </c>
      <c r="G38" s="67" t="s">
        <v>392</v>
      </c>
      <c r="H38" s="67"/>
      <c r="I38" s="12"/>
      <c r="J38" s="12"/>
      <c r="K38" s="12"/>
      <c r="L38" s="55"/>
    </row>
    <row r="39" spans="2:12">
      <c r="B39" s="12" t="s">
        <v>4290</v>
      </c>
      <c r="C39" s="12" t="s">
        <v>229</v>
      </c>
      <c r="D39" s="12" t="s">
        <v>4653</v>
      </c>
      <c r="E39" s="12" t="s">
        <v>422</v>
      </c>
      <c r="F39" s="115" t="s">
        <v>4290</v>
      </c>
      <c r="G39" s="67" t="s">
        <v>392</v>
      </c>
      <c r="H39" s="67"/>
      <c r="I39" s="12"/>
      <c r="J39" s="12"/>
      <c r="K39" s="12"/>
      <c r="L39" s="55"/>
    </row>
    <row r="40" spans="2:12">
      <c r="B40" s="12" t="s">
        <v>1993</v>
      </c>
      <c r="C40" s="12" t="s">
        <v>229</v>
      </c>
      <c r="D40" s="12" t="s">
        <v>4655</v>
      </c>
      <c r="E40" s="12" t="s">
        <v>422</v>
      </c>
      <c r="F40" s="115" t="s">
        <v>1993</v>
      </c>
      <c r="G40" s="67" t="s">
        <v>392</v>
      </c>
      <c r="H40" s="67"/>
      <c r="I40" s="12"/>
      <c r="J40" s="12"/>
      <c r="K40" s="12"/>
      <c r="L40" s="55"/>
    </row>
    <row r="41" spans="2:12">
      <c r="B41" s="12" t="s">
        <v>1995</v>
      </c>
      <c r="C41" s="12" t="s">
        <v>229</v>
      </c>
      <c r="D41" s="12" t="s">
        <v>4657</v>
      </c>
      <c r="E41" s="12" t="s">
        <v>422</v>
      </c>
      <c r="F41" s="115" t="s">
        <v>1995</v>
      </c>
      <c r="G41" s="67" t="s">
        <v>392</v>
      </c>
      <c r="H41" s="67"/>
      <c r="I41" s="12"/>
      <c r="J41" s="12"/>
      <c r="K41" s="12"/>
      <c r="L41" s="55"/>
    </row>
    <row r="42" spans="2:12">
      <c r="B42" s="12" t="s">
        <v>4297</v>
      </c>
      <c r="C42" s="12" t="s">
        <v>229</v>
      </c>
      <c r="D42" s="12" t="s">
        <v>4298</v>
      </c>
      <c r="E42" s="12" t="s">
        <v>422</v>
      </c>
      <c r="F42" s="115"/>
      <c r="G42" s="67" t="s">
        <v>2489</v>
      </c>
      <c r="H42" s="67"/>
      <c r="I42" s="12"/>
      <c r="J42" s="12"/>
      <c r="K42" s="12"/>
      <c r="L42" s="55"/>
    </row>
    <row r="43" spans="2:12">
      <c r="B43" s="12" t="s">
        <v>4300</v>
      </c>
      <c r="C43" s="12" t="s">
        <v>229</v>
      </c>
      <c r="D43" s="12" t="s">
        <v>4301</v>
      </c>
      <c r="E43" s="12" t="s">
        <v>422</v>
      </c>
      <c r="F43" s="115"/>
      <c r="G43" s="67" t="s">
        <v>6037</v>
      </c>
      <c r="H43" s="67"/>
      <c r="I43" s="12"/>
      <c r="J43" s="12"/>
      <c r="K43" s="12"/>
      <c r="L43" s="55"/>
    </row>
    <row r="44" spans="2:12">
      <c r="B44" s="12" t="s">
        <v>4303</v>
      </c>
      <c r="C44" s="12" t="s">
        <v>229</v>
      </c>
      <c r="D44" s="12" t="s">
        <v>4304</v>
      </c>
      <c r="E44" s="12" t="s">
        <v>422</v>
      </c>
      <c r="F44" s="115"/>
      <c r="G44" s="67" t="s">
        <v>6005</v>
      </c>
      <c r="H44" s="67"/>
      <c r="I44" s="12"/>
      <c r="J44" s="12"/>
      <c r="K44" s="12"/>
      <c r="L44" s="55"/>
    </row>
    <row r="45" spans="2:12">
      <c r="B45" s="12" t="s">
        <v>4306</v>
      </c>
      <c r="C45" s="12" t="s">
        <v>229</v>
      </c>
      <c r="D45" s="12" t="s">
        <v>4307</v>
      </c>
      <c r="E45" s="12" t="s">
        <v>422</v>
      </c>
      <c r="F45" s="115"/>
      <c r="G45" s="67" t="s">
        <v>6038</v>
      </c>
      <c r="H45" s="67"/>
      <c r="I45" s="12"/>
      <c r="J45" s="12"/>
      <c r="K45" s="12"/>
      <c r="L45" s="55"/>
    </row>
    <row r="46" spans="2:12">
      <c r="B46" s="12" t="s">
        <v>4309</v>
      </c>
      <c r="C46" s="12" t="s">
        <v>229</v>
      </c>
      <c r="D46" s="12" t="s">
        <v>4310</v>
      </c>
      <c r="E46" s="12" t="s">
        <v>422</v>
      </c>
      <c r="F46" s="115"/>
      <c r="G46" s="67" t="s">
        <v>6039</v>
      </c>
      <c r="H46" s="67"/>
      <c r="I46" s="12"/>
      <c r="J46" s="12"/>
      <c r="K46" s="12"/>
      <c r="L46" s="55"/>
    </row>
    <row r="47" spans="2:12">
      <c r="B47" s="12" t="s">
        <v>4312</v>
      </c>
      <c r="C47" s="12" t="s">
        <v>229</v>
      </c>
      <c r="D47" s="12" t="s">
        <v>4313</v>
      </c>
      <c r="E47" s="12" t="s">
        <v>422</v>
      </c>
      <c r="F47" s="115"/>
      <c r="G47" s="67" t="s">
        <v>5606</v>
      </c>
      <c r="H47" s="67"/>
      <c r="I47" s="12"/>
      <c r="J47" s="12"/>
      <c r="K47" s="12"/>
      <c r="L47" s="55"/>
    </row>
    <row r="48" spans="2:12">
      <c r="B48" s="12" t="s">
        <v>1577</v>
      </c>
      <c r="C48" s="12" t="s">
        <v>229</v>
      </c>
      <c r="D48" s="12" t="s">
        <v>4315</v>
      </c>
      <c r="E48" s="12" t="s">
        <v>422</v>
      </c>
      <c r="F48" s="115" t="s">
        <v>1577</v>
      </c>
      <c r="G48" s="67" t="s">
        <v>392</v>
      </c>
      <c r="H48" s="67"/>
      <c r="I48" s="12"/>
      <c r="J48" s="12"/>
      <c r="K48" s="12"/>
      <c r="L48" s="55"/>
    </row>
    <row r="49" spans="2:12">
      <c r="B49" s="12" t="s">
        <v>1581</v>
      </c>
      <c r="C49" s="12" t="s">
        <v>229</v>
      </c>
      <c r="D49" s="12" t="s">
        <v>4317</v>
      </c>
      <c r="E49" s="12" t="s">
        <v>422</v>
      </c>
      <c r="F49" s="115" t="s">
        <v>1581</v>
      </c>
      <c r="G49" s="67" t="s">
        <v>392</v>
      </c>
      <c r="H49" s="67"/>
      <c r="I49" s="12"/>
      <c r="J49" s="12"/>
      <c r="K49" s="12"/>
      <c r="L49" s="55"/>
    </row>
    <row r="50" spans="2:12">
      <c r="B50" s="12" t="s">
        <v>1796</v>
      </c>
      <c r="C50" s="12" t="s">
        <v>229</v>
      </c>
      <c r="D50" s="12" t="s">
        <v>4319</v>
      </c>
      <c r="E50" s="12" t="s">
        <v>422</v>
      </c>
      <c r="F50" s="115" t="s">
        <v>1796</v>
      </c>
      <c r="G50" s="67" t="s">
        <v>392</v>
      </c>
      <c r="H50" s="67"/>
      <c r="I50" s="12"/>
      <c r="J50" s="12"/>
      <c r="K50" s="12"/>
      <c r="L50" s="55"/>
    </row>
    <row r="51" spans="2:12">
      <c r="B51" s="12" t="s">
        <v>1798</v>
      </c>
      <c r="C51" s="12" t="s">
        <v>229</v>
      </c>
      <c r="D51" s="12" t="s">
        <v>4321</v>
      </c>
      <c r="E51" s="12" t="s">
        <v>422</v>
      </c>
      <c r="F51" s="115" t="s">
        <v>1798</v>
      </c>
      <c r="G51" s="67" t="s">
        <v>392</v>
      </c>
      <c r="H51" s="67"/>
      <c r="I51" s="12"/>
      <c r="J51" s="12"/>
      <c r="K51" s="12"/>
      <c r="L51" s="55"/>
    </row>
    <row r="52" spans="2:12">
      <c r="B52" s="12" t="s">
        <v>4323</v>
      </c>
      <c r="C52" s="12" t="s">
        <v>229</v>
      </c>
      <c r="D52" s="12" t="s">
        <v>4324</v>
      </c>
      <c r="E52" s="12" t="s">
        <v>422</v>
      </c>
      <c r="F52" s="115"/>
      <c r="G52" s="67" t="s">
        <v>6040</v>
      </c>
      <c r="H52" s="67"/>
      <c r="I52" s="12"/>
      <c r="J52" s="12"/>
      <c r="K52" s="12"/>
      <c r="L52" s="55"/>
    </row>
    <row r="53" spans="2:12">
      <c r="B53" s="12" t="s">
        <v>4326</v>
      </c>
      <c r="C53" s="12" t="s">
        <v>229</v>
      </c>
      <c r="D53" s="12" t="s">
        <v>4327</v>
      </c>
      <c r="E53" s="12" t="s">
        <v>422</v>
      </c>
      <c r="F53" s="115"/>
      <c r="G53" s="67" t="s">
        <v>6007</v>
      </c>
      <c r="H53" s="67"/>
      <c r="I53" s="12"/>
      <c r="J53" s="12"/>
      <c r="K53" s="12"/>
      <c r="L53" s="55"/>
    </row>
    <row r="54" spans="2:12">
      <c r="B54" s="12" t="s">
        <v>4329</v>
      </c>
      <c r="C54" s="12" t="s">
        <v>229</v>
      </c>
      <c r="D54" s="12" t="s">
        <v>4330</v>
      </c>
      <c r="E54" s="12" t="s">
        <v>422</v>
      </c>
      <c r="F54" s="115"/>
      <c r="G54" s="67" t="s">
        <v>6008</v>
      </c>
      <c r="H54" s="67"/>
      <c r="I54" s="12"/>
      <c r="J54" s="12"/>
      <c r="K54" s="12"/>
      <c r="L54" s="55"/>
    </row>
    <row r="55" spans="2:12">
      <c r="B55" s="12" t="s">
        <v>1622</v>
      </c>
      <c r="C55" s="12" t="s">
        <v>229</v>
      </c>
      <c r="D55" s="12" t="s">
        <v>1623</v>
      </c>
      <c r="E55" s="12" t="s">
        <v>422</v>
      </c>
      <c r="F55" s="115" t="s">
        <v>1622</v>
      </c>
      <c r="G55" s="67" t="s">
        <v>392</v>
      </c>
      <c r="H55" s="67"/>
      <c r="I55" s="12"/>
      <c r="J55" s="12"/>
      <c r="K55" s="12"/>
      <c r="L55" s="55"/>
    </row>
    <row r="56" spans="2:12">
      <c r="B56" s="12" t="s">
        <v>1627</v>
      </c>
      <c r="C56" s="12" t="s">
        <v>229</v>
      </c>
      <c r="D56" s="12" t="s">
        <v>1628</v>
      </c>
      <c r="E56" s="12" t="s">
        <v>422</v>
      </c>
      <c r="F56" s="115" t="s">
        <v>1627</v>
      </c>
      <c r="G56" s="67" t="s">
        <v>392</v>
      </c>
      <c r="H56" s="67"/>
      <c r="I56" s="12"/>
      <c r="J56" s="12"/>
      <c r="K56" s="12"/>
      <c r="L56" s="55"/>
    </row>
    <row r="57" spans="2:12">
      <c r="B57" s="12" t="s">
        <v>1631</v>
      </c>
      <c r="C57" s="12" t="s">
        <v>229</v>
      </c>
      <c r="D57" s="12" t="s">
        <v>1632</v>
      </c>
      <c r="E57" s="12" t="s">
        <v>422</v>
      </c>
      <c r="F57" s="115" t="s">
        <v>1631</v>
      </c>
      <c r="G57" s="67" t="s">
        <v>392</v>
      </c>
      <c r="H57" s="67"/>
      <c r="I57" s="12"/>
      <c r="J57" s="12"/>
      <c r="K57" s="12"/>
      <c r="L57" s="55"/>
    </row>
    <row r="58" spans="2:12">
      <c r="B58" s="12" t="s">
        <v>1635</v>
      </c>
      <c r="C58" s="12" t="s">
        <v>229</v>
      </c>
      <c r="D58" s="12" t="s">
        <v>1636</v>
      </c>
      <c r="E58" s="12" t="s">
        <v>422</v>
      </c>
      <c r="F58" s="115" t="s">
        <v>1635</v>
      </c>
      <c r="G58" s="67" t="s">
        <v>392</v>
      </c>
      <c r="H58" s="67"/>
      <c r="I58" s="12"/>
      <c r="J58" s="12"/>
      <c r="K58" s="12"/>
      <c r="L58" s="55"/>
    </row>
    <row r="59" spans="2:12">
      <c r="B59" s="12" t="s">
        <v>1639</v>
      </c>
      <c r="C59" s="12" t="s">
        <v>229</v>
      </c>
      <c r="D59" s="12" t="s">
        <v>1640</v>
      </c>
      <c r="E59" s="12" t="s">
        <v>422</v>
      </c>
      <c r="F59" s="115" t="s">
        <v>1639</v>
      </c>
      <c r="G59" s="67" t="s">
        <v>392</v>
      </c>
      <c r="H59" s="67"/>
      <c r="I59" s="12"/>
      <c r="J59" s="12"/>
      <c r="K59" s="12"/>
      <c r="L59" s="55"/>
    </row>
    <row r="60" spans="2:12">
      <c r="B60" s="12" t="s">
        <v>1643</v>
      </c>
      <c r="C60" s="12" t="s">
        <v>229</v>
      </c>
      <c r="D60" s="12" t="s">
        <v>1644</v>
      </c>
      <c r="E60" s="12" t="s">
        <v>422</v>
      </c>
      <c r="F60" s="115" t="s">
        <v>1643</v>
      </c>
      <c r="G60" s="67" t="s">
        <v>392</v>
      </c>
      <c r="H60" s="67"/>
      <c r="I60" s="12"/>
      <c r="J60" s="12"/>
      <c r="K60" s="12"/>
      <c r="L60" s="55"/>
    </row>
    <row r="61" spans="2:12">
      <c r="B61" s="12" t="s">
        <v>2909</v>
      </c>
      <c r="C61" s="12" t="s">
        <v>229</v>
      </c>
      <c r="D61" s="12" t="s">
        <v>2910</v>
      </c>
      <c r="E61" s="12" t="s">
        <v>422</v>
      </c>
      <c r="F61" s="115" t="s">
        <v>2909</v>
      </c>
      <c r="G61" s="67" t="s">
        <v>392</v>
      </c>
      <c r="H61" s="67"/>
      <c r="I61" s="12"/>
      <c r="J61" s="12"/>
      <c r="K61" s="12"/>
      <c r="L61" s="55"/>
    </row>
    <row r="62" spans="2:12">
      <c r="B62" s="12" t="s">
        <v>2912</v>
      </c>
      <c r="C62" s="12" t="s">
        <v>229</v>
      </c>
      <c r="D62" s="12" t="s">
        <v>2913</v>
      </c>
      <c r="E62" s="12" t="s">
        <v>422</v>
      </c>
      <c r="F62" s="115" t="s">
        <v>2912</v>
      </c>
      <c r="G62" s="67" t="s">
        <v>392</v>
      </c>
      <c r="H62" s="67"/>
      <c r="I62" s="12"/>
      <c r="J62" s="12"/>
      <c r="K62" s="12"/>
      <c r="L62" s="55"/>
    </row>
    <row r="63" spans="2:12">
      <c r="B63" s="12" t="s">
        <v>2915</v>
      </c>
      <c r="C63" s="12" t="s">
        <v>229</v>
      </c>
      <c r="D63" s="12" t="s">
        <v>2916</v>
      </c>
      <c r="E63" s="12" t="s">
        <v>422</v>
      </c>
      <c r="F63" s="115"/>
      <c r="G63" s="67" t="s">
        <v>6009</v>
      </c>
      <c r="H63" s="67"/>
      <c r="I63" s="12"/>
      <c r="J63" s="12"/>
      <c r="K63" s="12"/>
      <c r="L63" s="55"/>
    </row>
    <row r="64" spans="2:12">
      <c r="B64" s="12" t="s">
        <v>2917</v>
      </c>
      <c r="C64" s="12" t="s">
        <v>229</v>
      </c>
      <c r="D64" s="12" t="s">
        <v>2918</v>
      </c>
      <c r="E64" s="12" t="s">
        <v>422</v>
      </c>
      <c r="F64" s="115"/>
      <c r="G64" s="67" t="s">
        <v>6041</v>
      </c>
      <c r="H64" s="67"/>
      <c r="I64" s="12"/>
      <c r="J64" s="12"/>
      <c r="K64" s="12"/>
      <c r="L64" s="55"/>
    </row>
    <row r="65" spans="2:12">
      <c r="B65" s="12" t="s">
        <v>2921</v>
      </c>
      <c r="C65" s="12" t="s">
        <v>229</v>
      </c>
      <c r="D65" s="12" t="s">
        <v>2922</v>
      </c>
      <c r="E65" s="12" t="s">
        <v>422</v>
      </c>
      <c r="F65" s="115" t="s">
        <v>2921</v>
      </c>
      <c r="G65" s="67" t="s">
        <v>392</v>
      </c>
      <c r="H65" s="67"/>
      <c r="I65" s="12"/>
      <c r="J65" s="12"/>
      <c r="K65" s="12"/>
      <c r="L65" s="55"/>
    </row>
    <row r="66" spans="2:12">
      <c r="B66" s="12" t="s">
        <v>2925</v>
      </c>
      <c r="C66" s="12" t="s">
        <v>229</v>
      </c>
      <c r="D66" s="12" t="s">
        <v>2926</v>
      </c>
      <c r="E66" s="12" t="s">
        <v>422</v>
      </c>
      <c r="F66" s="115" t="s">
        <v>2925</v>
      </c>
      <c r="G66" s="67" t="s">
        <v>392</v>
      </c>
      <c r="H66" s="67"/>
      <c r="I66" s="12"/>
      <c r="J66" s="12"/>
      <c r="K66" s="12"/>
      <c r="L66" s="55"/>
    </row>
    <row r="67" spans="2:12">
      <c r="B67" s="12" t="s">
        <v>2929</v>
      </c>
      <c r="C67" s="12" t="s">
        <v>229</v>
      </c>
      <c r="D67" s="12" t="s">
        <v>2930</v>
      </c>
      <c r="E67" s="12" t="s">
        <v>422</v>
      </c>
      <c r="F67" s="115" t="s">
        <v>2929</v>
      </c>
      <c r="G67" s="67" t="s">
        <v>392</v>
      </c>
      <c r="H67" s="67"/>
      <c r="I67" s="12"/>
      <c r="J67" s="12"/>
      <c r="K67" s="12"/>
      <c r="L67" s="55"/>
    </row>
    <row r="68" spans="2:12">
      <c r="B68" s="12" t="s">
        <v>2933</v>
      </c>
      <c r="C68" s="12" t="s">
        <v>229</v>
      </c>
      <c r="D68" s="12" t="s">
        <v>2934</v>
      </c>
      <c r="E68" s="12" t="s">
        <v>422</v>
      </c>
      <c r="F68" s="115" t="s">
        <v>2933</v>
      </c>
      <c r="G68" s="67" t="s">
        <v>392</v>
      </c>
      <c r="H68" s="67"/>
      <c r="I68" s="12"/>
      <c r="J68" s="12"/>
      <c r="K68" s="12"/>
      <c r="L68" s="55"/>
    </row>
    <row r="69" spans="2:12">
      <c r="B69" s="12" t="s">
        <v>2937</v>
      </c>
      <c r="C69" s="12" t="s">
        <v>229</v>
      </c>
      <c r="D69" s="12" t="s">
        <v>2938</v>
      </c>
      <c r="E69" s="12" t="s">
        <v>422</v>
      </c>
      <c r="F69" s="115" t="s">
        <v>2937</v>
      </c>
      <c r="G69" s="67" t="s">
        <v>392</v>
      </c>
      <c r="H69" s="67"/>
      <c r="I69" s="12"/>
      <c r="J69" s="12"/>
      <c r="K69" s="12"/>
      <c r="L69" s="55"/>
    </row>
    <row r="70" spans="2:12">
      <c r="B70" s="12" t="s">
        <v>1647</v>
      </c>
      <c r="C70" s="12" t="s">
        <v>229</v>
      </c>
      <c r="D70" s="12" t="s">
        <v>1648</v>
      </c>
      <c r="E70" s="12" t="s">
        <v>422</v>
      </c>
      <c r="F70" s="115"/>
      <c r="G70" s="67" t="s">
        <v>6042</v>
      </c>
      <c r="H70" s="67"/>
      <c r="I70" s="12"/>
      <c r="J70" s="12"/>
      <c r="K70" s="12"/>
      <c r="L70" s="55"/>
    </row>
    <row r="71" spans="2:12">
      <c r="B71" s="12" t="s">
        <v>1756</v>
      </c>
      <c r="C71" s="12" t="s">
        <v>229</v>
      </c>
      <c r="D71" s="12" t="s">
        <v>1757</v>
      </c>
      <c r="E71" s="12" t="s">
        <v>422</v>
      </c>
      <c r="F71" s="115" t="s">
        <v>1756</v>
      </c>
      <c r="G71" s="67" t="s">
        <v>392</v>
      </c>
      <c r="H71" s="67"/>
      <c r="I71" s="12"/>
      <c r="J71" s="12"/>
      <c r="K71" s="12"/>
      <c r="L71" s="55"/>
    </row>
    <row r="72" spans="2:12">
      <c r="B72" s="12" t="s">
        <v>1760</v>
      </c>
      <c r="C72" s="12" t="s">
        <v>229</v>
      </c>
      <c r="D72" s="12" t="s">
        <v>1761</v>
      </c>
      <c r="E72" s="12" t="s">
        <v>422</v>
      </c>
      <c r="F72" s="115" t="s">
        <v>1760</v>
      </c>
      <c r="G72" s="67" t="s">
        <v>392</v>
      </c>
      <c r="H72" s="67"/>
      <c r="I72" s="12"/>
      <c r="J72" s="12"/>
      <c r="K72" s="12"/>
      <c r="L72" s="55"/>
    </row>
    <row r="73" spans="2:12">
      <c r="B73" s="12" t="s">
        <v>1764</v>
      </c>
      <c r="C73" s="12" t="s">
        <v>229</v>
      </c>
      <c r="D73" s="12" t="s">
        <v>1765</v>
      </c>
      <c r="E73" s="12" t="s">
        <v>422</v>
      </c>
      <c r="F73" s="115" t="s">
        <v>1764</v>
      </c>
      <c r="G73" s="67" t="s">
        <v>392</v>
      </c>
      <c r="H73" s="67"/>
      <c r="I73" s="12"/>
      <c r="J73" s="12"/>
      <c r="K73" s="12"/>
      <c r="L73" s="55"/>
    </row>
    <row r="74" spans="2:12">
      <c r="B74" s="12" t="s">
        <v>1768</v>
      </c>
      <c r="C74" s="12" t="s">
        <v>229</v>
      </c>
      <c r="D74" s="12" t="s">
        <v>1769</v>
      </c>
      <c r="E74" s="12" t="s">
        <v>422</v>
      </c>
      <c r="F74" s="115" t="s">
        <v>1768</v>
      </c>
      <c r="G74" s="67" t="s">
        <v>392</v>
      </c>
      <c r="H74" s="67"/>
      <c r="I74" s="12"/>
      <c r="J74" s="12"/>
      <c r="K74" s="12"/>
      <c r="L74" s="55"/>
    </row>
    <row r="75" spans="2:12">
      <c r="B75" s="12" t="s">
        <v>1772</v>
      </c>
      <c r="C75" s="12" t="s">
        <v>229</v>
      </c>
      <c r="D75" s="12" t="s">
        <v>1773</v>
      </c>
      <c r="E75" s="12" t="s">
        <v>422</v>
      </c>
      <c r="F75" s="115" t="s">
        <v>1772</v>
      </c>
      <c r="G75" s="67" t="s">
        <v>392</v>
      </c>
      <c r="H75" s="67"/>
      <c r="I75" s="12"/>
      <c r="J75" s="12"/>
      <c r="K75" s="12"/>
      <c r="L75" s="55"/>
    </row>
    <row r="76" spans="2:12">
      <c r="B76" s="12" t="s">
        <v>1651</v>
      </c>
      <c r="C76" s="12" t="s">
        <v>229</v>
      </c>
      <c r="D76" s="12" t="s">
        <v>1652</v>
      </c>
      <c r="E76" s="12" t="s">
        <v>422</v>
      </c>
      <c r="F76" s="115"/>
      <c r="G76" s="67" t="s">
        <v>6012</v>
      </c>
      <c r="H76" s="67"/>
      <c r="I76" s="12"/>
      <c r="J76" s="12"/>
      <c r="K76" s="12"/>
      <c r="L76" s="55"/>
    </row>
    <row r="77" spans="2:12">
      <c r="B77" s="12" t="s">
        <v>1776</v>
      </c>
      <c r="C77" s="12" t="s">
        <v>229</v>
      </c>
      <c r="D77" s="12" t="s">
        <v>1777</v>
      </c>
      <c r="E77" s="12" t="s">
        <v>422</v>
      </c>
      <c r="F77" s="115" t="s">
        <v>1776</v>
      </c>
      <c r="G77" s="67" t="s">
        <v>392</v>
      </c>
      <c r="H77" s="67"/>
      <c r="I77" s="12"/>
      <c r="J77" s="12"/>
      <c r="K77" s="12"/>
      <c r="L77" s="55"/>
    </row>
    <row r="78" spans="2:12">
      <c r="B78" s="12" t="s">
        <v>1780</v>
      </c>
      <c r="C78" s="12" t="s">
        <v>229</v>
      </c>
      <c r="D78" s="12" t="s">
        <v>1781</v>
      </c>
      <c r="E78" s="12" t="s">
        <v>422</v>
      </c>
      <c r="F78" s="115" t="s">
        <v>1780</v>
      </c>
      <c r="G78" s="67" t="s">
        <v>392</v>
      </c>
      <c r="H78" s="67"/>
      <c r="I78" s="12"/>
      <c r="J78" s="12"/>
      <c r="K78" s="12"/>
      <c r="L78" s="55"/>
    </row>
    <row r="79" spans="2:12">
      <c r="B79" s="12" t="s">
        <v>1784</v>
      </c>
      <c r="C79" s="12" t="s">
        <v>229</v>
      </c>
      <c r="D79" s="12" t="s">
        <v>1785</v>
      </c>
      <c r="E79" s="12" t="s">
        <v>422</v>
      </c>
      <c r="F79" s="115" t="s">
        <v>1784</v>
      </c>
      <c r="G79" s="67" t="s">
        <v>392</v>
      </c>
      <c r="H79" s="67"/>
      <c r="I79" s="12"/>
      <c r="J79" s="12"/>
      <c r="K79" s="12"/>
      <c r="L79" s="55"/>
    </row>
    <row r="80" spans="2:12">
      <c r="B80" s="12" t="s">
        <v>1788</v>
      </c>
      <c r="C80" s="12" t="s">
        <v>229</v>
      </c>
      <c r="D80" s="12" t="s">
        <v>1789</v>
      </c>
      <c r="E80" s="12" t="s">
        <v>422</v>
      </c>
      <c r="F80" s="115" t="s">
        <v>1788</v>
      </c>
      <c r="G80" s="67" t="s">
        <v>392</v>
      </c>
      <c r="H80" s="67"/>
      <c r="I80" s="12"/>
      <c r="J80" s="12"/>
      <c r="K80" s="12"/>
      <c r="L80" s="55"/>
    </row>
    <row r="81" spans="2:12">
      <c r="B81" s="12" t="s">
        <v>1792</v>
      </c>
      <c r="C81" s="12" t="s">
        <v>229</v>
      </c>
      <c r="D81" s="12" t="s">
        <v>1793</v>
      </c>
      <c r="E81" s="12" t="s">
        <v>422</v>
      </c>
      <c r="F81" s="115" t="s">
        <v>1792</v>
      </c>
      <c r="G81" s="67" t="s">
        <v>392</v>
      </c>
      <c r="H81" s="67"/>
      <c r="I81" s="12"/>
      <c r="J81" s="12"/>
      <c r="K81" s="12"/>
      <c r="L81" s="55"/>
    </row>
    <row r="82" spans="2:12">
      <c r="B82" s="12" t="s">
        <v>1655</v>
      </c>
      <c r="C82" s="12" t="s">
        <v>229</v>
      </c>
      <c r="D82" s="12" t="s">
        <v>1656</v>
      </c>
      <c r="E82" s="12" t="s">
        <v>422</v>
      </c>
      <c r="F82" s="115"/>
      <c r="G82" s="67" t="s">
        <v>4360</v>
      </c>
      <c r="H82" s="67"/>
      <c r="I82" s="12"/>
      <c r="J82" s="12"/>
      <c r="K82" s="12"/>
      <c r="L82" s="55"/>
    </row>
    <row r="83" spans="2:12">
      <c r="B83" s="12" t="s">
        <v>2214</v>
      </c>
      <c r="C83" s="12" t="s">
        <v>229</v>
      </c>
      <c r="D83" s="12" t="s">
        <v>2215</v>
      </c>
      <c r="E83" s="12" t="s">
        <v>422</v>
      </c>
      <c r="F83" s="115" t="s">
        <v>2214</v>
      </c>
      <c r="G83" s="67" t="s">
        <v>392</v>
      </c>
      <c r="H83" s="67"/>
      <c r="I83" s="12"/>
      <c r="J83" s="12"/>
      <c r="K83" s="12"/>
      <c r="L83" s="55"/>
    </row>
    <row r="84" spans="2:12">
      <c r="B84" s="12" t="s">
        <v>2218</v>
      </c>
      <c r="C84" s="12" t="s">
        <v>229</v>
      </c>
      <c r="D84" s="12" t="s">
        <v>2219</v>
      </c>
      <c r="E84" s="12" t="s">
        <v>422</v>
      </c>
      <c r="F84" s="115" t="s">
        <v>2218</v>
      </c>
      <c r="G84" s="67" t="s">
        <v>392</v>
      </c>
      <c r="H84" s="67"/>
      <c r="I84" s="12"/>
      <c r="J84" s="12"/>
      <c r="K84" s="12"/>
      <c r="L84" s="55"/>
    </row>
    <row r="85" spans="2:12">
      <c r="B85" s="12" t="s">
        <v>2222</v>
      </c>
      <c r="C85" s="12" t="s">
        <v>229</v>
      </c>
      <c r="D85" s="12" t="s">
        <v>2223</v>
      </c>
      <c r="E85" s="12" t="s">
        <v>422</v>
      </c>
      <c r="F85" s="115" t="s">
        <v>2222</v>
      </c>
      <c r="G85" s="67" t="s">
        <v>392</v>
      </c>
      <c r="H85" s="67"/>
      <c r="I85" s="12"/>
      <c r="J85" s="12"/>
      <c r="K85" s="12"/>
      <c r="L85" s="55"/>
    </row>
    <row r="86" spans="2:12">
      <c r="B86" s="12" t="s">
        <v>2226</v>
      </c>
      <c r="C86" s="12" t="s">
        <v>229</v>
      </c>
      <c r="D86" s="12" t="s">
        <v>2227</v>
      </c>
      <c r="E86" s="12" t="s">
        <v>422</v>
      </c>
      <c r="F86" s="115" t="s">
        <v>2226</v>
      </c>
      <c r="G86" s="67" t="s">
        <v>392</v>
      </c>
      <c r="H86" s="67"/>
      <c r="I86" s="12"/>
      <c r="J86" s="12"/>
      <c r="K86" s="12"/>
      <c r="L86" s="55"/>
    </row>
    <row r="87" spans="2:12">
      <c r="B87" s="12" t="s">
        <v>2230</v>
      </c>
      <c r="C87" s="12" t="s">
        <v>229</v>
      </c>
      <c r="D87" s="12" t="s">
        <v>2231</v>
      </c>
      <c r="E87" s="12" t="s">
        <v>422</v>
      </c>
      <c r="F87" s="115" t="s">
        <v>2230</v>
      </c>
      <c r="G87" s="67" t="s">
        <v>392</v>
      </c>
      <c r="H87" s="67"/>
      <c r="I87" s="12"/>
      <c r="J87" s="12"/>
      <c r="K87" s="12"/>
      <c r="L87" s="55"/>
    </row>
    <row r="88" spans="2:12">
      <c r="B88" s="12" t="s">
        <v>1659</v>
      </c>
      <c r="C88" s="12" t="s">
        <v>229</v>
      </c>
      <c r="D88" s="12" t="s">
        <v>1660</v>
      </c>
      <c r="E88" s="12" t="s">
        <v>422</v>
      </c>
      <c r="F88" s="115"/>
      <c r="G88" s="67" t="s">
        <v>6013</v>
      </c>
      <c r="H88" s="67"/>
      <c r="I88" s="12"/>
      <c r="J88" s="12"/>
      <c r="K88" s="12"/>
      <c r="L88" s="55"/>
    </row>
    <row r="89" spans="2:12">
      <c r="B89" s="12" t="s">
        <v>4367</v>
      </c>
      <c r="C89" s="12" t="s">
        <v>229</v>
      </c>
      <c r="D89" s="12" t="s">
        <v>2972</v>
      </c>
      <c r="E89" s="12" t="s">
        <v>422</v>
      </c>
      <c r="F89" s="115" t="s">
        <v>4367</v>
      </c>
      <c r="G89" s="67" t="s">
        <v>392</v>
      </c>
      <c r="H89" s="67"/>
      <c r="I89" s="12"/>
      <c r="J89" s="12"/>
      <c r="K89" s="12"/>
      <c r="L89" s="55"/>
    </row>
    <row r="90" spans="2:12">
      <c r="B90" s="12" t="s">
        <v>4369</v>
      </c>
      <c r="C90" s="12" t="s">
        <v>229</v>
      </c>
      <c r="D90" s="12" t="s">
        <v>2976</v>
      </c>
      <c r="E90" s="12" t="s">
        <v>422</v>
      </c>
      <c r="F90" s="115" t="s">
        <v>4369</v>
      </c>
      <c r="G90" s="67" t="s">
        <v>392</v>
      </c>
      <c r="H90" s="67"/>
      <c r="I90" s="12"/>
      <c r="J90" s="12"/>
      <c r="K90" s="12"/>
      <c r="L90" s="55"/>
    </row>
    <row r="91" spans="2:12">
      <c r="B91" s="12" t="s">
        <v>4371</v>
      </c>
      <c r="C91" s="12" t="s">
        <v>229</v>
      </c>
      <c r="D91" s="12" t="s">
        <v>2980</v>
      </c>
      <c r="E91" s="12" t="s">
        <v>422</v>
      </c>
      <c r="F91" s="115" t="s">
        <v>4371</v>
      </c>
      <c r="G91" s="67" t="s">
        <v>392</v>
      </c>
      <c r="H91" s="67"/>
      <c r="I91" s="12"/>
      <c r="J91" s="12"/>
      <c r="K91" s="12"/>
      <c r="L91" s="55"/>
    </row>
    <row r="92" spans="2:12">
      <c r="B92" s="12" t="s">
        <v>4373</v>
      </c>
      <c r="C92" s="12" t="s">
        <v>229</v>
      </c>
      <c r="D92" s="12" t="s">
        <v>2984</v>
      </c>
      <c r="E92" s="12" t="s">
        <v>422</v>
      </c>
      <c r="F92" s="115" t="s">
        <v>4373</v>
      </c>
      <c r="G92" s="67" t="s">
        <v>392</v>
      </c>
      <c r="H92" s="67"/>
      <c r="I92" s="12"/>
      <c r="J92" s="12"/>
      <c r="K92" s="12"/>
      <c r="L92" s="55"/>
    </row>
    <row r="93" spans="2:12">
      <c r="B93" s="12" t="s">
        <v>4375</v>
      </c>
      <c r="C93" s="12" t="s">
        <v>229</v>
      </c>
      <c r="D93" s="12" t="s">
        <v>2988</v>
      </c>
      <c r="E93" s="12" t="s">
        <v>422</v>
      </c>
      <c r="F93" s="115" t="s">
        <v>4375</v>
      </c>
      <c r="G93" s="67" t="s">
        <v>392</v>
      </c>
      <c r="H93" s="67"/>
      <c r="I93" s="12"/>
      <c r="J93" s="12"/>
      <c r="K93" s="12"/>
      <c r="L93" s="55"/>
    </row>
    <row r="94" spans="2:12">
      <c r="B94" s="12" t="s">
        <v>1663</v>
      </c>
      <c r="C94" s="12" t="s">
        <v>229</v>
      </c>
      <c r="D94" s="12" t="s">
        <v>1664</v>
      </c>
      <c r="E94" s="12" t="s">
        <v>422</v>
      </c>
      <c r="F94" s="115"/>
      <c r="G94" s="67" t="s">
        <v>6014</v>
      </c>
      <c r="H94" s="67"/>
      <c r="I94" s="12"/>
      <c r="J94" s="12"/>
      <c r="K94" s="12"/>
      <c r="L94" s="55"/>
    </row>
    <row r="95" spans="2:12">
      <c r="B95" s="12" t="s">
        <v>4378</v>
      </c>
      <c r="C95" s="12" t="s">
        <v>229</v>
      </c>
      <c r="D95" s="12" t="s">
        <v>2995</v>
      </c>
      <c r="E95" s="12" t="s">
        <v>422</v>
      </c>
      <c r="F95" s="115" t="s">
        <v>4378</v>
      </c>
      <c r="G95" s="67" t="s">
        <v>392</v>
      </c>
      <c r="H95" s="67"/>
      <c r="I95" s="12"/>
      <c r="J95" s="12"/>
      <c r="K95" s="12"/>
      <c r="L95" s="55"/>
    </row>
    <row r="96" spans="2:12">
      <c r="B96" s="12" t="s">
        <v>4380</v>
      </c>
      <c r="C96" s="12" t="s">
        <v>229</v>
      </c>
      <c r="D96" s="12" t="s">
        <v>2999</v>
      </c>
      <c r="E96" s="12" t="s">
        <v>422</v>
      </c>
      <c r="F96" s="115" t="s">
        <v>4380</v>
      </c>
      <c r="G96" s="67" t="s">
        <v>392</v>
      </c>
      <c r="H96" s="67"/>
      <c r="I96" s="12"/>
      <c r="J96" s="12"/>
      <c r="K96" s="12"/>
      <c r="L96" s="55"/>
    </row>
    <row r="97" spans="2:12">
      <c r="B97" s="12" t="s">
        <v>4382</v>
      </c>
      <c r="C97" s="12" t="s">
        <v>229</v>
      </c>
      <c r="D97" s="12" t="s">
        <v>3003</v>
      </c>
      <c r="E97" s="12" t="s">
        <v>422</v>
      </c>
      <c r="F97" s="115" t="s">
        <v>4382</v>
      </c>
      <c r="G97" s="67" t="s">
        <v>392</v>
      </c>
      <c r="H97" s="67"/>
      <c r="I97" s="12"/>
      <c r="J97" s="12"/>
      <c r="K97" s="12"/>
      <c r="L97" s="55"/>
    </row>
    <row r="98" spans="2:12">
      <c r="B98" s="12" t="s">
        <v>4384</v>
      </c>
      <c r="C98" s="12" t="s">
        <v>229</v>
      </c>
      <c r="D98" s="12" t="s">
        <v>3007</v>
      </c>
      <c r="E98" s="12" t="s">
        <v>422</v>
      </c>
      <c r="F98" s="115" t="s">
        <v>4384</v>
      </c>
      <c r="G98" s="67" t="s">
        <v>392</v>
      </c>
      <c r="H98" s="67"/>
      <c r="I98" s="12"/>
      <c r="J98" s="12"/>
      <c r="K98" s="12"/>
      <c r="L98" s="55"/>
    </row>
    <row r="99" spans="2:12">
      <c r="B99" s="12" t="s">
        <v>4386</v>
      </c>
      <c r="C99" s="12" t="s">
        <v>229</v>
      </c>
      <c r="D99" s="12" t="s">
        <v>3010</v>
      </c>
      <c r="E99" s="12" t="s">
        <v>422</v>
      </c>
      <c r="F99" s="115" t="s">
        <v>4386</v>
      </c>
      <c r="G99" s="67" t="s">
        <v>392</v>
      </c>
      <c r="H99" s="67"/>
      <c r="I99" s="12"/>
      <c r="J99" s="12"/>
      <c r="K99" s="12"/>
      <c r="L99" s="55"/>
    </row>
    <row r="100" spans="2:12">
      <c r="B100" s="12" t="s">
        <v>1671</v>
      </c>
      <c r="C100" s="12" t="s">
        <v>229</v>
      </c>
      <c r="D100" s="12" t="s">
        <v>1672</v>
      </c>
      <c r="E100" s="12" t="s">
        <v>422</v>
      </c>
      <c r="F100" s="115"/>
      <c r="G100" s="67" t="s">
        <v>6015</v>
      </c>
      <c r="H100" s="67"/>
      <c r="I100" s="12"/>
      <c r="J100" s="12"/>
      <c r="K100" s="12"/>
      <c r="L100" s="55"/>
    </row>
    <row r="101" spans="2:12">
      <c r="B101" s="12" t="s">
        <v>3018</v>
      </c>
      <c r="C101" s="12" t="s">
        <v>229</v>
      </c>
      <c r="D101" s="12" t="s">
        <v>3019</v>
      </c>
      <c r="E101" s="12" t="s">
        <v>422</v>
      </c>
      <c r="F101" s="115" t="s">
        <v>3018</v>
      </c>
      <c r="G101" s="67" t="s">
        <v>392</v>
      </c>
      <c r="H101" s="67"/>
      <c r="I101" s="12"/>
      <c r="J101" s="12"/>
      <c r="K101" s="12"/>
      <c r="L101" s="55"/>
    </row>
    <row r="102" spans="2:12">
      <c r="B102" s="12" t="s">
        <v>3022</v>
      </c>
      <c r="C102" s="12" t="s">
        <v>229</v>
      </c>
      <c r="D102" s="12" t="s">
        <v>3023</v>
      </c>
      <c r="E102" s="12" t="s">
        <v>422</v>
      </c>
      <c r="F102" s="115" t="s">
        <v>3022</v>
      </c>
      <c r="G102" s="67" t="s">
        <v>392</v>
      </c>
      <c r="H102" s="67"/>
      <c r="I102" s="12"/>
      <c r="J102" s="12"/>
      <c r="K102" s="12"/>
      <c r="L102" s="55"/>
    </row>
    <row r="103" spans="2:12">
      <c r="B103" s="12" t="s">
        <v>3025</v>
      </c>
      <c r="C103" s="12" t="s">
        <v>229</v>
      </c>
      <c r="D103" s="12" t="s">
        <v>3026</v>
      </c>
      <c r="E103" s="12" t="s">
        <v>422</v>
      </c>
      <c r="F103" s="115" t="s">
        <v>3025</v>
      </c>
      <c r="G103" s="67" t="s">
        <v>392</v>
      </c>
      <c r="H103" s="67"/>
      <c r="I103" s="12"/>
      <c r="J103" s="12"/>
      <c r="K103" s="12"/>
      <c r="L103" s="55"/>
    </row>
    <row r="104" spans="2:12">
      <c r="B104" s="12" t="s">
        <v>3028</v>
      </c>
      <c r="C104" s="12" t="s">
        <v>229</v>
      </c>
      <c r="D104" s="12" t="s">
        <v>3029</v>
      </c>
      <c r="E104" s="12" t="s">
        <v>422</v>
      </c>
      <c r="F104" s="115" t="s">
        <v>3028</v>
      </c>
      <c r="G104" s="67" t="s">
        <v>392</v>
      </c>
      <c r="H104" s="67"/>
      <c r="I104" s="12"/>
      <c r="J104" s="12"/>
      <c r="K104" s="12"/>
      <c r="L104" s="55"/>
    </row>
    <row r="105" spans="2:12">
      <c r="B105" s="12" t="s">
        <v>3031</v>
      </c>
      <c r="C105" s="12" t="s">
        <v>229</v>
      </c>
      <c r="D105" s="12" t="s">
        <v>3032</v>
      </c>
      <c r="E105" s="12" t="s">
        <v>422</v>
      </c>
      <c r="F105" s="115" t="s">
        <v>3031</v>
      </c>
      <c r="G105" s="67" t="s">
        <v>392</v>
      </c>
      <c r="H105" s="67"/>
      <c r="I105" s="12"/>
      <c r="J105" s="12"/>
      <c r="K105" s="12"/>
      <c r="L105" s="55"/>
    </row>
    <row r="106" spans="2:12">
      <c r="B106" s="12" t="s">
        <v>1675</v>
      </c>
      <c r="C106" s="12" t="s">
        <v>229</v>
      </c>
      <c r="D106" s="12" t="s">
        <v>1676</v>
      </c>
      <c r="E106" s="12" t="s">
        <v>422</v>
      </c>
      <c r="F106" s="115"/>
      <c r="G106" s="67" t="s">
        <v>6016</v>
      </c>
      <c r="H106" s="67"/>
      <c r="I106" s="12"/>
      <c r="J106" s="12"/>
      <c r="K106" s="12"/>
      <c r="L106" s="55"/>
    </row>
    <row r="107" spans="2:12">
      <c r="B107" s="12" t="s">
        <v>4395</v>
      </c>
      <c r="C107" s="12" t="s">
        <v>229</v>
      </c>
      <c r="D107" s="12" t="s">
        <v>3041</v>
      </c>
      <c r="E107" s="12" t="s">
        <v>422</v>
      </c>
      <c r="F107" s="115" t="s">
        <v>4395</v>
      </c>
      <c r="G107" s="67" t="s">
        <v>392</v>
      </c>
      <c r="H107" s="67"/>
      <c r="I107" s="12"/>
      <c r="J107" s="12"/>
      <c r="K107" s="12"/>
      <c r="L107" s="55"/>
    </row>
    <row r="108" spans="2:12">
      <c r="B108" s="12" t="s">
        <v>4397</v>
      </c>
      <c r="C108" s="12" t="s">
        <v>229</v>
      </c>
      <c r="D108" s="12" t="s">
        <v>3045</v>
      </c>
      <c r="E108" s="12" t="s">
        <v>422</v>
      </c>
      <c r="F108" s="115" t="s">
        <v>4397</v>
      </c>
      <c r="G108" s="67" t="s">
        <v>392</v>
      </c>
      <c r="H108" s="67"/>
      <c r="I108" s="12"/>
      <c r="J108" s="12"/>
      <c r="K108" s="12"/>
      <c r="L108" s="55"/>
    </row>
    <row r="109" spans="2:12">
      <c r="B109" s="12" t="s">
        <v>4399</v>
      </c>
      <c r="C109" s="12" t="s">
        <v>229</v>
      </c>
      <c r="D109" s="12" t="s">
        <v>3049</v>
      </c>
      <c r="E109" s="12" t="s">
        <v>422</v>
      </c>
      <c r="F109" s="115" t="s">
        <v>4399</v>
      </c>
      <c r="G109" s="67" t="s">
        <v>392</v>
      </c>
      <c r="H109" s="67"/>
      <c r="I109" s="12"/>
      <c r="J109" s="12"/>
      <c r="K109" s="12"/>
      <c r="L109" s="55"/>
    </row>
    <row r="110" spans="2:12">
      <c r="B110" s="12" t="s">
        <v>4401</v>
      </c>
      <c r="C110" s="12" t="s">
        <v>229</v>
      </c>
      <c r="D110" s="12" t="s">
        <v>3053</v>
      </c>
      <c r="E110" s="12" t="s">
        <v>422</v>
      </c>
      <c r="F110" s="115" t="s">
        <v>4401</v>
      </c>
      <c r="G110" s="67" t="s">
        <v>392</v>
      </c>
      <c r="H110" s="67"/>
      <c r="I110" s="12"/>
      <c r="J110" s="12"/>
      <c r="K110" s="12"/>
      <c r="L110" s="55"/>
    </row>
    <row r="111" spans="2:12">
      <c r="B111" s="12" t="s">
        <v>4403</v>
      </c>
      <c r="C111" s="12" t="s">
        <v>229</v>
      </c>
      <c r="D111" s="12" t="s">
        <v>3057</v>
      </c>
      <c r="E111" s="12" t="s">
        <v>422</v>
      </c>
      <c r="F111" s="115" t="s">
        <v>4403</v>
      </c>
      <c r="G111" s="67" t="s">
        <v>392</v>
      </c>
      <c r="H111" s="67"/>
      <c r="I111" s="12"/>
      <c r="J111" s="12"/>
      <c r="K111" s="12"/>
      <c r="L111" s="55"/>
    </row>
    <row r="112" spans="2:12">
      <c r="B112" s="12" t="s">
        <v>1679</v>
      </c>
      <c r="C112" s="12" t="s">
        <v>229</v>
      </c>
      <c r="D112" s="12" t="s">
        <v>1680</v>
      </c>
      <c r="E112" s="12" t="s">
        <v>422</v>
      </c>
      <c r="F112" s="115"/>
      <c r="G112" s="67" t="s">
        <v>6017</v>
      </c>
      <c r="H112" s="67"/>
      <c r="I112" s="12"/>
      <c r="J112" s="12"/>
      <c r="K112" s="12"/>
      <c r="L112" s="55"/>
    </row>
    <row r="113" spans="2:12">
      <c r="B113" s="12" t="s">
        <v>3064</v>
      </c>
      <c r="C113" s="12" t="s">
        <v>229</v>
      </c>
      <c r="D113" s="12" t="s">
        <v>3065</v>
      </c>
      <c r="E113" s="12" t="s">
        <v>422</v>
      </c>
      <c r="F113" s="115" t="s">
        <v>3064</v>
      </c>
      <c r="G113" s="67" t="s">
        <v>392</v>
      </c>
      <c r="H113" s="67"/>
      <c r="I113" s="12"/>
      <c r="J113" s="12"/>
      <c r="K113" s="12"/>
      <c r="L113" s="55"/>
    </row>
    <row r="114" spans="2:12">
      <c r="B114" s="12" t="s">
        <v>3068</v>
      </c>
      <c r="C114" s="12" t="s">
        <v>229</v>
      </c>
      <c r="D114" s="12" t="s">
        <v>3069</v>
      </c>
      <c r="E114" s="12" t="s">
        <v>422</v>
      </c>
      <c r="F114" s="115" t="s">
        <v>3068</v>
      </c>
      <c r="G114" s="67" t="s">
        <v>392</v>
      </c>
      <c r="H114" s="67"/>
      <c r="I114" s="12"/>
      <c r="J114" s="12"/>
      <c r="K114" s="12"/>
      <c r="L114" s="55"/>
    </row>
    <row r="115" spans="2:12">
      <c r="B115" s="12" t="s">
        <v>3072</v>
      </c>
      <c r="C115" s="12" t="s">
        <v>229</v>
      </c>
      <c r="D115" s="12" t="s">
        <v>3073</v>
      </c>
      <c r="E115" s="12" t="s">
        <v>422</v>
      </c>
      <c r="F115" s="115" t="s">
        <v>3072</v>
      </c>
      <c r="G115" s="67" t="s">
        <v>392</v>
      </c>
      <c r="H115" s="67"/>
      <c r="I115" s="12"/>
      <c r="J115" s="12"/>
      <c r="K115" s="12"/>
      <c r="L115" s="55"/>
    </row>
    <row r="116" spans="2:12">
      <c r="B116" s="12" t="s">
        <v>3076</v>
      </c>
      <c r="C116" s="12" t="s">
        <v>229</v>
      </c>
      <c r="D116" s="12" t="s">
        <v>3077</v>
      </c>
      <c r="E116" s="12" t="s">
        <v>422</v>
      </c>
      <c r="F116" s="115" t="s">
        <v>3076</v>
      </c>
      <c r="G116" s="67" t="s">
        <v>392</v>
      </c>
      <c r="H116" s="67"/>
      <c r="I116" s="12"/>
      <c r="J116" s="12"/>
      <c r="K116" s="12"/>
      <c r="L116" s="55"/>
    </row>
    <row r="117" spans="2:12">
      <c r="B117" s="12" t="s">
        <v>3080</v>
      </c>
      <c r="C117" s="12" t="s">
        <v>229</v>
      </c>
      <c r="D117" s="12" t="s">
        <v>3081</v>
      </c>
      <c r="E117" s="12" t="s">
        <v>422</v>
      </c>
      <c r="F117" s="115" t="s">
        <v>3080</v>
      </c>
      <c r="G117" s="67" t="s">
        <v>392</v>
      </c>
      <c r="H117" s="67"/>
      <c r="I117" s="12"/>
      <c r="J117" s="12"/>
      <c r="K117" s="12"/>
      <c r="L117" s="55"/>
    </row>
    <row r="118" spans="2:12">
      <c r="B118" s="12" t="s">
        <v>1683</v>
      </c>
      <c r="C118" s="12" t="s">
        <v>229</v>
      </c>
      <c r="D118" s="12" t="s">
        <v>1684</v>
      </c>
      <c r="E118" s="12" t="s">
        <v>422</v>
      </c>
      <c r="F118" s="115"/>
      <c r="G118" s="67" t="s">
        <v>6018</v>
      </c>
      <c r="H118" s="67"/>
      <c r="I118" s="12"/>
      <c r="J118" s="12"/>
      <c r="K118" s="12"/>
      <c r="L118" s="55"/>
    </row>
    <row r="119" spans="2:12">
      <c r="B119" s="12" t="s">
        <v>3089</v>
      </c>
      <c r="C119" s="12" t="s">
        <v>229</v>
      </c>
      <c r="D119" s="12" t="s">
        <v>3090</v>
      </c>
      <c r="E119" s="12" t="s">
        <v>422</v>
      </c>
      <c r="F119" s="115" t="s">
        <v>3089</v>
      </c>
      <c r="G119" s="67" t="s">
        <v>392</v>
      </c>
      <c r="H119" s="67"/>
      <c r="I119" s="12"/>
      <c r="J119" s="12"/>
      <c r="K119" s="12"/>
      <c r="L119" s="55"/>
    </row>
    <row r="120" spans="2:12">
      <c r="B120" s="12" t="s">
        <v>3093</v>
      </c>
      <c r="C120" s="12" t="s">
        <v>229</v>
      </c>
      <c r="D120" s="12" t="s">
        <v>3094</v>
      </c>
      <c r="E120" s="12" t="s">
        <v>422</v>
      </c>
      <c r="F120" s="115" t="s">
        <v>3093</v>
      </c>
      <c r="G120" s="67" t="s">
        <v>392</v>
      </c>
      <c r="H120" s="67"/>
      <c r="I120" s="12"/>
      <c r="J120" s="12"/>
      <c r="K120" s="12"/>
      <c r="L120" s="55"/>
    </row>
    <row r="121" spans="2:12">
      <c r="B121" s="12" t="s">
        <v>3097</v>
      </c>
      <c r="C121" s="12" t="s">
        <v>229</v>
      </c>
      <c r="D121" s="12" t="s">
        <v>3098</v>
      </c>
      <c r="E121" s="12" t="s">
        <v>422</v>
      </c>
      <c r="F121" s="115" t="s">
        <v>3097</v>
      </c>
      <c r="G121" s="67" t="s">
        <v>392</v>
      </c>
      <c r="H121" s="67"/>
      <c r="I121" s="12"/>
      <c r="J121" s="12"/>
      <c r="K121" s="12"/>
      <c r="L121" s="55"/>
    </row>
    <row r="122" spans="2:12">
      <c r="B122" s="12" t="s">
        <v>3101</v>
      </c>
      <c r="C122" s="12" t="s">
        <v>229</v>
      </c>
      <c r="D122" s="12" t="s">
        <v>3102</v>
      </c>
      <c r="E122" s="12" t="s">
        <v>422</v>
      </c>
      <c r="F122" s="115" t="s">
        <v>3101</v>
      </c>
      <c r="G122" s="67" t="s">
        <v>392</v>
      </c>
      <c r="H122" s="67"/>
      <c r="I122" s="12"/>
      <c r="J122" s="12"/>
      <c r="K122" s="12"/>
      <c r="L122" s="55"/>
    </row>
    <row r="123" spans="2:12">
      <c r="B123" s="12" t="s">
        <v>3105</v>
      </c>
      <c r="C123" s="12" t="s">
        <v>229</v>
      </c>
      <c r="D123" s="12" t="s">
        <v>3106</v>
      </c>
      <c r="E123" s="12" t="s">
        <v>422</v>
      </c>
      <c r="F123" s="115" t="s">
        <v>3105</v>
      </c>
      <c r="G123" s="67" t="s">
        <v>392</v>
      </c>
      <c r="H123" s="67"/>
      <c r="I123" s="12"/>
      <c r="J123" s="12"/>
      <c r="K123" s="12"/>
      <c r="L123" s="55"/>
    </row>
    <row r="124" spans="2:12">
      <c r="B124" s="12" t="s">
        <v>1687</v>
      </c>
      <c r="C124" s="12" t="s">
        <v>229</v>
      </c>
      <c r="D124" s="12" t="s">
        <v>1688</v>
      </c>
      <c r="E124" s="12" t="s">
        <v>422</v>
      </c>
      <c r="F124" s="115"/>
      <c r="G124" s="67" t="s">
        <v>6019</v>
      </c>
      <c r="H124" s="67"/>
      <c r="I124" s="12"/>
      <c r="J124" s="12"/>
      <c r="K124" s="12"/>
      <c r="L124" s="55"/>
    </row>
    <row r="125" spans="2:12">
      <c r="B125" s="12" t="s">
        <v>3117</v>
      </c>
      <c r="C125" s="12" t="s">
        <v>229</v>
      </c>
      <c r="D125" s="12" t="s">
        <v>3118</v>
      </c>
      <c r="E125" s="12" t="s">
        <v>422</v>
      </c>
      <c r="F125" s="115" t="s">
        <v>3117</v>
      </c>
      <c r="G125" s="67" t="s">
        <v>392</v>
      </c>
      <c r="H125" s="67"/>
      <c r="I125" s="12"/>
      <c r="J125" s="12"/>
      <c r="K125" s="12"/>
      <c r="L125" s="55"/>
    </row>
    <row r="126" spans="2:12">
      <c r="B126" s="12" t="s">
        <v>3121</v>
      </c>
      <c r="C126" s="12" t="s">
        <v>229</v>
      </c>
      <c r="D126" s="12" t="s">
        <v>3122</v>
      </c>
      <c r="E126" s="12" t="s">
        <v>422</v>
      </c>
      <c r="F126" s="115" t="s">
        <v>3121</v>
      </c>
      <c r="G126" s="67" t="s">
        <v>392</v>
      </c>
      <c r="H126" s="67"/>
      <c r="I126" s="12"/>
      <c r="J126" s="12"/>
      <c r="K126" s="12"/>
      <c r="L126" s="55"/>
    </row>
    <row r="127" spans="2:12">
      <c r="B127" s="12" t="s">
        <v>3125</v>
      </c>
      <c r="C127" s="12" t="s">
        <v>229</v>
      </c>
      <c r="D127" s="12" t="s">
        <v>3126</v>
      </c>
      <c r="E127" s="12" t="s">
        <v>422</v>
      </c>
      <c r="F127" s="115" t="s">
        <v>3125</v>
      </c>
      <c r="G127" s="67" t="s">
        <v>392</v>
      </c>
      <c r="H127" s="67"/>
      <c r="I127" s="12"/>
      <c r="J127" s="12"/>
      <c r="K127" s="12"/>
      <c r="L127" s="55"/>
    </row>
    <row r="128" spans="2:12">
      <c r="B128" s="12" t="s">
        <v>3129</v>
      </c>
      <c r="C128" s="12" t="s">
        <v>229</v>
      </c>
      <c r="D128" s="12" t="s">
        <v>3130</v>
      </c>
      <c r="E128" s="12" t="s">
        <v>422</v>
      </c>
      <c r="F128" s="115" t="s">
        <v>3129</v>
      </c>
      <c r="G128" s="67" t="s">
        <v>392</v>
      </c>
      <c r="H128" s="67"/>
      <c r="I128" s="12"/>
      <c r="J128" s="12"/>
      <c r="K128" s="12"/>
      <c r="L128" s="55"/>
    </row>
    <row r="129" spans="2:12">
      <c r="B129" s="12" t="s">
        <v>3133</v>
      </c>
      <c r="C129" s="12" t="s">
        <v>229</v>
      </c>
      <c r="D129" s="12" t="s">
        <v>3134</v>
      </c>
      <c r="E129" s="12" t="s">
        <v>422</v>
      </c>
      <c r="F129" s="115" t="s">
        <v>3133</v>
      </c>
      <c r="G129" s="67" t="s">
        <v>392</v>
      </c>
      <c r="H129" s="67"/>
      <c r="I129" s="12"/>
      <c r="J129" s="12"/>
      <c r="K129" s="12"/>
      <c r="L129" s="55"/>
    </row>
    <row r="130" spans="2:12">
      <c r="B130" s="12" t="s">
        <v>1691</v>
      </c>
      <c r="C130" s="12" t="s">
        <v>229</v>
      </c>
      <c r="D130" s="12" t="s">
        <v>1692</v>
      </c>
      <c r="E130" s="12" t="s">
        <v>422</v>
      </c>
      <c r="F130" s="115"/>
      <c r="G130" s="67" t="s">
        <v>6043</v>
      </c>
      <c r="H130" s="67"/>
      <c r="I130" s="12"/>
      <c r="J130" s="12"/>
      <c r="K130" s="12"/>
      <c r="L130" s="55"/>
    </row>
    <row r="131" spans="2:12">
      <c r="B131" s="12" t="s">
        <v>3142</v>
      </c>
      <c r="C131" s="12" t="s">
        <v>229</v>
      </c>
      <c r="D131" s="12" t="s">
        <v>3143</v>
      </c>
      <c r="E131" s="12" t="s">
        <v>422</v>
      </c>
      <c r="F131" s="115" t="s">
        <v>3142</v>
      </c>
      <c r="G131" s="67" t="s">
        <v>392</v>
      </c>
      <c r="H131" s="67"/>
      <c r="I131" s="12"/>
      <c r="J131" s="12"/>
      <c r="K131" s="12"/>
      <c r="L131" s="55"/>
    </row>
    <row r="132" spans="2:12">
      <c r="B132" s="12" t="s">
        <v>3146</v>
      </c>
      <c r="C132" s="12" t="s">
        <v>229</v>
      </c>
      <c r="D132" s="12" t="s">
        <v>3147</v>
      </c>
      <c r="E132" s="12" t="s">
        <v>422</v>
      </c>
      <c r="F132" s="115" t="s">
        <v>3146</v>
      </c>
      <c r="G132" s="67" t="s">
        <v>392</v>
      </c>
      <c r="H132" s="67"/>
      <c r="I132" s="12"/>
      <c r="J132" s="12"/>
      <c r="K132" s="12"/>
      <c r="L132" s="55"/>
    </row>
    <row r="133" spans="2:12">
      <c r="B133" s="12" t="s">
        <v>3150</v>
      </c>
      <c r="C133" s="12" t="s">
        <v>229</v>
      </c>
      <c r="D133" s="12" t="s">
        <v>3151</v>
      </c>
      <c r="E133" s="12" t="s">
        <v>422</v>
      </c>
      <c r="F133" s="115" t="s">
        <v>3150</v>
      </c>
      <c r="G133" s="67" t="s">
        <v>392</v>
      </c>
      <c r="H133" s="67"/>
      <c r="I133" s="12"/>
      <c r="J133" s="12"/>
      <c r="K133" s="12"/>
      <c r="L133" s="55"/>
    </row>
    <row r="134" spans="2:12">
      <c r="B134" s="12" t="s">
        <v>3154</v>
      </c>
      <c r="C134" s="12" t="s">
        <v>229</v>
      </c>
      <c r="D134" s="12" t="s">
        <v>3155</v>
      </c>
      <c r="E134" s="12" t="s">
        <v>422</v>
      </c>
      <c r="F134" s="115" t="s">
        <v>3154</v>
      </c>
      <c r="G134" s="67" t="s">
        <v>392</v>
      </c>
      <c r="H134" s="67"/>
      <c r="I134" s="12"/>
      <c r="J134" s="12"/>
      <c r="K134" s="12"/>
      <c r="L134" s="55"/>
    </row>
    <row r="135" spans="2:12">
      <c r="B135" s="12" t="s">
        <v>3158</v>
      </c>
      <c r="C135" s="12" t="s">
        <v>229</v>
      </c>
      <c r="D135" s="12" t="s">
        <v>3159</v>
      </c>
      <c r="E135" s="12" t="s">
        <v>422</v>
      </c>
      <c r="F135" s="115" t="s">
        <v>3158</v>
      </c>
      <c r="G135" s="67" t="s">
        <v>392</v>
      </c>
      <c r="H135" s="67"/>
      <c r="I135" s="12"/>
      <c r="J135" s="12"/>
      <c r="K135" s="12"/>
      <c r="L135" s="55"/>
    </row>
    <row r="136" spans="2:12">
      <c r="B136" s="12" t="s">
        <v>1695</v>
      </c>
      <c r="C136" s="12" t="s">
        <v>229</v>
      </c>
      <c r="D136" s="12" t="s">
        <v>1696</v>
      </c>
      <c r="E136" s="12" t="s">
        <v>422</v>
      </c>
      <c r="F136" s="115"/>
      <c r="G136" s="67" t="s">
        <v>6021</v>
      </c>
      <c r="H136" s="67"/>
      <c r="I136" s="12"/>
      <c r="J136" s="12"/>
      <c r="K136" s="12"/>
      <c r="L136" s="55"/>
    </row>
    <row r="137" spans="2:12">
      <c r="B137" s="12" t="s">
        <v>3166</v>
      </c>
      <c r="C137" s="12" t="s">
        <v>229</v>
      </c>
      <c r="D137" s="12" t="s">
        <v>3167</v>
      </c>
      <c r="E137" s="12" t="s">
        <v>422</v>
      </c>
      <c r="F137" s="115" t="s">
        <v>3166</v>
      </c>
      <c r="G137" s="67" t="s">
        <v>392</v>
      </c>
      <c r="H137" s="67"/>
      <c r="I137" s="12"/>
      <c r="J137" s="12"/>
      <c r="K137" s="12"/>
      <c r="L137" s="55"/>
    </row>
    <row r="138" spans="2:12">
      <c r="B138" s="12" t="s">
        <v>3170</v>
      </c>
      <c r="C138" s="12" t="s">
        <v>229</v>
      </c>
      <c r="D138" s="12" t="s">
        <v>3171</v>
      </c>
      <c r="E138" s="12" t="s">
        <v>422</v>
      </c>
      <c r="F138" s="115" t="s">
        <v>3170</v>
      </c>
      <c r="G138" s="67" t="s">
        <v>392</v>
      </c>
      <c r="H138" s="67"/>
      <c r="I138" s="12"/>
      <c r="J138" s="12"/>
      <c r="K138" s="12"/>
      <c r="L138" s="55"/>
    </row>
    <row r="139" spans="2:12">
      <c r="B139" s="12" t="s">
        <v>3174</v>
      </c>
      <c r="C139" s="12" t="s">
        <v>229</v>
      </c>
      <c r="D139" s="12" t="s">
        <v>3175</v>
      </c>
      <c r="E139" s="12" t="s">
        <v>422</v>
      </c>
      <c r="F139" s="115" t="s">
        <v>3174</v>
      </c>
      <c r="G139" s="67" t="s">
        <v>392</v>
      </c>
      <c r="H139" s="67"/>
      <c r="I139" s="12"/>
      <c r="J139" s="12"/>
      <c r="K139" s="12"/>
      <c r="L139" s="55"/>
    </row>
    <row r="140" spans="2:12">
      <c r="B140" s="12" t="s">
        <v>3178</v>
      </c>
      <c r="C140" s="12" t="s">
        <v>229</v>
      </c>
      <c r="D140" s="12" t="s">
        <v>3179</v>
      </c>
      <c r="E140" s="12" t="s">
        <v>422</v>
      </c>
      <c r="F140" s="115" t="s">
        <v>3178</v>
      </c>
      <c r="G140" s="67" t="s">
        <v>392</v>
      </c>
      <c r="H140" s="67"/>
      <c r="I140" s="12"/>
      <c r="J140" s="12"/>
      <c r="K140" s="12"/>
      <c r="L140" s="55"/>
    </row>
    <row r="141" spans="2:12">
      <c r="B141" s="12" t="s">
        <v>3182</v>
      </c>
      <c r="C141" s="12" t="s">
        <v>229</v>
      </c>
      <c r="D141" s="12" t="s">
        <v>3183</v>
      </c>
      <c r="E141" s="12" t="s">
        <v>422</v>
      </c>
      <c r="F141" s="115" t="s">
        <v>3182</v>
      </c>
      <c r="G141" s="67" t="s">
        <v>392</v>
      </c>
      <c r="H141" s="67"/>
      <c r="I141" s="12"/>
      <c r="J141" s="12"/>
      <c r="K141" s="12"/>
      <c r="L141" s="55"/>
    </row>
    <row r="142" spans="2:12">
      <c r="B142" s="12" t="s">
        <v>1698</v>
      </c>
      <c r="C142" s="12" t="s">
        <v>229</v>
      </c>
      <c r="D142" s="12" t="s">
        <v>1699</v>
      </c>
      <c r="E142" s="12" t="s">
        <v>422</v>
      </c>
      <c r="F142" s="115"/>
      <c r="G142" s="67" t="s">
        <v>6022</v>
      </c>
      <c r="H142" s="67"/>
      <c r="I142" s="12"/>
      <c r="J142" s="12"/>
      <c r="K142" s="12"/>
      <c r="L142" s="55"/>
    </row>
    <row r="143" spans="2:12">
      <c r="B143" s="12" t="s">
        <v>3191</v>
      </c>
      <c r="C143" s="12" t="s">
        <v>229</v>
      </c>
      <c r="D143" s="12" t="s">
        <v>3192</v>
      </c>
      <c r="E143" s="12" t="s">
        <v>422</v>
      </c>
      <c r="F143" s="115" t="s">
        <v>3191</v>
      </c>
      <c r="G143" s="67" t="s">
        <v>392</v>
      </c>
      <c r="H143" s="67"/>
      <c r="I143" s="12"/>
      <c r="J143" s="12"/>
      <c r="K143" s="12"/>
      <c r="L143" s="55"/>
    </row>
    <row r="144" spans="2:12">
      <c r="B144" s="12" t="s">
        <v>3194</v>
      </c>
      <c r="C144" s="12" t="s">
        <v>229</v>
      </c>
      <c r="D144" s="12" t="s">
        <v>3195</v>
      </c>
      <c r="E144" s="12" t="s">
        <v>422</v>
      </c>
      <c r="F144" s="115" t="s">
        <v>3194</v>
      </c>
      <c r="G144" s="67" t="s">
        <v>392</v>
      </c>
      <c r="H144" s="67"/>
      <c r="I144" s="12"/>
      <c r="J144" s="12"/>
      <c r="K144" s="12"/>
      <c r="L144" s="55"/>
    </row>
    <row r="145" spans="2:12">
      <c r="B145" s="12" t="s">
        <v>3197</v>
      </c>
      <c r="C145" s="12" t="s">
        <v>229</v>
      </c>
      <c r="D145" s="12" t="s">
        <v>3198</v>
      </c>
      <c r="E145" s="12" t="s">
        <v>422</v>
      </c>
      <c r="F145" s="115" t="s">
        <v>3197</v>
      </c>
      <c r="G145" s="67" t="s">
        <v>392</v>
      </c>
      <c r="H145" s="67"/>
      <c r="I145" s="12"/>
      <c r="J145" s="12"/>
      <c r="K145" s="12"/>
      <c r="L145" s="55"/>
    </row>
    <row r="146" spans="2:12">
      <c r="B146" s="12" t="s">
        <v>3200</v>
      </c>
      <c r="C146" s="12" t="s">
        <v>229</v>
      </c>
      <c r="D146" s="12" t="s">
        <v>3201</v>
      </c>
      <c r="E146" s="12" t="s">
        <v>422</v>
      </c>
      <c r="F146" s="115" t="s">
        <v>3200</v>
      </c>
      <c r="G146" s="67" t="s">
        <v>392</v>
      </c>
      <c r="H146" s="67"/>
      <c r="I146" s="12"/>
      <c r="J146" s="12"/>
      <c r="K146" s="12"/>
      <c r="L146" s="55"/>
    </row>
    <row r="147" spans="2:12">
      <c r="B147" s="12" t="s">
        <v>3203</v>
      </c>
      <c r="C147" s="12" t="s">
        <v>229</v>
      </c>
      <c r="D147" s="12" t="s">
        <v>3204</v>
      </c>
      <c r="E147" s="12" t="s">
        <v>422</v>
      </c>
      <c r="F147" s="115" t="s">
        <v>3203</v>
      </c>
      <c r="G147" s="67" t="s">
        <v>392</v>
      </c>
      <c r="H147" s="67"/>
      <c r="I147" s="12"/>
      <c r="J147" s="12"/>
      <c r="K147" s="12"/>
      <c r="L147" s="55"/>
    </row>
    <row r="148" spans="2:12">
      <c r="B148" s="12" t="s">
        <v>1701</v>
      </c>
      <c r="C148" s="12" t="s">
        <v>229</v>
      </c>
      <c r="D148" s="12" t="s">
        <v>1702</v>
      </c>
      <c r="E148" s="12" t="s">
        <v>422</v>
      </c>
      <c r="F148" s="115"/>
      <c r="G148" s="67" t="s">
        <v>4687</v>
      </c>
      <c r="H148" s="67"/>
      <c r="I148" s="12"/>
      <c r="J148" s="12"/>
      <c r="K148" s="12"/>
      <c r="L148" s="55"/>
    </row>
    <row r="149" spans="2:12">
      <c r="B149" s="12" t="s">
        <v>3211</v>
      </c>
      <c r="C149" s="12" t="s">
        <v>229</v>
      </c>
      <c r="D149" s="12" t="s">
        <v>3212</v>
      </c>
      <c r="E149" s="12" t="s">
        <v>422</v>
      </c>
      <c r="F149" s="115" t="s">
        <v>3211</v>
      </c>
      <c r="G149" s="67" t="s">
        <v>392</v>
      </c>
      <c r="H149" s="67"/>
      <c r="I149" s="12"/>
      <c r="J149" s="12"/>
      <c r="K149" s="12"/>
      <c r="L149" s="55"/>
    </row>
    <row r="150" spans="2:12">
      <c r="B150" s="12" t="s">
        <v>3215</v>
      </c>
      <c r="C150" s="12" t="s">
        <v>229</v>
      </c>
      <c r="D150" s="12" t="s">
        <v>3216</v>
      </c>
      <c r="E150" s="12" t="s">
        <v>422</v>
      </c>
      <c r="F150" s="115" t="s">
        <v>3215</v>
      </c>
      <c r="G150" s="67" t="s">
        <v>392</v>
      </c>
      <c r="H150" s="67"/>
      <c r="I150" s="12"/>
      <c r="J150" s="12"/>
      <c r="K150" s="12"/>
      <c r="L150" s="55"/>
    </row>
    <row r="151" spans="2:12">
      <c r="B151" s="12" t="s">
        <v>3219</v>
      </c>
      <c r="C151" s="12" t="s">
        <v>229</v>
      </c>
      <c r="D151" s="12" t="s">
        <v>3220</v>
      </c>
      <c r="E151" s="12" t="s">
        <v>422</v>
      </c>
      <c r="F151" s="115" t="s">
        <v>3219</v>
      </c>
      <c r="G151" s="67" t="s">
        <v>392</v>
      </c>
      <c r="H151" s="67"/>
      <c r="I151" s="12"/>
      <c r="J151" s="12"/>
      <c r="K151" s="12"/>
      <c r="L151" s="55"/>
    </row>
    <row r="152" spans="2:12">
      <c r="B152" s="12" t="s">
        <v>3222</v>
      </c>
      <c r="C152" s="12" t="s">
        <v>229</v>
      </c>
      <c r="D152" s="12" t="s">
        <v>3223</v>
      </c>
      <c r="E152" s="12" t="s">
        <v>422</v>
      </c>
      <c r="F152" s="115" t="s">
        <v>3222</v>
      </c>
      <c r="G152" s="67" t="s">
        <v>392</v>
      </c>
      <c r="H152" s="67"/>
      <c r="I152" s="12"/>
      <c r="J152" s="12"/>
      <c r="K152" s="12"/>
      <c r="L152" s="55"/>
    </row>
    <row r="153" spans="2:12">
      <c r="B153" s="12" t="s">
        <v>3225</v>
      </c>
      <c r="C153" s="12" t="s">
        <v>229</v>
      </c>
      <c r="D153" s="12" t="s">
        <v>3226</v>
      </c>
      <c r="E153" s="12" t="s">
        <v>422</v>
      </c>
      <c r="F153" s="115" t="s">
        <v>3225</v>
      </c>
      <c r="G153" s="67" t="s">
        <v>392</v>
      </c>
      <c r="H153" s="67"/>
      <c r="I153" s="12"/>
      <c r="J153" s="12"/>
      <c r="K153" s="12"/>
      <c r="L153" s="55"/>
    </row>
    <row r="154" spans="2:12">
      <c r="B154" s="12" t="s">
        <v>1704</v>
      </c>
      <c r="C154" s="12" t="s">
        <v>229</v>
      </c>
      <c r="D154" s="12" t="s">
        <v>1705</v>
      </c>
      <c r="E154" s="12" t="s">
        <v>422</v>
      </c>
      <c r="F154" s="115"/>
      <c r="G154" s="67" t="s">
        <v>6044</v>
      </c>
      <c r="H154" s="67"/>
      <c r="I154" s="12"/>
      <c r="J154" s="12"/>
      <c r="K154" s="12"/>
      <c r="L154" s="55"/>
    </row>
    <row r="155" spans="2:12">
      <c r="B155" s="12" t="s">
        <v>3233</v>
      </c>
      <c r="C155" s="12" t="s">
        <v>229</v>
      </c>
      <c r="D155" s="12" t="s">
        <v>3234</v>
      </c>
      <c r="E155" s="12" t="s">
        <v>422</v>
      </c>
      <c r="F155" s="115" t="s">
        <v>3233</v>
      </c>
      <c r="G155" s="67" t="s">
        <v>392</v>
      </c>
      <c r="H155" s="67"/>
      <c r="I155" s="12"/>
      <c r="J155" s="12"/>
      <c r="K155" s="12"/>
      <c r="L155" s="55"/>
    </row>
    <row r="156" spans="2:12">
      <c r="B156" s="12" t="s">
        <v>3237</v>
      </c>
      <c r="C156" s="12" t="s">
        <v>229</v>
      </c>
      <c r="D156" s="12" t="s">
        <v>3238</v>
      </c>
      <c r="E156" s="12" t="s">
        <v>422</v>
      </c>
      <c r="F156" s="115" t="s">
        <v>3237</v>
      </c>
      <c r="G156" s="67" t="s">
        <v>392</v>
      </c>
      <c r="H156" s="67"/>
      <c r="I156" s="12"/>
      <c r="J156" s="12"/>
      <c r="K156" s="12"/>
      <c r="L156" s="55"/>
    </row>
    <row r="157" spans="2:12">
      <c r="B157" s="12" t="s">
        <v>3241</v>
      </c>
      <c r="C157" s="12" t="s">
        <v>229</v>
      </c>
      <c r="D157" s="12" t="s">
        <v>3242</v>
      </c>
      <c r="E157" s="12" t="s">
        <v>422</v>
      </c>
      <c r="F157" s="115" t="s">
        <v>3241</v>
      </c>
      <c r="G157" s="67" t="s">
        <v>392</v>
      </c>
      <c r="H157" s="67"/>
      <c r="I157" s="12"/>
      <c r="J157" s="12"/>
      <c r="K157" s="12"/>
      <c r="L157" s="55"/>
    </row>
    <row r="158" spans="2:12">
      <c r="B158" s="12" t="s">
        <v>3245</v>
      </c>
      <c r="C158" s="12" t="s">
        <v>229</v>
      </c>
      <c r="D158" s="12" t="s">
        <v>3246</v>
      </c>
      <c r="E158" s="12" t="s">
        <v>422</v>
      </c>
      <c r="F158" s="115" t="s">
        <v>3245</v>
      </c>
      <c r="G158" s="67" t="s">
        <v>392</v>
      </c>
      <c r="H158" s="67"/>
      <c r="I158" s="12"/>
      <c r="J158" s="12"/>
      <c r="K158" s="12"/>
      <c r="L158" s="55"/>
    </row>
    <row r="159" spans="2:12">
      <c r="B159" s="12" t="s">
        <v>3249</v>
      </c>
      <c r="C159" s="12" t="s">
        <v>229</v>
      </c>
      <c r="D159" s="12" t="s">
        <v>3250</v>
      </c>
      <c r="E159" s="12" t="s">
        <v>422</v>
      </c>
      <c r="F159" s="115" t="s">
        <v>3249</v>
      </c>
      <c r="G159" s="67" t="s">
        <v>392</v>
      </c>
      <c r="H159" s="67"/>
      <c r="I159" s="12"/>
      <c r="J159" s="12"/>
      <c r="K159" s="12"/>
      <c r="L159" s="55"/>
    </row>
    <row r="160" spans="2:12">
      <c r="B160" s="12" t="s">
        <v>4453</v>
      </c>
      <c r="C160" s="12" t="s">
        <v>229</v>
      </c>
      <c r="D160" s="12" t="s">
        <v>4454</v>
      </c>
      <c r="E160" s="12" t="s">
        <v>422</v>
      </c>
      <c r="F160" s="115"/>
      <c r="G160" s="67" t="s">
        <v>6025</v>
      </c>
      <c r="H160" s="67"/>
      <c r="I160" s="12"/>
      <c r="J160" s="12"/>
      <c r="K160" s="12"/>
      <c r="L160" s="55"/>
    </row>
    <row r="161" spans="2:12">
      <c r="B161" s="12" t="s">
        <v>4456</v>
      </c>
      <c r="C161" s="12" t="s">
        <v>229</v>
      </c>
      <c r="D161" s="12" t="s">
        <v>4457</v>
      </c>
      <c r="E161" s="12" t="s">
        <v>422</v>
      </c>
      <c r="F161" s="115" t="s">
        <v>4456</v>
      </c>
      <c r="G161" s="67" t="s">
        <v>392</v>
      </c>
      <c r="H161" s="67"/>
      <c r="I161" s="12"/>
      <c r="J161" s="12"/>
      <c r="K161" s="12"/>
      <c r="L161" s="55"/>
    </row>
    <row r="162" spans="2:12">
      <c r="B162" s="12" t="s">
        <v>4459</v>
      </c>
      <c r="C162" s="12" t="s">
        <v>229</v>
      </c>
      <c r="D162" s="12" t="s">
        <v>4460</v>
      </c>
      <c r="E162" s="12" t="s">
        <v>422</v>
      </c>
      <c r="F162" s="115" t="s">
        <v>4459</v>
      </c>
      <c r="G162" s="67" t="s">
        <v>392</v>
      </c>
      <c r="H162" s="67"/>
      <c r="I162" s="12"/>
      <c r="J162" s="12"/>
      <c r="K162" s="12"/>
      <c r="L162" s="55"/>
    </row>
    <row r="163" spans="2:12">
      <c r="B163" s="12" t="s">
        <v>4462</v>
      </c>
      <c r="C163" s="12" t="s">
        <v>229</v>
      </c>
      <c r="D163" s="12" t="s">
        <v>4463</v>
      </c>
      <c r="E163" s="12" t="s">
        <v>422</v>
      </c>
      <c r="F163" s="115" t="s">
        <v>4462</v>
      </c>
      <c r="G163" s="67" t="s">
        <v>392</v>
      </c>
      <c r="H163" s="67"/>
      <c r="I163" s="12"/>
      <c r="J163" s="12"/>
      <c r="K163" s="12"/>
      <c r="L163" s="55"/>
    </row>
    <row r="164" spans="2:12">
      <c r="B164" s="12" t="s">
        <v>4465</v>
      </c>
      <c r="C164" s="12" t="s">
        <v>229</v>
      </c>
      <c r="D164" s="12" t="s">
        <v>4466</v>
      </c>
      <c r="E164" s="12" t="s">
        <v>422</v>
      </c>
      <c r="F164" s="115" t="s">
        <v>4465</v>
      </c>
      <c r="G164" s="67" t="s">
        <v>392</v>
      </c>
      <c r="H164" s="67"/>
      <c r="I164" s="12"/>
      <c r="J164" s="12"/>
      <c r="K164" s="12"/>
      <c r="L164" s="55"/>
    </row>
    <row r="165" spans="2:12">
      <c r="B165" s="12" t="s">
        <v>4468</v>
      </c>
      <c r="C165" s="12" t="s">
        <v>229</v>
      </c>
      <c r="D165" s="12" t="s">
        <v>4469</v>
      </c>
      <c r="E165" s="12" t="s">
        <v>422</v>
      </c>
      <c r="F165" s="115" t="s">
        <v>4468</v>
      </c>
      <c r="G165" s="67" t="s">
        <v>392</v>
      </c>
      <c r="H165" s="67"/>
      <c r="I165" s="12"/>
      <c r="J165" s="12"/>
      <c r="K165" s="12"/>
      <c r="L165" s="55"/>
    </row>
    <row r="166" spans="2:12">
      <c r="B166" s="12" t="s">
        <v>1707</v>
      </c>
      <c r="C166" s="12" t="s">
        <v>229</v>
      </c>
      <c r="D166" s="12" t="s">
        <v>1708</v>
      </c>
      <c r="E166" s="12" t="s">
        <v>422</v>
      </c>
      <c r="F166" s="115"/>
      <c r="G166" s="67" t="s">
        <v>6026</v>
      </c>
      <c r="H166" s="67"/>
      <c r="I166" s="12"/>
      <c r="J166" s="12"/>
      <c r="K166" s="12"/>
      <c r="L166" s="55"/>
    </row>
    <row r="167" spans="2:12">
      <c r="B167" s="12" t="s">
        <v>3258</v>
      </c>
      <c r="C167" s="12" t="s">
        <v>229</v>
      </c>
      <c r="D167" s="12" t="s">
        <v>3259</v>
      </c>
      <c r="E167" s="12" t="s">
        <v>422</v>
      </c>
      <c r="F167" s="115" t="s">
        <v>3258</v>
      </c>
      <c r="G167" s="67" t="s">
        <v>392</v>
      </c>
      <c r="H167" s="67"/>
      <c r="I167" s="12"/>
      <c r="J167" s="12"/>
      <c r="K167" s="12"/>
      <c r="L167" s="55"/>
    </row>
    <row r="168" spans="2:12">
      <c r="B168" s="12" t="s">
        <v>3262</v>
      </c>
      <c r="C168" s="12" t="s">
        <v>229</v>
      </c>
      <c r="D168" s="12" t="s">
        <v>3263</v>
      </c>
      <c r="E168" s="12" t="s">
        <v>422</v>
      </c>
      <c r="F168" s="115" t="s">
        <v>3262</v>
      </c>
      <c r="G168" s="67" t="s">
        <v>392</v>
      </c>
      <c r="H168" s="67"/>
      <c r="I168" s="12"/>
      <c r="J168" s="12"/>
      <c r="K168" s="12"/>
      <c r="L168" s="55"/>
    </row>
    <row r="169" spans="2:12">
      <c r="B169" s="12" t="s">
        <v>3266</v>
      </c>
      <c r="C169" s="12" t="s">
        <v>229</v>
      </c>
      <c r="D169" s="12" t="s">
        <v>3267</v>
      </c>
      <c r="E169" s="12" t="s">
        <v>422</v>
      </c>
      <c r="F169" s="115" t="s">
        <v>3266</v>
      </c>
      <c r="G169" s="67" t="s">
        <v>392</v>
      </c>
      <c r="H169" s="67"/>
      <c r="I169" s="12"/>
      <c r="J169" s="12"/>
      <c r="K169" s="12"/>
      <c r="L169" s="55"/>
    </row>
    <row r="170" spans="2:12">
      <c r="B170" s="12" t="s">
        <v>3270</v>
      </c>
      <c r="C170" s="12" t="s">
        <v>229</v>
      </c>
      <c r="D170" s="12" t="s">
        <v>3271</v>
      </c>
      <c r="E170" s="12" t="s">
        <v>422</v>
      </c>
      <c r="F170" s="115" t="s">
        <v>3270</v>
      </c>
      <c r="G170" s="67" t="s">
        <v>392</v>
      </c>
      <c r="H170" s="67"/>
      <c r="I170" s="12"/>
      <c r="J170" s="12"/>
      <c r="K170" s="12"/>
      <c r="L170" s="55"/>
    </row>
    <row r="171" spans="2:12">
      <c r="B171" s="12" t="s">
        <v>3274</v>
      </c>
      <c r="C171" s="12" t="s">
        <v>229</v>
      </c>
      <c r="D171" s="12" t="s">
        <v>3275</v>
      </c>
      <c r="E171" s="12" t="s">
        <v>422</v>
      </c>
      <c r="F171" s="115" t="s">
        <v>3274</v>
      </c>
      <c r="G171" s="67" t="s">
        <v>392</v>
      </c>
      <c r="H171" s="67"/>
      <c r="I171" s="12"/>
      <c r="J171" s="12"/>
      <c r="K171" s="12"/>
      <c r="L171" s="55"/>
    </row>
    <row r="172" spans="2:12">
      <c r="B172" s="12" t="s">
        <v>1709</v>
      </c>
      <c r="C172" s="12" t="s">
        <v>229</v>
      </c>
      <c r="D172" s="12" t="s">
        <v>1710</v>
      </c>
      <c r="E172" s="12" t="s">
        <v>422</v>
      </c>
      <c r="F172" s="115"/>
      <c r="G172" s="67" t="s">
        <v>4700</v>
      </c>
      <c r="H172" s="67"/>
      <c r="I172" s="12"/>
      <c r="J172" s="12"/>
      <c r="K172" s="12"/>
      <c r="L172" s="55"/>
    </row>
    <row r="173" spans="2:12">
      <c r="B173" s="12" t="s">
        <v>3283</v>
      </c>
      <c r="C173" s="12" t="s">
        <v>229</v>
      </c>
      <c r="D173" s="12" t="s">
        <v>3284</v>
      </c>
      <c r="E173" s="12" t="s">
        <v>422</v>
      </c>
      <c r="F173" s="115" t="s">
        <v>3283</v>
      </c>
      <c r="G173" s="67" t="s">
        <v>392</v>
      </c>
      <c r="H173" s="67"/>
      <c r="I173" s="12"/>
      <c r="J173" s="12"/>
      <c r="K173" s="12"/>
      <c r="L173" s="55"/>
    </row>
    <row r="174" spans="2:12">
      <c r="B174" s="12" t="s">
        <v>3287</v>
      </c>
      <c r="C174" s="12" t="s">
        <v>229</v>
      </c>
      <c r="D174" s="12" t="s">
        <v>3288</v>
      </c>
      <c r="E174" s="12" t="s">
        <v>422</v>
      </c>
      <c r="F174" s="115" t="s">
        <v>3287</v>
      </c>
      <c r="G174" s="67" t="s">
        <v>392</v>
      </c>
      <c r="H174" s="67"/>
      <c r="I174" s="12"/>
      <c r="J174" s="12"/>
      <c r="K174" s="12"/>
      <c r="L174" s="55"/>
    </row>
    <row r="175" spans="2:12">
      <c r="B175" s="12" t="s">
        <v>3291</v>
      </c>
      <c r="C175" s="12" t="s">
        <v>229</v>
      </c>
      <c r="D175" s="12" t="s">
        <v>3292</v>
      </c>
      <c r="E175" s="12" t="s">
        <v>422</v>
      </c>
      <c r="F175" s="115" t="s">
        <v>3291</v>
      </c>
      <c r="G175" s="67" t="s">
        <v>392</v>
      </c>
      <c r="H175" s="67"/>
      <c r="I175" s="12"/>
      <c r="J175" s="12"/>
      <c r="K175" s="12"/>
      <c r="L175" s="55"/>
    </row>
    <row r="176" spans="2:12">
      <c r="B176" s="12" t="s">
        <v>3295</v>
      </c>
      <c r="C176" s="12" t="s">
        <v>229</v>
      </c>
      <c r="D176" s="12" t="s">
        <v>3296</v>
      </c>
      <c r="E176" s="12" t="s">
        <v>422</v>
      </c>
      <c r="F176" s="115" t="s">
        <v>3295</v>
      </c>
      <c r="G176" s="67" t="s">
        <v>392</v>
      </c>
      <c r="H176" s="67"/>
      <c r="I176" s="12"/>
      <c r="J176" s="12"/>
      <c r="K176" s="12"/>
      <c r="L176" s="55"/>
    </row>
    <row r="177" spans="2:12">
      <c r="B177" s="12" t="s">
        <v>3299</v>
      </c>
      <c r="C177" s="12" t="s">
        <v>229</v>
      </c>
      <c r="D177" s="12" t="s">
        <v>3300</v>
      </c>
      <c r="E177" s="12" t="s">
        <v>422</v>
      </c>
      <c r="F177" s="115" t="s">
        <v>3299</v>
      </c>
      <c r="G177" s="67" t="s">
        <v>392</v>
      </c>
      <c r="H177" s="67"/>
      <c r="I177" s="12"/>
      <c r="J177" s="12"/>
      <c r="K177" s="12"/>
      <c r="L177" s="55"/>
    </row>
    <row r="178" spans="2:12">
      <c r="B178" s="12" t="s">
        <v>1712</v>
      </c>
      <c r="C178" s="12" t="s">
        <v>229</v>
      </c>
      <c r="D178" s="12" t="s">
        <v>1713</v>
      </c>
      <c r="E178" s="12" t="s">
        <v>422</v>
      </c>
      <c r="F178" s="115"/>
      <c r="G178" s="67" t="s">
        <v>6028</v>
      </c>
      <c r="H178" s="67"/>
      <c r="I178" s="12"/>
      <c r="J178" s="12"/>
      <c r="K178" s="12"/>
      <c r="L178" s="55"/>
    </row>
    <row r="179" spans="2:12">
      <c r="B179" s="12" t="s">
        <v>4484</v>
      </c>
      <c r="C179" s="12" t="s">
        <v>229</v>
      </c>
      <c r="D179" s="12" t="s">
        <v>3310</v>
      </c>
      <c r="E179" s="12" t="s">
        <v>422</v>
      </c>
      <c r="F179" s="115" t="s">
        <v>4484</v>
      </c>
      <c r="G179" s="67" t="s">
        <v>392</v>
      </c>
      <c r="H179" s="67"/>
      <c r="I179" s="12"/>
      <c r="J179" s="12"/>
      <c r="K179" s="12"/>
      <c r="L179" s="55"/>
    </row>
    <row r="180" spans="2:12">
      <c r="B180" s="12" t="s">
        <v>4486</v>
      </c>
      <c r="C180" s="12" t="s">
        <v>229</v>
      </c>
      <c r="D180" s="12" t="s">
        <v>3313</v>
      </c>
      <c r="E180" s="12" t="s">
        <v>422</v>
      </c>
      <c r="F180" s="115" t="s">
        <v>4486</v>
      </c>
      <c r="G180" s="67" t="s">
        <v>392</v>
      </c>
      <c r="H180" s="67"/>
      <c r="I180" s="12"/>
      <c r="J180" s="12"/>
      <c r="K180" s="12"/>
      <c r="L180" s="55"/>
    </row>
    <row r="181" spans="2:12">
      <c r="B181" s="12" t="s">
        <v>4488</v>
      </c>
      <c r="C181" s="12" t="s">
        <v>229</v>
      </c>
      <c r="D181" s="12" t="s">
        <v>3315</v>
      </c>
      <c r="E181" s="12" t="s">
        <v>422</v>
      </c>
      <c r="F181" s="115" t="s">
        <v>4488</v>
      </c>
      <c r="G181" s="67" t="s">
        <v>392</v>
      </c>
      <c r="H181" s="67"/>
      <c r="I181" s="12"/>
      <c r="J181" s="12"/>
      <c r="K181" s="12"/>
      <c r="L181" s="55"/>
    </row>
    <row r="182" spans="2:12">
      <c r="B182" s="12" t="s">
        <v>4490</v>
      </c>
      <c r="C182" s="12" t="s">
        <v>229</v>
      </c>
      <c r="D182" s="12" t="s">
        <v>3318</v>
      </c>
      <c r="E182" s="12" t="s">
        <v>422</v>
      </c>
      <c r="F182" s="115" t="s">
        <v>4490</v>
      </c>
      <c r="G182" s="67" t="s">
        <v>392</v>
      </c>
      <c r="H182" s="67"/>
      <c r="I182" s="12"/>
      <c r="J182" s="12"/>
      <c r="K182" s="12"/>
      <c r="L182" s="55"/>
    </row>
    <row r="183" spans="2:12">
      <c r="B183" s="12" t="s">
        <v>4492</v>
      </c>
      <c r="C183" s="12" t="s">
        <v>229</v>
      </c>
      <c r="D183" s="12" t="s">
        <v>3321</v>
      </c>
      <c r="E183" s="12" t="s">
        <v>422</v>
      </c>
      <c r="F183" s="115" t="s">
        <v>4492</v>
      </c>
      <c r="G183" s="67" t="s">
        <v>392</v>
      </c>
      <c r="H183" s="67"/>
      <c r="I183" s="12"/>
      <c r="J183" s="12"/>
      <c r="K183" s="12"/>
      <c r="L183" s="55"/>
    </row>
    <row r="184" spans="2:12">
      <c r="B184" s="12" t="s">
        <v>3602</v>
      </c>
      <c r="C184" s="12" t="s">
        <v>229</v>
      </c>
      <c r="D184" s="12" t="s">
        <v>3328</v>
      </c>
      <c r="E184" s="12" t="s">
        <v>422</v>
      </c>
      <c r="F184" s="115"/>
      <c r="G184" s="67" t="s">
        <v>6029</v>
      </c>
      <c r="H184" s="67"/>
      <c r="I184" s="12"/>
      <c r="J184" s="12"/>
      <c r="K184" s="12"/>
      <c r="L184" s="55"/>
    </row>
    <row r="185" spans="2:12">
      <c r="B185" s="12" t="s">
        <v>4495</v>
      </c>
      <c r="C185" s="12" t="s">
        <v>229</v>
      </c>
      <c r="D185" s="12" t="s">
        <v>3331</v>
      </c>
      <c r="E185" s="12" t="s">
        <v>422</v>
      </c>
      <c r="F185" s="115" t="s">
        <v>4495</v>
      </c>
      <c r="G185" s="67" t="s">
        <v>392</v>
      </c>
      <c r="H185" s="67"/>
      <c r="I185" s="12"/>
      <c r="J185" s="12"/>
      <c r="K185" s="12"/>
      <c r="L185" s="55"/>
    </row>
    <row r="186" spans="2:12">
      <c r="B186" s="12" t="s">
        <v>4497</v>
      </c>
      <c r="C186" s="12" t="s">
        <v>229</v>
      </c>
      <c r="D186" s="12" t="s">
        <v>3335</v>
      </c>
      <c r="E186" s="12" t="s">
        <v>422</v>
      </c>
      <c r="F186" s="115" t="s">
        <v>4497</v>
      </c>
      <c r="G186" s="67" t="s">
        <v>392</v>
      </c>
      <c r="H186" s="67"/>
      <c r="I186" s="12"/>
      <c r="J186" s="12"/>
      <c r="K186" s="12"/>
      <c r="L186" s="55"/>
    </row>
    <row r="187" spans="2:12">
      <c r="B187" s="12" t="s">
        <v>4499</v>
      </c>
      <c r="C187" s="12" t="s">
        <v>229</v>
      </c>
      <c r="D187" s="12" t="s">
        <v>3338</v>
      </c>
      <c r="E187" s="12" t="s">
        <v>422</v>
      </c>
      <c r="F187" s="115" t="s">
        <v>4499</v>
      </c>
      <c r="G187" s="67" t="s">
        <v>392</v>
      </c>
      <c r="H187" s="67"/>
      <c r="I187" s="12"/>
      <c r="J187" s="12"/>
      <c r="K187" s="12"/>
      <c r="L187" s="55"/>
    </row>
    <row r="188" spans="2:12">
      <c r="B188" s="12" t="s">
        <v>4501</v>
      </c>
      <c r="C188" s="12" t="s">
        <v>229</v>
      </c>
      <c r="D188" s="12" t="s">
        <v>3341</v>
      </c>
      <c r="E188" s="12" t="s">
        <v>422</v>
      </c>
      <c r="F188" s="115" t="s">
        <v>4501</v>
      </c>
      <c r="G188" s="67" t="s">
        <v>392</v>
      </c>
      <c r="H188" s="67"/>
      <c r="I188" s="12"/>
      <c r="J188" s="12"/>
      <c r="K188" s="12"/>
      <c r="L188" s="55"/>
    </row>
    <row r="189" spans="2:12">
      <c r="B189" s="12" t="s">
        <v>4503</v>
      </c>
      <c r="C189" s="12" t="s">
        <v>229</v>
      </c>
      <c r="D189" s="12" t="s">
        <v>3344</v>
      </c>
      <c r="E189" s="12" t="s">
        <v>422</v>
      </c>
      <c r="F189" s="115" t="s">
        <v>4503</v>
      </c>
      <c r="G189" s="67" t="s">
        <v>392</v>
      </c>
      <c r="H189" s="67"/>
      <c r="I189" s="12"/>
      <c r="J189" s="12"/>
      <c r="K189" s="12"/>
      <c r="L189" s="55"/>
    </row>
    <row r="190" spans="2:12">
      <c r="B190" s="12" t="s">
        <v>1715</v>
      </c>
      <c r="C190" s="12" t="s">
        <v>203</v>
      </c>
      <c r="D190" s="12" t="s">
        <v>1716</v>
      </c>
      <c r="E190" s="12" t="s">
        <v>422</v>
      </c>
      <c r="F190" s="115"/>
      <c r="G190" s="67" t="s">
        <v>6030</v>
      </c>
      <c r="H190" s="67"/>
      <c r="I190" s="12"/>
      <c r="J190" s="12"/>
      <c r="K190" s="12"/>
      <c r="L190" s="55"/>
    </row>
    <row r="191" spans="2:12">
      <c r="B191" s="12" t="s">
        <v>4506</v>
      </c>
      <c r="C191" s="12" t="s">
        <v>229</v>
      </c>
      <c r="D191" s="12" t="s">
        <v>2401</v>
      </c>
      <c r="E191" s="12" t="s">
        <v>422</v>
      </c>
      <c r="F191" s="115" t="s">
        <v>4506</v>
      </c>
      <c r="G191" s="67" t="s">
        <v>392</v>
      </c>
      <c r="H191" s="67"/>
      <c r="I191" s="12"/>
      <c r="J191" s="12"/>
      <c r="K191" s="12"/>
      <c r="L191" s="55"/>
    </row>
    <row r="192" spans="2:12">
      <c r="B192" s="12" t="s">
        <v>4508</v>
      </c>
      <c r="C192" s="12" t="s">
        <v>229</v>
      </c>
      <c r="D192" s="12" t="s">
        <v>2405</v>
      </c>
      <c r="E192" s="12" t="s">
        <v>422</v>
      </c>
      <c r="F192" s="115" t="s">
        <v>4508</v>
      </c>
      <c r="G192" s="67" t="s">
        <v>392</v>
      </c>
      <c r="H192" s="67"/>
      <c r="I192" s="12"/>
      <c r="J192" s="12"/>
      <c r="K192" s="12"/>
      <c r="L192" s="55"/>
    </row>
    <row r="193" spans="2:12">
      <c r="B193" s="12" t="s">
        <v>4510</v>
      </c>
      <c r="C193" s="12" t="s">
        <v>229</v>
      </c>
      <c r="D193" s="12" t="s">
        <v>2409</v>
      </c>
      <c r="E193" s="12" t="s">
        <v>422</v>
      </c>
      <c r="F193" s="115" t="s">
        <v>4510</v>
      </c>
      <c r="G193" s="67" t="s">
        <v>392</v>
      </c>
      <c r="H193" s="67"/>
      <c r="I193" s="12"/>
      <c r="J193" s="12"/>
      <c r="K193" s="12"/>
      <c r="L193" s="55"/>
    </row>
    <row r="194" spans="2:12">
      <c r="B194" s="12" t="s">
        <v>4512</v>
      </c>
      <c r="C194" s="12" t="s">
        <v>229</v>
      </c>
      <c r="D194" s="12" t="s">
        <v>2413</v>
      </c>
      <c r="E194" s="12" t="s">
        <v>422</v>
      </c>
      <c r="F194" s="115" t="s">
        <v>4512</v>
      </c>
      <c r="G194" s="67" t="s">
        <v>392</v>
      </c>
      <c r="H194" s="67"/>
      <c r="I194" s="12"/>
      <c r="J194" s="12"/>
      <c r="K194" s="12"/>
      <c r="L194" s="55"/>
    </row>
    <row r="195" spans="2:12">
      <c r="B195" s="12" t="s">
        <v>4514</v>
      </c>
      <c r="C195" s="12" t="s">
        <v>229</v>
      </c>
      <c r="D195" s="12" t="s">
        <v>2417</v>
      </c>
      <c r="E195" s="12" t="s">
        <v>422</v>
      </c>
      <c r="F195" s="115" t="s">
        <v>4514</v>
      </c>
      <c r="G195" s="67" t="s">
        <v>392</v>
      </c>
      <c r="H195" s="67"/>
      <c r="I195" s="12"/>
      <c r="J195" s="12"/>
      <c r="K195" s="12"/>
      <c r="L195" s="55"/>
    </row>
    <row r="196" spans="2:12">
      <c r="B196" s="12" t="s">
        <v>1720</v>
      </c>
      <c r="C196" s="12" t="s">
        <v>203</v>
      </c>
      <c r="D196" s="12" t="s">
        <v>1721</v>
      </c>
      <c r="E196" s="12" t="s">
        <v>422</v>
      </c>
      <c r="F196" s="115"/>
      <c r="G196" s="67" t="s">
        <v>6031</v>
      </c>
      <c r="H196" s="67"/>
      <c r="I196" s="12"/>
      <c r="J196" s="12"/>
      <c r="K196" s="12"/>
      <c r="L196" s="55"/>
    </row>
    <row r="197" spans="2:12">
      <c r="B197" s="12" t="s">
        <v>4517</v>
      </c>
      <c r="C197" s="12" t="s">
        <v>229</v>
      </c>
      <c r="D197" s="12" t="s">
        <v>2423</v>
      </c>
      <c r="E197" s="12" t="s">
        <v>422</v>
      </c>
      <c r="F197" s="115" t="s">
        <v>4517</v>
      </c>
      <c r="G197" s="67" t="s">
        <v>392</v>
      </c>
      <c r="H197" s="67"/>
      <c r="I197" s="12"/>
      <c r="J197" s="12"/>
      <c r="K197" s="12"/>
      <c r="L197" s="55"/>
    </row>
    <row r="198" spans="2:12">
      <c r="B198" s="12" t="s">
        <v>4519</v>
      </c>
      <c r="C198" s="12" t="s">
        <v>229</v>
      </c>
      <c r="D198" s="12" t="s">
        <v>2427</v>
      </c>
      <c r="E198" s="12" t="s">
        <v>422</v>
      </c>
      <c r="F198" s="115" t="s">
        <v>4519</v>
      </c>
      <c r="G198" s="67" t="s">
        <v>392</v>
      </c>
      <c r="H198" s="67"/>
      <c r="I198" s="12"/>
      <c r="J198" s="12"/>
      <c r="K198" s="12"/>
      <c r="L198" s="55"/>
    </row>
    <row r="199" spans="2:12">
      <c r="B199" s="12" t="s">
        <v>4521</v>
      </c>
      <c r="C199" s="12" t="s">
        <v>229</v>
      </c>
      <c r="D199" s="12" t="s">
        <v>2431</v>
      </c>
      <c r="E199" s="12" t="s">
        <v>422</v>
      </c>
      <c r="F199" s="115" t="s">
        <v>4521</v>
      </c>
      <c r="G199" s="67" t="s">
        <v>392</v>
      </c>
      <c r="H199" s="67"/>
      <c r="I199" s="12"/>
      <c r="J199" s="12"/>
      <c r="K199" s="12"/>
      <c r="L199" s="55"/>
    </row>
    <row r="200" spans="2:12">
      <c r="B200" s="12" t="s">
        <v>4523</v>
      </c>
      <c r="C200" s="12" t="s">
        <v>229</v>
      </c>
      <c r="D200" s="12" t="s">
        <v>2435</v>
      </c>
      <c r="E200" s="12" t="s">
        <v>422</v>
      </c>
      <c r="F200" s="115" t="s">
        <v>4523</v>
      </c>
      <c r="G200" s="67" t="s">
        <v>392</v>
      </c>
      <c r="H200" s="67"/>
      <c r="I200" s="12"/>
      <c r="J200" s="12"/>
      <c r="K200" s="12"/>
      <c r="L200" s="55"/>
    </row>
    <row r="201" spans="2:12">
      <c r="B201" s="12" t="s">
        <v>4525</v>
      </c>
      <c r="C201" s="12" t="s">
        <v>229</v>
      </c>
      <c r="D201" s="12" t="s">
        <v>2439</v>
      </c>
      <c r="E201" s="12" t="s">
        <v>422</v>
      </c>
      <c r="F201" s="115" t="s">
        <v>4525</v>
      </c>
      <c r="G201" s="67" t="s">
        <v>392</v>
      </c>
      <c r="H201" s="67"/>
      <c r="I201" s="12"/>
      <c r="J201" s="12"/>
      <c r="K201" s="12"/>
      <c r="L201" s="55"/>
    </row>
    <row r="202" spans="2:12">
      <c r="B202" s="12" t="s">
        <v>1723</v>
      </c>
      <c r="C202" s="12" t="s">
        <v>203</v>
      </c>
      <c r="D202" s="12" t="s">
        <v>1724</v>
      </c>
      <c r="E202" s="12" t="s">
        <v>422</v>
      </c>
      <c r="F202" s="115"/>
      <c r="G202" s="67" t="s">
        <v>4706</v>
      </c>
      <c r="H202" s="67"/>
      <c r="I202" s="12"/>
      <c r="J202" s="12"/>
      <c r="K202" s="12"/>
      <c r="L202" s="55"/>
    </row>
    <row r="203" spans="2:12">
      <c r="B203" s="12" t="s">
        <v>4528</v>
      </c>
      <c r="C203" s="12" t="s">
        <v>229</v>
      </c>
      <c r="D203" s="12" t="s">
        <v>2445</v>
      </c>
      <c r="E203" s="12" t="s">
        <v>422</v>
      </c>
      <c r="F203" s="115" t="s">
        <v>4528</v>
      </c>
      <c r="G203" s="67" t="s">
        <v>392</v>
      </c>
      <c r="H203" s="67"/>
      <c r="I203" s="12"/>
      <c r="J203" s="12"/>
      <c r="K203" s="12"/>
      <c r="L203" s="55"/>
    </row>
    <row r="204" spans="2:12">
      <c r="B204" s="12" t="s">
        <v>4530</v>
      </c>
      <c r="C204" s="12" t="s">
        <v>229</v>
      </c>
      <c r="D204" s="12" t="s">
        <v>2449</v>
      </c>
      <c r="E204" s="12" t="s">
        <v>422</v>
      </c>
      <c r="F204" s="115" t="s">
        <v>4530</v>
      </c>
      <c r="G204" s="67" t="s">
        <v>392</v>
      </c>
      <c r="H204" s="67"/>
      <c r="I204" s="12"/>
      <c r="J204" s="12"/>
      <c r="K204" s="12"/>
      <c r="L204" s="55"/>
    </row>
    <row r="205" spans="2:12">
      <c r="B205" s="12" t="s">
        <v>4532</v>
      </c>
      <c r="C205" s="12" t="s">
        <v>229</v>
      </c>
      <c r="D205" s="12" t="s">
        <v>2453</v>
      </c>
      <c r="E205" s="12" t="s">
        <v>422</v>
      </c>
      <c r="F205" s="115" t="s">
        <v>4532</v>
      </c>
      <c r="G205" s="67" t="s">
        <v>392</v>
      </c>
      <c r="H205" s="67"/>
      <c r="I205" s="12"/>
      <c r="J205" s="12"/>
      <c r="K205" s="12"/>
      <c r="L205" s="55"/>
    </row>
    <row r="206" spans="2:12">
      <c r="B206" s="12" t="s">
        <v>4534</v>
      </c>
      <c r="C206" s="12" t="s">
        <v>229</v>
      </c>
      <c r="D206" s="12" t="s">
        <v>2457</v>
      </c>
      <c r="E206" s="12" t="s">
        <v>422</v>
      </c>
      <c r="F206" s="115" t="s">
        <v>4534</v>
      </c>
      <c r="G206" s="67" t="s">
        <v>392</v>
      </c>
      <c r="H206" s="67"/>
      <c r="I206" s="12"/>
      <c r="J206" s="12"/>
      <c r="K206" s="12"/>
      <c r="L206" s="55"/>
    </row>
    <row r="207" spans="2:12">
      <c r="B207" s="12" t="s">
        <v>4536</v>
      </c>
      <c r="C207" s="12" t="s">
        <v>229</v>
      </c>
      <c r="D207" s="12" t="s">
        <v>2461</v>
      </c>
      <c r="E207" s="12" t="s">
        <v>422</v>
      </c>
      <c r="F207" s="115" t="s">
        <v>4536</v>
      </c>
      <c r="G207" s="67" t="s">
        <v>392</v>
      </c>
      <c r="H207" s="67"/>
      <c r="I207" s="12"/>
      <c r="J207" s="12"/>
      <c r="K207" s="12"/>
      <c r="L207" s="55"/>
    </row>
    <row r="208" spans="2:12">
      <c r="B208" s="12" t="s">
        <v>1726</v>
      </c>
      <c r="C208" s="12" t="s">
        <v>203</v>
      </c>
      <c r="D208" s="12" t="s">
        <v>1727</v>
      </c>
      <c r="E208" s="12" t="s">
        <v>422</v>
      </c>
      <c r="F208" s="115"/>
      <c r="G208" s="67" t="s">
        <v>4712</v>
      </c>
      <c r="H208" s="67"/>
      <c r="I208" s="12"/>
      <c r="J208" s="12"/>
      <c r="K208" s="12"/>
      <c r="L208" s="55"/>
    </row>
    <row r="209" spans="2:12">
      <c r="B209" s="12" t="s">
        <v>4539</v>
      </c>
      <c r="C209" s="12" t="s">
        <v>229</v>
      </c>
      <c r="D209" s="12" t="s">
        <v>2468</v>
      </c>
      <c r="E209" s="12" t="s">
        <v>422</v>
      </c>
      <c r="F209" s="115" t="s">
        <v>4539</v>
      </c>
      <c r="G209" s="67" t="s">
        <v>392</v>
      </c>
      <c r="H209" s="67"/>
      <c r="I209" s="12"/>
      <c r="J209" s="12"/>
      <c r="K209" s="12"/>
      <c r="L209" s="55"/>
    </row>
    <row r="210" spans="2:12">
      <c r="B210" s="12" t="s">
        <v>4541</v>
      </c>
      <c r="C210" s="12" t="s">
        <v>229</v>
      </c>
      <c r="D210" s="12" t="s">
        <v>2472</v>
      </c>
      <c r="E210" s="12" t="s">
        <v>422</v>
      </c>
      <c r="F210" s="115" t="s">
        <v>4541</v>
      </c>
      <c r="G210" s="67" t="s">
        <v>392</v>
      </c>
      <c r="H210" s="67"/>
      <c r="I210" s="12"/>
      <c r="J210" s="12"/>
      <c r="K210" s="12"/>
      <c r="L210" s="55"/>
    </row>
    <row r="211" spans="2:12">
      <c r="B211" s="12" t="s">
        <v>4543</v>
      </c>
      <c r="C211" s="12" t="s">
        <v>229</v>
      </c>
      <c r="D211" s="12" t="s">
        <v>2476</v>
      </c>
      <c r="E211" s="12" t="s">
        <v>422</v>
      </c>
      <c r="F211" s="115" t="s">
        <v>4543</v>
      </c>
      <c r="G211" s="67" t="s">
        <v>392</v>
      </c>
      <c r="H211" s="67"/>
      <c r="I211" s="12"/>
      <c r="J211" s="12"/>
      <c r="K211" s="12"/>
      <c r="L211" s="55"/>
    </row>
    <row r="212" spans="2:12">
      <c r="B212" s="12" t="s">
        <v>4545</v>
      </c>
      <c r="C212" s="12" t="s">
        <v>229</v>
      </c>
      <c r="D212" s="12" t="s">
        <v>2480</v>
      </c>
      <c r="E212" s="12" t="s">
        <v>422</v>
      </c>
      <c r="F212" s="115" t="s">
        <v>4545</v>
      </c>
      <c r="G212" s="67" t="s">
        <v>392</v>
      </c>
      <c r="H212" s="67"/>
      <c r="I212" s="12"/>
      <c r="J212" s="12"/>
      <c r="K212" s="12"/>
      <c r="L212" s="55"/>
    </row>
    <row r="213" spans="2:12">
      <c r="B213" s="12" t="s">
        <v>4547</v>
      </c>
      <c r="C213" s="12" t="s">
        <v>229</v>
      </c>
      <c r="D213" s="12" t="s">
        <v>2484</v>
      </c>
      <c r="E213" s="12" t="s">
        <v>422</v>
      </c>
      <c r="F213" s="115" t="s">
        <v>4547</v>
      </c>
      <c r="G213" s="67" t="s">
        <v>392</v>
      </c>
      <c r="H213" s="67"/>
      <c r="I213" s="12"/>
      <c r="J213" s="12"/>
      <c r="K213" s="12"/>
      <c r="L213" s="55"/>
    </row>
    <row r="214" spans="2:12">
      <c r="B214" s="12" t="s">
        <v>1730</v>
      </c>
      <c r="C214" s="12" t="s">
        <v>203</v>
      </c>
      <c r="D214" s="12" t="s">
        <v>1731</v>
      </c>
      <c r="E214" s="12" t="s">
        <v>422</v>
      </c>
      <c r="F214" s="115"/>
      <c r="G214" s="67" t="s">
        <v>4718</v>
      </c>
      <c r="H214" s="67"/>
      <c r="I214" s="12"/>
      <c r="J214" s="12"/>
      <c r="K214" s="12"/>
      <c r="L214" s="55"/>
    </row>
    <row r="215" spans="2:12">
      <c r="B215" s="12" t="s">
        <v>4550</v>
      </c>
      <c r="C215" s="12" t="s">
        <v>229</v>
      </c>
      <c r="D215" s="12" t="s">
        <v>2491</v>
      </c>
      <c r="E215" s="12" t="s">
        <v>422</v>
      </c>
      <c r="F215" s="115" t="s">
        <v>4550</v>
      </c>
      <c r="G215" s="67" t="s">
        <v>392</v>
      </c>
      <c r="H215" s="67"/>
      <c r="I215" s="12"/>
      <c r="J215" s="12"/>
      <c r="K215" s="12"/>
      <c r="L215" s="55"/>
    </row>
    <row r="216" spans="2:12">
      <c r="B216" s="12" t="s">
        <v>4552</v>
      </c>
      <c r="C216" s="12" t="s">
        <v>229</v>
      </c>
      <c r="D216" s="12" t="s">
        <v>2495</v>
      </c>
      <c r="E216" s="12" t="s">
        <v>422</v>
      </c>
      <c r="F216" s="115" t="s">
        <v>4552</v>
      </c>
      <c r="G216" s="67" t="s">
        <v>392</v>
      </c>
      <c r="H216" s="67"/>
      <c r="I216" s="12"/>
      <c r="J216" s="12"/>
      <c r="K216" s="12"/>
      <c r="L216" s="55"/>
    </row>
    <row r="217" spans="2:12">
      <c r="B217" s="12" t="s">
        <v>4554</v>
      </c>
      <c r="C217" s="12" t="s">
        <v>229</v>
      </c>
      <c r="D217" s="12" t="s">
        <v>2499</v>
      </c>
      <c r="E217" s="12" t="s">
        <v>422</v>
      </c>
      <c r="F217" s="115" t="s">
        <v>4554</v>
      </c>
      <c r="G217" s="67" t="s">
        <v>392</v>
      </c>
      <c r="H217" s="67"/>
      <c r="I217" s="12"/>
      <c r="J217" s="12"/>
      <c r="K217" s="12"/>
      <c r="L217" s="55"/>
    </row>
    <row r="218" spans="2:12">
      <c r="B218" s="12" t="s">
        <v>4556</v>
      </c>
      <c r="C218" s="12" t="s">
        <v>229</v>
      </c>
      <c r="D218" s="12" t="s">
        <v>2503</v>
      </c>
      <c r="E218" s="12" t="s">
        <v>422</v>
      </c>
      <c r="F218" s="115" t="s">
        <v>4556</v>
      </c>
      <c r="G218" s="67" t="s">
        <v>392</v>
      </c>
      <c r="H218" s="67"/>
      <c r="I218" s="12"/>
      <c r="J218" s="12"/>
      <c r="K218" s="12"/>
      <c r="L218" s="55"/>
    </row>
    <row r="219" spans="2:12">
      <c r="B219" s="12" t="s">
        <v>4558</v>
      </c>
      <c r="C219" s="12" t="s">
        <v>229</v>
      </c>
      <c r="D219" s="12" t="s">
        <v>2507</v>
      </c>
      <c r="E219" s="12" t="s">
        <v>422</v>
      </c>
      <c r="F219" s="115" t="s">
        <v>4558</v>
      </c>
      <c r="G219" s="67" t="s">
        <v>392</v>
      </c>
      <c r="H219" s="67"/>
      <c r="I219" s="12"/>
      <c r="J219" s="12"/>
      <c r="K219" s="12"/>
      <c r="L219" s="55"/>
    </row>
    <row r="220" spans="2:12">
      <c r="B220" s="12" t="s">
        <v>1734</v>
      </c>
      <c r="C220" s="12" t="s">
        <v>203</v>
      </c>
      <c r="D220" s="12" t="s">
        <v>1735</v>
      </c>
      <c r="E220" s="12" t="s">
        <v>422</v>
      </c>
      <c r="F220" s="115"/>
      <c r="G220" s="67" t="s">
        <v>6045</v>
      </c>
      <c r="H220" s="67"/>
      <c r="I220" s="12"/>
      <c r="J220" s="12"/>
      <c r="K220" s="12"/>
      <c r="L220" s="55"/>
    </row>
    <row r="221" spans="2:12">
      <c r="B221" s="12" t="s">
        <v>4561</v>
      </c>
      <c r="C221" s="12" t="s">
        <v>229</v>
      </c>
      <c r="D221" s="12" t="s">
        <v>2514</v>
      </c>
      <c r="E221" s="12" t="s">
        <v>422</v>
      </c>
      <c r="F221" s="115" t="s">
        <v>4561</v>
      </c>
      <c r="G221" s="67" t="s">
        <v>392</v>
      </c>
      <c r="H221" s="67"/>
      <c r="I221" s="12"/>
      <c r="J221" s="12"/>
      <c r="K221" s="12"/>
      <c r="L221" s="55"/>
    </row>
    <row r="222" spans="2:12">
      <c r="B222" s="12" t="s">
        <v>4563</v>
      </c>
      <c r="C222" s="12" t="s">
        <v>229</v>
      </c>
      <c r="D222" s="12" t="s">
        <v>2518</v>
      </c>
      <c r="E222" s="12" t="s">
        <v>422</v>
      </c>
      <c r="F222" s="115" t="s">
        <v>4563</v>
      </c>
      <c r="G222" s="67" t="s">
        <v>392</v>
      </c>
      <c r="H222" s="67"/>
      <c r="I222" s="12"/>
      <c r="J222" s="12"/>
      <c r="K222" s="12"/>
      <c r="L222" s="55"/>
    </row>
    <row r="223" spans="2:12">
      <c r="B223" s="12" t="s">
        <v>4565</v>
      </c>
      <c r="C223" s="12" t="s">
        <v>229</v>
      </c>
      <c r="D223" s="12" t="s">
        <v>2522</v>
      </c>
      <c r="E223" s="12" t="s">
        <v>422</v>
      </c>
      <c r="F223" s="115" t="s">
        <v>4565</v>
      </c>
      <c r="G223" s="67" t="s">
        <v>392</v>
      </c>
      <c r="H223" s="67"/>
      <c r="I223" s="12"/>
      <c r="J223" s="12"/>
      <c r="K223" s="12"/>
      <c r="L223" s="55"/>
    </row>
    <row r="224" spans="2:12">
      <c r="B224" s="12" t="s">
        <v>4567</v>
      </c>
      <c r="C224" s="12" t="s">
        <v>229</v>
      </c>
      <c r="D224" s="12" t="s">
        <v>2526</v>
      </c>
      <c r="E224" s="12" t="s">
        <v>422</v>
      </c>
      <c r="F224" s="115" t="s">
        <v>4567</v>
      </c>
      <c r="G224" s="67" t="s">
        <v>392</v>
      </c>
      <c r="H224" s="67"/>
      <c r="I224" s="12"/>
      <c r="J224" s="12"/>
      <c r="K224" s="12"/>
      <c r="L224" s="55"/>
    </row>
    <row r="225" spans="2:12">
      <c r="B225" s="12" t="s">
        <v>4569</v>
      </c>
      <c r="C225" s="12" t="s">
        <v>229</v>
      </c>
      <c r="D225" s="12" t="s">
        <v>2530</v>
      </c>
      <c r="E225" s="12" t="s">
        <v>422</v>
      </c>
      <c r="F225" s="115" t="s">
        <v>4569</v>
      </c>
      <c r="G225" s="67" t="s">
        <v>392</v>
      </c>
      <c r="H225" s="67"/>
      <c r="I225" s="12"/>
      <c r="J225" s="12"/>
      <c r="K225" s="12"/>
      <c r="L225" s="55"/>
    </row>
    <row r="226" spans="2:12">
      <c r="B226" s="12" t="s">
        <v>1854</v>
      </c>
      <c r="C226" s="12" t="s">
        <v>170</v>
      </c>
      <c r="D226" s="12" t="s">
        <v>2554</v>
      </c>
      <c r="E226" s="12" t="s">
        <v>422</v>
      </c>
      <c r="F226" s="115" t="s">
        <v>1854</v>
      </c>
      <c r="G226" s="67" t="s">
        <v>392</v>
      </c>
      <c r="H226" s="67"/>
      <c r="I226" s="12"/>
      <c r="J226" s="12"/>
      <c r="K226" s="12"/>
      <c r="L226" s="55"/>
    </row>
    <row r="227" spans="2:12">
      <c r="B227" s="12" t="s">
        <v>1856</v>
      </c>
      <c r="C227" s="12" t="s">
        <v>170</v>
      </c>
      <c r="D227" s="12" t="s">
        <v>2556</v>
      </c>
      <c r="E227" s="12" t="s">
        <v>422</v>
      </c>
      <c r="F227" s="115" t="s">
        <v>1856</v>
      </c>
      <c r="G227" s="67" t="s">
        <v>392</v>
      </c>
      <c r="H227" s="67"/>
      <c r="I227" s="12"/>
      <c r="J227" s="12"/>
      <c r="K227" s="12"/>
      <c r="L227" s="55"/>
    </row>
    <row r="228" spans="2:12">
      <c r="B228" s="12" t="s">
        <v>1504</v>
      </c>
      <c r="C228" s="12" t="s">
        <v>170</v>
      </c>
      <c r="D228" s="12" t="s">
        <v>2558</v>
      </c>
      <c r="E228" s="12" t="s">
        <v>422</v>
      </c>
      <c r="F228" s="115" t="s">
        <v>1504</v>
      </c>
      <c r="G228" s="67" t="s">
        <v>392</v>
      </c>
      <c r="H228" s="67"/>
      <c r="I228" s="12"/>
      <c r="J228" s="12"/>
      <c r="K228" s="12"/>
      <c r="L228" s="55"/>
    </row>
    <row r="229" spans="2:12">
      <c r="B229" s="12" t="s">
        <v>1848</v>
      </c>
      <c r="C229" s="12" t="s">
        <v>170</v>
      </c>
      <c r="D229" s="12" t="s">
        <v>2560</v>
      </c>
      <c r="E229" s="12" t="s">
        <v>422</v>
      </c>
      <c r="F229" s="115" t="s">
        <v>1848</v>
      </c>
      <c r="G229" s="67" t="s">
        <v>392</v>
      </c>
      <c r="H229" s="67"/>
      <c r="I229" s="12"/>
      <c r="J229" s="12"/>
      <c r="K229" s="12"/>
      <c r="L229" s="55"/>
    </row>
    <row r="230" spans="2:12">
      <c r="B230" s="12" t="s">
        <v>1850</v>
      </c>
      <c r="C230" s="12" t="s">
        <v>170</v>
      </c>
      <c r="D230" s="12" t="s">
        <v>2562</v>
      </c>
      <c r="E230" s="12" t="s">
        <v>422</v>
      </c>
      <c r="F230" s="115" t="s">
        <v>1850</v>
      </c>
      <c r="G230" s="67" t="s">
        <v>392</v>
      </c>
      <c r="H230" s="67"/>
      <c r="I230" s="12"/>
      <c r="J230" s="12"/>
      <c r="K230" s="12"/>
      <c r="L230" s="55"/>
    </row>
    <row r="231" spans="2:12">
      <c r="B231" s="12" t="s">
        <v>1852</v>
      </c>
      <c r="C231" s="12" t="s">
        <v>170</v>
      </c>
      <c r="D231" s="12" t="s">
        <v>2564</v>
      </c>
      <c r="E231" s="12" t="s">
        <v>422</v>
      </c>
      <c r="F231" s="115" t="s">
        <v>1852</v>
      </c>
      <c r="G231" s="67" t="s">
        <v>392</v>
      </c>
      <c r="H231" s="67"/>
      <c r="I231" s="12"/>
      <c r="J231" s="12"/>
      <c r="K231" s="12"/>
      <c r="L231" s="55"/>
    </row>
    <row r="232" s="75" customFormat="1" ht="13.8" spans="1:12">
      <c r="A232" s="116"/>
      <c r="B232" s="68" t="s">
        <v>4571</v>
      </c>
      <c r="C232" s="117" t="s">
        <v>229</v>
      </c>
      <c r="D232" s="68" t="s">
        <v>1586</v>
      </c>
      <c r="E232" s="12" t="s">
        <v>422</v>
      </c>
      <c r="F232" s="105" t="s">
        <v>4571</v>
      </c>
      <c r="G232" s="67" t="s">
        <v>392</v>
      </c>
      <c r="H232" s="118"/>
      <c r="I232" s="55"/>
      <c r="J232" s="55"/>
      <c r="K232" s="55"/>
      <c r="L232" s="55"/>
    </row>
    <row r="233" s="75" customFormat="1" ht="13.8" spans="1:12">
      <c r="A233" s="116"/>
      <c r="B233" s="68" t="s">
        <v>4573</v>
      </c>
      <c r="C233" s="117" t="s">
        <v>229</v>
      </c>
      <c r="D233" s="68" t="s">
        <v>1591</v>
      </c>
      <c r="E233" s="12" t="s">
        <v>422</v>
      </c>
      <c r="F233" s="105" t="s">
        <v>4573</v>
      </c>
      <c r="G233" s="67" t="s">
        <v>392</v>
      </c>
      <c r="H233" s="118"/>
      <c r="I233" s="55"/>
      <c r="J233" s="55"/>
      <c r="K233" s="55"/>
      <c r="L233" s="55"/>
    </row>
    <row r="234" s="75" customFormat="1" ht="13.8" spans="1:12">
      <c r="A234" s="116"/>
      <c r="B234" s="68" t="s">
        <v>4575</v>
      </c>
      <c r="C234" s="117" t="s">
        <v>229</v>
      </c>
      <c r="D234" s="68" t="s">
        <v>1599</v>
      </c>
      <c r="E234" s="12" t="s">
        <v>422</v>
      </c>
      <c r="F234" s="105" t="s">
        <v>4575</v>
      </c>
      <c r="G234" s="67" t="s">
        <v>392</v>
      </c>
      <c r="H234" s="118"/>
      <c r="I234" s="55"/>
      <c r="J234" s="55"/>
      <c r="K234" s="55"/>
      <c r="L234" s="55"/>
    </row>
    <row r="235" s="75" customFormat="1" ht="13.8" spans="1:12">
      <c r="A235" s="116"/>
      <c r="B235" s="68" t="s">
        <v>4577</v>
      </c>
      <c r="C235" s="117" t="s">
        <v>229</v>
      </c>
      <c r="D235" s="68" t="s">
        <v>4578</v>
      </c>
      <c r="E235" s="12" t="s">
        <v>422</v>
      </c>
      <c r="F235" s="105" t="s">
        <v>4577</v>
      </c>
      <c r="G235" s="67" t="s">
        <v>392</v>
      </c>
      <c r="H235" s="118"/>
      <c r="I235" s="55"/>
      <c r="J235" s="55"/>
      <c r="K235" s="55"/>
      <c r="L235" s="55"/>
    </row>
    <row r="236" s="75" customFormat="1" ht="13.8" spans="1:12">
      <c r="A236" s="116"/>
      <c r="B236" s="105" t="s">
        <v>3427</v>
      </c>
      <c r="C236" s="105" t="s">
        <v>229</v>
      </c>
      <c r="D236" s="105" t="s">
        <v>4580</v>
      </c>
      <c r="E236" s="12" t="s">
        <v>422</v>
      </c>
      <c r="F236" s="105" t="s">
        <v>3427</v>
      </c>
      <c r="G236" s="67" t="s">
        <v>392</v>
      </c>
      <c r="H236" s="118"/>
      <c r="I236" s="55"/>
      <c r="J236" s="55"/>
      <c r="K236" s="55"/>
      <c r="L236" s="55"/>
    </row>
    <row r="237" s="75" customFormat="1" ht="13.8" spans="1:12">
      <c r="A237" s="116"/>
      <c r="B237" s="105" t="s">
        <v>3431</v>
      </c>
      <c r="C237" s="105" t="s">
        <v>229</v>
      </c>
      <c r="D237" s="105" t="s">
        <v>4582</v>
      </c>
      <c r="E237" s="12" t="s">
        <v>422</v>
      </c>
      <c r="F237" s="105" t="s">
        <v>3431</v>
      </c>
      <c r="G237" s="67" t="s">
        <v>392</v>
      </c>
      <c r="H237" s="118"/>
      <c r="I237" s="55"/>
      <c r="J237" s="55"/>
      <c r="K237" s="55"/>
      <c r="L237" s="55"/>
    </row>
    <row r="238" s="75" customFormat="1" ht="13.8" spans="1:12">
      <c r="A238" s="116"/>
      <c r="B238" s="105" t="s">
        <v>3435</v>
      </c>
      <c r="C238" s="105" t="s">
        <v>229</v>
      </c>
      <c r="D238" s="105" t="s">
        <v>4584</v>
      </c>
      <c r="E238" s="12" t="s">
        <v>422</v>
      </c>
      <c r="F238" s="105" t="s">
        <v>3435</v>
      </c>
      <c r="G238" s="67" t="s">
        <v>392</v>
      </c>
      <c r="H238" s="118"/>
      <c r="I238" s="55"/>
      <c r="J238" s="55"/>
      <c r="K238" s="55"/>
      <c r="L238" s="55"/>
    </row>
    <row r="239" s="75" customFormat="1" ht="13.8" spans="1:12">
      <c r="A239" s="116"/>
      <c r="B239" s="105" t="s">
        <v>3399</v>
      </c>
      <c r="C239" s="119" t="s">
        <v>229</v>
      </c>
      <c r="D239" s="105" t="s">
        <v>3400</v>
      </c>
      <c r="E239" s="12" t="s">
        <v>422</v>
      </c>
      <c r="F239" s="105" t="s">
        <v>3399</v>
      </c>
      <c r="G239" s="67" t="s">
        <v>392</v>
      </c>
      <c r="H239" s="118"/>
      <c r="I239" s="55"/>
      <c r="J239" s="55"/>
      <c r="K239" s="55"/>
      <c r="L239" s="55"/>
    </row>
    <row r="240" s="75" customFormat="1" ht="13.8" spans="1:12">
      <c r="A240" s="116"/>
      <c r="B240" s="105" t="s">
        <v>3403</v>
      </c>
      <c r="C240" s="119" t="s">
        <v>229</v>
      </c>
      <c r="D240" s="105" t="s">
        <v>3404</v>
      </c>
      <c r="E240" s="12" t="s">
        <v>422</v>
      </c>
      <c r="F240" s="105" t="s">
        <v>3403</v>
      </c>
      <c r="G240" s="67" t="s">
        <v>392</v>
      </c>
      <c r="H240" s="118"/>
      <c r="I240" s="55"/>
      <c r="J240" s="55"/>
      <c r="K240" s="55"/>
      <c r="L240" s="55"/>
    </row>
    <row r="241" s="75" customFormat="1" ht="13.8" spans="1:12">
      <c r="A241" s="116"/>
      <c r="B241" s="105" t="s">
        <v>3407</v>
      </c>
      <c r="C241" s="119" t="s">
        <v>229</v>
      </c>
      <c r="D241" s="105" t="s">
        <v>3408</v>
      </c>
      <c r="E241" s="12" t="s">
        <v>422</v>
      </c>
      <c r="F241" s="105" t="s">
        <v>3407</v>
      </c>
      <c r="G241" s="67" t="s">
        <v>392</v>
      </c>
      <c r="H241" s="118"/>
      <c r="I241" s="55"/>
      <c r="J241" s="55"/>
      <c r="K241" s="55"/>
      <c r="L241" s="55"/>
    </row>
    <row r="242" s="75" customFormat="1" ht="13.8" spans="1:12">
      <c r="A242" s="116"/>
      <c r="B242" s="105" t="s">
        <v>3411</v>
      </c>
      <c r="C242" s="119" t="s">
        <v>229</v>
      </c>
      <c r="D242" s="105" t="s">
        <v>3412</v>
      </c>
      <c r="E242" s="12" t="s">
        <v>422</v>
      </c>
      <c r="F242" s="105" t="s">
        <v>3411</v>
      </c>
      <c r="G242" s="67" t="s">
        <v>392</v>
      </c>
      <c r="H242" s="118"/>
      <c r="I242" s="55"/>
      <c r="J242" s="55"/>
      <c r="K242" s="55"/>
      <c r="L242" s="55"/>
    </row>
    <row r="243" s="75" customFormat="1" ht="13.8" spans="1:12">
      <c r="A243" s="116"/>
      <c r="B243" s="105" t="s">
        <v>3414</v>
      </c>
      <c r="C243" s="119" t="s">
        <v>229</v>
      </c>
      <c r="D243" s="105" t="s">
        <v>3415</v>
      </c>
      <c r="E243" s="12" t="s">
        <v>422</v>
      </c>
      <c r="F243" s="105" t="s">
        <v>3414</v>
      </c>
      <c r="G243" s="67" t="s">
        <v>392</v>
      </c>
      <c r="H243" s="118"/>
      <c r="I243" s="55"/>
      <c r="J243" s="55"/>
      <c r="K243" s="55"/>
      <c r="L243" s="55"/>
    </row>
    <row r="244" s="75" customFormat="1" ht="13.8" spans="1:12">
      <c r="A244" s="116"/>
      <c r="B244" s="105" t="s">
        <v>3418</v>
      </c>
      <c r="C244" s="119" t="s">
        <v>229</v>
      </c>
      <c r="D244" s="105" t="s">
        <v>3419</v>
      </c>
      <c r="E244" s="12" t="s">
        <v>422</v>
      </c>
      <c r="F244" s="105" t="s">
        <v>3418</v>
      </c>
      <c r="G244" s="67" t="s">
        <v>392</v>
      </c>
      <c r="H244" s="118"/>
      <c r="I244" s="55"/>
      <c r="J244" s="55"/>
      <c r="K244" s="55"/>
      <c r="L244" s="55"/>
    </row>
    <row r="245" s="75" customFormat="1" ht="13.8" spans="1:12">
      <c r="A245" s="116"/>
      <c r="B245" s="67" t="s">
        <v>3494</v>
      </c>
      <c r="C245" s="120" t="s">
        <v>229</v>
      </c>
      <c r="D245" s="67" t="s">
        <v>4592</v>
      </c>
      <c r="E245" s="12" t="s">
        <v>422</v>
      </c>
      <c r="F245" s="121" t="s">
        <v>3494</v>
      </c>
      <c r="G245" s="67" t="s">
        <v>392</v>
      </c>
      <c r="H245" s="118"/>
      <c r="I245" s="55"/>
      <c r="J245" s="55"/>
      <c r="K245" s="55"/>
      <c r="L245" s="55"/>
    </row>
    <row r="246" s="75" customFormat="1" ht="13.8" spans="1:12">
      <c r="A246" s="116"/>
      <c r="B246" s="67" t="s">
        <v>3497</v>
      </c>
      <c r="C246" s="120" t="s">
        <v>229</v>
      </c>
      <c r="D246" s="67" t="s">
        <v>4594</v>
      </c>
      <c r="E246" s="12" t="s">
        <v>422</v>
      </c>
      <c r="F246" s="121" t="s">
        <v>3497</v>
      </c>
      <c r="G246" s="67" t="s">
        <v>392</v>
      </c>
      <c r="H246" s="118"/>
      <c r="I246" s="55"/>
      <c r="J246" s="55"/>
      <c r="K246" s="55"/>
      <c r="L246" s="55"/>
    </row>
    <row r="247" s="75" customFormat="1" ht="13.8" spans="1:12">
      <c r="A247" s="116"/>
      <c r="B247" s="67" t="s">
        <v>3500</v>
      </c>
      <c r="C247" s="120" t="s">
        <v>229</v>
      </c>
      <c r="D247" s="67" t="s">
        <v>4596</v>
      </c>
      <c r="E247" s="12" t="s">
        <v>422</v>
      </c>
      <c r="F247" s="121" t="s">
        <v>3500</v>
      </c>
      <c r="G247" s="67" t="s">
        <v>392</v>
      </c>
      <c r="H247" s="118"/>
      <c r="I247" s="55"/>
      <c r="J247" s="55"/>
      <c r="K247" s="55"/>
      <c r="L247" s="55"/>
    </row>
    <row r="248" s="75" customFormat="1" ht="13.8" spans="1:12">
      <c r="A248" s="116"/>
      <c r="B248" s="67" t="s">
        <v>3503</v>
      </c>
      <c r="C248" s="120" t="s">
        <v>229</v>
      </c>
      <c r="D248" s="67" t="s">
        <v>4598</v>
      </c>
      <c r="E248" s="12" t="s">
        <v>422</v>
      </c>
      <c r="F248" s="121" t="s">
        <v>3503</v>
      </c>
      <c r="G248" s="67" t="s">
        <v>392</v>
      </c>
      <c r="H248" s="118"/>
      <c r="I248" s="55"/>
      <c r="J248" s="55"/>
      <c r="K248" s="55"/>
      <c r="L248" s="55"/>
    </row>
    <row r="249" s="75" customFormat="1" ht="13.8" spans="1:12">
      <c r="A249" s="116"/>
      <c r="B249" s="67" t="s">
        <v>3506</v>
      </c>
      <c r="C249" s="120" t="s">
        <v>229</v>
      </c>
      <c r="D249" s="67" t="s">
        <v>4600</v>
      </c>
      <c r="E249" s="12" t="s">
        <v>422</v>
      </c>
      <c r="F249" s="121" t="s">
        <v>3506</v>
      </c>
      <c r="G249" s="67" t="s">
        <v>392</v>
      </c>
      <c r="H249" s="118"/>
      <c r="I249" s="55"/>
      <c r="J249" s="55"/>
      <c r="K249" s="55"/>
      <c r="L249" s="55"/>
    </row>
    <row r="250" s="75" customFormat="1" ht="13.8" spans="1:12">
      <c r="A250" s="116"/>
      <c r="B250" s="67" t="s">
        <v>3509</v>
      </c>
      <c r="C250" s="120" t="s">
        <v>229</v>
      </c>
      <c r="D250" s="67" t="s">
        <v>4602</v>
      </c>
      <c r="E250" s="12" t="s">
        <v>422</v>
      </c>
      <c r="F250" s="121" t="s">
        <v>3509</v>
      </c>
      <c r="G250" s="67" t="s">
        <v>392</v>
      </c>
      <c r="H250" s="118"/>
      <c r="I250" s="55"/>
      <c r="J250" s="55"/>
      <c r="K250" s="55"/>
      <c r="L250" s="55"/>
    </row>
    <row r="251" s="75" customFormat="1" ht="13.8" spans="1:12">
      <c r="A251" s="116"/>
      <c r="B251" s="67" t="s">
        <v>3422</v>
      </c>
      <c r="C251" s="120" t="s">
        <v>229</v>
      </c>
      <c r="D251" s="67" t="s">
        <v>4604</v>
      </c>
      <c r="E251" s="12" t="s">
        <v>422</v>
      </c>
      <c r="F251" s="121" t="s">
        <v>3422</v>
      </c>
      <c r="G251" s="67" t="s">
        <v>392</v>
      </c>
      <c r="H251" s="118"/>
      <c r="I251" s="55"/>
      <c r="J251" s="55"/>
      <c r="K251" s="55"/>
      <c r="L251" s="55"/>
    </row>
    <row r="252" s="75" customFormat="1" ht="13.8" spans="1:12">
      <c r="A252" s="116"/>
      <c r="B252" s="67" t="s">
        <v>3424</v>
      </c>
      <c r="C252" s="120" t="s">
        <v>229</v>
      </c>
      <c r="D252" s="67" t="s">
        <v>4606</v>
      </c>
      <c r="E252" s="12" t="s">
        <v>422</v>
      </c>
      <c r="F252" s="121" t="s">
        <v>3424</v>
      </c>
      <c r="G252" s="67" t="s">
        <v>392</v>
      </c>
      <c r="H252" s="118"/>
      <c r="I252" s="55"/>
      <c r="J252" s="55"/>
      <c r="K252" s="55"/>
      <c r="L252" s="55"/>
    </row>
    <row r="253" s="75" customFormat="1" ht="13.8" spans="1:12">
      <c r="A253" s="116"/>
      <c r="B253" s="68" t="s">
        <v>3512</v>
      </c>
      <c r="C253" s="122" t="s">
        <v>229</v>
      </c>
      <c r="D253" s="68" t="s">
        <v>4608</v>
      </c>
      <c r="E253" s="12" t="s">
        <v>422</v>
      </c>
      <c r="F253" s="105" t="s">
        <v>3512</v>
      </c>
      <c r="G253" s="67" t="s">
        <v>392</v>
      </c>
      <c r="H253" s="118"/>
      <c r="I253" s="55"/>
      <c r="J253" s="55"/>
      <c r="K253" s="55"/>
      <c r="L253" s="55"/>
    </row>
    <row r="254" s="75" customFormat="1" ht="13.8" spans="1:12">
      <c r="A254" s="123"/>
      <c r="B254" s="121" t="s">
        <v>2026</v>
      </c>
      <c r="C254" s="120" t="s">
        <v>2724</v>
      </c>
      <c r="D254" s="121" t="s">
        <v>2027</v>
      </c>
      <c r="E254" s="12" t="s">
        <v>422</v>
      </c>
      <c r="F254" s="121" t="s">
        <v>2026</v>
      </c>
      <c r="G254" s="67" t="s">
        <v>392</v>
      </c>
      <c r="H254" s="55"/>
      <c r="I254" s="55"/>
      <c r="J254" s="55"/>
      <c r="K254" s="55"/>
      <c r="L254" s="55"/>
    </row>
    <row r="255" s="75" customFormat="1" ht="13.8" spans="1:12">
      <c r="A255" s="123"/>
      <c r="B255" s="121" t="s">
        <v>2029</v>
      </c>
      <c r="C255" s="120" t="s">
        <v>2724</v>
      </c>
      <c r="D255" s="121" t="s">
        <v>2030</v>
      </c>
      <c r="E255" s="12" t="s">
        <v>422</v>
      </c>
      <c r="F255" s="121" t="s">
        <v>2029</v>
      </c>
      <c r="G255" s="67" t="s">
        <v>392</v>
      </c>
      <c r="H255" s="55"/>
      <c r="I255" s="55"/>
      <c r="J255" s="55"/>
      <c r="K255" s="55"/>
      <c r="L255" s="55"/>
    </row>
    <row r="256" s="75" customFormat="1" ht="13.8" spans="1:12">
      <c r="A256" s="123"/>
      <c r="B256" s="121" t="s">
        <v>2034</v>
      </c>
      <c r="C256" s="120" t="s">
        <v>2724</v>
      </c>
      <c r="D256" s="121" t="s">
        <v>2035</v>
      </c>
      <c r="E256" s="12" t="s">
        <v>422</v>
      </c>
      <c r="F256" s="121" t="s">
        <v>2034</v>
      </c>
      <c r="G256" s="67" t="s">
        <v>392</v>
      </c>
      <c r="H256" s="55"/>
      <c r="I256" s="55"/>
      <c r="J256" s="55"/>
      <c r="K256" s="55"/>
      <c r="L256" s="55"/>
    </row>
    <row r="257" s="75" customFormat="1" ht="13.8" spans="1:12">
      <c r="A257" s="123"/>
      <c r="B257" s="121" t="s">
        <v>2041</v>
      </c>
      <c r="C257" s="121" t="s">
        <v>229</v>
      </c>
      <c r="D257" s="121" t="s">
        <v>2042</v>
      </c>
      <c r="E257" s="12" t="s">
        <v>422</v>
      </c>
      <c r="F257" s="121" t="s">
        <v>2041</v>
      </c>
      <c r="G257" s="67" t="s">
        <v>392</v>
      </c>
      <c r="H257" s="118"/>
      <c r="I257" s="55"/>
      <c r="J257" s="55"/>
      <c r="K257" s="55"/>
      <c r="L257" s="55"/>
    </row>
    <row r="258" s="75" customFormat="1" ht="13.8" spans="1:12">
      <c r="A258" s="123"/>
      <c r="B258" s="121" t="s">
        <v>2045</v>
      </c>
      <c r="C258" s="121" t="s">
        <v>229</v>
      </c>
      <c r="D258" s="121" t="s">
        <v>2046</v>
      </c>
      <c r="E258" s="12" t="s">
        <v>422</v>
      </c>
      <c r="F258" s="121" t="s">
        <v>2045</v>
      </c>
      <c r="G258" s="67" t="s">
        <v>392</v>
      </c>
      <c r="H258" s="118"/>
      <c r="I258" s="55"/>
      <c r="J258" s="55"/>
      <c r="K258" s="55"/>
      <c r="L258" s="55"/>
    </row>
    <row r="259" s="75" customFormat="1" ht="13.8" spans="1:12">
      <c r="A259" s="123"/>
      <c r="B259" s="121" t="s">
        <v>2177</v>
      </c>
      <c r="C259" s="121" t="s">
        <v>229</v>
      </c>
      <c r="D259" s="121" t="s">
        <v>2178</v>
      </c>
      <c r="E259" s="12" t="s">
        <v>422</v>
      </c>
      <c r="F259" s="121" t="s">
        <v>2177</v>
      </c>
      <c r="G259" s="67" t="s">
        <v>392</v>
      </c>
      <c r="H259" s="118"/>
      <c r="I259" s="55"/>
      <c r="J259" s="55"/>
      <c r="K259" s="55"/>
      <c r="L259" s="55"/>
    </row>
    <row r="260" s="75" customFormat="1" ht="13.8" spans="1:12">
      <c r="A260" s="123"/>
      <c r="B260" s="121" t="s">
        <v>2181</v>
      </c>
      <c r="C260" s="121" t="s">
        <v>229</v>
      </c>
      <c r="D260" s="121" t="s">
        <v>2182</v>
      </c>
      <c r="E260" s="12" t="s">
        <v>422</v>
      </c>
      <c r="F260" s="121" t="s">
        <v>2181</v>
      </c>
      <c r="G260" s="67" t="s">
        <v>392</v>
      </c>
      <c r="H260" s="118"/>
      <c r="I260" s="55"/>
      <c r="J260" s="55"/>
      <c r="K260" s="55"/>
      <c r="L260" s="55"/>
    </row>
    <row r="261" s="75" customFormat="1" ht="13.8" spans="1:12">
      <c r="A261" s="123"/>
      <c r="B261" s="121" t="s">
        <v>2185</v>
      </c>
      <c r="C261" s="121" t="s">
        <v>229</v>
      </c>
      <c r="D261" s="121" t="s">
        <v>2186</v>
      </c>
      <c r="E261" s="12" t="s">
        <v>422</v>
      </c>
      <c r="F261" s="121" t="s">
        <v>2185</v>
      </c>
      <c r="G261" s="67" t="s">
        <v>392</v>
      </c>
      <c r="H261" s="118"/>
      <c r="I261" s="55"/>
      <c r="J261" s="55"/>
      <c r="K261" s="55"/>
      <c r="L261" s="55"/>
    </row>
    <row r="262" s="75" customFormat="1" ht="13.8" spans="1:12">
      <c r="A262" s="123"/>
      <c r="B262" s="121" t="s">
        <v>2189</v>
      </c>
      <c r="C262" s="121" t="s">
        <v>229</v>
      </c>
      <c r="D262" s="121" t="s">
        <v>2190</v>
      </c>
      <c r="E262" s="12" t="s">
        <v>422</v>
      </c>
      <c r="F262" s="121" t="s">
        <v>2189</v>
      </c>
      <c r="G262" s="67" t="s">
        <v>392</v>
      </c>
      <c r="H262" s="118"/>
      <c r="I262" s="55"/>
      <c r="J262" s="55"/>
      <c r="K262" s="55"/>
      <c r="L262" s="55"/>
    </row>
    <row r="263" s="75" customFormat="1" ht="13.8" spans="1:12">
      <c r="A263" s="123"/>
      <c r="B263" s="121" t="s">
        <v>2193</v>
      </c>
      <c r="C263" s="121" t="s">
        <v>229</v>
      </c>
      <c r="D263" s="121" t="s">
        <v>2194</v>
      </c>
      <c r="E263" s="12" t="s">
        <v>422</v>
      </c>
      <c r="F263" s="121" t="s">
        <v>2193</v>
      </c>
      <c r="G263" s="67" t="s">
        <v>392</v>
      </c>
      <c r="H263" s="118"/>
      <c r="I263" s="55"/>
      <c r="J263" s="55"/>
      <c r="K263" s="55"/>
      <c r="L263" s="55"/>
    </row>
    <row r="264" s="75" customFormat="1" ht="13.8" spans="1:12">
      <c r="A264" s="123"/>
      <c r="B264" s="121" t="s">
        <v>2197</v>
      </c>
      <c r="C264" s="121" t="s">
        <v>229</v>
      </c>
      <c r="D264" s="121" t="s">
        <v>2198</v>
      </c>
      <c r="E264" s="12" t="s">
        <v>422</v>
      </c>
      <c r="F264" s="121" t="s">
        <v>2197</v>
      </c>
      <c r="G264" s="67" t="s">
        <v>392</v>
      </c>
      <c r="H264" s="118"/>
      <c r="I264" s="55"/>
      <c r="J264" s="55"/>
      <c r="K264" s="55"/>
      <c r="L264" s="55"/>
    </row>
    <row r="265" s="75" customFormat="1" ht="13.8" spans="1:12">
      <c r="A265" s="123"/>
      <c r="B265" s="121" t="s">
        <v>2049</v>
      </c>
      <c r="C265" s="120" t="s">
        <v>229</v>
      </c>
      <c r="D265" s="121" t="s">
        <v>3837</v>
      </c>
      <c r="E265" s="12" t="s">
        <v>422</v>
      </c>
      <c r="F265" s="121" t="s">
        <v>2049</v>
      </c>
      <c r="G265" s="67" t="s">
        <v>392</v>
      </c>
      <c r="H265" s="118"/>
      <c r="I265" s="55"/>
      <c r="J265" s="55"/>
      <c r="K265" s="55"/>
      <c r="L265" s="55"/>
    </row>
    <row r="266" s="75" customFormat="1" ht="13.8" spans="1:12">
      <c r="A266" s="123"/>
      <c r="B266" s="124" t="s">
        <v>3839</v>
      </c>
      <c r="C266" s="120" t="s">
        <v>229</v>
      </c>
      <c r="D266" s="121" t="s">
        <v>4619</v>
      </c>
      <c r="E266" s="12" t="s">
        <v>422</v>
      </c>
      <c r="F266" s="124" t="s">
        <v>3839</v>
      </c>
      <c r="G266" s="67" t="s">
        <v>392</v>
      </c>
      <c r="H266" s="118"/>
      <c r="I266" s="55"/>
      <c r="J266" s="55"/>
      <c r="K266" s="55"/>
      <c r="L266" s="55"/>
    </row>
    <row r="267" s="75" customFormat="1" ht="13.8" spans="1:12">
      <c r="A267" s="123"/>
      <c r="B267" s="124" t="s">
        <v>3840</v>
      </c>
      <c r="C267" s="120" t="s">
        <v>229</v>
      </c>
      <c r="D267" s="121" t="s">
        <v>4621</v>
      </c>
      <c r="E267" s="12" t="s">
        <v>422</v>
      </c>
      <c r="F267" s="124" t="s">
        <v>3840</v>
      </c>
      <c r="G267" s="67" t="s">
        <v>392</v>
      </c>
      <c r="H267" s="118"/>
      <c r="I267" s="55"/>
      <c r="J267" s="55"/>
      <c r="K267" s="55"/>
      <c r="L267" s="55"/>
    </row>
    <row r="268" s="40" customFormat="1" ht="15" spans="1:12">
      <c r="A268" s="123"/>
      <c r="B268" s="124" t="s">
        <v>3993</v>
      </c>
      <c r="C268" s="125" t="s">
        <v>203</v>
      </c>
      <c r="D268" s="125" t="s">
        <v>2537</v>
      </c>
      <c r="E268" s="12" t="s">
        <v>422</v>
      </c>
      <c r="F268" s="124" t="s">
        <v>3993</v>
      </c>
      <c r="G268" s="126" t="s">
        <v>6035</v>
      </c>
      <c r="H268" s="118"/>
      <c r="I268" s="118"/>
      <c r="J268" s="118"/>
      <c r="K268" s="118"/>
      <c r="L268" s="118"/>
    </row>
    <row r="269" s="40" customFormat="1" ht="15" spans="1:12">
      <c r="A269" s="123"/>
      <c r="B269" s="126" t="s">
        <v>4018</v>
      </c>
      <c r="C269" s="125" t="s">
        <v>203</v>
      </c>
      <c r="D269" s="125" t="s">
        <v>4624</v>
      </c>
      <c r="E269" s="12" t="s">
        <v>422</v>
      </c>
      <c r="F269" s="126" t="s">
        <v>4018</v>
      </c>
      <c r="G269" s="126" t="s">
        <v>6035</v>
      </c>
      <c r="H269" s="118"/>
      <c r="I269" s="118"/>
      <c r="J269" s="118"/>
      <c r="K269" s="118"/>
      <c r="L269" s="118"/>
    </row>
    <row r="270" s="40" customFormat="1" ht="15" spans="1:12">
      <c r="A270" s="123"/>
      <c r="B270" s="126" t="s">
        <v>3857</v>
      </c>
      <c r="C270" s="120" t="s">
        <v>229</v>
      </c>
      <c r="D270" s="125" t="s">
        <v>4626</v>
      </c>
      <c r="E270" s="12" t="s">
        <v>422</v>
      </c>
      <c r="F270" s="126" t="s">
        <v>3857</v>
      </c>
      <c r="G270" s="67" t="s">
        <v>392</v>
      </c>
      <c r="H270" s="118"/>
      <c r="I270" s="118"/>
      <c r="J270" s="118"/>
      <c r="K270" s="118"/>
      <c r="L270" s="118"/>
    </row>
    <row r="271" spans="2:12">
      <c r="B271" s="115" t="s">
        <v>239</v>
      </c>
      <c r="C271" s="115" t="s">
        <v>170</v>
      </c>
      <c r="D271" s="115" t="s">
        <v>240</v>
      </c>
      <c r="E271" s="115"/>
      <c r="F271" s="115"/>
      <c r="G271" s="115"/>
      <c r="H271" s="12"/>
      <c r="I271" s="12"/>
      <c r="J271" s="12"/>
      <c r="K271" s="12"/>
      <c r="L271" s="55"/>
    </row>
    <row r="272" spans="2:12">
      <c r="B272" s="115" t="s">
        <v>177</v>
      </c>
      <c r="C272" s="115" t="s">
        <v>175</v>
      </c>
      <c r="D272" s="115" t="s">
        <v>599</v>
      </c>
      <c r="E272" s="115"/>
      <c r="F272" s="115"/>
      <c r="G272" s="115"/>
      <c r="H272" s="12"/>
      <c r="I272" s="12"/>
      <c r="J272" s="12"/>
      <c r="K272" s="12"/>
      <c r="L272" s="55"/>
    </row>
  </sheetData>
  <mergeCells count="3">
    <mergeCell ref="B2:H2"/>
    <mergeCell ref="B6:H6"/>
    <mergeCell ref="B10:L10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hyperlinks>
    <hyperlink ref="B1" location="导航!A1" display="=HYPERLINK(&quot;#&quot;&amp;&quot;导航应用&quot;&amp;&quot;!B1&quot;,&quot;返回&quot;)"/>
  </hyperlinks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455"/>
  <sheetViews>
    <sheetView topLeftCell="A427" workbookViewId="0">
      <selection activeCell="J27" sqref="J27"/>
    </sheetView>
  </sheetViews>
  <sheetFormatPr defaultColWidth="9" defaultRowHeight="13.8"/>
  <cols>
    <col min="1" max="1" width="9" style="75"/>
    <col min="2" max="2" width="30.1296296296296" style="75" customWidth="1"/>
    <col min="3" max="3" width="20.75" style="75" customWidth="1"/>
    <col min="4" max="4" width="31.3796296296296" style="75" customWidth="1"/>
    <col min="5" max="5" width="20.3796296296296" style="75" customWidth="1"/>
    <col min="6" max="6" width="30.25" style="75" customWidth="1"/>
    <col min="7" max="7" width="33.6296296296296" style="75" customWidth="1"/>
    <col min="8" max="8" width="20.3796296296296" style="75" customWidth="1"/>
    <col min="9" max="16384" width="9" style="75"/>
  </cols>
  <sheetData>
    <row r="1" ht="15.6" spans="1:14">
      <c r="A1" s="76"/>
      <c r="B1" s="77" t="str">
        <f>HYPERLINK("#"&amp;"导航应用"&amp;"!B1","返回")</f>
        <v>返回</v>
      </c>
      <c r="C1" s="78"/>
      <c r="D1" s="78"/>
      <c r="E1" s="78"/>
      <c r="F1" s="78"/>
      <c r="G1" s="78"/>
      <c r="H1" s="78"/>
      <c r="I1" s="76"/>
      <c r="J1" s="76"/>
      <c r="K1" s="76"/>
      <c r="L1" s="100"/>
      <c r="M1" s="100"/>
      <c r="N1" s="100"/>
    </row>
    <row r="2" ht="18" customHeight="1" spans="1:14">
      <c r="A2" s="76"/>
      <c r="B2" s="79" t="s">
        <v>653</v>
      </c>
      <c r="C2" s="79"/>
      <c r="D2" s="79"/>
      <c r="E2" s="79"/>
      <c r="F2" s="79"/>
      <c r="G2" s="79"/>
      <c r="H2" s="79"/>
      <c r="I2" s="76"/>
      <c r="J2" s="76"/>
      <c r="K2" s="76"/>
      <c r="L2" s="100"/>
      <c r="M2" s="100"/>
      <c r="N2" s="100"/>
    </row>
    <row r="3" ht="15.6" spans="1:14">
      <c r="A3" s="76"/>
      <c r="B3" s="80" t="s">
        <v>654</v>
      </c>
      <c r="C3" s="81" t="s">
        <v>655</v>
      </c>
      <c r="D3" s="81" t="s">
        <v>656</v>
      </c>
      <c r="E3" s="81" t="s">
        <v>657</v>
      </c>
      <c r="F3" s="81" t="s">
        <v>658</v>
      </c>
      <c r="G3" s="81" t="s">
        <v>659</v>
      </c>
      <c r="H3" s="81" t="s">
        <v>660</v>
      </c>
      <c r="I3" s="76"/>
      <c r="J3" s="76"/>
      <c r="K3" s="76"/>
      <c r="L3" s="100"/>
      <c r="M3" s="100"/>
      <c r="N3" s="100"/>
    </row>
    <row r="4" ht="33.75" customHeight="1" spans="1:14">
      <c r="A4" s="76"/>
      <c r="B4" s="82" t="s">
        <v>14</v>
      </c>
      <c r="C4" s="83" t="s">
        <v>114</v>
      </c>
      <c r="D4" s="83" t="s">
        <v>115</v>
      </c>
      <c r="E4" s="84" t="s">
        <v>174</v>
      </c>
      <c r="F4" s="85" t="s">
        <v>141</v>
      </c>
      <c r="G4" s="64"/>
      <c r="H4" s="64"/>
      <c r="I4" s="76"/>
      <c r="J4" s="76"/>
      <c r="K4" s="76"/>
      <c r="L4" s="100"/>
      <c r="M4" s="100"/>
      <c r="N4" s="76"/>
    </row>
    <row r="5" ht="15.6" spans="1:14">
      <c r="A5" s="76"/>
      <c r="B5" s="86"/>
      <c r="C5" s="87"/>
      <c r="D5" s="87"/>
      <c r="E5" s="87"/>
      <c r="F5" s="87"/>
      <c r="G5" s="87"/>
      <c r="H5" s="87"/>
      <c r="I5" s="76"/>
      <c r="J5" s="76"/>
      <c r="K5" s="76"/>
      <c r="L5" s="100"/>
      <c r="M5" s="100"/>
      <c r="N5" s="100"/>
    </row>
    <row r="6" ht="18" customHeight="1" spans="1:14">
      <c r="A6" s="76"/>
      <c r="B6" s="79" t="s">
        <v>662</v>
      </c>
      <c r="C6" s="79"/>
      <c r="D6" s="79"/>
      <c r="E6" s="79"/>
      <c r="F6" s="79"/>
      <c r="G6" s="79"/>
      <c r="H6" s="79"/>
      <c r="I6" s="76"/>
      <c r="J6" s="76"/>
      <c r="K6" s="76"/>
      <c r="L6" s="100"/>
      <c r="M6" s="100"/>
      <c r="N6" s="100"/>
    </row>
    <row r="7" ht="15.6" spans="1:14">
      <c r="A7" s="76"/>
      <c r="B7" s="88" t="s">
        <v>663</v>
      </c>
      <c r="C7" s="89" t="s">
        <v>664</v>
      </c>
      <c r="D7" s="89" t="s">
        <v>665</v>
      </c>
      <c r="E7" s="89" t="s">
        <v>666</v>
      </c>
      <c r="F7" s="89" t="s">
        <v>667</v>
      </c>
      <c r="G7" s="89" t="s">
        <v>668</v>
      </c>
      <c r="H7" s="89" t="s">
        <v>669</v>
      </c>
      <c r="I7" s="76"/>
      <c r="J7" s="76"/>
      <c r="K7" s="76"/>
      <c r="L7" s="100"/>
      <c r="M7" s="100"/>
      <c r="N7" s="100"/>
    </row>
    <row r="8" ht="46.5" customHeight="1" spans="1:14">
      <c r="A8" s="76"/>
      <c r="B8" s="82" t="s">
        <v>4736</v>
      </c>
      <c r="C8" s="83" t="s">
        <v>102</v>
      </c>
      <c r="D8" s="83" t="s">
        <v>103</v>
      </c>
      <c r="E8" s="64" t="s">
        <v>422</v>
      </c>
      <c r="F8" s="64"/>
      <c r="G8" s="90"/>
      <c r="H8" s="64" t="s">
        <v>4739</v>
      </c>
      <c r="I8" s="76"/>
      <c r="J8" s="76"/>
      <c r="K8" s="76"/>
      <c r="L8" s="100"/>
      <c r="M8" s="100"/>
      <c r="N8" s="100"/>
    </row>
    <row r="9" ht="15.6" spans="1:14">
      <c r="A9" s="76"/>
      <c r="B9" s="76"/>
      <c r="C9" s="91"/>
      <c r="D9" s="76"/>
      <c r="E9" s="76"/>
      <c r="F9" s="76"/>
      <c r="G9" s="76"/>
      <c r="H9" s="76"/>
      <c r="I9" s="76"/>
      <c r="J9" s="76"/>
      <c r="K9" s="76"/>
      <c r="L9" s="100"/>
      <c r="M9" s="100"/>
      <c r="N9" s="100"/>
    </row>
    <row r="10" ht="15.6" spans="1:14">
      <c r="A10" s="76"/>
      <c r="B10" s="76"/>
      <c r="C10" s="91"/>
      <c r="D10" s="76"/>
      <c r="E10" s="76"/>
      <c r="F10" s="76"/>
      <c r="G10" s="76"/>
      <c r="H10" s="76"/>
      <c r="I10" s="76"/>
      <c r="J10" s="76"/>
      <c r="K10" s="76"/>
      <c r="L10" s="100"/>
      <c r="M10" s="100"/>
      <c r="N10" s="100"/>
    </row>
    <row r="11" ht="16.5" customHeight="1" spans="1:14">
      <c r="A11" s="76"/>
      <c r="B11" s="92" t="s">
        <v>673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100"/>
      <c r="N11" s="100"/>
    </row>
    <row r="12" ht="15.6" spans="1:14">
      <c r="A12" s="76"/>
      <c r="B12" s="93" t="s">
        <v>674</v>
      </c>
      <c r="C12" s="94" t="s">
        <v>675</v>
      </c>
      <c r="D12" s="94" t="s">
        <v>676</v>
      </c>
      <c r="E12" s="94" t="s">
        <v>677</v>
      </c>
      <c r="F12" s="94" t="s">
        <v>678</v>
      </c>
      <c r="G12" s="94" t="s">
        <v>679</v>
      </c>
      <c r="H12" s="94" t="s">
        <v>680</v>
      </c>
      <c r="I12" s="94" t="s">
        <v>681</v>
      </c>
      <c r="J12" s="94" t="s">
        <v>682</v>
      </c>
      <c r="K12" s="94" t="s">
        <v>683</v>
      </c>
      <c r="L12" s="94" t="s">
        <v>684</v>
      </c>
      <c r="M12" s="100"/>
      <c r="N12" s="100"/>
    </row>
    <row r="13" ht="15.6" spans="1:14">
      <c r="A13" s="95"/>
      <c r="B13" s="69" t="s">
        <v>174</v>
      </c>
      <c r="C13" s="96" t="s">
        <v>175</v>
      </c>
      <c r="D13" s="61" t="s">
        <v>4747</v>
      </c>
      <c r="E13" s="64" t="s">
        <v>422</v>
      </c>
      <c r="F13" s="61" t="s">
        <v>1530</v>
      </c>
      <c r="G13" s="64" t="s">
        <v>4749</v>
      </c>
      <c r="H13" s="64"/>
      <c r="I13" s="64"/>
      <c r="J13" s="64"/>
      <c r="K13" s="64"/>
      <c r="L13" s="64"/>
      <c r="M13" s="100"/>
      <c r="N13" s="100"/>
    </row>
    <row r="14" ht="15.6" spans="1:14">
      <c r="A14" s="95"/>
      <c r="B14" s="97" t="s">
        <v>697</v>
      </c>
      <c r="C14" s="96" t="s">
        <v>170</v>
      </c>
      <c r="D14" s="67" t="s">
        <v>4752</v>
      </c>
      <c r="E14" s="64" t="s">
        <v>422</v>
      </c>
      <c r="F14" s="61" t="s">
        <v>697</v>
      </c>
      <c r="G14" s="64" t="s">
        <v>4749</v>
      </c>
      <c r="H14" s="64"/>
      <c r="I14" s="64"/>
      <c r="J14" s="64"/>
      <c r="K14" s="64"/>
      <c r="L14" s="61"/>
      <c r="M14" s="100"/>
      <c r="N14" s="100"/>
    </row>
    <row r="15" ht="15.6" spans="1:14">
      <c r="A15" s="95"/>
      <c r="B15" s="97" t="s">
        <v>699</v>
      </c>
      <c r="C15" s="96" t="s">
        <v>170</v>
      </c>
      <c r="D15" s="98" t="s">
        <v>4753</v>
      </c>
      <c r="E15" s="64" t="s">
        <v>422</v>
      </c>
      <c r="F15" s="61" t="s">
        <v>699</v>
      </c>
      <c r="G15" s="64" t="s">
        <v>4749</v>
      </c>
      <c r="H15" s="64"/>
      <c r="I15" s="64"/>
      <c r="J15" s="64"/>
      <c r="K15" s="64"/>
      <c r="L15" s="61"/>
      <c r="M15" s="100"/>
      <c r="N15" s="100"/>
    </row>
    <row r="16" ht="15.6" spans="1:14">
      <c r="A16" s="95"/>
      <c r="B16" s="97" t="s">
        <v>701</v>
      </c>
      <c r="C16" s="96" t="s">
        <v>170</v>
      </c>
      <c r="D16" s="98" t="s">
        <v>4754</v>
      </c>
      <c r="E16" s="64" t="s">
        <v>422</v>
      </c>
      <c r="F16" s="61" t="s">
        <v>701</v>
      </c>
      <c r="G16" s="64" t="s">
        <v>4749</v>
      </c>
      <c r="H16" s="64"/>
      <c r="I16" s="64"/>
      <c r="J16" s="64"/>
      <c r="K16" s="64"/>
      <c r="L16" s="61"/>
      <c r="M16" s="100"/>
      <c r="N16" s="100"/>
    </row>
    <row r="17" ht="15.6" spans="1:14">
      <c r="A17" s="95"/>
      <c r="B17" s="97" t="s">
        <v>703</v>
      </c>
      <c r="C17" s="96" t="s">
        <v>175</v>
      </c>
      <c r="D17" s="61" t="s">
        <v>704</v>
      </c>
      <c r="E17" s="64" t="s">
        <v>422</v>
      </c>
      <c r="F17" s="61" t="s">
        <v>2777</v>
      </c>
      <c r="G17" s="64" t="s">
        <v>4749</v>
      </c>
      <c r="H17" s="64"/>
      <c r="I17" s="64"/>
      <c r="J17" s="64"/>
      <c r="K17" s="64"/>
      <c r="L17" s="61"/>
      <c r="M17" s="100"/>
      <c r="N17" s="100"/>
    </row>
    <row r="18" ht="15.6" spans="1:14">
      <c r="A18" s="95"/>
      <c r="B18" s="97" t="s">
        <v>4756</v>
      </c>
      <c r="C18" s="96" t="s">
        <v>175</v>
      </c>
      <c r="D18" s="61" t="s">
        <v>4757</v>
      </c>
      <c r="E18" s="64" t="s">
        <v>422</v>
      </c>
      <c r="F18" s="61" t="s">
        <v>4756</v>
      </c>
      <c r="G18" s="64" t="s">
        <v>4749</v>
      </c>
      <c r="H18" s="64"/>
      <c r="I18" s="64"/>
      <c r="J18" s="64"/>
      <c r="K18" s="64"/>
      <c r="L18" s="61"/>
      <c r="M18" s="100"/>
      <c r="N18" s="100"/>
    </row>
    <row r="19" ht="15.6" spans="1:14">
      <c r="A19" s="95"/>
      <c r="B19" s="97" t="s">
        <v>715</v>
      </c>
      <c r="C19" s="96" t="s">
        <v>175</v>
      </c>
      <c r="D19" s="61" t="s">
        <v>4758</v>
      </c>
      <c r="E19" s="64" t="s">
        <v>422</v>
      </c>
      <c r="F19" s="61" t="s">
        <v>715</v>
      </c>
      <c r="G19" s="64" t="s">
        <v>4749</v>
      </c>
      <c r="H19" s="64"/>
      <c r="I19" s="64"/>
      <c r="J19" s="64"/>
      <c r="K19" s="64"/>
      <c r="L19" s="61"/>
      <c r="M19" s="100"/>
      <c r="N19" s="100"/>
    </row>
    <row r="20" ht="15.6" spans="1:14">
      <c r="A20" s="95"/>
      <c r="B20" s="97" t="s">
        <v>717</v>
      </c>
      <c r="C20" s="96" t="s">
        <v>175</v>
      </c>
      <c r="D20" s="61" t="s">
        <v>4759</v>
      </c>
      <c r="E20" s="64" t="s">
        <v>422</v>
      </c>
      <c r="F20" s="61" t="s">
        <v>717</v>
      </c>
      <c r="G20" s="64" t="s">
        <v>4749</v>
      </c>
      <c r="H20" s="64"/>
      <c r="I20" s="64"/>
      <c r="J20" s="64"/>
      <c r="K20" s="64"/>
      <c r="L20" s="61"/>
      <c r="M20" s="100"/>
      <c r="N20" s="100"/>
    </row>
    <row r="21" ht="15.6" spans="1:14">
      <c r="A21" s="95"/>
      <c r="B21" s="97" t="s">
        <v>721</v>
      </c>
      <c r="C21" s="96" t="s">
        <v>175</v>
      </c>
      <c r="D21" s="61" t="s">
        <v>722</v>
      </c>
      <c r="E21" s="64" t="s">
        <v>422</v>
      </c>
      <c r="F21" s="61" t="s">
        <v>721</v>
      </c>
      <c r="G21" s="64" t="s">
        <v>4749</v>
      </c>
      <c r="H21" s="64"/>
      <c r="I21" s="64"/>
      <c r="J21" s="64"/>
      <c r="K21" s="64"/>
      <c r="L21" s="61"/>
      <c r="M21" s="100"/>
      <c r="N21" s="100"/>
    </row>
    <row r="22" ht="15.6" spans="1:14">
      <c r="A22" s="95"/>
      <c r="B22" s="97" t="s">
        <v>2575</v>
      </c>
      <c r="C22" s="96" t="s">
        <v>175</v>
      </c>
      <c r="D22" s="61" t="s">
        <v>2575</v>
      </c>
      <c r="E22" s="64" t="s">
        <v>422</v>
      </c>
      <c r="F22" s="61" t="s">
        <v>2575</v>
      </c>
      <c r="G22" s="64" t="s">
        <v>4749</v>
      </c>
      <c r="H22" s="64"/>
      <c r="I22" s="64"/>
      <c r="J22" s="64"/>
      <c r="K22" s="64"/>
      <c r="L22" s="61"/>
      <c r="M22" s="100"/>
      <c r="N22" s="100"/>
    </row>
    <row r="23" ht="16.5" customHeight="1" spans="1:14">
      <c r="A23" s="95"/>
      <c r="B23" s="69" t="s">
        <v>4760</v>
      </c>
      <c r="C23" s="96" t="s">
        <v>229</v>
      </c>
      <c r="D23" s="61" t="s">
        <v>1527</v>
      </c>
      <c r="E23" s="64" t="s">
        <v>422</v>
      </c>
      <c r="F23" s="69" t="s">
        <v>4760</v>
      </c>
      <c r="G23" s="61" t="s">
        <v>392</v>
      </c>
      <c r="H23" s="99"/>
      <c r="I23" s="64"/>
      <c r="J23" s="64"/>
      <c r="K23" s="64"/>
      <c r="L23" s="61"/>
      <c r="M23" s="100"/>
      <c r="N23" s="100"/>
    </row>
    <row r="24" ht="15.6" spans="1:14">
      <c r="A24" s="95"/>
      <c r="B24" s="69" t="s">
        <v>4762</v>
      </c>
      <c r="C24" s="96" t="s">
        <v>229</v>
      </c>
      <c r="D24" s="61" t="s">
        <v>4763</v>
      </c>
      <c r="E24" s="64" t="s">
        <v>422</v>
      </c>
      <c r="F24" s="69" t="s">
        <v>4762</v>
      </c>
      <c r="G24" s="61" t="s">
        <v>392</v>
      </c>
      <c r="H24" s="99"/>
      <c r="I24" s="64"/>
      <c r="J24" s="64"/>
      <c r="K24" s="64"/>
      <c r="L24" s="61"/>
      <c r="M24" s="100"/>
      <c r="N24" s="100"/>
    </row>
    <row r="25" ht="15.6" spans="1:14">
      <c r="A25" s="95"/>
      <c r="B25" s="69" t="s">
        <v>4765</v>
      </c>
      <c r="C25" s="96" t="s">
        <v>203</v>
      </c>
      <c r="D25" s="61" t="s">
        <v>4766</v>
      </c>
      <c r="E25" s="64" t="s">
        <v>422</v>
      </c>
      <c r="F25" s="69"/>
      <c r="G25" s="61" t="s">
        <v>4767</v>
      </c>
      <c r="H25" s="99"/>
      <c r="I25" s="64"/>
      <c r="J25" s="64"/>
      <c r="K25" s="64"/>
      <c r="L25" s="61"/>
      <c r="M25" s="100"/>
      <c r="N25" s="100"/>
    </row>
    <row r="26" ht="15.6" spans="1:14">
      <c r="A26" s="95"/>
      <c r="B26" s="69" t="s">
        <v>4768</v>
      </c>
      <c r="C26" s="96" t="s">
        <v>229</v>
      </c>
      <c r="D26" s="61" t="s">
        <v>4769</v>
      </c>
      <c r="E26" s="64" t="s">
        <v>422</v>
      </c>
      <c r="F26" s="69" t="s">
        <v>4768</v>
      </c>
      <c r="G26" s="61" t="s">
        <v>392</v>
      </c>
      <c r="H26" s="99"/>
      <c r="I26" s="64"/>
      <c r="J26" s="64"/>
      <c r="K26" s="64"/>
      <c r="L26" s="61"/>
      <c r="M26" s="100"/>
      <c r="N26" s="100"/>
    </row>
    <row r="27" ht="15.6" spans="1:14">
      <c r="A27" s="95"/>
      <c r="B27" s="69" t="s">
        <v>4771</v>
      </c>
      <c r="C27" s="96" t="s">
        <v>229</v>
      </c>
      <c r="D27" s="61" t="s">
        <v>4772</v>
      </c>
      <c r="E27" s="64" t="s">
        <v>422</v>
      </c>
      <c r="F27" s="69" t="s">
        <v>4771</v>
      </c>
      <c r="G27" s="61" t="s">
        <v>392</v>
      </c>
      <c r="H27" s="99"/>
      <c r="I27" s="64"/>
      <c r="J27" s="64"/>
      <c r="K27" s="64"/>
      <c r="L27" s="61"/>
      <c r="M27" s="100"/>
      <c r="N27" s="100"/>
    </row>
    <row r="28" ht="15.6" spans="1:14">
      <c r="A28" s="95"/>
      <c r="B28" s="69" t="s">
        <v>4774</v>
      </c>
      <c r="C28" s="96" t="s">
        <v>229</v>
      </c>
      <c r="D28" s="61" t="s">
        <v>4775</v>
      </c>
      <c r="E28" s="64" t="s">
        <v>422</v>
      </c>
      <c r="F28" s="69" t="s">
        <v>4774</v>
      </c>
      <c r="G28" s="61" t="s">
        <v>392</v>
      </c>
      <c r="H28" s="99"/>
      <c r="I28" s="64"/>
      <c r="J28" s="64"/>
      <c r="K28" s="64"/>
      <c r="L28" s="61"/>
      <c r="M28" s="100"/>
      <c r="N28" s="100"/>
    </row>
    <row r="29" ht="15.6" spans="1:14">
      <c r="A29" s="95"/>
      <c r="B29" s="69" t="s">
        <v>4777</v>
      </c>
      <c r="C29" s="96" t="s">
        <v>229</v>
      </c>
      <c r="D29" s="61" t="s">
        <v>4778</v>
      </c>
      <c r="E29" s="64" t="s">
        <v>422</v>
      </c>
      <c r="F29" s="69" t="s">
        <v>4777</v>
      </c>
      <c r="G29" s="61" t="s">
        <v>392</v>
      </c>
      <c r="H29" s="99"/>
      <c r="I29" s="64"/>
      <c r="J29" s="64"/>
      <c r="K29" s="64"/>
      <c r="L29" s="61"/>
      <c r="M29" s="100"/>
      <c r="N29" s="100"/>
    </row>
    <row r="30" ht="15.6" spans="1:14">
      <c r="A30" s="95"/>
      <c r="B30" s="69" t="s">
        <v>4780</v>
      </c>
      <c r="C30" s="96" t="s">
        <v>229</v>
      </c>
      <c r="D30" s="61" t="s">
        <v>4781</v>
      </c>
      <c r="E30" s="64" t="s">
        <v>422</v>
      </c>
      <c r="F30" s="69" t="s">
        <v>4780</v>
      </c>
      <c r="G30" s="61" t="s">
        <v>392</v>
      </c>
      <c r="H30" s="99"/>
      <c r="I30" s="64"/>
      <c r="J30" s="64"/>
      <c r="K30" s="64"/>
      <c r="L30" s="61"/>
      <c r="M30" s="100"/>
      <c r="N30" s="100"/>
    </row>
    <row r="31" ht="15.6" spans="1:14">
      <c r="A31" s="95"/>
      <c r="B31" s="69" t="s">
        <v>4783</v>
      </c>
      <c r="C31" s="96" t="s">
        <v>229</v>
      </c>
      <c r="D31" s="61" t="s">
        <v>4784</v>
      </c>
      <c r="E31" s="64" t="s">
        <v>422</v>
      </c>
      <c r="F31" s="69" t="s">
        <v>4783</v>
      </c>
      <c r="G31" s="61" t="s">
        <v>392</v>
      </c>
      <c r="H31" s="99"/>
      <c r="I31" s="64"/>
      <c r="J31" s="64"/>
      <c r="K31" s="64"/>
      <c r="L31" s="61"/>
      <c r="M31" s="100"/>
      <c r="N31" s="100"/>
    </row>
    <row r="32" ht="15.6" spans="1:14">
      <c r="A32" s="95"/>
      <c r="B32" s="69" t="s">
        <v>4786</v>
      </c>
      <c r="C32" s="96" t="s">
        <v>229</v>
      </c>
      <c r="D32" s="61" t="s">
        <v>4787</v>
      </c>
      <c r="E32" s="64" t="s">
        <v>422</v>
      </c>
      <c r="F32" s="69" t="s">
        <v>4786</v>
      </c>
      <c r="G32" s="61" t="s">
        <v>392</v>
      </c>
      <c r="H32" s="99"/>
      <c r="I32" s="64"/>
      <c r="J32" s="64"/>
      <c r="K32" s="64"/>
      <c r="L32" s="61"/>
      <c r="M32" s="100"/>
      <c r="N32" s="100"/>
    </row>
    <row r="33" ht="15.6" spans="1:14">
      <c r="A33" s="95"/>
      <c r="B33" s="69" t="s">
        <v>4789</v>
      </c>
      <c r="C33" s="96" t="s">
        <v>229</v>
      </c>
      <c r="D33" s="61" t="s">
        <v>4790</v>
      </c>
      <c r="E33" s="64" t="s">
        <v>422</v>
      </c>
      <c r="F33" s="69" t="s">
        <v>4789</v>
      </c>
      <c r="G33" s="61" t="s">
        <v>392</v>
      </c>
      <c r="H33" s="99"/>
      <c r="I33" s="64"/>
      <c r="J33" s="64"/>
      <c r="K33" s="64"/>
      <c r="L33" s="61"/>
      <c r="M33" s="100"/>
      <c r="N33" s="100"/>
    </row>
    <row r="34" ht="15.6" spans="1:14">
      <c r="A34" s="95"/>
      <c r="B34" s="69" t="s">
        <v>4792</v>
      </c>
      <c r="C34" s="96" t="s">
        <v>229</v>
      </c>
      <c r="D34" s="61" t="s">
        <v>4793</v>
      </c>
      <c r="E34" s="64" t="s">
        <v>422</v>
      </c>
      <c r="F34" s="69" t="s">
        <v>4792</v>
      </c>
      <c r="G34" s="61" t="s">
        <v>392</v>
      </c>
      <c r="H34" s="99"/>
      <c r="I34" s="64"/>
      <c r="J34" s="64"/>
      <c r="K34" s="64"/>
      <c r="L34" s="61"/>
      <c r="M34" s="100"/>
      <c r="N34" s="100"/>
    </row>
    <row r="35" ht="15.6" spans="1:14">
      <c r="A35" s="95"/>
      <c r="B35" s="69" t="s">
        <v>4795</v>
      </c>
      <c r="C35" s="96" t="s">
        <v>229</v>
      </c>
      <c r="D35" s="61" t="s">
        <v>4796</v>
      </c>
      <c r="E35" s="64" t="s">
        <v>422</v>
      </c>
      <c r="F35" s="69" t="s">
        <v>4795</v>
      </c>
      <c r="G35" s="61" t="s">
        <v>392</v>
      </c>
      <c r="H35" s="99"/>
      <c r="I35" s="64"/>
      <c r="J35" s="64"/>
      <c r="K35" s="64"/>
      <c r="L35" s="61"/>
      <c r="M35" s="100"/>
      <c r="N35" s="100"/>
    </row>
    <row r="36" ht="15.6" spans="1:14">
      <c r="A36" s="95"/>
      <c r="B36" s="69" t="s">
        <v>4798</v>
      </c>
      <c r="C36" s="96" t="s">
        <v>229</v>
      </c>
      <c r="D36" s="61" t="s">
        <v>4799</v>
      </c>
      <c r="E36" s="64" t="s">
        <v>422</v>
      </c>
      <c r="F36" s="69" t="s">
        <v>4798</v>
      </c>
      <c r="G36" s="61" t="s">
        <v>392</v>
      </c>
      <c r="H36" s="99"/>
      <c r="I36" s="64"/>
      <c r="J36" s="64"/>
      <c r="K36" s="64"/>
      <c r="L36" s="61"/>
      <c r="M36" s="100"/>
      <c r="N36" s="100"/>
    </row>
    <row r="37" ht="15.6" spans="1:14">
      <c r="A37" s="95"/>
      <c r="B37" s="69" t="s">
        <v>4801</v>
      </c>
      <c r="C37" s="96" t="s">
        <v>229</v>
      </c>
      <c r="D37" s="61" t="s">
        <v>4802</v>
      </c>
      <c r="E37" s="64" t="s">
        <v>422</v>
      </c>
      <c r="F37" s="69" t="s">
        <v>4801</v>
      </c>
      <c r="G37" s="61" t="s">
        <v>392</v>
      </c>
      <c r="H37" s="99"/>
      <c r="I37" s="64"/>
      <c r="J37" s="64"/>
      <c r="K37" s="64"/>
      <c r="L37" s="61"/>
      <c r="M37" s="100"/>
      <c r="N37" s="100"/>
    </row>
    <row r="38" ht="15.6" spans="1:14">
      <c r="A38" s="95"/>
      <c r="B38" s="69" t="s">
        <v>4804</v>
      </c>
      <c r="C38" s="96" t="s">
        <v>229</v>
      </c>
      <c r="D38" s="61" t="s">
        <v>4805</v>
      </c>
      <c r="E38" s="64" t="s">
        <v>422</v>
      </c>
      <c r="F38" s="69" t="s">
        <v>4804</v>
      </c>
      <c r="G38" s="61" t="s">
        <v>392</v>
      </c>
      <c r="H38" s="99"/>
      <c r="I38" s="64"/>
      <c r="J38" s="64"/>
      <c r="K38" s="64"/>
      <c r="L38" s="61"/>
      <c r="M38" s="100"/>
      <c r="N38" s="100"/>
    </row>
    <row r="39" ht="15.6" spans="1:14">
      <c r="A39" s="95"/>
      <c r="B39" s="69" t="s">
        <v>4807</v>
      </c>
      <c r="C39" s="96" t="s">
        <v>229</v>
      </c>
      <c r="D39" s="61" t="s">
        <v>4808</v>
      </c>
      <c r="E39" s="64" t="s">
        <v>422</v>
      </c>
      <c r="F39" s="69" t="s">
        <v>4807</v>
      </c>
      <c r="G39" s="61" t="s">
        <v>392</v>
      </c>
      <c r="H39" s="99"/>
      <c r="I39" s="64"/>
      <c r="J39" s="64"/>
      <c r="K39" s="64"/>
      <c r="L39" s="61"/>
      <c r="M39" s="100"/>
      <c r="N39" s="100"/>
    </row>
    <row r="40" ht="15.6" spans="1:14">
      <c r="A40" s="95"/>
      <c r="B40" s="69" t="s">
        <v>4810</v>
      </c>
      <c r="C40" s="96" t="s">
        <v>203</v>
      </c>
      <c r="D40" s="61" t="s">
        <v>4811</v>
      </c>
      <c r="E40" s="64" t="s">
        <v>422</v>
      </c>
      <c r="F40" s="69"/>
      <c r="G40" s="61" t="s">
        <v>4812</v>
      </c>
      <c r="H40" s="99"/>
      <c r="I40" s="64"/>
      <c r="J40" s="64"/>
      <c r="K40" s="64"/>
      <c r="L40" s="61"/>
      <c r="M40" s="100"/>
      <c r="N40" s="100"/>
    </row>
    <row r="41" ht="15.6" spans="1:14">
      <c r="A41" s="95"/>
      <c r="B41" s="69" t="s">
        <v>4813</v>
      </c>
      <c r="C41" s="96" t="s">
        <v>203</v>
      </c>
      <c r="D41" s="61" t="s">
        <v>4814</v>
      </c>
      <c r="E41" s="64" t="s">
        <v>422</v>
      </c>
      <c r="F41" s="69"/>
      <c r="G41" s="61" t="s">
        <v>4815</v>
      </c>
      <c r="H41" s="99"/>
      <c r="I41" s="64"/>
      <c r="J41" s="64"/>
      <c r="K41" s="64"/>
      <c r="L41" s="61"/>
      <c r="M41" s="100"/>
      <c r="N41" s="100"/>
    </row>
    <row r="42" ht="15.6" spans="1:14">
      <c r="A42" s="95"/>
      <c r="B42" s="69" t="s">
        <v>4816</v>
      </c>
      <c r="C42" s="96" t="s">
        <v>203</v>
      </c>
      <c r="D42" s="61" t="s">
        <v>4817</v>
      </c>
      <c r="E42" s="64" t="s">
        <v>422</v>
      </c>
      <c r="F42" s="69"/>
      <c r="G42" s="61" t="s">
        <v>4818</v>
      </c>
      <c r="H42" s="99"/>
      <c r="I42" s="64"/>
      <c r="J42" s="64"/>
      <c r="K42" s="64"/>
      <c r="L42" s="61"/>
      <c r="M42" s="100"/>
      <c r="N42" s="100"/>
    </row>
    <row r="43" ht="15.6" spans="1:14">
      <c r="A43" s="95"/>
      <c r="B43" s="69" t="s">
        <v>4819</v>
      </c>
      <c r="C43" s="96" t="s">
        <v>203</v>
      </c>
      <c r="D43" s="61" t="s">
        <v>4820</v>
      </c>
      <c r="E43" s="64" t="s">
        <v>422</v>
      </c>
      <c r="F43" s="69"/>
      <c r="G43" s="61" t="s">
        <v>4821</v>
      </c>
      <c r="H43" s="99"/>
      <c r="I43" s="64"/>
      <c r="J43" s="64"/>
      <c r="K43" s="64"/>
      <c r="L43" s="61"/>
      <c r="M43" s="100"/>
      <c r="N43" s="100"/>
    </row>
    <row r="44" ht="15.6" spans="1:14">
      <c r="A44" s="95"/>
      <c r="B44" s="69" t="s">
        <v>4822</v>
      </c>
      <c r="C44" s="96" t="s">
        <v>203</v>
      </c>
      <c r="D44" s="61" t="s">
        <v>4823</v>
      </c>
      <c r="E44" s="64" t="s">
        <v>422</v>
      </c>
      <c r="F44" s="69"/>
      <c r="G44" s="61" t="s">
        <v>4824</v>
      </c>
      <c r="H44" s="99"/>
      <c r="I44" s="64"/>
      <c r="J44" s="64"/>
      <c r="K44" s="64"/>
      <c r="L44" s="61"/>
      <c r="M44" s="100"/>
      <c r="N44" s="100"/>
    </row>
    <row r="45" ht="15.6" spans="1:14">
      <c r="A45" s="95"/>
      <c r="B45" s="69" t="s">
        <v>4825</v>
      </c>
      <c r="C45" s="96" t="s">
        <v>203</v>
      </c>
      <c r="D45" s="61" t="s">
        <v>4826</v>
      </c>
      <c r="E45" s="64" t="s">
        <v>422</v>
      </c>
      <c r="F45" s="69"/>
      <c r="G45" s="61" t="s">
        <v>4827</v>
      </c>
      <c r="H45" s="99"/>
      <c r="I45" s="64"/>
      <c r="J45" s="64"/>
      <c r="K45" s="64"/>
      <c r="L45" s="61"/>
      <c r="M45" s="100"/>
      <c r="N45" s="100"/>
    </row>
    <row r="46" ht="15.6" spans="1:14">
      <c r="A46" s="95"/>
      <c r="B46" s="69" t="s">
        <v>4828</v>
      </c>
      <c r="C46" s="96" t="s">
        <v>229</v>
      </c>
      <c r="D46" s="61" t="s">
        <v>4829</v>
      </c>
      <c r="E46" s="64" t="s">
        <v>422</v>
      </c>
      <c r="F46" s="69" t="s">
        <v>4828</v>
      </c>
      <c r="G46" s="61" t="s">
        <v>392</v>
      </c>
      <c r="H46" s="99"/>
      <c r="I46" s="64"/>
      <c r="J46" s="64"/>
      <c r="K46" s="64"/>
      <c r="L46" s="61"/>
      <c r="M46" s="100"/>
      <c r="N46" s="100"/>
    </row>
    <row r="47" ht="15.6" spans="1:14">
      <c r="A47" s="95"/>
      <c r="B47" s="69" t="s">
        <v>4831</v>
      </c>
      <c r="C47" s="96" t="s">
        <v>229</v>
      </c>
      <c r="D47" s="61" t="s">
        <v>4832</v>
      </c>
      <c r="E47" s="64" t="s">
        <v>422</v>
      </c>
      <c r="F47" s="69" t="s">
        <v>4831</v>
      </c>
      <c r="G47" s="61" t="s">
        <v>392</v>
      </c>
      <c r="H47" s="99"/>
      <c r="I47" s="64"/>
      <c r="J47" s="64"/>
      <c r="K47" s="64"/>
      <c r="L47" s="61"/>
      <c r="M47" s="100"/>
      <c r="N47" s="100"/>
    </row>
    <row r="48" ht="15.6" spans="1:14">
      <c r="A48" s="95"/>
      <c r="B48" s="69" t="s">
        <v>955</v>
      </c>
      <c r="C48" s="96" t="s">
        <v>229</v>
      </c>
      <c r="D48" s="61" t="s">
        <v>4834</v>
      </c>
      <c r="E48" s="64" t="s">
        <v>422</v>
      </c>
      <c r="F48" s="69" t="s">
        <v>955</v>
      </c>
      <c r="G48" s="61" t="s">
        <v>392</v>
      </c>
      <c r="H48" s="99"/>
      <c r="I48" s="64"/>
      <c r="J48" s="64"/>
      <c r="K48" s="64"/>
      <c r="L48" s="61"/>
      <c r="M48" s="100"/>
      <c r="N48" s="100"/>
    </row>
    <row r="49" ht="15.6" spans="1:14">
      <c r="A49" s="95"/>
      <c r="B49" s="69" t="s">
        <v>958</v>
      </c>
      <c r="C49" s="96" t="s">
        <v>229</v>
      </c>
      <c r="D49" s="61" t="s">
        <v>4836</v>
      </c>
      <c r="E49" s="64" t="s">
        <v>422</v>
      </c>
      <c r="F49" s="69" t="s">
        <v>958</v>
      </c>
      <c r="G49" s="61" t="s">
        <v>392</v>
      </c>
      <c r="H49" s="99"/>
      <c r="I49" s="64"/>
      <c r="J49" s="64"/>
      <c r="K49" s="64"/>
      <c r="L49" s="61"/>
      <c r="M49" s="100"/>
      <c r="N49" s="100"/>
    </row>
    <row r="50" ht="15.6" spans="1:14">
      <c r="A50" s="95"/>
      <c r="B50" s="69" t="s">
        <v>4838</v>
      </c>
      <c r="C50" s="96" t="s">
        <v>229</v>
      </c>
      <c r="D50" s="61" t="s">
        <v>4839</v>
      </c>
      <c r="E50" s="64" t="s">
        <v>422</v>
      </c>
      <c r="F50" s="69"/>
      <c r="G50" s="61" t="s">
        <v>4840</v>
      </c>
      <c r="H50" s="99"/>
      <c r="I50" s="64"/>
      <c r="J50" s="64"/>
      <c r="K50" s="64"/>
      <c r="L50" s="61"/>
      <c r="M50" s="100"/>
      <c r="N50" s="100"/>
    </row>
    <row r="51" ht="15.6" spans="1:14">
      <c r="A51" s="95"/>
      <c r="B51" s="69" t="s">
        <v>4841</v>
      </c>
      <c r="C51" s="96" t="s">
        <v>229</v>
      </c>
      <c r="D51" s="61" t="s">
        <v>4842</v>
      </c>
      <c r="E51" s="64" t="s">
        <v>422</v>
      </c>
      <c r="F51" s="69"/>
      <c r="G51" s="61" t="s">
        <v>4843</v>
      </c>
      <c r="H51" s="99"/>
      <c r="I51" s="64"/>
      <c r="J51" s="64"/>
      <c r="K51" s="64"/>
      <c r="L51" s="61"/>
      <c r="M51" s="100"/>
      <c r="N51" s="100"/>
    </row>
    <row r="52" ht="15.6" spans="1:14">
      <c r="A52" s="95"/>
      <c r="B52" s="69" t="s">
        <v>4844</v>
      </c>
      <c r="C52" s="96" t="s">
        <v>229</v>
      </c>
      <c r="D52" s="61" t="s">
        <v>4845</v>
      </c>
      <c r="E52" s="64" t="s">
        <v>422</v>
      </c>
      <c r="F52" s="69"/>
      <c r="G52" s="61" t="s">
        <v>4846</v>
      </c>
      <c r="H52" s="99"/>
      <c r="I52" s="64"/>
      <c r="J52" s="64"/>
      <c r="K52" s="64"/>
      <c r="L52" s="61"/>
      <c r="M52" s="100"/>
      <c r="N52" s="100"/>
    </row>
    <row r="53" ht="16.5" customHeight="1" spans="1:14">
      <c r="A53" s="95"/>
      <c r="B53" s="69" t="s">
        <v>4847</v>
      </c>
      <c r="C53" s="96" t="s">
        <v>229</v>
      </c>
      <c r="D53" s="61" t="s">
        <v>4848</v>
      </c>
      <c r="E53" s="64" t="s">
        <v>422</v>
      </c>
      <c r="F53" s="69" t="s">
        <v>4847</v>
      </c>
      <c r="G53" s="61" t="s">
        <v>392</v>
      </c>
      <c r="H53" s="63"/>
      <c r="I53" s="64"/>
      <c r="J53" s="64"/>
      <c r="K53" s="64"/>
      <c r="L53" s="61"/>
      <c r="M53" s="100"/>
      <c r="N53" s="100"/>
    </row>
    <row r="54" ht="15.6" spans="1:14">
      <c r="A54" s="95"/>
      <c r="B54" s="69" t="s">
        <v>4851</v>
      </c>
      <c r="C54" s="96" t="s">
        <v>229</v>
      </c>
      <c r="D54" s="61" t="s">
        <v>4852</v>
      </c>
      <c r="E54" s="64" t="s">
        <v>422</v>
      </c>
      <c r="F54" s="69" t="s">
        <v>4851</v>
      </c>
      <c r="G54" s="61" t="s">
        <v>392</v>
      </c>
      <c r="H54" s="63"/>
      <c r="I54" s="64"/>
      <c r="J54" s="64"/>
      <c r="K54" s="64"/>
      <c r="L54" s="61"/>
      <c r="M54" s="100"/>
      <c r="N54" s="100"/>
    </row>
    <row r="55" ht="15.6" spans="1:14">
      <c r="A55" s="95"/>
      <c r="B55" s="69" t="s">
        <v>4854</v>
      </c>
      <c r="C55" s="96" t="s">
        <v>229</v>
      </c>
      <c r="D55" s="61" t="s">
        <v>4855</v>
      </c>
      <c r="E55" s="64" t="s">
        <v>422</v>
      </c>
      <c r="F55" s="69" t="s">
        <v>4854</v>
      </c>
      <c r="G55" s="61" t="s">
        <v>392</v>
      </c>
      <c r="H55" s="63"/>
      <c r="I55" s="64"/>
      <c r="J55" s="64"/>
      <c r="K55" s="64"/>
      <c r="L55" s="61"/>
      <c r="M55" s="100"/>
      <c r="N55" s="100"/>
    </row>
    <row r="56" ht="15.6" spans="1:14">
      <c r="A56" s="95"/>
      <c r="B56" s="69" t="s">
        <v>4857</v>
      </c>
      <c r="C56" s="96" t="s">
        <v>229</v>
      </c>
      <c r="D56" s="61" t="s">
        <v>4858</v>
      </c>
      <c r="E56" s="64" t="s">
        <v>422</v>
      </c>
      <c r="F56" s="69" t="s">
        <v>4857</v>
      </c>
      <c r="G56" s="61" t="s">
        <v>392</v>
      </c>
      <c r="H56" s="63"/>
      <c r="I56" s="64"/>
      <c r="J56" s="64"/>
      <c r="K56" s="64"/>
      <c r="L56" s="61"/>
      <c r="M56" s="100"/>
      <c r="N56" s="100"/>
    </row>
    <row r="57" ht="15.6" spans="1:14">
      <c r="A57" s="95"/>
      <c r="B57" s="69" t="s">
        <v>4860</v>
      </c>
      <c r="C57" s="96" t="s">
        <v>229</v>
      </c>
      <c r="D57" s="61" t="s">
        <v>758</v>
      </c>
      <c r="E57" s="64" t="s">
        <v>422</v>
      </c>
      <c r="F57" s="69" t="s">
        <v>4860</v>
      </c>
      <c r="G57" s="61" t="s">
        <v>392</v>
      </c>
      <c r="H57" s="63"/>
      <c r="I57" s="64"/>
      <c r="J57" s="64"/>
      <c r="K57" s="64"/>
      <c r="L57" s="61"/>
      <c r="M57" s="100"/>
      <c r="N57" s="100"/>
    </row>
    <row r="58" ht="15.6" spans="1:14">
      <c r="A58" s="95"/>
      <c r="B58" s="69" t="s">
        <v>4862</v>
      </c>
      <c r="C58" s="96" t="s">
        <v>229</v>
      </c>
      <c r="D58" s="61" t="s">
        <v>761</v>
      </c>
      <c r="E58" s="64" t="s">
        <v>422</v>
      </c>
      <c r="F58" s="69" t="s">
        <v>4862</v>
      </c>
      <c r="G58" s="61" t="s">
        <v>392</v>
      </c>
      <c r="H58" s="63"/>
      <c r="I58" s="64"/>
      <c r="J58" s="64"/>
      <c r="K58" s="64"/>
      <c r="L58" s="61"/>
      <c r="M58" s="100"/>
      <c r="N58" s="100"/>
    </row>
    <row r="59" ht="15.6" spans="1:14">
      <c r="A59" s="95"/>
      <c r="B59" s="69" t="s">
        <v>5622</v>
      </c>
      <c r="C59" s="96" t="s">
        <v>229</v>
      </c>
      <c r="D59" s="61" t="s">
        <v>1595</v>
      </c>
      <c r="E59" s="64" t="s">
        <v>422</v>
      </c>
      <c r="F59" s="69" t="s">
        <v>4864</v>
      </c>
      <c r="G59" s="61" t="s">
        <v>392</v>
      </c>
      <c r="H59" s="63"/>
      <c r="I59" s="64"/>
      <c r="J59" s="64"/>
      <c r="K59" s="64"/>
      <c r="L59" s="61"/>
      <c r="M59" s="100"/>
      <c r="N59" s="100"/>
    </row>
    <row r="60" ht="15.6" spans="1:14">
      <c r="A60" s="95"/>
      <c r="B60" s="69" t="s">
        <v>5623</v>
      </c>
      <c r="C60" s="96" t="s">
        <v>229</v>
      </c>
      <c r="D60" s="61" t="s">
        <v>4867</v>
      </c>
      <c r="E60" s="64" t="s">
        <v>422</v>
      </c>
      <c r="F60" s="69" t="s">
        <v>4866</v>
      </c>
      <c r="G60" s="61" t="s">
        <v>392</v>
      </c>
      <c r="H60" s="63"/>
      <c r="I60" s="64"/>
      <c r="J60" s="64"/>
      <c r="K60" s="64"/>
      <c r="L60" s="61"/>
      <c r="M60" s="100"/>
      <c r="N60" s="100"/>
    </row>
    <row r="61" ht="15.6" spans="1:14">
      <c r="A61" s="95"/>
      <c r="B61" s="69" t="s">
        <v>6046</v>
      </c>
      <c r="C61" s="96" t="s">
        <v>229</v>
      </c>
      <c r="D61" s="61" t="s">
        <v>788</v>
      </c>
      <c r="E61" s="64" t="s">
        <v>422</v>
      </c>
      <c r="F61" s="69" t="s">
        <v>4869</v>
      </c>
      <c r="G61" s="61" t="s">
        <v>392</v>
      </c>
      <c r="H61" s="63"/>
      <c r="I61" s="64"/>
      <c r="J61" s="64"/>
      <c r="K61" s="64"/>
      <c r="L61" s="61"/>
      <c r="M61" s="100"/>
      <c r="N61" s="100"/>
    </row>
    <row r="62" ht="15.6" spans="1:14">
      <c r="A62" s="95"/>
      <c r="B62" s="69" t="s">
        <v>6047</v>
      </c>
      <c r="C62" s="96" t="s">
        <v>229</v>
      </c>
      <c r="D62" s="61" t="s">
        <v>791</v>
      </c>
      <c r="E62" s="64" t="s">
        <v>422</v>
      </c>
      <c r="F62" s="69" t="s">
        <v>4871</v>
      </c>
      <c r="G62" s="61" t="s">
        <v>392</v>
      </c>
      <c r="H62" s="63"/>
      <c r="I62" s="64"/>
      <c r="J62" s="64"/>
      <c r="K62" s="64"/>
      <c r="L62" s="61"/>
      <c r="M62" s="100"/>
      <c r="N62" s="100"/>
    </row>
    <row r="63" ht="15.6" spans="1:14">
      <c r="A63" s="95"/>
      <c r="B63" s="69" t="s">
        <v>6048</v>
      </c>
      <c r="C63" s="96" t="s">
        <v>229</v>
      </c>
      <c r="D63" s="61" t="s">
        <v>794</v>
      </c>
      <c r="E63" s="64" t="s">
        <v>422</v>
      </c>
      <c r="F63" s="69" t="s">
        <v>4873</v>
      </c>
      <c r="G63" s="61" t="s">
        <v>392</v>
      </c>
      <c r="H63" s="63"/>
      <c r="I63" s="64"/>
      <c r="J63" s="64"/>
      <c r="K63" s="64"/>
      <c r="L63" s="61"/>
      <c r="M63" s="100"/>
      <c r="N63" s="100"/>
    </row>
    <row r="64" ht="15.6" spans="1:14">
      <c r="A64" s="95"/>
      <c r="B64" s="69" t="s">
        <v>6049</v>
      </c>
      <c r="C64" s="96" t="s">
        <v>229</v>
      </c>
      <c r="D64" s="61" t="s">
        <v>797</v>
      </c>
      <c r="E64" s="64" t="s">
        <v>422</v>
      </c>
      <c r="F64" s="69" t="s">
        <v>4875</v>
      </c>
      <c r="G64" s="61" t="s">
        <v>392</v>
      </c>
      <c r="H64" s="63"/>
      <c r="I64" s="64"/>
      <c r="J64" s="64"/>
      <c r="K64" s="64"/>
      <c r="L64" s="61"/>
      <c r="M64" s="100"/>
      <c r="N64" s="100"/>
    </row>
    <row r="65" ht="15.6" spans="1:14">
      <c r="A65" s="95"/>
      <c r="B65" s="69" t="s">
        <v>4877</v>
      </c>
      <c r="C65" s="96" t="s">
        <v>203</v>
      </c>
      <c r="D65" s="61" t="s">
        <v>1368</v>
      </c>
      <c r="E65" s="64" t="s">
        <v>422</v>
      </c>
      <c r="F65" s="69"/>
      <c r="G65" s="61" t="s">
        <v>6050</v>
      </c>
      <c r="H65" s="63"/>
      <c r="I65" s="64"/>
      <c r="J65" s="64"/>
      <c r="K65" s="64"/>
      <c r="L65" s="61"/>
      <c r="M65" s="100"/>
      <c r="N65" s="100"/>
    </row>
    <row r="66" ht="15.6" spans="1:14">
      <c r="A66" s="95"/>
      <c r="B66" s="69" t="s">
        <v>4879</v>
      </c>
      <c r="C66" s="96" t="s">
        <v>203</v>
      </c>
      <c r="D66" s="61" t="s">
        <v>1386</v>
      </c>
      <c r="E66" s="64" t="s">
        <v>422</v>
      </c>
      <c r="F66" s="69"/>
      <c r="G66" s="61" t="s">
        <v>6051</v>
      </c>
      <c r="H66" s="63"/>
      <c r="I66" s="64"/>
      <c r="J66" s="64"/>
      <c r="K66" s="64"/>
      <c r="L66" s="61"/>
      <c r="M66" s="100"/>
      <c r="N66" s="100"/>
    </row>
    <row r="67" ht="15.6" spans="1:14">
      <c r="A67" s="95"/>
      <c r="B67" s="69" t="s">
        <v>4881</v>
      </c>
      <c r="C67" s="96" t="s">
        <v>203</v>
      </c>
      <c r="D67" s="61" t="s">
        <v>1422</v>
      </c>
      <c r="E67" s="64" t="s">
        <v>422</v>
      </c>
      <c r="F67" s="69"/>
      <c r="G67" s="61" t="s">
        <v>6052</v>
      </c>
      <c r="H67" s="63"/>
      <c r="I67" s="64"/>
      <c r="J67" s="64"/>
      <c r="K67" s="64"/>
      <c r="L67" s="61"/>
      <c r="M67" s="100"/>
      <c r="N67" s="100"/>
    </row>
    <row r="68" ht="15.6" spans="1:14">
      <c r="A68" s="95"/>
      <c r="B68" s="69" t="s">
        <v>4883</v>
      </c>
      <c r="C68" s="96" t="s">
        <v>203</v>
      </c>
      <c r="D68" s="61" t="s">
        <v>1440</v>
      </c>
      <c r="E68" s="64" t="s">
        <v>422</v>
      </c>
      <c r="F68" s="69"/>
      <c r="G68" s="61" t="s">
        <v>6053</v>
      </c>
      <c r="H68" s="63"/>
      <c r="I68" s="64"/>
      <c r="J68" s="64"/>
      <c r="K68" s="64"/>
      <c r="L68" s="61"/>
      <c r="M68" s="100"/>
      <c r="N68" s="100"/>
    </row>
    <row r="69" ht="15.6" spans="1:14">
      <c r="A69" s="95"/>
      <c r="B69" s="69" t="s">
        <v>4885</v>
      </c>
      <c r="C69" s="96" t="s">
        <v>229</v>
      </c>
      <c r="D69" s="61" t="s">
        <v>830</v>
      </c>
      <c r="E69" s="64" t="s">
        <v>422</v>
      </c>
      <c r="F69" s="69" t="s">
        <v>5632</v>
      </c>
      <c r="G69" s="61" t="s">
        <v>392</v>
      </c>
      <c r="H69" s="63"/>
      <c r="I69" s="64"/>
      <c r="J69" s="64"/>
      <c r="K69" s="64"/>
      <c r="L69" s="61"/>
      <c r="M69" s="100"/>
      <c r="N69" s="100"/>
    </row>
    <row r="70" ht="15.6" spans="1:14">
      <c r="A70" s="95"/>
      <c r="B70" s="69" t="s">
        <v>4887</v>
      </c>
      <c r="C70" s="96" t="s">
        <v>229</v>
      </c>
      <c r="D70" s="61" t="s">
        <v>833</v>
      </c>
      <c r="E70" s="64" t="s">
        <v>422</v>
      </c>
      <c r="F70" s="69" t="s">
        <v>5633</v>
      </c>
      <c r="G70" s="61" t="s">
        <v>392</v>
      </c>
      <c r="H70" s="63"/>
      <c r="I70" s="64"/>
      <c r="J70" s="64"/>
      <c r="K70" s="64"/>
      <c r="L70" s="61"/>
      <c r="M70" s="100"/>
      <c r="N70" s="100"/>
    </row>
    <row r="71" ht="15.6" spans="1:14">
      <c r="A71" s="95"/>
      <c r="B71" s="69" t="s">
        <v>4889</v>
      </c>
      <c r="C71" s="96" t="s">
        <v>229</v>
      </c>
      <c r="D71" s="61" t="s">
        <v>840</v>
      </c>
      <c r="E71" s="64" t="s">
        <v>422</v>
      </c>
      <c r="F71" s="69"/>
      <c r="G71" s="61" t="s">
        <v>6054</v>
      </c>
      <c r="H71" s="63"/>
      <c r="I71" s="64"/>
      <c r="J71" s="64"/>
      <c r="K71" s="64"/>
      <c r="L71" s="61"/>
      <c r="M71" s="100"/>
      <c r="N71" s="100"/>
    </row>
    <row r="72" ht="15.6" spans="1:14">
      <c r="A72" s="95"/>
      <c r="B72" s="69" t="s">
        <v>1489</v>
      </c>
      <c r="C72" s="96" t="s">
        <v>229</v>
      </c>
      <c r="D72" s="61" t="s">
        <v>1490</v>
      </c>
      <c r="E72" s="64" t="s">
        <v>422</v>
      </c>
      <c r="F72" s="69" t="s">
        <v>1489</v>
      </c>
      <c r="G72" s="61" t="s">
        <v>392</v>
      </c>
      <c r="H72" s="63"/>
      <c r="I72" s="64"/>
      <c r="J72" s="64"/>
      <c r="K72" s="64"/>
      <c r="L72" s="61"/>
      <c r="M72" s="100"/>
      <c r="N72" s="100"/>
    </row>
    <row r="73" ht="15.6" spans="1:14">
      <c r="A73" s="95"/>
      <c r="B73" s="69" t="s">
        <v>1492</v>
      </c>
      <c r="C73" s="96" t="s">
        <v>229</v>
      </c>
      <c r="D73" s="61" t="s">
        <v>1493</v>
      </c>
      <c r="E73" s="64" t="s">
        <v>422</v>
      </c>
      <c r="F73" s="69" t="s">
        <v>1492</v>
      </c>
      <c r="G73" s="61" t="s">
        <v>392</v>
      </c>
      <c r="H73" s="63"/>
      <c r="I73" s="64"/>
      <c r="J73" s="64"/>
      <c r="K73" s="64"/>
      <c r="L73" s="61"/>
      <c r="M73" s="100"/>
      <c r="N73" s="100"/>
    </row>
    <row r="74" ht="15.6" spans="1:14">
      <c r="A74" s="95"/>
      <c r="B74" s="69" t="s">
        <v>1495</v>
      </c>
      <c r="C74" s="96" t="s">
        <v>229</v>
      </c>
      <c r="D74" s="61" t="s">
        <v>1496</v>
      </c>
      <c r="E74" s="64" t="s">
        <v>422</v>
      </c>
      <c r="F74" s="69" t="s">
        <v>1495</v>
      </c>
      <c r="G74" s="61" t="s">
        <v>392</v>
      </c>
      <c r="H74" s="63"/>
      <c r="I74" s="64"/>
      <c r="J74" s="64"/>
      <c r="K74" s="64"/>
      <c r="L74" s="61"/>
      <c r="M74" s="100"/>
      <c r="N74" s="100"/>
    </row>
    <row r="75" ht="15.6" spans="1:14">
      <c r="A75" s="95"/>
      <c r="B75" s="69" t="s">
        <v>4894</v>
      </c>
      <c r="C75" s="96" t="s">
        <v>229</v>
      </c>
      <c r="D75" s="61" t="s">
        <v>4895</v>
      </c>
      <c r="E75" s="64" t="s">
        <v>422</v>
      </c>
      <c r="F75" s="69" t="s">
        <v>5635</v>
      </c>
      <c r="G75" s="61" t="s">
        <v>392</v>
      </c>
      <c r="H75" s="63"/>
      <c r="I75" s="64"/>
      <c r="J75" s="64"/>
      <c r="K75" s="64"/>
      <c r="L75" s="61"/>
      <c r="M75" s="100"/>
      <c r="N75" s="100"/>
    </row>
    <row r="76" ht="15.6" spans="1:14">
      <c r="A76" s="95"/>
      <c r="B76" s="69" t="s">
        <v>5637</v>
      </c>
      <c r="C76" s="96" t="s">
        <v>203</v>
      </c>
      <c r="D76" s="61" t="s">
        <v>4897</v>
      </c>
      <c r="E76" s="64" t="s">
        <v>422</v>
      </c>
      <c r="F76" s="69"/>
      <c r="G76" s="61" t="s">
        <v>6055</v>
      </c>
      <c r="H76" s="63"/>
      <c r="I76" s="64"/>
      <c r="J76" s="64"/>
      <c r="K76" s="64"/>
      <c r="L76" s="61"/>
      <c r="M76" s="100"/>
      <c r="N76" s="100"/>
    </row>
    <row r="77" ht="16.5" customHeight="1" spans="1:14">
      <c r="A77" s="95"/>
      <c r="B77" s="69" t="s">
        <v>4898</v>
      </c>
      <c r="C77" s="96" t="s">
        <v>229</v>
      </c>
      <c r="D77" s="61" t="s">
        <v>4899</v>
      </c>
      <c r="E77" s="64" t="s">
        <v>422</v>
      </c>
      <c r="F77" s="69" t="s">
        <v>4898</v>
      </c>
      <c r="G77" s="61" t="s">
        <v>392</v>
      </c>
      <c r="H77" s="63"/>
      <c r="I77" s="64"/>
      <c r="J77" s="64"/>
      <c r="K77" s="64"/>
      <c r="L77" s="61"/>
      <c r="M77" s="100"/>
      <c r="N77" s="100"/>
    </row>
    <row r="78" ht="15.6" spans="1:14">
      <c r="A78" s="95"/>
      <c r="B78" s="69" t="s">
        <v>4901</v>
      </c>
      <c r="C78" s="96" t="s">
        <v>203</v>
      </c>
      <c r="D78" s="61" t="s">
        <v>4902</v>
      </c>
      <c r="E78" s="64" t="s">
        <v>422</v>
      </c>
      <c r="F78" s="69" t="s">
        <v>4901</v>
      </c>
      <c r="G78" s="61" t="s">
        <v>392</v>
      </c>
      <c r="H78" s="63"/>
      <c r="I78" s="64"/>
      <c r="J78" s="64"/>
      <c r="K78" s="64"/>
      <c r="L78" s="61"/>
      <c r="M78" s="100"/>
      <c r="N78" s="100"/>
    </row>
    <row r="79" ht="15.6" spans="1:14">
      <c r="A79" s="95"/>
      <c r="B79" s="69" t="s">
        <v>4903</v>
      </c>
      <c r="C79" s="96" t="s">
        <v>203</v>
      </c>
      <c r="D79" s="61" t="s">
        <v>4904</v>
      </c>
      <c r="E79" s="64" t="s">
        <v>422</v>
      </c>
      <c r="F79" s="69" t="s">
        <v>4903</v>
      </c>
      <c r="G79" s="61" t="s">
        <v>392</v>
      </c>
      <c r="H79" s="63"/>
      <c r="I79" s="64"/>
      <c r="J79" s="64"/>
      <c r="K79" s="64"/>
      <c r="L79" s="61"/>
      <c r="M79" s="100"/>
      <c r="N79" s="100"/>
    </row>
    <row r="80" ht="15.6" spans="1:14">
      <c r="A80" s="95"/>
      <c r="B80" s="69" t="s">
        <v>4905</v>
      </c>
      <c r="C80" s="96" t="s">
        <v>229</v>
      </c>
      <c r="D80" s="61" t="s">
        <v>758</v>
      </c>
      <c r="E80" s="64" t="s">
        <v>422</v>
      </c>
      <c r="F80" s="69" t="s">
        <v>4905</v>
      </c>
      <c r="G80" s="61" t="s">
        <v>392</v>
      </c>
      <c r="H80" s="63"/>
      <c r="I80" s="64"/>
      <c r="J80" s="64"/>
      <c r="K80" s="64"/>
      <c r="L80" s="61"/>
      <c r="M80" s="100"/>
      <c r="N80" s="100"/>
    </row>
    <row r="81" ht="15.6" spans="1:14">
      <c r="A81" s="95"/>
      <c r="B81" s="69" t="s">
        <v>4906</v>
      </c>
      <c r="C81" s="96" t="s">
        <v>229</v>
      </c>
      <c r="D81" s="61" t="s">
        <v>761</v>
      </c>
      <c r="E81" s="64" t="s">
        <v>422</v>
      </c>
      <c r="F81" s="69" t="s">
        <v>4906</v>
      </c>
      <c r="G81" s="61" t="s">
        <v>392</v>
      </c>
      <c r="H81" s="63"/>
      <c r="I81" s="64"/>
      <c r="J81" s="64"/>
      <c r="K81" s="64"/>
      <c r="L81" s="61"/>
      <c r="M81" s="100"/>
      <c r="N81" s="100"/>
    </row>
    <row r="82" ht="15.6" spans="1:14">
      <c r="A82" s="95"/>
      <c r="B82" s="69" t="s">
        <v>4907</v>
      </c>
      <c r="C82" s="96" t="s">
        <v>229</v>
      </c>
      <c r="D82" s="61" t="s">
        <v>1595</v>
      </c>
      <c r="E82" s="64" t="s">
        <v>422</v>
      </c>
      <c r="F82" s="69" t="s">
        <v>4907</v>
      </c>
      <c r="G82" s="61" t="s">
        <v>392</v>
      </c>
      <c r="H82" s="63"/>
      <c r="I82" s="64"/>
      <c r="J82" s="64"/>
      <c r="K82" s="64"/>
      <c r="L82" s="61"/>
      <c r="M82" s="100"/>
      <c r="N82" s="100"/>
    </row>
    <row r="83" ht="15.6" spans="1:14">
      <c r="A83" s="95"/>
      <c r="B83" s="69" t="s">
        <v>4908</v>
      </c>
      <c r="C83" s="96" t="s">
        <v>229</v>
      </c>
      <c r="D83" s="61" t="s">
        <v>4867</v>
      </c>
      <c r="E83" s="64" t="s">
        <v>422</v>
      </c>
      <c r="F83" s="69" t="s">
        <v>4908</v>
      </c>
      <c r="G83" s="61" t="s">
        <v>392</v>
      </c>
      <c r="H83" s="63"/>
      <c r="I83" s="64"/>
      <c r="J83" s="64"/>
      <c r="K83" s="64"/>
      <c r="L83" s="61"/>
      <c r="M83" s="100"/>
      <c r="N83" s="100"/>
    </row>
    <row r="84" ht="15.6" spans="1:14">
      <c r="A84" s="95"/>
      <c r="B84" s="69" t="s">
        <v>4909</v>
      </c>
      <c r="C84" s="96" t="s">
        <v>229</v>
      </c>
      <c r="D84" s="61" t="s">
        <v>788</v>
      </c>
      <c r="E84" s="64" t="s">
        <v>422</v>
      </c>
      <c r="F84" s="69" t="s">
        <v>4909</v>
      </c>
      <c r="G84" s="61" t="s">
        <v>392</v>
      </c>
      <c r="H84" s="63"/>
      <c r="I84" s="64"/>
      <c r="J84" s="64"/>
      <c r="K84" s="64"/>
      <c r="L84" s="61"/>
      <c r="M84" s="100"/>
      <c r="N84" s="100"/>
    </row>
    <row r="85" ht="15.6" spans="1:14">
      <c r="A85" s="95"/>
      <c r="B85" s="69" t="s">
        <v>4910</v>
      </c>
      <c r="C85" s="96" t="s">
        <v>229</v>
      </c>
      <c r="D85" s="61" t="s">
        <v>791</v>
      </c>
      <c r="E85" s="64" t="s">
        <v>422</v>
      </c>
      <c r="F85" s="69" t="s">
        <v>4910</v>
      </c>
      <c r="G85" s="61" t="s">
        <v>392</v>
      </c>
      <c r="H85" s="63"/>
      <c r="I85" s="64"/>
      <c r="J85" s="64"/>
      <c r="K85" s="64"/>
      <c r="L85" s="61"/>
      <c r="M85" s="100"/>
      <c r="N85" s="100"/>
    </row>
    <row r="86" ht="15.6" spans="1:14">
      <c r="A86" s="95"/>
      <c r="B86" s="69" t="s">
        <v>4911</v>
      </c>
      <c r="C86" s="96" t="s">
        <v>229</v>
      </c>
      <c r="D86" s="61" t="s">
        <v>794</v>
      </c>
      <c r="E86" s="64" t="s">
        <v>422</v>
      </c>
      <c r="F86" s="69" t="s">
        <v>4911</v>
      </c>
      <c r="G86" s="61" t="s">
        <v>392</v>
      </c>
      <c r="H86" s="63"/>
      <c r="I86" s="64"/>
      <c r="J86" s="64"/>
      <c r="K86" s="64"/>
      <c r="L86" s="61"/>
      <c r="M86" s="100"/>
      <c r="N86" s="100"/>
    </row>
    <row r="87" ht="15.6" spans="1:14">
      <c r="A87" s="95"/>
      <c r="B87" s="69" t="s">
        <v>4912</v>
      </c>
      <c r="C87" s="96" t="s">
        <v>229</v>
      </c>
      <c r="D87" s="61" t="s">
        <v>797</v>
      </c>
      <c r="E87" s="64" t="s">
        <v>422</v>
      </c>
      <c r="F87" s="69" t="s">
        <v>4912</v>
      </c>
      <c r="G87" s="61" t="s">
        <v>392</v>
      </c>
      <c r="H87" s="63"/>
      <c r="I87" s="64"/>
      <c r="J87" s="64"/>
      <c r="K87" s="64"/>
      <c r="L87" s="61"/>
      <c r="M87" s="100"/>
      <c r="N87" s="100"/>
    </row>
    <row r="88" ht="15.6" spans="1:14">
      <c r="A88" s="95"/>
      <c r="B88" s="69" t="s">
        <v>4913</v>
      </c>
      <c r="C88" s="96" t="s">
        <v>203</v>
      </c>
      <c r="D88" s="61" t="s">
        <v>1368</v>
      </c>
      <c r="E88" s="64" t="s">
        <v>422</v>
      </c>
      <c r="F88" s="69"/>
      <c r="G88" s="61" t="s">
        <v>6056</v>
      </c>
      <c r="H88" s="63"/>
      <c r="I88" s="64"/>
      <c r="J88" s="64"/>
      <c r="K88" s="64"/>
      <c r="L88" s="61"/>
      <c r="M88" s="100"/>
      <c r="N88" s="100"/>
    </row>
    <row r="89" ht="15.6" spans="1:14">
      <c r="A89" s="95"/>
      <c r="B89" s="69" t="s">
        <v>4915</v>
      </c>
      <c r="C89" s="96" t="s">
        <v>203</v>
      </c>
      <c r="D89" s="61" t="s">
        <v>1386</v>
      </c>
      <c r="E89" s="64" t="s">
        <v>422</v>
      </c>
      <c r="F89" s="69"/>
      <c r="G89" s="61" t="s">
        <v>6057</v>
      </c>
      <c r="H89" s="63"/>
      <c r="I89" s="64"/>
      <c r="J89" s="64"/>
      <c r="K89" s="64"/>
      <c r="L89" s="61"/>
      <c r="M89" s="100"/>
      <c r="N89" s="100"/>
    </row>
    <row r="90" ht="15.6" spans="1:14">
      <c r="A90" s="95"/>
      <c r="B90" s="69" t="s">
        <v>4917</v>
      </c>
      <c r="C90" s="96" t="s">
        <v>203</v>
      </c>
      <c r="D90" s="61" t="s">
        <v>1422</v>
      </c>
      <c r="E90" s="64" t="s">
        <v>422</v>
      </c>
      <c r="F90" s="69"/>
      <c r="G90" s="61" t="s">
        <v>6058</v>
      </c>
      <c r="H90" s="63"/>
      <c r="I90" s="64"/>
      <c r="J90" s="64"/>
      <c r="K90" s="64"/>
      <c r="L90" s="61"/>
      <c r="M90" s="100"/>
      <c r="N90" s="100"/>
    </row>
    <row r="91" ht="15.6" spans="1:14">
      <c r="A91" s="95"/>
      <c r="B91" s="69" t="s">
        <v>4919</v>
      </c>
      <c r="C91" s="96" t="s">
        <v>203</v>
      </c>
      <c r="D91" s="61" t="s">
        <v>1440</v>
      </c>
      <c r="E91" s="64" t="s">
        <v>422</v>
      </c>
      <c r="F91" s="69"/>
      <c r="G91" s="61" t="s">
        <v>6059</v>
      </c>
      <c r="H91" s="63"/>
      <c r="I91" s="64"/>
      <c r="J91" s="64"/>
      <c r="K91" s="64"/>
      <c r="L91" s="61"/>
      <c r="M91" s="100"/>
      <c r="N91" s="100"/>
    </row>
    <row r="92" ht="15.6" spans="1:14">
      <c r="A92" s="95"/>
      <c r="B92" s="69" t="s">
        <v>4921</v>
      </c>
      <c r="C92" s="96" t="s">
        <v>229</v>
      </c>
      <c r="D92" s="61" t="s">
        <v>4899</v>
      </c>
      <c r="E92" s="64" t="s">
        <v>422</v>
      </c>
      <c r="F92" s="69" t="s">
        <v>4921</v>
      </c>
      <c r="G92" s="61" t="s">
        <v>392</v>
      </c>
      <c r="H92" s="63"/>
      <c r="I92" s="64"/>
      <c r="J92" s="64"/>
      <c r="K92" s="64"/>
      <c r="L92" s="61"/>
      <c r="M92" s="100"/>
      <c r="N92" s="100"/>
    </row>
    <row r="93" ht="15.6" spans="1:14">
      <c r="A93" s="95"/>
      <c r="B93" s="69" t="s">
        <v>4922</v>
      </c>
      <c r="C93" s="96" t="s">
        <v>229</v>
      </c>
      <c r="D93" s="61" t="s">
        <v>4923</v>
      </c>
      <c r="E93" s="64" t="s">
        <v>422</v>
      </c>
      <c r="F93" s="69" t="s">
        <v>4922</v>
      </c>
      <c r="G93" s="61" t="s">
        <v>392</v>
      </c>
      <c r="H93" s="63"/>
      <c r="I93" s="64"/>
      <c r="J93" s="64"/>
      <c r="K93" s="64"/>
      <c r="L93" s="61"/>
      <c r="M93" s="100"/>
      <c r="N93" s="100"/>
    </row>
    <row r="94" ht="15.6" spans="1:14">
      <c r="A94" s="95"/>
      <c r="B94" s="69" t="s">
        <v>4924</v>
      </c>
      <c r="C94" s="96" t="s">
        <v>203</v>
      </c>
      <c r="D94" s="61" t="s">
        <v>4925</v>
      </c>
      <c r="E94" s="64" t="s">
        <v>422</v>
      </c>
      <c r="F94" s="69" t="s">
        <v>4924</v>
      </c>
      <c r="G94" s="61" t="s">
        <v>392</v>
      </c>
      <c r="H94" s="63"/>
      <c r="I94" s="64"/>
      <c r="J94" s="64"/>
      <c r="K94" s="64"/>
      <c r="L94" s="61"/>
      <c r="M94" s="100"/>
      <c r="N94" s="100"/>
    </row>
    <row r="95" ht="15.6" spans="1:14">
      <c r="A95" s="95"/>
      <c r="B95" s="69" t="s">
        <v>4927</v>
      </c>
      <c r="C95" s="96" t="s">
        <v>203</v>
      </c>
      <c r="D95" s="61" t="s">
        <v>840</v>
      </c>
      <c r="E95" s="64" t="s">
        <v>422</v>
      </c>
      <c r="F95" s="69"/>
      <c r="G95" s="61" t="s">
        <v>4928</v>
      </c>
      <c r="H95" s="63"/>
      <c r="I95" s="64"/>
      <c r="J95" s="64"/>
      <c r="K95" s="64"/>
      <c r="L95" s="61"/>
      <c r="M95" s="100"/>
      <c r="N95" s="100"/>
    </row>
    <row r="96" ht="15.6" spans="1:14">
      <c r="A96" s="95"/>
      <c r="B96" s="69" t="s">
        <v>4929</v>
      </c>
      <c r="C96" s="96" t="s">
        <v>203</v>
      </c>
      <c r="D96" s="61" t="s">
        <v>4930</v>
      </c>
      <c r="E96" s="64" t="s">
        <v>422</v>
      </c>
      <c r="F96" s="69"/>
      <c r="G96" s="61" t="s">
        <v>4931</v>
      </c>
      <c r="H96" s="63"/>
      <c r="I96" s="64"/>
      <c r="J96" s="64"/>
      <c r="K96" s="64"/>
      <c r="L96" s="61"/>
      <c r="M96" s="100"/>
      <c r="N96" s="100"/>
    </row>
    <row r="97" ht="15.6" spans="1:14">
      <c r="A97" s="95"/>
      <c r="B97" s="69" t="s">
        <v>4932</v>
      </c>
      <c r="C97" s="96" t="s">
        <v>203</v>
      </c>
      <c r="D97" s="61" t="s">
        <v>4933</v>
      </c>
      <c r="E97" s="64" t="s">
        <v>422</v>
      </c>
      <c r="F97" s="69"/>
      <c r="G97" s="61" t="s">
        <v>6060</v>
      </c>
      <c r="H97" s="63"/>
      <c r="I97" s="64"/>
      <c r="J97" s="64"/>
      <c r="K97" s="64"/>
      <c r="L97" s="61"/>
      <c r="M97" s="100"/>
      <c r="N97" s="100"/>
    </row>
    <row r="98" ht="15.6" spans="1:14">
      <c r="A98" s="95"/>
      <c r="B98" s="69" t="s">
        <v>4935</v>
      </c>
      <c r="C98" s="96" t="s">
        <v>203</v>
      </c>
      <c r="D98" s="61" t="s">
        <v>4936</v>
      </c>
      <c r="E98" s="64" t="s">
        <v>422</v>
      </c>
      <c r="F98" s="69"/>
      <c r="G98" s="61" t="s">
        <v>6061</v>
      </c>
      <c r="H98" s="63"/>
      <c r="I98" s="64"/>
      <c r="J98" s="64"/>
      <c r="K98" s="64"/>
      <c r="L98" s="61"/>
      <c r="M98" s="100"/>
      <c r="N98" s="100"/>
    </row>
    <row r="99" ht="15.6" spans="1:14">
      <c r="A99" s="95"/>
      <c r="B99" s="69" t="s">
        <v>4938</v>
      </c>
      <c r="C99" s="96" t="s">
        <v>229</v>
      </c>
      <c r="D99" s="61" t="s">
        <v>1467</v>
      </c>
      <c r="E99" s="64" t="s">
        <v>422</v>
      </c>
      <c r="F99" s="69" t="s">
        <v>4938</v>
      </c>
      <c r="G99" s="61" t="s">
        <v>392</v>
      </c>
      <c r="H99" s="63"/>
      <c r="I99" s="64"/>
      <c r="J99" s="64"/>
      <c r="K99" s="64"/>
      <c r="L99" s="61"/>
      <c r="M99" s="100"/>
      <c r="N99" s="100"/>
    </row>
    <row r="100" ht="15.6" spans="1:14">
      <c r="A100" s="95"/>
      <c r="B100" s="69" t="s">
        <v>4940</v>
      </c>
      <c r="C100" s="96" t="s">
        <v>229</v>
      </c>
      <c r="D100" s="61" t="s">
        <v>1470</v>
      </c>
      <c r="E100" s="64" t="s">
        <v>422</v>
      </c>
      <c r="F100" s="69" t="s">
        <v>4940</v>
      </c>
      <c r="G100" s="61" t="s">
        <v>392</v>
      </c>
      <c r="H100" s="63"/>
      <c r="I100" s="64"/>
      <c r="J100" s="64"/>
      <c r="K100" s="64"/>
      <c r="L100" s="61"/>
      <c r="M100" s="100"/>
      <c r="N100" s="100"/>
    </row>
    <row r="101" ht="15.6" spans="1:14">
      <c r="A101" s="95"/>
      <c r="B101" s="69" t="s">
        <v>4942</v>
      </c>
      <c r="C101" s="96" t="s">
        <v>229</v>
      </c>
      <c r="D101" s="61" t="s">
        <v>1473</v>
      </c>
      <c r="E101" s="64" t="s">
        <v>422</v>
      </c>
      <c r="F101" s="69" t="s">
        <v>4942</v>
      </c>
      <c r="G101" s="61" t="s">
        <v>392</v>
      </c>
      <c r="H101" s="63"/>
      <c r="I101" s="64"/>
      <c r="J101" s="64"/>
      <c r="K101" s="64"/>
      <c r="L101" s="61"/>
      <c r="M101" s="100"/>
      <c r="N101" s="100"/>
    </row>
    <row r="102" ht="15.6" spans="1:14">
      <c r="A102" s="95"/>
      <c r="B102" s="69" t="s">
        <v>4944</v>
      </c>
      <c r="C102" s="96" t="s">
        <v>229</v>
      </c>
      <c r="D102" s="61" t="s">
        <v>1476</v>
      </c>
      <c r="E102" s="64" t="s">
        <v>422</v>
      </c>
      <c r="F102" s="69" t="s">
        <v>4944</v>
      </c>
      <c r="G102" s="61" t="s">
        <v>392</v>
      </c>
      <c r="H102" s="63"/>
      <c r="I102" s="64"/>
      <c r="J102" s="64"/>
      <c r="K102" s="64"/>
      <c r="L102" s="61"/>
      <c r="M102" s="100"/>
      <c r="N102" s="100"/>
    </row>
    <row r="103" ht="15.6" spans="1:14">
      <c r="A103" s="95"/>
      <c r="B103" s="69" t="s">
        <v>4946</v>
      </c>
      <c r="C103" s="96" t="s">
        <v>229</v>
      </c>
      <c r="D103" s="61" t="s">
        <v>1479</v>
      </c>
      <c r="E103" s="64" t="s">
        <v>422</v>
      </c>
      <c r="F103" s="69" t="s">
        <v>4946</v>
      </c>
      <c r="G103" s="61" t="s">
        <v>392</v>
      </c>
      <c r="H103" s="63"/>
      <c r="I103" s="64"/>
      <c r="J103" s="64"/>
      <c r="K103" s="64"/>
      <c r="L103" s="61"/>
      <c r="M103" s="100"/>
      <c r="N103" s="100"/>
    </row>
    <row r="104" ht="15.6" spans="1:14">
      <c r="A104" s="95"/>
      <c r="B104" s="69" t="s">
        <v>4948</v>
      </c>
      <c r="C104" s="96" t="s">
        <v>229</v>
      </c>
      <c r="D104" s="61" t="s">
        <v>1482</v>
      </c>
      <c r="E104" s="64" t="s">
        <v>422</v>
      </c>
      <c r="F104" s="69" t="s">
        <v>4948</v>
      </c>
      <c r="G104" s="61" t="s">
        <v>392</v>
      </c>
      <c r="H104" s="63"/>
      <c r="I104" s="64"/>
      <c r="J104" s="64"/>
      <c r="K104" s="64"/>
      <c r="L104" s="61"/>
      <c r="M104" s="100"/>
      <c r="N104" s="100"/>
    </row>
    <row r="105" ht="15.6" spans="1:14">
      <c r="A105" s="95"/>
      <c r="B105" s="69" t="s">
        <v>5673</v>
      </c>
      <c r="C105" s="96" t="s">
        <v>229</v>
      </c>
      <c r="D105" s="61" t="s">
        <v>4895</v>
      </c>
      <c r="E105" s="64" t="s">
        <v>422</v>
      </c>
      <c r="F105" s="69" t="s">
        <v>5673</v>
      </c>
      <c r="G105" s="61" t="s">
        <v>392</v>
      </c>
      <c r="H105" s="63"/>
      <c r="I105" s="64"/>
      <c r="J105" s="64"/>
      <c r="K105" s="64"/>
      <c r="L105" s="61"/>
      <c r="M105" s="100"/>
      <c r="N105" s="100"/>
    </row>
    <row r="106" ht="15.6" spans="1:14">
      <c r="A106" s="95"/>
      <c r="B106" s="69" t="s">
        <v>5674</v>
      </c>
      <c r="C106" s="96" t="s">
        <v>203</v>
      </c>
      <c r="D106" s="61" t="s">
        <v>4897</v>
      </c>
      <c r="E106" s="64" t="s">
        <v>422</v>
      </c>
      <c r="F106" s="69"/>
      <c r="G106" s="61" t="s">
        <v>6062</v>
      </c>
      <c r="H106" s="63"/>
      <c r="I106" s="64"/>
      <c r="J106" s="64"/>
      <c r="K106" s="64"/>
      <c r="L106" s="61"/>
      <c r="M106" s="100"/>
      <c r="N106" s="100"/>
    </row>
    <row r="107" ht="16.5" customHeight="1" spans="1:14">
      <c r="A107" s="95"/>
      <c r="B107" s="69" t="s">
        <v>4952</v>
      </c>
      <c r="C107" s="96" t="s">
        <v>229</v>
      </c>
      <c r="D107" s="61" t="s">
        <v>4953</v>
      </c>
      <c r="E107" s="64" t="s">
        <v>422</v>
      </c>
      <c r="F107" s="69" t="s">
        <v>5675</v>
      </c>
      <c r="G107" s="61" t="s">
        <v>392</v>
      </c>
      <c r="H107" s="63"/>
      <c r="I107" s="64"/>
      <c r="J107" s="64"/>
      <c r="K107" s="64"/>
      <c r="L107" s="61"/>
      <c r="M107" s="100"/>
      <c r="N107" s="100"/>
    </row>
    <row r="108" ht="15.6" spans="1:14">
      <c r="A108" s="95"/>
      <c r="B108" s="69" t="s">
        <v>4955</v>
      </c>
      <c r="C108" s="96" t="s">
        <v>229</v>
      </c>
      <c r="D108" s="61" t="s">
        <v>4956</v>
      </c>
      <c r="E108" s="64" t="s">
        <v>422</v>
      </c>
      <c r="F108" s="69" t="s">
        <v>4955</v>
      </c>
      <c r="G108" s="61" t="s">
        <v>392</v>
      </c>
      <c r="H108" s="63"/>
      <c r="I108" s="64"/>
      <c r="J108" s="64"/>
      <c r="K108" s="64"/>
      <c r="L108" s="61"/>
      <c r="M108" s="100"/>
      <c r="N108" s="100"/>
    </row>
    <row r="109" ht="15.6" spans="1:14">
      <c r="A109" s="95"/>
      <c r="B109" s="69" t="s">
        <v>4957</v>
      </c>
      <c r="C109" s="96" t="s">
        <v>229</v>
      </c>
      <c r="D109" s="61" t="s">
        <v>4958</v>
      </c>
      <c r="E109" s="64" t="s">
        <v>422</v>
      </c>
      <c r="F109" s="69" t="s">
        <v>4957</v>
      </c>
      <c r="G109" s="61" t="s">
        <v>392</v>
      </c>
      <c r="H109" s="63"/>
      <c r="I109" s="64"/>
      <c r="J109" s="64"/>
      <c r="K109" s="64"/>
      <c r="L109" s="61"/>
      <c r="M109" s="100"/>
      <c r="N109" s="100"/>
    </row>
    <row r="110" ht="15.6" spans="1:14">
      <c r="A110" s="95"/>
      <c r="B110" s="69" t="s">
        <v>4959</v>
      </c>
      <c r="C110" s="96" t="s">
        <v>229</v>
      </c>
      <c r="D110" s="61" t="s">
        <v>758</v>
      </c>
      <c r="E110" s="64" t="s">
        <v>422</v>
      </c>
      <c r="F110" s="69" t="s">
        <v>4959</v>
      </c>
      <c r="G110" s="61" t="s">
        <v>392</v>
      </c>
      <c r="H110" s="63"/>
      <c r="I110" s="64"/>
      <c r="J110" s="64"/>
      <c r="K110" s="64"/>
      <c r="L110" s="61"/>
      <c r="M110" s="100"/>
      <c r="N110" s="100"/>
    </row>
    <row r="111" ht="15.6" spans="1:14">
      <c r="A111" s="95"/>
      <c r="B111" s="69" t="s">
        <v>4960</v>
      </c>
      <c r="C111" s="96" t="s">
        <v>229</v>
      </c>
      <c r="D111" s="61" t="s">
        <v>761</v>
      </c>
      <c r="E111" s="64" t="s">
        <v>422</v>
      </c>
      <c r="F111" s="69" t="s">
        <v>4960</v>
      </c>
      <c r="G111" s="61" t="s">
        <v>392</v>
      </c>
      <c r="H111" s="63"/>
      <c r="I111" s="64"/>
      <c r="J111" s="64"/>
      <c r="K111" s="64"/>
      <c r="L111" s="61"/>
      <c r="M111" s="100"/>
      <c r="N111" s="100"/>
    </row>
    <row r="112" ht="15.6" spans="1:14">
      <c r="A112" s="95"/>
      <c r="B112" s="69" t="s">
        <v>4961</v>
      </c>
      <c r="C112" s="96" t="s">
        <v>229</v>
      </c>
      <c r="D112" s="61" t="s">
        <v>1595</v>
      </c>
      <c r="E112" s="64" t="s">
        <v>422</v>
      </c>
      <c r="F112" s="69" t="s">
        <v>4961</v>
      </c>
      <c r="G112" s="61" t="s">
        <v>392</v>
      </c>
      <c r="H112" s="63"/>
      <c r="I112" s="64"/>
      <c r="J112" s="64"/>
      <c r="K112" s="64"/>
      <c r="L112" s="61"/>
      <c r="M112" s="100"/>
      <c r="N112" s="100"/>
    </row>
    <row r="113" ht="15.6" spans="1:14">
      <c r="A113" s="95"/>
      <c r="B113" s="69" t="s">
        <v>4962</v>
      </c>
      <c r="C113" s="96" t="s">
        <v>229</v>
      </c>
      <c r="D113" s="61" t="s">
        <v>4867</v>
      </c>
      <c r="E113" s="64" t="s">
        <v>422</v>
      </c>
      <c r="F113" s="69" t="s">
        <v>4962</v>
      </c>
      <c r="G113" s="61" t="s">
        <v>392</v>
      </c>
      <c r="H113" s="63"/>
      <c r="I113" s="64"/>
      <c r="J113" s="64"/>
      <c r="K113" s="64"/>
      <c r="L113" s="61"/>
      <c r="M113" s="100"/>
      <c r="N113" s="100"/>
    </row>
    <row r="114" ht="15.6" spans="1:14">
      <c r="A114" s="95"/>
      <c r="B114" s="69" t="s">
        <v>4963</v>
      </c>
      <c r="C114" s="96" t="s">
        <v>229</v>
      </c>
      <c r="D114" s="61" t="s">
        <v>788</v>
      </c>
      <c r="E114" s="64" t="s">
        <v>422</v>
      </c>
      <c r="F114" s="69" t="s">
        <v>4963</v>
      </c>
      <c r="G114" s="61" t="s">
        <v>392</v>
      </c>
      <c r="H114" s="63"/>
      <c r="I114" s="64"/>
      <c r="J114" s="64"/>
      <c r="K114" s="64"/>
      <c r="L114" s="61"/>
      <c r="M114" s="100"/>
      <c r="N114" s="100"/>
    </row>
    <row r="115" ht="15.6" spans="1:14">
      <c r="A115" s="95"/>
      <c r="B115" s="69" t="s">
        <v>4964</v>
      </c>
      <c r="C115" s="96" t="s">
        <v>229</v>
      </c>
      <c r="D115" s="61" t="s">
        <v>791</v>
      </c>
      <c r="E115" s="64" t="s">
        <v>422</v>
      </c>
      <c r="F115" s="69" t="s">
        <v>4964</v>
      </c>
      <c r="G115" s="61" t="s">
        <v>392</v>
      </c>
      <c r="H115" s="63"/>
      <c r="I115" s="64"/>
      <c r="J115" s="64"/>
      <c r="K115" s="64"/>
      <c r="L115" s="61"/>
      <c r="M115" s="100"/>
      <c r="N115" s="100"/>
    </row>
    <row r="116" ht="15.6" spans="1:14">
      <c r="A116" s="95"/>
      <c r="B116" s="69" t="s">
        <v>4965</v>
      </c>
      <c r="C116" s="96" t="s">
        <v>229</v>
      </c>
      <c r="D116" s="61" t="s">
        <v>794</v>
      </c>
      <c r="E116" s="64" t="s">
        <v>422</v>
      </c>
      <c r="F116" s="69" t="s">
        <v>4965</v>
      </c>
      <c r="G116" s="61" t="s">
        <v>392</v>
      </c>
      <c r="H116" s="63"/>
      <c r="I116" s="64"/>
      <c r="J116" s="64"/>
      <c r="K116" s="64"/>
      <c r="L116" s="61"/>
      <c r="M116" s="100"/>
      <c r="N116" s="100"/>
    </row>
    <row r="117" ht="15.6" spans="1:14">
      <c r="A117" s="95"/>
      <c r="B117" s="69" t="s">
        <v>4966</v>
      </c>
      <c r="C117" s="96" t="s">
        <v>229</v>
      </c>
      <c r="D117" s="61" t="s">
        <v>797</v>
      </c>
      <c r="E117" s="64" t="s">
        <v>422</v>
      </c>
      <c r="F117" s="69" t="s">
        <v>4966</v>
      </c>
      <c r="G117" s="61" t="s">
        <v>392</v>
      </c>
      <c r="H117" s="63"/>
      <c r="I117" s="64"/>
      <c r="J117" s="64"/>
      <c r="K117" s="64"/>
      <c r="L117" s="61"/>
      <c r="M117" s="100"/>
      <c r="N117" s="100"/>
    </row>
    <row r="118" ht="15.6" spans="1:14">
      <c r="A118" s="95"/>
      <c r="B118" s="69" t="s">
        <v>4967</v>
      </c>
      <c r="C118" s="96" t="s">
        <v>203</v>
      </c>
      <c r="D118" s="61" t="s">
        <v>1368</v>
      </c>
      <c r="E118" s="64" t="s">
        <v>422</v>
      </c>
      <c r="F118" s="69"/>
      <c r="G118" s="61" t="s">
        <v>6063</v>
      </c>
      <c r="H118" s="63"/>
      <c r="I118" s="64"/>
      <c r="J118" s="64"/>
      <c r="K118" s="64"/>
      <c r="L118" s="61"/>
      <c r="M118" s="100"/>
      <c r="N118" s="100"/>
    </row>
    <row r="119" ht="15.6" spans="1:14">
      <c r="A119" s="95"/>
      <c r="B119" s="69" t="s">
        <v>4968</v>
      </c>
      <c r="C119" s="96" t="s">
        <v>203</v>
      </c>
      <c r="D119" s="61" t="s">
        <v>1386</v>
      </c>
      <c r="E119" s="64" t="s">
        <v>422</v>
      </c>
      <c r="F119" s="69"/>
      <c r="G119" s="61" t="s">
        <v>6064</v>
      </c>
      <c r="H119" s="63"/>
      <c r="I119" s="64"/>
      <c r="J119" s="64"/>
      <c r="K119" s="64"/>
      <c r="L119" s="61"/>
      <c r="M119" s="100"/>
      <c r="N119" s="100"/>
    </row>
    <row r="120" ht="15.6" spans="1:14">
      <c r="A120" s="95"/>
      <c r="B120" s="69" t="s">
        <v>4969</v>
      </c>
      <c r="C120" s="96" t="s">
        <v>203</v>
      </c>
      <c r="D120" s="61" t="s">
        <v>1422</v>
      </c>
      <c r="E120" s="64" t="s">
        <v>422</v>
      </c>
      <c r="F120" s="69"/>
      <c r="G120" s="61" t="s">
        <v>6065</v>
      </c>
      <c r="H120" s="63"/>
      <c r="I120" s="64"/>
      <c r="J120" s="64"/>
      <c r="K120" s="64"/>
      <c r="L120" s="61"/>
      <c r="M120" s="100"/>
      <c r="N120" s="100"/>
    </row>
    <row r="121" ht="15.6" spans="1:14">
      <c r="A121" s="95"/>
      <c r="B121" s="69" t="s">
        <v>4970</v>
      </c>
      <c r="C121" s="96" t="s">
        <v>203</v>
      </c>
      <c r="D121" s="61" t="s">
        <v>1440</v>
      </c>
      <c r="E121" s="64" t="s">
        <v>422</v>
      </c>
      <c r="F121" s="69"/>
      <c r="G121" s="61" t="s">
        <v>6066</v>
      </c>
      <c r="H121" s="63"/>
      <c r="I121" s="64"/>
      <c r="J121" s="64"/>
      <c r="K121" s="64"/>
      <c r="L121" s="61"/>
      <c r="M121" s="100"/>
      <c r="N121" s="100"/>
    </row>
    <row r="122" ht="15.6" spans="1:14">
      <c r="A122" s="95"/>
      <c r="B122" s="69" t="s">
        <v>4971</v>
      </c>
      <c r="C122" s="96" t="s">
        <v>229</v>
      </c>
      <c r="D122" s="61" t="s">
        <v>4972</v>
      </c>
      <c r="E122" s="64" t="s">
        <v>422</v>
      </c>
      <c r="F122" s="69" t="s">
        <v>5692</v>
      </c>
      <c r="G122" s="61" t="s">
        <v>392</v>
      </c>
      <c r="H122" s="63"/>
      <c r="I122" s="64"/>
      <c r="J122" s="64"/>
      <c r="K122" s="64"/>
      <c r="L122" s="61"/>
      <c r="M122" s="100"/>
      <c r="N122" s="100"/>
    </row>
    <row r="123" ht="15.6" spans="1:14">
      <c r="A123" s="95"/>
      <c r="B123" s="69" t="s">
        <v>4974</v>
      </c>
      <c r="C123" s="96" t="s">
        <v>229</v>
      </c>
      <c r="D123" s="61" t="s">
        <v>1485</v>
      </c>
      <c r="E123" s="64" t="s">
        <v>422</v>
      </c>
      <c r="F123" s="69" t="s">
        <v>5694</v>
      </c>
      <c r="G123" s="61" t="s">
        <v>392</v>
      </c>
      <c r="H123" s="63"/>
      <c r="I123" s="64"/>
      <c r="J123" s="64"/>
      <c r="K123" s="64"/>
      <c r="L123" s="61"/>
      <c r="M123" s="100"/>
      <c r="N123" s="100"/>
    </row>
    <row r="124" ht="15.6" spans="1:14">
      <c r="A124" s="95"/>
      <c r="B124" s="69" t="s">
        <v>4976</v>
      </c>
      <c r="C124" s="96" t="s">
        <v>203</v>
      </c>
      <c r="D124" s="61" t="s">
        <v>4977</v>
      </c>
      <c r="E124" s="64" t="s">
        <v>422</v>
      </c>
      <c r="F124" s="69"/>
      <c r="G124" s="61" t="s">
        <v>6067</v>
      </c>
      <c r="H124" s="63"/>
      <c r="I124" s="64"/>
      <c r="J124" s="64"/>
      <c r="K124" s="64"/>
      <c r="L124" s="61"/>
      <c r="M124" s="100"/>
      <c r="N124" s="100"/>
    </row>
    <row r="125" ht="15.6" spans="1:14">
      <c r="A125" s="95"/>
      <c r="B125" s="69" t="s">
        <v>4979</v>
      </c>
      <c r="C125" s="96" t="s">
        <v>229</v>
      </c>
      <c r="D125" s="61" t="s">
        <v>4980</v>
      </c>
      <c r="E125" s="64" t="s">
        <v>422</v>
      </c>
      <c r="F125" s="69" t="s">
        <v>4979</v>
      </c>
      <c r="G125" s="61" t="s">
        <v>392</v>
      </c>
      <c r="H125" s="63"/>
      <c r="I125" s="64"/>
      <c r="J125" s="64"/>
      <c r="K125" s="64"/>
      <c r="L125" s="61"/>
      <c r="M125" s="100"/>
      <c r="N125" s="100"/>
    </row>
    <row r="126" ht="15.6" spans="1:14">
      <c r="A126" s="95"/>
      <c r="B126" s="69" t="s">
        <v>4982</v>
      </c>
      <c r="C126" s="96" t="s">
        <v>229</v>
      </c>
      <c r="D126" s="61" t="s">
        <v>4983</v>
      </c>
      <c r="E126" s="64" t="s">
        <v>422</v>
      </c>
      <c r="F126" s="69" t="s">
        <v>5699</v>
      </c>
      <c r="G126" s="61" t="s">
        <v>392</v>
      </c>
      <c r="H126" s="63"/>
      <c r="I126" s="64"/>
      <c r="J126" s="64"/>
      <c r="K126" s="64"/>
      <c r="L126" s="61"/>
      <c r="M126" s="100"/>
      <c r="N126" s="100"/>
    </row>
    <row r="127" ht="15.6" spans="1:14">
      <c r="A127" s="95"/>
      <c r="B127" s="69" t="s">
        <v>4985</v>
      </c>
      <c r="C127" s="96" t="s">
        <v>229</v>
      </c>
      <c r="D127" s="61" t="s">
        <v>4986</v>
      </c>
      <c r="E127" s="64" t="s">
        <v>422</v>
      </c>
      <c r="F127" s="69" t="s">
        <v>5701</v>
      </c>
      <c r="G127" s="61" t="s">
        <v>392</v>
      </c>
      <c r="H127" s="63"/>
      <c r="I127" s="64"/>
      <c r="J127" s="64"/>
      <c r="K127" s="64"/>
      <c r="L127" s="61"/>
      <c r="M127" s="100"/>
      <c r="N127" s="100"/>
    </row>
    <row r="128" ht="15.6" spans="1:14">
      <c r="A128" s="95"/>
      <c r="B128" s="69" t="s">
        <v>4988</v>
      </c>
      <c r="C128" s="96" t="s">
        <v>203</v>
      </c>
      <c r="D128" s="61" t="s">
        <v>4989</v>
      </c>
      <c r="E128" s="64" t="s">
        <v>422</v>
      </c>
      <c r="F128" s="69"/>
      <c r="G128" s="61" t="s">
        <v>6068</v>
      </c>
      <c r="H128" s="63"/>
      <c r="I128" s="64"/>
      <c r="J128" s="64"/>
      <c r="K128" s="64"/>
      <c r="L128" s="61"/>
      <c r="M128" s="100"/>
      <c r="N128" s="100"/>
    </row>
    <row r="129" ht="15.6" spans="1:14">
      <c r="A129" s="95"/>
      <c r="B129" s="69" t="s">
        <v>4991</v>
      </c>
      <c r="C129" s="96" t="s">
        <v>229</v>
      </c>
      <c r="D129" s="61" t="s">
        <v>4992</v>
      </c>
      <c r="E129" s="64" t="s">
        <v>422</v>
      </c>
      <c r="F129" s="69" t="s">
        <v>4991</v>
      </c>
      <c r="G129" s="61" t="s">
        <v>392</v>
      </c>
      <c r="H129" s="63"/>
      <c r="I129" s="64"/>
      <c r="J129" s="64"/>
      <c r="K129" s="64"/>
      <c r="L129" s="61"/>
      <c r="M129" s="100"/>
      <c r="N129" s="100"/>
    </row>
    <row r="130" ht="15.6" spans="1:14">
      <c r="A130" s="95"/>
      <c r="B130" s="69" t="s">
        <v>1484</v>
      </c>
      <c r="C130" s="96" t="s">
        <v>229</v>
      </c>
      <c r="D130" s="61" t="s">
        <v>4994</v>
      </c>
      <c r="E130" s="64" t="s">
        <v>422</v>
      </c>
      <c r="F130" s="69" t="s">
        <v>1484</v>
      </c>
      <c r="G130" s="61" t="s">
        <v>392</v>
      </c>
      <c r="H130" s="63"/>
      <c r="I130" s="64"/>
      <c r="J130" s="64"/>
      <c r="K130" s="64"/>
      <c r="L130" s="61"/>
      <c r="M130" s="100"/>
      <c r="N130" s="100"/>
    </row>
    <row r="131" ht="15.6" spans="1:14">
      <c r="A131" s="95"/>
      <c r="B131" s="69" t="s">
        <v>1486</v>
      </c>
      <c r="C131" s="96" t="s">
        <v>229</v>
      </c>
      <c r="D131" s="61" t="s">
        <v>4996</v>
      </c>
      <c r="E131" s="64" t="s">
        <v>422</v>
      </c>
      <c r="F131" s="69" t="s">
        <v>1486</v>
      </c>
      <c r="G131" s="61" t="s">
        <v>392</v>
      </c>
      <c r="H131" s="63"/>
      <c r="I131" s="64"/>
      <c r="J131" s="64"/>
      <c r="K131" s="64"/>
      <c r="L131" s="61"/>
      <c r="M131" s="100"/>
      <c r="N131" s="100"/>
    </row>
    <row r="132" ht="15.6" spans="1:14">
      <c r="A132" s="95"/>
      <c r="B132" s="69" t="s">
        <v>3512</v>
      </c>
      <c r="C132" s="96" t="s">
        <v>229</v>
      </c>
      <c r="D132" s="61" t="s">
        <v>4998</v>
      </c>
      <c r="E132" s="64" t="s">
        <v>422</v>
      </c>
      <c r="F132" s="69" t="s">
        <v>3512</v>
      </c>
      <c r="G132" s="61" t="s">
        <v>392</v>
      </c>
      <c r="H132" s="63"/>
      <c r="I132" s="64"/>
      <c r="J132" s="64"/>
      <c r="K132" s="64"/>
      <c r="L132" s="61"/>
      <c r="M132" s="100"/>
      <c r="N132" s="100"/>
    </row>
    <row r="133" ht="15.6" spans="1:14">
      <c r="A133" s="95"/>
      <c r="B133" s="69" t="s">
        <v>5000</v>
      </c>
      <c r="C133" s="96" t="s">
        <v>229</v>
      </c>
      <c r="D133" s="61" t="s">
        <v>4895</v>
      </c>
      <c r="E133" s="64" t="s">
        <v>422</v>
      </c>
      <c r="F133" s="69" t="s">
        <v>5707</v>
      </c>
      <c r="G133" s="61" t="s">
        <v>392</v>
      </c>
      <c r="H133" s="63"/>
      <c r="I133" s="64"/>
      <c r="J133" s="64"/>
      <c r="K133" s="64"/>
      <c r="L133" s="61"/>
      <c r="M133" s="100"/>
      <c r="N133" s="100"/>
    </row>
    <row r="134" ht="15.6" spans="1:14">
      <c r="A134" s="95"/>
      <c r="B134" s="69" t="s">
        <v>5001</v>
      </c>
      <c r="C134" s="96" t="s">
        <v>203</v>
      </c>
      <c r="D134" s="61" t="s">
        <v>4897</v>
      </c>
      <c r="E134" s="64" t="s">
        <v>422</v>
      </c>
      <c r="F134" s="69"/>
      <c r="G134" s="61" t="s">
        <v>6069</v>
      </c>
      <c r="H134" s="63"/>
      <c r="I134" s="64"/>
      <c r="J134" s="64"/>
      <c r="K134" s="64"/>
      <c r="L134" s="61"/>
      <c r="M134" s="100"/>
      <c r="N134" s="100"/>
    </row>
    <row r="135" ht="15.6" spans="1:14">
      <c r="A135" s="95"/>
      <c r="B135" s="69" t="s">
        <v>5709</v>
      </c>
      <c r="C135" s="96" t="s">
        <v>229</v>
      </c>
      <c r="D135" s="61" t="s">
        <v>4953</v>
      </c>
      <c r="E135" s="64" t="s">
        <v>422</v>
      </c>
      <c r="F135" s="69" t="s">
        <v>5002</v>
      </c>
      <c r="G135" s="61" t="s">
        <v>392</v>
      </c>
      <c r="H135" s="70"/>
      <c r="I135" s="64"/>
      <c r="J135" s="64"/>
      <c r="K135" s="64"/>
      <c r="L135" s="61"/>
      <c r="M135" s="100"/>
      <c r="N135" s="100"/>
    </row>
    <row r="136" ht="15.6" spans="1:14">
      <c r="A136" s="95"/>
      <c r="B136" s="69" t="s">
        <v>5004</v>
      </c>
      <c r="C136" s="96" t="s">
        <v>229</v>
      </c>
      <c r="D136" s="61" t="s">
        <v>395</v>
      </c>
      <c r="E136" s="64" t="s">
        <v>422</v>
      </c>
      <c r="F136" s="69" t="s">
        <v>5004</v>
      </c>
      <c r="G136" s="61" t="s">
        <v>392</v>
      </c>
      <c r="H136" s="70"/>
      <c r="I136" s="64"/>
      <c r="J136" s="64"/>
      <c r="K136" s="64"/>
      <c r="L136" s="61"/>
      <c r="M136" s="100"/>
      <c r="N136" s="100"/>
    </row>
    <row r="137" ht="15.6" spans="1:14">
      <c r="A137" s="95"/>
      <c r="B137" s="69" t="s">
        <v>5005</v>
      </c>
      <c r="C137" s="96" t="s">
        <v>229</v>
      </c>
      <c r="D137" s="61" t="s">
        <v>4958</v>
      </c>
      <c r="E137" s="64" t="s">
        <v>422</v>
      </c>
      <c r="F137" s="69" t="s">
        <v>5005</v>
      </c>
      <c r="G137" s="61" t="s">
        <v>392</v>
      </c>
      <c r="H137" s="70"/>
      <c r="I137" s="64"/>
      <c r="J137" s="64"/>
      <c r="K137" s="64"/>
      <c r="L137" s="61"/>
      <c r="M137" s="100"/>
      <c r="N137" s="100"/>
    </row>
    <row r="138" ht="15.6" spans="1:14">
      <c r="A138" s="95"/>
      <c r="B138" s="69" t="s">
        <v>5006</v>
      </c>
      <c r="C138" s="96" t="s">
        <v>229</v>
      </c>
      <c r="D138" s="61" t="s">
        <v>758</v>
      </c>
      <c r="E138" s="64" t="s">
        <v>422</v>
      </c>
      <c r="F138" s="69" t="s">
        <v>5006</v>
      </c>
      <c r="G138" s="61" t="s">
        <v>392</v>
      </c>
      <c r="H138" s="70"/>
      <c r="I138" s="64"/>
      <c r="J138" s="64"/>
      <c r="K138" s="64"/>
      <c r="L138" s="61"/>
      <c r="M138" s="100"/>
      <c r="N138" s="100"/>
    </row>
    <row r="139" ht="15.6" spans="1:14">
      <c r="A139" s="95"/>
      <c r="B139" s="69" t="s">
        <v>5007</v>
      </c>
      <c r="C139" s="96" t="s">
        <v>229</v>
      </c>
      <c r="D139" s="61" t="s">
        <v>761</v>
      </c>
      <c r="E139" s="64" t="s">
        <v>422</v>
      </c>
      <c r="F139" s="69" t="s">
        <v>5007</v>
      </c>
      <c r="G139" s="61" t="s">
        <v>392</v>
      </c>
      <c r="H139" s="70"/>
      <c r="I139" s="64"/>
      <c r="J139" s="64"/>
      <c r="K139" s="64"/>
      <c r="L139" s="61"/>
      <c r="M139" s="100"/>
      <c r="N139" s="100"/>
    </row>
    <row r="140" ht="15.6" spans="1:14">
      <c r="A140" s="95"/>
      <c r="B140" s="69" t="s">
        <v>5008</v>
      </c>
      <c r="C140" s="96" t="s">
        <v>229</v>
      </c>
      <c r="D140" s="61" t="s">
        <v>5009</v>
      </c>
      <c r="E140" s="64" t="s">
        <v>422</v>
      </c>
      <c r="F140" s="69" t="s">
        <v>5008</v>
      </c>
      <c r="G140" s="61" t="s">
        <v>392</v>
      </c>
      <c r="H140" s="70"/>
      <c r="I140" s="64"/>
      <c r="J140" s="64"/>
      <c r="K140" s="64"/>
      <c r="L140" s="61"/>
      <c r="M140" s="100"/>
      <c r="N140" s="100"/>
    </row>
    <row r="141" ht="15.6" spans="1:14">
      <c r="A141" s="95"/>
      <c r="B141" s="69" t="s">
        <v>5010</v>
      </c>
      <c r="C141" s="96" t="s">
        <v>229</v>
      </c>
      <c r="D141" s="61" t="s">
        <v>5011</v>
      </c>
      <c r="E141" s="64" t="s">
        <v>422</v>
      </c>
      <c r="F141" s="69" t="s">
        <v>5010</v>
      </c>
      <c r="G141" s="61" t="s">
        <v>392</v>
      </c>
      <c r="H141" s="70"/>
      <c r="I141" s="64"/>
      <c r="J141" s="64"/>
      <c r="K141" s="64"/>
      <c r="L141" s="61"/>
      <c r="M141" s="100"/>
      <c r="N141" s="100"/>
    </row>
    <row r="142" ht="15.6" spans="1:14">
      <c r="A142" s="95"/>
      <c r="B142" s="69" t="s">
        <v>5012</v>
      </c>
      <c r="C142" s="96" t="s">
        <v>229</v>
      </c>
      <c r="D142" s="61" t="s">
        <v>788</v>
      </c>
      <c r="E142" s="64" t="s">
        <v>422</v>
      </c>
      <c r="F142" s="69" t="s">
        <v>5012</v>
      </c>
      <c r="G142" s="61" t="s">
        <v>392</v>
      </c>
      <c r="H142" s="70"/>
      <c r="I142" s="64"/>
      <c r="J142" s="64"/>
      <c r="K142" s="64"/>
      <c r="L142" s="61"/>
      <c r="M142" s="100"/>
      <c r="N142" s="100"/>
    </row>
    <row r="143" ht="15.6" spans="1:14">
      <c r="A143" s="95"/>
      <c r="B143" s="69" t="s">
        <v>5013</v>
      </c>
      <c r="C143" s="96" t="s">
        <v>229</v>
      </c>
      <c r="D143" s="61" t="s">
        <v>791</v>
      </c>
      <c r="E143" s="64" t="s">
        <v>422</v>
      </c>
      <c r="F143" s="69" t="s">
        <v>5013</v>
      </c>
      <c r="G143" s="61" t="s">
        <v>392</v>
      </c>
      <c r="H143" s="70"/>
      <c r="I143" s="64"/>
      <c r="J143" s="64"/>
      <c r="K143" s="64"/>
      <c r="L143" s="61"/>
      <c r="M143" s="100"/>
      <c r="N143" s="100"/>
    </row>
    <row r="144" ht="15.6" spans="1:14">
      <c r="A144" s="95"/>
      <c r="B144" s="69" t="s">
        <v>5014</v>
      </c>
      <c r="C144" s="96" t="s">
        <v>229</v>
      </c>
      <c r="D144" s="61" t="s">
        <v>794</v>
      </c>
      <c r="E144" s="64" t="s">
        <v>422</v>
      </c>
      <c r="F144" s="69" t="s">
        <v>5014</v>
      </c>
      <c r="G144" s="61" t="s">
        <v>392</v>
      </c>
      <c r="H144" s="70"/>
      <c r="I144" s="64"/>
      <c r="J144" s="64"/>
      <c r="K144" s="64"/>
      <c r="L144" s="61"/>
      <c r="M144" s="100"/>
      <c r="N144" s="100"/>
    </row>
    <row r="145" ht="15.6" spans="1:14">
      <c r="A145" s="95"/>
      <c r="B145" s="69" t="s">
        <v>5015</v>
      </c>
      <c r="C145" s="96" t="s">
        <v>229</v>
      </c>
      <c r="D145" s="61" t="s">
        <v>797</v>
      </c>
      <c r="E145" s="64" t="s">
        <v>422</v>
      </c>
      <c r="F145" s="69" t="s">
        <v>5015</v>
      </c>
      <c r="G145" s="61" t="s">
        <v>392</v>
      </c>
      <c r="H145" s="70"/>
      <c r="I145" s="64"/>
      <c r="J145" s="64"/>
      <c r="K145" s="64"/>
      <c r="L145" s="61"/>
      <c r="M145" s="100"/>
      <c r="N145" s="100"/>
    </row>
    <row r="146" ht="15.6" spans="1:14">
      <c r="A146" s="95"/>
      <c r="B146" s="69" t="s">
        <v>5016</v>
      </c>
      <c r="C146" s="96" t="s">
        <v>203</v>
      </c>
      <c r="D146" s="61" t="s">
        <v>1368</v>
      </c>
      <c r="E146" s="64" t="s">
        <v>422</v>
      </c>
      <c r="F146" s="69"/>
      <c r="G146" s="61" t="s">
        <v>6070</v>
      </c>
      <c r="H146" s="70"/>
      <c r="I146" s="64"/>
      <c r="J146" s="64"/>
      <c r="K146" s="64"/>
      <c r="L146" s="61"/>
      <c r="M146" s="100"/>
      <c r="N146" s="100"/>
    </row>
    <row r="147" ht="15.6" spans="1:14">
      <c r="A147" s="95"/>
      <c r="B147" s="69" t="s">
        <v>5017</v>
      </c>
      <c r="C147" s="96" t="s">
        <v>203</v>
      </c>
      <c r="D147" s="61" t="s">
        <v>1386</v>
      </c>
      <c r="E147" s="64" t="s">
        <v>422</v>
      </c>
      <c r="F147" s="69"/>
      <c r="G147" s="61" t="s">
        <v>6071</v>
      </c>
      <c r="H147" s="70"/>
      <c r="I147" s="64"/>
      <c r="J147" s="64"/>
      <c r="K147" s="64"/>
      <c r="L147" s="61"/>
      <c r="M147" s="100"/>
      <c r="N147" s="100"/>
    </row>
    <row r="148" ht="15.6" spans="1:14">
      <c r="A148" s="95"/>
      <c r="B148" s="69" t="s">
        <v>5018</v>
      </c>
      <c r="C148" s="96" t="s">
        <v>203</v>
      </c>
      <c r="D148" s="61" t="s">
        <v>1422</v>
      </c>
      <c r="E148" s="64" t="s">
        <v>422</v>
      </c>
      <c r="F148" s="69"/>
      <c r="G148" s="61" t="s">
        <v>6072</v>
      </c>
      <c r="H148" s="70"/>
      <c r="I148" s="64"/>
      <c r="J148" s="64"/>
      <c r="K148" s="64"/>
      <c r="L148" s="61"/>
      <c r="M148" s="100"/>
      <c r="N148" s="100"/>
    </row>
    <row r="149" ht="15.6" spans="1:14">
      <c r="A149" s="95"/>
      <c r="B149" s="69" t="s">
        <v>5019</v>
      </c>
      <c r="C149" s="96" t="s">
        <v>203</v>
      </c>
      <c r="D149" s="61" t="s">
        <v>1440</v>
      </c>
      <c r="E149" s="64" t="s">
        <v>422</v>
      </c>
      <c r="F149" s="69"/>
      <c r="G149" s="61" t="s">
        <v>6073</v>
      </c>
      <c r="H149" s="70"/>
      <c r="I149" s="64"/>
      <c r="J149" s="64"/>
      <c r="K149" s="64"/>
      <c r="L149" s="61"/>
      <c r="M149" s="100"/>
      <c r="N149" s="100"/>
    </row>
    <row r="150" ht="15.6" spans="1:14">
      <c r="A150" s="95"/>
      <c r="B150" s="69" t="s">
        <v>5020</v>
      </c>
      <c r="C150" s="96" t="s">
        <v>203</v>
      </c>
      <c r="D150" s="61" t="s">
        <v>4933</v>
      </c>
      <c r="E150" s="64" t="s">
        <v>422</v>
      </c>
      <c r="F150" s="69" t="s">
        <v>5020</v>
      </c>
      <c r="G150" s="66" t="s">
        <v>6035</v>
      </c>
      <c r="H150" s="70"/>
      <c r="I150" s="64"/>
      <c r="J150" s="64"/>
      <c r="K150" s="64"/>
      <c r="L150" s="61"/>
      <c r="M150" s="100"/>
      <c r="N150" s="100"/>
    </row>
    <row r="151" ht="15.6" spans="1:14">
      <c r="A151" s="95"/>
      <c r="B151" s="69" t="s">
        <v>5022</v>
      </c>
      <c r="C151" s="96" t="s">
        <v>203</v>
      </c>
      <c r="D151" s="61" t="s">
        <v>4936</v>
      </c>
      <c r="E151" s="64" t="s">
        <v>422</v>
      </c>
      <c r="F151" s="69" t="s">
        <v>5022</v>
      </c>
      <c r="G151" s="66" t="s">
        <v>6035</v>
      </c>
      <c r="H151" s="70"/>
      <c r="I151" s="64"/>
      <c r="J151" s="64"/>
      <c r="K151" s="64"/>
      <c r="L151" s="61"/>
      <c r="M151" s="100"/>
      <c r="N151" s="100"/>
    </row>
    <row r="152" ht="15.6" spans="1:14">
      <c r="A152" s="95"/>
      <c r="B152" s="69" t="s">
        <v>5024</v>
      </c>
      <c r="C152" s="96" t="s">
        <v>229</v>
      </c>
      <c r="D152" s="61" t="s">
        <v>5025</v>
      </c>
      <c r="E152" s="64" t="s">
        <v>422</v>
      </c>
      <c r="F152" s="69" t="s">
        <v>5024</v>
      </c>
      <c r="G152" s="61" t="s">
        <v>392</v>
      </c>
      <c r="H152" s="70"/>
      <c r="I152" s="64"/>
      <c r="J152" s="64"/>
      <c r="K152" s="64"/>
      <c r="L152" s="61"/>
      <c r="M152" s="100"/>
      <c r="N152" s="100"/>
    </row>
    <row r="153" ht="15.6" spans="1:14">
      <c r="A153" s="95"/>
      <c r="B153" s="69" t="s">
        <v>5027</v>
      </c>
      <c r="C153" s="96" t="s">
        <v>229</v>
      </c>
      <c r="D153" s="61" t="s">
        <v>5028</v>
      </c>
      <c r="E153" s="64" t="s">
        <v>422</v>
      </c>
      <c r="F153" s="69" t="s">
        <v>5027</v>
      </c>
      <c r="G153" s="61" t="s">
        <v>392</v>
      </c>
      <c r="H153" s="70"/>
      <c r="I153" s="64"/>
      <c r="J153" s="64"/>
      <c r="K153" s="64"/>
      <c r="L153" s="61"/>
      <c r="M153" s="100"/>
      <c r="N153" s="100"/>
    </row>
    <row r="154" ht="15.6" spans="1:14">
      <c r="A154" s="95"/>
      <c r="B154" s="69" t="s">
        <v>5030</v>
      </c>
      <c r="C154" s="96" t="s">
        <v>229</v>
      </c>
      <c r="D154" s="61" t="s">
        <v>5031</v>
      </c>
      <c r="E154" s="64" t="s">
        <v>422</v>
      </c>
      <c r="F154" s="69" t="s">
        <v>5030</v>
      </c>
      <c r="G154" s="61" t="s">
        <v>392</v>
      </c>
      <c r="H154" s="70"/>
      <c r="I154" s="64"/>
      <c r="J154" s="64"/>
      <c r="K154" s="64"/>
      <c r="L154" s="61"/>
      <c r="M154" s="100"/>
      <c r="N154" s="100"/>
    </row>
    <row r="155" ht="15.6" spans="1:14">
      <c r="A155" s="95"/>
      <c r="B155" s="69" t="s">
        <v>5033</v>
      </c>
      <c r="C155" s="96" t="s">
        <v>229</v>
      </c>
      <c r="D155" s="61" t="s">
        <v>5034</v>
      </c>
      <c r="E155" s="64" t="s">
        <v>422</v>
      </c>
      <c r="F155" s="69" t="s">
        <v>5033</v>
      </c>
      <c r="G155" s="61" t="s">
        <v>392</v>
      </c>
      <c r="H155" s="70"/>
      <c r="I155" s="64"/>
      <c r="J155" s="64"/>
      <c r="K155" s="64"/>
      <c r="L155" s="61"/>
      <c r="M155" s="100"/>
      <c r="N155" s="100"/>
    </row>
    <row r="156" ht="15.6" spans="1:14">
      <c r="A156" s="95"/>
      <c r="B156" s="69" t="s">
        <v>5036</v>
      </c>
      <c r="C156" s="96" t="s">
        <v>229</v>
      </c>
      <c r="D156" s="61" t="s">
        <v>5037</v>
      </c>
      <c r="E156" s="64" t="s">
        <v>422</v>
      </c>
      <c r="F156" s="69" t="s">
        <v>5036</v>
      </c>
      <c r="G156" s="61" t="s">
        <v>392</v>
      </c>
      <c r="H156" s="70"/>
      <c r="I156" s="64"/>
      <c r="J156" s="64"/>
      <c r="K156" s="64"/>
      <c r="L156" s="61"/>
      <c r="M156" s="100"/>
      <c r="N156" s="100"/>
    </row>
    <row r="157" ht="15.6" spans="1:14">
      <c r="A157" s="95"/>
      <c r="B157" s="69" t="s">
        <v>5039</v>
      </c>
      <c r="C157" s="96" t="s">
        <v>229</v>
      </c>
      <c r="D157" s="61" t="s">
        <v>5040</v>
      </c>
      <c r="E157" s="64" t="s">
        <v>422</v>
      </c>
      <c r="F157" s="69" t="s">
        <v>5039</v>
      </c>
      <c r="G157" s="61" t="s">
        <v>392</v>
      </c>
      <c r="H157" s="70"/>
      <c r="I157" s="64"/>
      <c r="J157" s="64"/>
      <c r="K157" s="64"/>
      <c r="L157" s="61"/>
      <c r="M157" s="100"/>
      <c r="N157" s="100"/>
    </row>
    <row r="158" ht="15.6" spans="1:14">
      <c r="A158" s="95"/>
      <c r="B158" s="69" t="s">
        <v>5041</v>
      </c>
      <c r="C158" s="96" t="s">
        <v>229</v>
      </c>
      <c r="D158" s="61" t="s">
        <v>5042</v>
      </c>
      <c r="E158" s="64" t="s">
        <v>422</v>
      </c>
      <c r="F158" s="69" t="s">
        <v>5041</v>
      </c>
      <c r="G158" s="61" t="s">
        <v>392</v>
      </c>
      <c r="H158" s="70"/>
      <c r="I158" s="64"/>
      <c r="J158" s="64"/>
      <c r="K158" s="64"/>
      <c r="L158" s="61"/>
      <c r="M158" s="100"/>
      <c r="N158" s="100"/>
    </row>
    <row r="159" ht="15.6" spans="1:14">
      <c r="A159" s="95"/>
      <c r="B159" s="69" t="s">
        <v>5044</v>
      </c>
      <c r="C159" s="96" t="s">
        <v>229</v>
      </c>
      <c r="D159" s="61" t="s">
        <v>5045</v>
      </c>
      <c r="E159" s="64" t="s">
        <v>422</v>
      </c>
      <c r="F159" s="69" t="s">
        <v>5044</v>
      </c>
      <c r="G159" s="61" t="s">
        <v>392</v>
      </c>
      <c r="H159" s="70"/>
      <c r="I159" s="64"/>
      <c r="J159" s="64"/>
      <c r="K159" s="64"/>
      <c r="L159" s="61"/>
      <c r="M159" s="100"/>
      <c r="N159" s="100"/>
    </row>
    <row r="160" ht="15.6" spans="1:14">
      <c r="A160" s="95"/>
      <c r="B160" s="69" t="s">
        <v>5047</v>
      </c>
      <c r="C160" s="96" t="s">
        <v>229</v>
      </c>
      <c r="D160" s="61" t="s">
        <v>5048</v>
      </c>
      <c r="E160" s="64" t="s">
        <v>422</v>
      </c>
      <c r="F160" s="69" t="s">
        <v>5047</v>
      </c>
      <c r="G160" s="61" t="s">
        <v>392</v>
      </c>
      <c r="H160" s="70"/>
      <c r="I160" s="64"/>
      <c r="J160" s="64"/>
      <c r="K160" s="64"/>
      <c r="L160" s="61"/>
      <c r="M160" s="100"/>
      <c r="N160" s="100"/>
    </row>
    <row r="161" ht="15.6" spans="1:14">
      <c r="A161" s="95"/>
      <c r="B161" s="69" t="s">
        <v>5049</v>
      </c>
      <c r="C161" s="96" t="s">
        <v>229</v>
      </c>
      <c r="D161" s="61" t="s">
        <v>5050</v>
      </c>
      <c r="E161" s="64" t="s">
        <v>422</v>
      </c>
      <c r="F161" s="69" t="s">
        <v>5049</v>
      </c>
      <c r="G161" s="61" t="s">
        <v>392</v>
      </c>
      <c r="H161" s="70"/>
      <c r="I161" s="64"/>
      <c r="J161" s="64"/>
      <c r="K161" s="64"/>
      <c r="L161" s="61"/>
      <c r="M161" s="100"/>
      <c r="N161" s="100"/>
    </row>
    <row r="162" ht="15.6" spans="1:14">
      <c r="A162" s="95"/>
      <c r="B162" s="69" t="s">
        <v>5052</v>
      </c>
      <c r="C162" s="96" t="s">
        <v>229</v>
      </c>
      <c r="D162" s="61" t="s">
        <v>5053</v>
      </c>
      <c r="E162" s="64" t="s">
        <v>422</v>
      </c>
      <c r="F162" s="69" t="s">
        <v>5052</v>
      </c>
      <c r="G162" s="61" t="s">
        <v>392</v>
      </c>
      <c r="H162" s="70"/>
      <c r="I162" s="64"/>
      <c r="J162" s="64"/>
      <c r="K162" s="64"/>
      <c r="L162" s="61"/>
      <c r="M162" s="100"/>
      <c r="N162" s="100"/>
    </row>
    <row r="163" ht="15.6" spans="1:14">
      <c r="A163" s="95"/>
      <c r="B163" s="69" t="s">
        <v>5055</v>
      </c>
      <c r="C163" s="96" t="s">
        <v>229</v>
      </c>
      <c r="D163" s="61" t="s">
        <v>5056</v>
      </c>
      <c r="E163" s="64" t="s">
        <v>422</v>
      </c>
      <c r="F163" s="69" t="s">
        <v>5055</v>
      </c>
      <c r="G163" s="61" t="s">
        <v>392</v>
      </c>
      <c r="H163" s="70"/>
      <c r="I163" s="64"/>
      <c r="J163" s="64"/>
      <c r="K163" s="64"/>
      <c r="L163" s="61"/>
      <c r="M163" s="100"/>
      <c r="N163" s="100"/>
    </row>
    <row r="164" ht="15.6" spans="1:14">
      <c r="A164" s="95"/>
      <c r="B164" s="69" t="s">
        <v>2281</v>
      </c>
      <c r="C164" s="96" t="s">
        <v>203</v>
      </c>
      <c r="D164" s="61" t="s">
        <v>5059</v>
      </c>
      <c r="E164" s="64" t="s">
        <v>422</v>
      </c>
      <c r="F164" s="69" t="s">
        <v>5058</v>
      </c>
      <c r="G164" s="69" t="s">
        <v>6035</v>
      </c>
      <c r="H164" s="70"/>
      <c r="I164" s="64"/>
      <c r="J164" s="64"/>
      <c r="K164" s="64"/>
      <c r="L164" s="61"/>
      <c r="M164" s="100"/>
      <c r="N164" s="100"/>
    </row>
    <row r="165" ht="15.6" spans="1:14">
      <c r="A165" s="95"/>
      <c r="B165" s="69" t="s">
        <v>5061</v>
      </c>
      <c r="C165" s="96" t="s">
        <v>203</v>
      </c>
      <c r="D165" s="61" t="s">
        <v>5062</v>
      </c>
      <c r="E165" s="64" t="s">
        <v>422</v>
      </c>
      <c r="F165" s="69" t="s">
        <v>5061</v>
      </c>
      <c r="G165" s="69" t="s">
        <v>6035</v>
      </c>
      <c r="H165" s="70"/>
      <c r="I165" s="64"/>
      <c r="J165" s="64"/>
      <c r="K165" s="64"/>
      <c r="L165" s="61"/>
      <c r="M165" s="100"/>
      <c r="N165" s="100"/>
    </row>
    <row r="166" ht="15.6" spans="1:14">
      <c r="A166" s="95"/>
      <c r="B166" s="69" t="s">
        <v>5064</v>
      </c>
      <c r="C166" s="96" t="s">
        <v>203</v>
      </c>
      <c r="D166" s="61" t="s">
        <v>5065</v>
      </c>
      <c r="E166" s="64" t="s">
        <v>422</v>
      </c>
      <c r="F166" s="69" t="s">
        <v>5064</v>
      </c>
      <c r="G166" s="69" t="s">
        <v>6035</v>
      </c>
      <c r="H166" s="70"/>
      <c r="I166" s="64"/>
      <c r="J166" s="64"/>
      <c r="K166" s="64"/>
      <c r="L166" s="61"/>
      <c r="M166" s="100"/>
      <c r="N166" s="100"/>
    </row>
    <row r="167" ht="15.6" spans="1:14">
      <c r="A167" s="95"/>
      <c r="B167" s="69" t="s">
        <v>5067</v>
      </c>
      <c r="C167" s="96" t="s">
        <v>203</v>
      </c>
      <c r="D167" s="61" t="s">
        <v>4624</v>
      </c>
      <c r="E167" s="64" t="s">
        <v>422</v>
      </c>
      <c r="F167" s="69" t="s">
        <v>5067</v>
      </c>
      <c r="G167" s="69" t="s">
        <v>6035</v>
      </c>
      <c r="H167" s="70"/>
      <c r="I167" s="64"/>
      <c r="J167" s="64"/>
      <c r="K167" s="64"/>
      <c r="L167" s="61"/>
      <c r="M167" s="100"/>
      <c r="N167" s="100"/>
    </row>
    <row r="168" ht="15.6" spans="1:14">
      <c r="A168" s="95"/>
      <c r="B168" s="69" t="s">
        <v>5069</v>
      </c>
      <c r="C168" s="96" t="s">
        <v>229</v>
      </c>
      <c r="D168" s="61" t="s">
        <v>5070</v>
      </c>
      <c r="E168" s="64" t="s">
        <v>422</v>
      </c>
      <c r="F168" s="69" t="s">
        <v>5069</v>
      </c>
      <c r="G168" s="61" t="s">
        <v>392</v>
      </c>
      <c r="H168" s="70"/>
      <c r="I168" s="64"/>
      <c r="J168" s="64"/>
      <c r="K168" s="64"/>
      <c r="L168" s="61"/>
      <c r="M168" s="100"/>
      <c r="N168" s="100"/>
    </row>
    <row r="169" ht="15.6" spans="1:14">
      <c r="A169" s="95"/>
      <c r="B169" s="69" t="s">
        <v>5072</v>
      </c>
      <c r="C169" s="96" t="s">
        <v>203</v>
      </c>
      <c r="D169" s="61" t="s">
        <v>5073</v>
      </c>
      <c r="E169" s="64" t="s">
        <v>422</v>
      </c>
      <c r="F169" s="69"/>
      <c r="G169" s="69" t="s">
        <v>6074</v>
      </c>
      <c r="H169" s="70"/>
      <c r="I169" s="64"/>
      <c r="J169" s="64"/>
      <c r="K169" s="64"/>
      <c r="L169" s="61"/>
      <c r="M169" s="100"/>
      <c r="N169" s="100"/>
    </row>
    <row r="170" ht="15.6" spans="1:14">
      <c r="A170" s="95"/>
      <c r="B170" s="69" t="s">
        <v>5075</v>
      </c>
      <c r="C170" s="96" t="s">
        <v>203</v>
      </c>
      <c r="D170" s="61" t="s">
        <v>5076</v>
      </c>
      <c r="E170" s="64" t="s">
        <v>422</v>
      </c>
      <c r="F170" s="69"/>
      <c r="G170" s="69" t="s">
        <v>5077</v>
      </c>
      <c r="H170" s="70"/>
      <c r="I170" s="64"/>
      <c r="J170" s="64"/>
      <c r="K170" s="64"/>
      <c r="L170" s="61"/>
      <c r="M170" s="100"/>
      <c r="N170" s="100"/>
    </row>
    <row r="171" ht="15.6" spans="1:14">
      <c r="A171" s="95"/>
      <c r="B171" s="69" t="s">
        <v>5078</v>
      </c>
      <c r="C171" s="96" t="s">
        <v>229</v>
      </c>
      <c r="D171" s="61" t="s">
        <v>4895</v>
      </c>
      <c r="E171" s="64" t="s">
        <v>422</v>
      </c>
      <c r="F171" s="69" t="s">
        <v>5732</v>
      </c>
      <c r="G171" s="61" t="s">
        <v>392</v>
      </c>
      <c r="H171" s="70"/>
      <c r="I171" s="64"/>
      <c r="J171" s="64"/>
      <c r="K171" s="64"/>
      <c r="L171" s="61"/>
      <c r="M171" s="100"/>
      <c r="N171" s="100"/>
    </row>
    <row r="172" ht="15.6" spans="1:14">
      <c r="A172" s="95"/>
      <c r="B172" s="69" t="s">
        <v>5079</v>
      </c>
      <c r="C172" s="96" t="s">
        <v>203</v>
      </c>
      <c r="D172" s="61" t="s">
        <v>4897</v>
      </c>
      <c r="E172" s="64" t="s">
        <v>422</v>
      </c>
      <c r="F172" s="69"/>
      <c r="G172" s="69" t="s">
        <v>6075</v>
      </c>
      <c r="H172" s="71"/>
      <c r="I172" s="64"/>
      <c r="J172" s="64"/>
      <c r="K172" s="64"/>
      <c r="L172" s="61"/>
      <c r="M172" s="100"/>
      <c r="N172" s="100"/>
    </row>
    <row r="173" ht="16.5" customHeight="1" spans="1:14">
      <c r="A173" s="95"/>
      <c r="B173" s="69" t="s">
        <v>2593</v>
      </c>
      <c r="C173" s="96" t="s">
        <v>1349</v>
      </c>
      <c r="D173" s="61" t="s">
        <v>2594</v>
      </c>
      <c r="E173" s="64" t="s">
        <v>422</v>
      </c>
      <c r="F173" s="69" t="s">
        <v>2593</v>
      </c>
      <c r="G173" s="64" t="s">
        <v>6035</v>
      </c>
      <c r="H173" s="82"/>
      <c r="I173" s="64"/>
      <c r="J173" s="64"/>
      <c r="K173" s="64"/>
      <c r="L173" s="61"/>
      <c r="M173" s="100"/>
      <c r="N173" s="100"/>
    </row>
    <row r="174" ht="15.6" spans="1:14">
      <c r="A174" s="95"/>
      <c r="B174" s="69" t="s">
        <v>6076</v>
      </c>
      <c r="C174" s="96" t="s">
        <v>706</v>
      </c>
      <c r="D174" s="61" t="s">
        <v>2597</v>
      </c>
      <c r="E174" s="64" t="s">
        <v>422</v>
      </c>
      <c r="F174" s="69" t="s">
        <v>2596</v>
      </c>
      <c r="G174" s="64" t="s">
        <v>392</v>
      </c>
      <c r="H174" s="82"/>
      <c r="I174" s="64"/>
      <c r="J174" s="64"/>
      <c r="K174" s="64"/>
      <c r="L174" s="61"/>
      <c r="M174" s="100"/>
      <c r="N174" s="100"/>
    </row>
    <row r="175" ht="15.6" spans="1:14">
      <c r="A175" s="95"/>
      <c r="B175" s="69" t="s">
        <v>2599</v>
      </c>
      <c r="C175" s="96" t="s">
        <v>706</v>
      </c>
      <c r="D175" s="61" t="s">
        <v>2600</v>
      </c>
      <c r="E175" s="64" t="s">
        <v>422</v>
      </c>
      <c r="F175" s="69" t="s">
        <v>2599</v>
      </c>
      <c r="G175" s="64" t="s">
        <v>392</v>
      </c>
      <c r="H175" s="82"/>
      <c r="I175" s="64"/>
      <c r="J175" s="64"/>
      <c r="K175" s="64"/>
      <c r="L175" s="61"/>
      <c r="M175" s="100"/>
      <c r="N175" s="100"/>
    </row>
    <row r="176" ht="15.6" spans="1:14">
      <c r="A176" s="95"/>
      <c r="B176" s="69" t="s">
        <v>2602</v>
      </c>
      <c r="C176" s="96" t="s">
        <v>706</v>
      </c>
      <c r="D176" s="61" t="s">
        <v>2603</v>
      </c>
      <c r="E176" s="64" t="s">
        <v>422</v>
      </c>
      <c r="F176" s="69" t="s">
        <v>2602</v>
      </c>
      <c r="G176" s="64" t="s">
        <v>392</v>
      </c>
      <c r="H176" s="82"/>
      <c r="I176" s="64"/>
      <c r="J176" s="64"/>
      <c r="K176" s="64"/>
      <c r="L176" s="61"/>
      <c r="M176" s="100"/>
      <c r="N176" s="100"/>
    </row>
    <row r="177" ht="15.6" spans="1:14">
      <c r="A177" s="95"/>
      <c r="B177" s="69" t="s">
        <v>2605</v>
      </c>
      <c r="C177" s="96" t="s">
        <v>1349</v>
      </c>
      <c r="D177" s="61" t="s">
        <v>2606</v>
      </c>
      <c r="E177" s="64" t="s">
        <v>422</v>
      </c>
      <c r="F177" s="69"/>
      <c r="G177" s="69" t="s">
        <v>6077</v>
      </c>
      <c r="H177" s="82"/>
      <c r="I177" s="64"/>
      <c r="J177" s="64"/>
      <c r="K177" s="64"/>
      <c r="L177" s="61"/>
      <c r="M177" s="100"/>
      <c r="N177" s="100"/>
    </row>
    <row r="178" ht="15.6" spans="1:14">
      <c r="A178" s="95"/>
      <c r="B178" s="69" t="s">
        <v>2608</v>
      </c>
      <c r="C178" s="96" t="s">
        <v>1349</v>
      </c>
      <c r="D178" s="61" t="s">
        <v>2609</v>
      </c>
      <c r="E178" s="64" t="s">
        <v>422</v>
      </c>
      <c r="F178" s="69"/>
      <c r="G178" s="69" t="s">
        <v>6078</v>
      </c>
      <c r="H178" s="82"/>
      <c r="I178" s="64"/>
      <c r="J178" s="64"/>
      <c r="K178" s="64"/>
      <c r="L178" s="61"/>
      <c r="M178" s="100"/>
      <c r="N178" s="100"/>
    </row>
    <row r="179" ht="15.6" spans="1:14">
      <c r="A179" s="95"/>
      <c r="B179" s="69" t="s">
        <v>2611</v>
      </c>
      <c r="C179" s="96" t="s">
        <v>1349</v>
      </c>
      <c r="D179" s="61" t="s">
        <v>2612</v>
      </c>
      <c r="E179" s="64" t="s">
        <v>422</v>
      </c>
      <c r="F179" s="69" t="s">
        <v>2611</v>
      </c>
      <c r="G179" s="64" t="s">
        <v>6035</v>
      </c>
      <c r="H179" s="82"/>
      <c r="I179" s="64"/>
      <c r="J179" s="64"/>
      <c r="K179" s="64"/>
      <c r="L179" s="61"/>
      <c r="M179" s="100"/>
      <c r="N179" s="100"/>
    </row>
    <row r="180" ht="15.6" spans="1:14">
      <c r="A180" s="95"/>
      <c r="B180" s="69" t="s">
        <v>2614</v>
      </c>
      <c r="C180" s="96" t="s">
        <v>706</v>
      </c>
      <c r="D180" s="61" t="s">
        <v>2615</v>
      </c>
      <c r="E180" s="64" t="s">
        <v>422</v>
      </c>
      <c r="F180" s="69" t="s">
        <v>6079</v>
      </c>
      <c r="G180" s="64" t="s">
        <v>392</v>
      </c>
      <c r="H180" s="82"/>
      <c r="I180" s="64"/>
      <c r="J180" s="64"/>
      <c r="K180" s="64"/>
      <c r="L180" s="61"/>
      <c r="M180" s="100"/>
      <c r="N180" s="100"/>
    </row>
    <row r="181" ht="15.6" spans="1:14">
      <c r="A181" s="95"/>
      <c r="B181" s="69" t="s">
        <v>2617</v>
      </c>
      <c r="C181" s="96" t="s">
        <v>706</v>
      </c>
      <c r="D181" s="61" t="s">
        <v>2618</v>
      </c>
      <c r="E181" s="64" t="s">
        <v>422</v>
      </c>
      <c r="F181" s="69" t="s">
        <v>2617</v>
      </c>
      <c r="G181" s="64" t="s">
        <v>392</v>
      </c>
      <c r="H181" s="82"/>
      <c r="I181" s="64"/>
      <c r="J181" s="64"/>
      <c r="K181" s="64"/>
      <c r="L181" s="61"/>
      <c r="M181" s="100"/>
      <c r="N181" s="100"/>
    </row>
    <row r="182" ht="15.6" spans="1:14">
      <c r="A182" s="95"/>
      <c r="B182" s="69" t="s">
        <v>2620</v>
      </c>
      <c r="C182" s="96" t="s">
        <v>1349</v>
      </c>
      <c r="D182" s="61" t="s">
        <v>2621</v>
      </c>
      <c r="E182" s="64" t="s">
        <v>422</v>
      </c>
      <c r="F182" s="69"/>
      <c r="G182" s="64" t="s">
        <v>6080</v>
      </c>
      <c r="H182" s="82"/>
      <c r="I182" s="64"/>
      <c r="J182" s="64"/>
      <c r="K182" s="64"/>
      <c r="L182" s="61"/>
      <c r="M182" s="100"/>
      <c r="N182" s="100"/>
    </row>
    <row r="183" ht="15.6" spans="1:14">
      <c r="A183" s="95"/>
      <c r="B183" s="69" t="s">
        <v>2623</v>
      </c>
      <c r="C183" s="96" t="s">
        <v>1349</v>
      </c>
      <c r="D183" s="61" t="s">
        <v>2624</v>
      </c>
      <c r="E183" s="64" t="s">
        <v>422</v>
      </c>
      <c r="F183" s="69" t="s">
        <v>2623</v>
      </c>
      <c r="G183" s="64" t="s">
        <v>6035</v>
      </c>
      <c r="H183" s="82"/>
      <c r="I183" s="64"/>
      <c r="J183" s="64"/>
      <c r="K183" s="64"/>
      <c r="L183" s="61"/>
      <c r="M183" s="100"/>
      <c r="N183" s="100"/>
    </row>
    <row r="184" ht="15.6" spans="1:14">
      <c r="A184" s="95"/>
      <c r="B184" s="69" t="s">
        <v>2625</v>
      </c>
      <c r="C184" s="96" t="s">
        <v>706</v>
      </c>
      <c r="D184" s="61" t="s">
        <v>2626</v>
      </c>
      <c r="E184" s="64" t="s">
        <v>422</v>
      </c>
      <c r="F184" s="69" t="s">
        <v>2625</v>
      </c>
      <c r="G184" s="64" t="s">
        <v>392</v>
      </c>
      <c r="H184" s="82"/>
      <c r="I184" s="64"/>
      <c r="J184" s="64"/>
      <c r="K184" s="64"/>
      <c r="L184" s="61"/>
      <c r="M184" s="100"/>
      <c r="N184" s="100"/>
    </row>
    <row r="185" ht="15.6" spans="1:14">
      <c r="A185" s="95"/>
      <c r="B185" s="69" t="s">
        <v>2627</v>
      </c>
      <c r="C185" s="96" t="s">
        <v>706</v>
      </c>
      <c r="D185" s="61" t="s">
        <v>2628</v>
      </c>
      <c r="E185" s="64" t="s">
        <v>422</v>
      </c>
      <c r="F185" s="69" t="s">
        <v>2627</v>
      </c>
      <c r="G185" s="64" t="s">
        <v>392</v>
      </c>
      <c r="H185" s="82"/>
      <c r="I185" s="64"/>
      <c r="J185" s="64"/>
      <c r="K185" s="64"/>
      <c r="L185" s="61"/>
      <c r="M185" s="100"/>
      <c r="N185" s="100"/>
    </row>
    <row r="186" ht="15.6" spans="1:14">
      <c r="A186" s="95"/>
      <c r="B186" s="69" t="s">
        <v>2629</v>
      </c>
      <c r="C186" s="96" t="s">
        <v>1349</v>
      </c>
      <c r="D186" s="61" t="s">
        <v>2630</v>
      </c>
      <c r="E186" s="64" t="s">
        <v>422</v>
      </c>
      <c r="F186" s="69"/>
      <c r="G186" s="64" t="s">
        <v>6081</v>
      </c>
      <c r="H186" s="82"/>
      <c r="I186" s="64"/>
      <c r="J186" s="64"/>
      <c r="K186" s="64"/>
      <c r="L186" s="61"/>
      <c r="M186" s="100"/>
      <c r="N186" s="100"/>
    </row>
    <row r="187" ht="15.6" spans="1:14">
      <c r="A187" s="95"/>
      <c r="B187" s="69" t="s">
        <v>2631</v>
      </c>
      <c r="C187" s="96" t="s">
        <v>1349</v>
      </c>
      <c r="D187" s="61" t="s">
        <v>2632</v>
      </c>
      <c r="E187" s="64" t="s">
        <v>422</v>
      </c>
      <c r="F187" s="69" t="s">
        <v>2631</v>
      </c>
      <c r="G187" s="64" t="s">
        <v>6035</v>
      </c>
      <c r="H187" s="82"/>
      <c r="I187" s="64"/>
      <c r="J187" s="64"/>
      <c r="K187" s="64"/>
      <c r="L187" s="61"/>
      <c r="M187" s="100"/>
      <c r="N187" s="100"/>
    </row>
    <row r="188" ht="15.6" spans="1:14">
      <c r="A188" s="95"/>
      <c r="B188" s="69" t="s">
        <v>2633</v>
      </c>
      <c r="C188" s="96" t="s">
        <v>706</v>
      </c>
      <c r="D188" s="61" t="s">
        <v>2634</v>
      </c>
      <c r="E188" s="64" t="s">
        <v>422</v>
      </c>
      <c r="F188" s="69" t="s">
        <v>2633</v>
      </c>
      <c r="G188" s="64" t="s">
        <v>392</v>
      </c>
      <c r="H188" s="82"/>
      <c r="I188" s="64"/>
      <c r="J188" s="64"/>
      <c r="K188" s="64"/>
      <c r="L188" s="61"/>
      <c r="M188" s="100"/>
      <c r="N188" s="100"/>
    </row>
    <row r="189" ht="15.6" spans="1:14">
      <c r="A189" s="95"/>
      <c r="B189" s="69" t="s">
        <v>2635</v>
      </c>
      <c r="C189" s="96" t="s">
        <v>706</v>
      </c>
      <c r="D189" s="61" t="s">
        <v>2636</v>
      </c>
      <c r="E189" s="64" t="s">
        <v>422</v>
      </c>
      <c r="F189" s="69" t="s">
        <v>2635</v>
      </c>
      <c r="G189" s="64" t="s">
        <v>392</v>
      </c>
      <c r="H189" s="82"/>
      <c r="I189" s="64"/>
      <c r="J189" s="64"/>
      <c r="K189" s="64"/>
      <c r="L189" s="61"/>
      <c r="M189" s="100"/>
      <c r="N189" s="100"/>
    </row>
    <row r="190" ht="15.6" spans="1:14">
      <c r="A190" s="95"/>
      <c r="B190" s="69" t="s">
        <v>2637</v>
      </c>
      <c r="C190" s="96" t="s">
        <v>1349</v>
      </c>
      <c r="D190" s="61" t="s">
        <v>2638</v>
      </c>
      <c r="E190" s="64" t="s">
        <v>422</v>
      </c>
      <c r="F190" s="69"/>
      <c r="G190" s="64" t="s">
        <v>6082</v>
      </c>
      <c r="H190" s="82"/>
      <c r="I190" s="64"/>
      <c r="J190" s="64"/>
      <c r="K190" s="64"/>
      <c r="L190" s="61"/>
      <c r="M190" s="100"/>
      <c r="N190" s="100"/>
    </row>
    <row r="191" ht="15.6" spans="1:14">
      <c r="A191" s="95"/>
      <c r="B191" s="69" t="s">
        <v>2639</v>
      </c>
      <c r="C191" s="96" t="s">
        <v>1349</v>
      </c>
      <c r="D191" s="61" t="s">
        <v>2640</v>
      </c>
      <c r="E191" s="64" t="s">
        <v>422</v>
      </c>
      <c r="F191" s="69" t="s">
        <v>2639</v>
      </c>
      <c r="G191" s="64" t="s">
        <v>6035</v>
      </c>
      <c r="H191" s="82"/>
      <c r="I191" s="64"/>
      <c r="J191" s="64"/>
      <c r="K191" s="64"/>
      <c r="L191" s="61"/>
      <c r="M191" s="100"/>
      <c r="N191" s="100"/>
    </row>
    <row r="192" ht="15.6" spans="1:14">
      <c r="A192" s="95"/>
      <c r="B192" s="69" t="s">
        <v>2641</v>
      </c>
      <c r="C192" s="96" t="s">
        <v>706</v>
      </c>
      <c r="D192" s="61" t="s">
        <v>2642</v>
      </c>
      <c r="E192" s="64" t="s">
        <v>422</v>
      </c>
      <c r="F192" s="69" t="s">
        <v>2641</v>
      </c>
      <c r="G192" s="64" t="s">
        <v>392</v>
      </c>
      <c r="H192" s="82"/>
      <c r="I192" s="64"/>
      <c r="J192" s="64"/>
      <c r="K192" s="64"/>
      <c r="L192" s="61"/>
      <c r="M192" s="100"/>
      <c r="N192" s="100"/>
    </row>
    <row r="193" ht="15.6" spans="1:14">
      <c r="A193" s="95"/>
      <c r="B193" s="69" t="s">
        <v>2643</v>
      </c>
      <c r="C193" s="96" t="s">
        <v>706</v>
      </c>
      <c r="D193" s="61" t="s">
        <v>2644</v>
      </c>
      <c r="E193" s="64" t="s">
        <v>422</v>
      </c>
      <c r="F193" s="69" t="s">
        <v>2643</v>
      </c>
      <c r="G193" s="64" t="s">
        <v>392</v>
      </c>
      <c r="H193" s="82"/>
      <c r="I193" s="64"/>
      <c r="J193" s="64"/>
      <c r="K193" s="64"/>
      <c r="L193" s="61"/>
      <c r="M193" s="100"/>
      <c r="N193" s="100"/>
    </row>
    <row r="194" ht="15.6" spans="1:14">
      <c r="A194" s="95"/>
      <c r="B194" s="69" t="s">
        <v>2645</v>
      </c>
      <c r="C194" s="96" t="s">
        <v>1349</v>
      </c>
      <c r="D194" s="61" t="s">
        <v>2646</v>
      </c>
      <c r="E194" s="64" t="s">
        <v>422</v>
      </c>
      <c r="F194" s="69"/>
      <c r="G194" s="64" t="s">
        <v>6083</v>
      </c>
      <c r="H194" s="82"/>
      <c r="I194" s="64"/>
      <c r="J194" s="64"/>
      <c r="K194" s="64"/>
      <c r="L194" s="61"/>
      <c r="M194" s="100"/>
      <c r="N194" s="100"/>
    </row>
    <row r="195" ht="15.6" spans="1:14">
      <c r="A195" s="95"/>
      <c r="B195" s="69" t="s">
        <v>2647</v>
      </c>
      <c r="C195" s="96" t="s">
        <v>706</v>
      </c>
      <c r="D195" s="61" t="s">
        <v>2648</v>
      </c>
      <c r="E195" s="64" t="s">
        <v>422</v>
      </c>
      <c r="F195" s="69" t="s">
        <v>2647</v>
      </c>
      <c r="G195" s="64" t="s">
        <v>392</v>
      </c>
      <c r="H195" s="82"/>
      <c r="I195" s="64"/>
      <c r="J195" s="64"/>
      <c r="K195" s="64"/>
      <c r="L195" s="61"/>
      <c r="M195" s="100"/>
      <c r="N195" s="100"/>
    </row>
    <row r="196" ht="15.6" spans="1:14">
      <c r="A196" s="95"/>
      <c r="B196" s="69" t="s">
        <v>5081</v>
      </c>
      <c r="C196" s="96" t="s">
        <v>706</v>
      </c>
      <c r="D196" s="61" t="s">
        <v>2651</v>
      </c>
      <c r="E196" s="64" t="s">
        <v>422</v>
      </c>
      <c r="F196" s="69" t="s">
        <v>5081</v>
      </c>
      <c r="G196" s="64" t="s">
        <v>392</v>
      </c>
      <c r="H196" s="82"/>
      <c r="I196" s="64"/>
      <c r="J196" s="64"/>
      <c r="K196" s="64"/>
      <c r="L196" s="61"/>
      <c r="M196" s="100"/>
      <c r="N196" s="100"/>
    </row>
    <row r="197" ht="15.6" spans="1:14">
      <c r="A197" s="95"/>
      <c r="B197" s="69" t="s">
        <v>2653</v>
      </c>
      <c r="C197" s="96" t="s">
        <v>706</v>
      </c>
      <c r="D197" s="61" t="s">
        <v>2654</v>
      </c>
      <c r="E197" s="64" t="s">
        <v>422</v>
      </c>
      <c r="F197" s="69" t="s">
        <v>2653</v>
      </c>
      <c r="G197" s="64" t="s">
        <v>392</v>
      </c>
      <c r="H197" s="82"/>
      <c r="I197" s="64"/>
      <c r="J197" s="64"/>
      <c r="K197" s="64"/>
      <c r="L197" s="61"/>
      <c r="M197" s="100"/>
      <c r="N197" s="100"/>
    </row>
    <row r="198" ht="15.6" spans="1:14">
      <c r="A198" s="95"/>
      <c r="B198" s="69" t="s">
        <v>2656</v>
      </c>
      <c r="C198" s="96" t="s">
        <v>706</v>
      </c>
      <c r="D198" s="61" t="s">
        <v>2657</v>
      </c>
      <c r="E198" s="64" t="s">
        <v>422</v>
      </c>
      <c r="F198" s="69" t="s">
        <v>2656</v>
      </c>
      <c r="G198" s="64" t="s">
        <v>392</v>
      </c>
      <c r="H198" s="82"/>
      <c r="I198" s="64"/>
      <c r="J198" s="64"/>
      <c r="K198" s="64"/>
      <c r="L198" s="61"/>
      <c r="M198" s="100"/>
      <c r="N198" s="100"/>
    </row>
    <row r="199" ht="15.6" spans="1:14">
      <c r="A199" s="95"/>
      <c r="B199" s="69" t="s">
        <v>2659</v>
      </c>
      <c r="C199" s="96" t="s">
        <v>1349</v>
      </c>
      <c r="D199" s="61" t="s">
        <v>2660</v>
      </c>
      <c r="E199" s="64" t="s">
        <v>422</v>
      </c>
      <c r="F199" s="69"/>
      <c r="G199" s="101" t="s">
        <v>6084</v>
      </c>
      <c r="H199" s="82"/>
      <c r="I199" s="64"/>
      <c r="J199" s="64"/>
      <c r="K199" s="64"/>
      <c r="L199" s="61"/>
      <c r="M199" s="100"/>
      <c r="N199" s="100"/>
    </row>
    <row r="200" ht="15.6" spans="1:14">
      <c r="A200" s="95"/>
      <c r="B200" s="69" t="s">
        <v>2662</v>
      </c>
      <c r="C200" s="96" t="s">
        <v>1349</v>
      </c>
      <c r="D200" s="61" t="s">
        <v>2663</v>
      </c>
      <c r="E200" s="64" t="s">
        <v>422</v>
      </c>
      <c r="F200" s="69"/>
      <c r="G200" s="101" t="s">
        <v>6085</v>
      </c>
      <c r="H200" s="82"/>
      <c r="I200" s="64"/>
      <c r="J200" s="64"/>
      <c r="K200" s="64"/>
      <c r="L200" s="61"/>
      <c r="M200" s="100"/>
      <c r="N200" s="100"/>
    </row>
    <row r="201" ht="15.6" spans="1:14">
      <c r="A201" s="95"/>
      <c r="B201" s="69" t="s">
        <v>2665</v>
      </c>
      <c r="C201" s="96" t="s">
        <v>1349</v>
      </c>
      <c r="D201" s="61" t="s">
        <v>2666</v>
      </c>
      <c r="E201" s="64" t="s">
        <v>422</v>
      </c>
      <c r="F201" s="69"/>
      <c r="G201" s="101" t="s">
        <v>6086</v>
      </c>
      <c r="H201" s="82"/>
      <c r="I201" s="64"/>
      <c r="J201" s="64"/>
      <c r="K201" s="64"/>
      <c r="L201" s="61"/>
      <c r="M201" s="100"/>
      <c r="N201" s="100"/>
    </row>
    <row r="202" ht="15.6" spans="1:14">
      <c r="A202" s="95"/>
      <c r="B202" s="69" t="s">
        <v>2668</v>
      </c>
      <c r="C202" s="96" t="s">
        <v>1349</v>
      </c>
      <c r="D202" s="61" t="s">
        <v>2669</v>
      </c>
      <c r="E202" s="64" t="s">
        <v>422</v>
      </c>
      <c r="F202" s="69"/>
      <c r="G202" s="101" t="s">
        <v>6087</v>
      </c>
      <c r="H202" s="82"/>
      <c r="I202" s="64"/>
      <c r="J202" s="64"/>
      <c r="K202" s="64"/>
      <c r="L202" s="61"/>
      <c r="M202" s="100"/>
      <c r="N202" s="100"/>
    </row>
    <row r="203" ht="15.6" spans="1:14">
      <c r="A203" s="95"/>
      <c r="B203" s="69" t="s">
        <v>2578</v>
      </c>
      <c r="C203" s="96" t="s">
        <v>1349</v>
      </c>
      <c r="D203" s="61" t="s">
        <v>5082</v>
      </c>
      <c r="E203" s="64" t="s">
        <v>422</v>
      </c>
      <c r="F203" s="69" t="s">
        <v>2578</v>
      </c>
      <c r="G203" s="64" t="s">
        <v>392</v>
      </c>
      <c r="H203" s="82"/>
      <c r="I203" s="64"/>
      <c r="J203" s="64"/>
      <c r="K203" s="64"/>
      <c r="L203" s="61"/>
      <c r="M203" s="100"/>
      <c r="N203" s="100"/>
    </row>
    <row r="204" ht="15.6" spans="1:14">
      <c r="A204" s="95"/>
      <c r="B204" s="69" t="s">
        <v>2581</v>
      </c>
      <c r="C204" s="96" t="s">
        <v>1349</v>
      </c>
      <c r="D204" s="61" t="s">
        <v>5083</v>
      </c>
      <c r="E204" s="64" t="s">
        <v>422</v>
      </c>
      <c r="F204" s="69" t="s">
        <v>2581</v>
      </c>
      <c r="G204" s="64" t="s">
        <v>392</v>
      </c>
      <c r="H204" s="82"/>
      <c r="I204" s="64"/>
      <c r="J204" s="64"/>
      <c r="K204" s="64"/>
      <c r="L204" s="61"/>
      <c r="M204" s="100"/>
      <c r="N204" s="100"/>
    </row>
    <row r="205" ht="15.6" spans="1:14">
      <c r="A205" s="95"/>
      <c r="B205" s="69" t="s">
        <v>2584</v>
      </c>
      <c r="C205" s="96" t="s">
        <v>229</v>
      </c>
      <c r="D205" s="61" t="s">
        <v>5084</v>
      </c>
      <c r="E205" s="64" t="s">
        <v>422</v>
      </c>
      <c r="F205" s="69" t="s">
        <v>2584</v>
      </c>
      <c r="G205" s="64" t="s">
        <v>392</v>
      </c>
      <c r="H205" s="82"/>
      <c r="I205" s="64"/>
      <c r="J205" s="64"/>
      <c r="K205" s="64"/>
      <c r="L205" s="61"/>
      <c r="M205" s="100"/>
      <c r="N205" s="100"/>
    </row>
    <row r="206" ht="15.6" spans="1:14">
      <c r="A206" s="95"/>
      <c r="B206" s="69" t="s">
        <v>5085</v>
      </c>
      <c r="C206" s="96" t="s">
        <v>203</v>
      </c>
      <c r="D206" s="61" t="s">
        <v>5086</v>
      </c>
      <c r="E206" s="64" t="s">
        <v>422</v>
      </c>
      <c r="F206" s="69"/>
      <c r="G206" s="61" t="s">
        <v>6088</v>
      </c>
      <c r="H206" s="82"/>
      <c r="I206" s="64"/>
      <c r="J206" s="64"/>
      <c r="K206" s="64"/>
      <c r="L206" s="61"/>
      <c r="M206" s="100"/>
      <c r="N206" s="100"/>
    </row>
    <row r="207" ht="15.6" spans="1:14">
      <c r="A207" s="95"/>
      <c r="B207" s="69" t="s">
        <v>5088</v>
      </c>
      <c r="C207" s="96" t="s">
        <v>203</v>
      </c>
      <c r="D207" s="61" t="s">
        <v>5089</v>
      </c>
      <c r="E207" s="64" t="s">
        <v>422</v>
      </c>
      <c r="F207" s="69"/>
      <c r="G207" s="61" t="s">
        <v>6089</v>
      </c>
      <c r="H207" s="82"/>
      <c r="I207" s="64"/>
      <c r="J207" s="64"/>
      <c r="K207" s="64"/>
      <c r="L207" s="61"/>
      <c r="M207" s="100"/>
      <c r="N207" s="100"/>
    </row>
    <row r="208" ht="15.6" spans="1:14">
      <c r="A208" s="95"/>
      <c r="B208" s="69" t="s">
        <v>2671</v>
      </c>
      <c r="C208" s="96" t="s">
        <v>706</v>
      </c>
      <c r="D208" s="61" t="s">
        <v>2672</v>
      </c>
      <c r="E208" s="64" t="s">
        <v>422</v>
      </c>
      <c r="F208" s="69" t="s">
        <v>6090</v>
      </c>
      <c r="G208" s="64" t="s">
        <v>392</v>
      </c>
      <c r="H208" s="82"/>
      <c r="I208" s="64"/>
      <c r="J208" s="64"/>
      <c r="K208" s="64"/>
      <c r="L208" s="61"/>
      <c r="M208" s="100"/>
      <c r="N208" s="100"/>
    </row>
    <row r="209" ht="15.6" spans="1:14">
      <c r="A209" s="95"/>
      <c r="B209" s="69" t="s">
        <v>2675</v>
      </c>
      <c r="C209" s="96" t="s">
        <v>706</v>
      </c>
      <c r="D209" s="61" t="s">
        <v>2676</v>
      </c>
      <c r="E209" s="64" t="s">
        <v>422</v>
      </c>
      <c r="F209" s="69" t="s">
        <v>6091</v>
      </c>
      <c r="G209" s="64" t="s">
        <v>392</v>
      </c>
      <c r="H209" s="82"/>
      <c r="I209" s="64"/>
      <c r="J209" s="64"/>
      <c r="K209" s="64"/>
      <c r="L209" s="61"/>
      <c r="M209" s="100"/>
      <c r="N209" s="100"/>
    </row>
    <row r="210" ht="15.6" spans="1:14">
      <c r="A210" s="95"/>
      <c r="B210" s="69" t="s">
        <v>2677</v>
      </c>
      <c r="C210" s="96" t="s">
        <v>706</v>
      </c>
      <c r="D210" s="61" t="s">
        <v>2678</v>
      </c>
      <c r="E210" s="64" t="s">
        <v>422</v>
      </c>
      <c r="F210" s="69" t="s">
        <v>6092</v>
      </c>
      <c r="G210" s="64" t="s">
        <v>392</v>
      </c>
      <c r="H210" s="82"/>
      <c r="I210" s="64"/>
      <c r="J210" s="64"/>
      <c r="K210" s="64"/>
      <c r="L210" s="61"/>
      <c r="M210" s="100"/>
      <c r="N210" s="100"/>
    </row>
    <row r="211" ht="15.6" spans="1:14">
      <c r="A211" s="95"/>
      <c r="B211" s="69" t="s">
        <v>2679</v>
      </c>
      <c r="C211" s="96" t="s">
        <v>706</v>
      </c>
      <c r="D211" s="61" t="s">
        <v>2680</v>
      </c>
      <c r="E211" s="64" t="s">
        <v>422</v>
      </c>
      <c r="F211" s="69" t="s">
        <v>6093</v>
      </c>
      <c r="G211" s="64" t="s">
        <v>392</v>
      </c>
      <c r="H211" s="82"/>
      <c r="I211" s="64"/>
      <c r="J211" s="64"/>
      <c r="K211" s="64"/>
      <c r="L211" s="61"/>
      <c r="M211" s="100"/>
      <c r="N211" s="100"/>
    </row>
    <row r="212" ht="15.6" spans="1:14">
      <c r="A212" s="95"/>
      <c r="B212" s="69" t="s">
        <v>2681</v>
      </c>
      <c r="C212" s="96" t="s">
        <v>1349</v>
      </c>
      <c r="D212" s="61" t="s">
        <v>2682</v>
      </c>
      <c r="E212" s="64" t="s">
        <v>422</v>
      </c>
      <c r="F212" s="69"/>
      <c r="G212" s="64" t="s">
        <v>6094</v>
      </c>
      <c r="H212" s="82"/>
      <c r="I212" s="64"/>
      <c r="J212" s="64"/>
      <c r="K212" s="64"/>
      <c r="L212" s="61"/>
      <c r="M212" s="100"/>
      <c r="N212" s="100"/>
    </row>
    <row r="213" ht="15.6" spans="1:14">
      <c r="A213" s="95"/>
      <c r="B213" s="69" t="s">
        <v>2683</v>
      </c>
      <c r="C213" s="96" t="s">
        <v>1349</v>
      </c>
      <c r="D213" s="61" t="s">
        <v>2684</v>
      </c>
      <c r="E213" s="64" t="s">
        <v>422</v>
      </c>
      <c r="F213" s="69"/>
      <c r="G213" s="64" t="s">
        <v>6095</v>
      </c>
      <c r="H213" s="82"/>
      <c r="I213" s="64"/>
      <c r="J213" s="64"/>
      <c r="K213" s="64"/>
      <c r="L213" s="61"/>
      <c r="M213" s="100"/>
      <c r="N213" s="100"/>
    </row>
    <row r="214" ht="15.6" spans="1:14">
      <c r="A214" s="95"/>
      <c r="B214" s="69" t="s">
        <v>2685</v>
      </c>
      <c r="C214" s="96" t="s">
        <v>1349</v>
      </c>
      <c r="D214" s="61" t="s">
        <v>2686</v>
      </c>
      <c r="E214" s="64" t="s">
        <v>422</v>
      </c>
      <c r="F214" s="69"/>
      <c r="G214" s="64" t="s">
        <v>6096</v>
      </c>
      <c r="H214" s="82"/>
      <c r="I214" s="64"/>
      <c r="J214" s="64"/>
      <c r="K214" s="64"/>
      <c r="L214" s="61"/>
      <c r="M214" s="100"/>
      <c r="N214" s="100"/>
    </row>
    <row r="215" ht="15.6" spans="1:14">
      <c r="A215" s="95"/>
      <c r="B215" s="69" t="s">
        <v>2687</v>
      </c>
      <c r="C215" s="96" t="s">
        <v>1349</v>
      </c>
      <c r="D215" s="61" t="s">
        <v>2688</v>
      </c>
      <c r="E215" s="64" t="s">
        <v>422</v>
      </c>
      <c r="F215" s="69"/>
      <c r="G215" s="64" t="s">
        <v>6097</v>
      </c>
      <c r="H215" s="82"/>
      <c r="I215" s="64"/>
      <c r="J215" s="64"/>
      <c r="K215" s="64"/>
      <c r="L215" s="61"/>
      <c r="M215" s="100"/>
      <c r="N215" s="100"/>
    </row>
    <row r="216" ht="15.6" spans="1:14">
      <c r="A216" s="95"/>
      <c r="B216" s="69" t="s">
        <v>2689</v>
      </c>
      <c r="C216" s="96" t="s">
        <v>706</v>
      </c>
      <c r="D216" s="61" t="s">
        <v>2690</v>
      </c>
      <c r="E216" s="64" t="s">
        <v>422</v>
      </c>
      <c r="F216" s="69" t="s">
        <v>2689</v>
      </c>
      <c r="G216" s="64" t="s">
        <v>392</v>
      </c>
      <c r="H216" s="82"/>
      <c r="I216" s="64"/>
      <c r="J216" s="64"/>
      <c r="K216" s="64"/>
      <c r="L216" s="61"/>
      <c r="M216" s="100"/>
      <c r="N216" s="100"/>
    </row>
    <row r="217" ht="15.6" spans="1:14">
      <c r="A217" s="95"/>
      <c r="B217" s="69" t="s">
        <v>2691</v>
      </c>
      <c r="C217" s="96" t="s">
        <v>706</v>
      </c>
      <c r="D217" s="61" t="s">
        <v>2692</v>
      </c>
      <c r="E217" s="64" t="s">
        <v>422</v>
      </c>
      <c r="F217" s="69" t="s">
        <v>2691</v>
      </c>
      <c r="G217" s="64" t="s">
        <v>392</v>
      </c>
      <c r="H217" s="82"/>
      <c r="I217" s="64"/>
      <c r="J217" s="64"/>
      <c r="K217" s="64"/>
      <c r="L217" s="61"/>
      <c r="M217" s="100"/>
      <c r="N217" s="100"/>
    </row>
    <row r="218" ht="15.6" spans="1:14">
      <c r="A218" s="95"/>
      <c r="B218" s="69" t="s">
        <v>2693</v>
      </c>
      <c r="C218" s="96" t="s">
        <v>706</v>
      </c>
      <c r="D218" s="61" t="s">
        <v>2694</v>
      </c>
      <c r="E218" s="64" t="s">
        <v>422</v>
      </c>
      <c r="F218" s="69" t="s">
        <v>2693</v>
      </c>
      <c r="G218" s="64" t="s">
        <v>392</v>
      </c>
      <c r="H218" s="82"/>
      <c r="I218" s="64"/>
      <c r="J218" s="64"/>
      <c r="K218" s="64"/>
      <c r="L218" s="61"/>
      <c r="M218" s="100"/>
      <c r="N218" s="100"/>
    </row>
    <row r="219" ht="16.5" customHeight="1" spans="1:14">
      <c r="A219" s="95"/>
      <c r="B219" s="69" t="s">
        <v>5091</v>
      </c>
      <c r="C219" s="96" t="s">
        <v>706</v>
      </c>
      <c r="D219" s="61" t="s">
        <v>5092</v>
      </c>
      <c r="E219" s="64" t="s">
        <v>422</v>
      </c>
      <c r="F219" s="69" t="s">
        <v>5091</v>
      </c>
      <c r="G219" s="64" t="s">
        <v>392</v>
      </c>
      <c r="H219" s="82"/>
      <c r="I219" s="64"/>
      <c r="J219" s="64"/>
      <c r="K219" s="64"/>
      <c r="L219" s="61"/>
      <c r="M219" s="100"/>
      <c r="N219" s="100"/>
    </row>
    <row r="220" ht="15.6" spans="1:14">
      <c r="A220" s="95"/>
      <c r="B220" s="69" t="s">
        <v>5093</v>
      </c>
      <c r="C220" s="96" t="s">
        <v>706</v>
      </c>
      <c r="D220" s="61" t="s">
        <v>5094</v>
      </c>
      <c r="E220" s="64" t="s">
        <v>422</v>
      </c>
      <c r="F220" s="69" t="s">
        <v>5093</v>
      </c>
      <c r="G220" s="64" t="s">
        <v>392</v>
      </c>
      <c r="H220" s="82"/>
      <c r="I220" s="64"/>
      <c r="J220" s="64"/>
      <c r="K220" s="64"/>
      <c r="L220" s="61"/>
      <c r="M220" s="100"/>
      <c r="N220" s="100"/>
    </row>
    <row r="221" ht="15.6" spans="1:14">
      <c r="A221" s="95"/>
      <c r="B221" s="69" t="s">
        <v>5095</v>
      </c>
      <c r="C221" s="96" t="s">
        <v>706</v>
      </c>
      <c r="D221" s="61" t="s">
        <v>5096</v>
      </c>
      <c r="E221" s="64" t="s">
        <v>422</v>
      </c>
      <c r="F221" s="69" t="s">
        <v>5095</v>
      </c>
      <c r="G221" s="64" t="s">
        <v>392</v>
      </c>
      <c r="H221" s="82"/>
      <c r="I221" s="64"/>
      <c r="J221" s="64"/>
      <c r="K221" s="64"/>
      <c r="L221" s="61"/>
      <c r="M221" s="100"/>
      <c r="N221" s="100"/>
    </row>
    <row r="222" ht="15.6" spans="1:14">
      <c r="A222" s="95"/>
      <c r="B222" s="69" t="s">
        <v>5097</v>
      </c>
      <c r="C222" s="96" t="s">
        <v>706</v>
      </c>
      <c r="D222" s="61" t="s">
        <v>5098</v>
      </c>
      <c r="E222" s="64" t="s">
        <v>422</v>
      </c>
      <c r="F222" s="69" t="s">
        <v>5097</v>
      </c>
      <c r="G222" s="64" t="s">
        <v>392</v>
      </c>
      <c r="H222" s="82"/>
      <c r="I222" s="64"/>
      <c r="J222" s="64"/>
      <c r="K222" s="64"/>
      <c r="L222" s="61"/>
      <c r="M222" s="100"/>
      <c r="N222" s="100"/>
    </row>
    <row r="223" ht="15.6" spans="1:14">
      <c r="A223" s="95"/>
      <c r="B223" s="69" t="s">
        <v>5099</v>
      </c>
      <c r="C223" s="96" t="s">
        <v>1349</v>
      </c>
      <c r="D223" s="61" t="s">
        <v>5100</v>
      </c>
      <c r="E223" s="64" t="s">
        <v>422</v>
      </c>
      <c r="F223" s="69" t="s">
        <v>5099</v>
      </c>
      <c r="G223" s="64" t="s">
        <v>5101</v>
      </c>
      <c r="H223" s="82"/>
      <c r="I223" s="64"/>
      <c r="J223" s="64"/>
      <c r="K223" s="64"/>
      <c r="L223" s="61"/>
      <c r="M223" s="100"/>
      <c r="N223" s="100"/>
    </row>
    <row r="224" ht="15.6" spans="1:14">
      <c r="A224" s="95"/>
      <c r="B224" s="69" t="s">
        <v>5102</v>
      </c>
      <c r="C224" s="96" t="s">
        <v>1349</v>
      </c>
      <c r="D224" s="61" t="s">
        <v>5103</v>
      </c>
      <c r="E224" s="64" t="s">
        <v>422</v>
      </c>
      <c r="F224" s="69" t="s">
        <v>5102</v>
      </c>
      <c r="G224" s="64" t="s">
        <v>5104</v>
      </c>
      <c r="H224" s="82"/>
      <c r="I224" s="64"/>
      <c r="J224" s="64"/>
      <c r="K224" s="64"/>
      <c r="L224" s="61"/>
      <c r="M224" s="100"/>
      <c r="N224" s="100"/>
    </row>
    <row r="225" ht="15.6" spans="1:14">
      <c r="A225" s="95"/>
      <c r="B225" s="69" t="s">
        <v>5106</v>
      </c>
      <c r="C225" s="96" t="s">
        <v>706</v>
      </c>
      <c r="D225" s="61" t="s">
        <v>5105</v>
      </c>
      <c r="E225" s="64" t="s">
        <v>422</v>
      </c>
      <c r="F225" s="69" t="s">
        <v>5106</v>
      </c>
      <c r="G225" s="64" t="s">
        <v>392</v>
      </c>
      <c r="H225" s="82"/>
      <c r="I225" s="64"/>
      <c r="J225" s="64"/>
      <c r="K225" s="64"/>
      <c r="L225" s="61"/>
      <c r="M225" s="100"/>
      <c r="N225" s="100"/>
    </row>
    <row r="226" ht="15.6" spans="1:14">
      <c r="A226" s="95"/>
      <c r="B226" s="69" t="s">
        <v>5107</v>
      </c>
      <c r="C226" s="96" t="s">
        <v>706</v>
      </c>
      <c r="D226" s="61" t="s">
        <v>5108</v>
      </c>
      <c r="E226" s="64" t="s">
        <v>422</v>
      </c>
      <c r="F226" s="69" t="s">
        <v>5107</v>
      </c>
      <c r="G226" s="64" t="s">
        <v>392</v>
      </c>
      <c r="H226" s="82"/>
      <c r="I226" s="64"/>
      <c r="J226" s="64"/>
      <c r="K226" s="64"/>
      <c r="L226" s="61"/>
      <c r="M226" s="100"/>
      <c r="N226" s="100"/>
    </row>
    <row r="227" ht="15.6" spans="1:14">
      <c r="A227" s="95"/>
      <c r="B227" s="69" t="s">
        <v>5110</v>
      </c>
      <c r="C227" s="96" t="s">
        <v>706</v>
      </c>
      <c r="D227" s="61" t="s">
        <v>5109</v>
      </c>
      <c r="E227" s="64" t="s">
        <v>422</v>
      </c>
      <c r="F227" s="69" t="s">
        <v>5110</v>
      </c>
      <c r="G227" s="64" t="s">
        <v>392</v>
      </c>
      <c r="H227" s="82"/>
      <c r="I227" s="64"/>
      <c r="J227" s="64"/>
      <c r="K227" s="64"/>
      <c r="L227" s="61"/>
      <c r="M227" s="100"/>
      <c r="N227" s="100"/>
    </row>
    <row r="228" ht="15.6" spans="1:14">
      <c r="A228" s="95"/>
      <c r="B228" s="69" t="s">
        <v>5111</v>
      </c>
      <c r="C228" s="96" t="s">
        <v>706</v>
      </c>
      <c r="D228" s="61" t="s">
        <v>5112</v>
      </c>
      <c r="E228" s="64" t="s">
        <v>422</v>
      </c>
      <c r="F228" s="69" t="s">
        <v>5111</v>
      </c>
      <c r="G228" s="64" t="s">
        <v>392</v>
      </c>
      <c r="H228" s="82"/>
      <c r="I228" s="64"/>
      <c r="J228" s="64"/>
      <c r="K228" s="64"/>
      <c r="L228" s="61"/>
      <c r="M228" s="100"/>
      <c r="N228" s="100"/>
    </row>
    <row r="229" ht="15.6" spans="1:14">
      <c r="A229" s="95"/>
      <c r="B229" s="69" t="s">
        <v>5113</v>
      </c>
      <c r="C229" s="96" t="s">
        <v>706</v>
      </c>
      <c r="D229" s="61" t="s">
        <v>5114</v>
      </c>
      <c r="E229" s="64" t="s">
        <v>422</v>
      </c>
      <c r="F229" s="69" t="s">
        <v>5113</v>
      </c>
      <c r="G229" s="64" t="s">
        <v>392</v>
      </c>
      <c r="H229" s="82"/>
      <c r="I229" s="64"/>
      <c r="J229" s="64"/>
      <c r="K229" s="64"/>
      <c r="L229" s="61"/>
      <c r="M229" s="100"/>
      <c r="N229" s="100"/>
    </row>
    <row r="230" ht="15.6" spans="1:14">
      <c r="A230" s="95"/>
      <c r="B230" s="69" t="s">
        <v>5115</v>
      </c>
      <c r="C230" s="96" t="s">
        <v>706</v>
      </c>
      <c r="D230" s="61" t="s">
        <v>5116</v>
      </c>
      <c r="E230" s="64" t="s">
        <v>422</v>
      </c>
      <c r="F230" s="69" t="s">
        <v>5115</v>
      </c>
      <c r="G230" s="64" t="s">
        <v>392</v>
      </c>
      <c r="H230" s="82"/>
      <c r="I230" s="64"/>
      <c r="J230" s="64"/>
      <c r="K230" s="64"/>
      <c r="L230" s="61"/>
      <c r="M230" s="100"/>
      <c r="N230" s="100"/>
    </row>
    <row r="231" ht="15.6" spans="1:14">
      <c r="A231" s="95"/>
      <c r="B231" s="69" t="s">
        <v>5117</v>
      </c>
      <c r="C231" s="96" t="s">
        <v>706</v>
      </c>
      <c r="D231" s="61" t="s">
        <v>5118</v>
      </c>
      <c r="E231" s="64" t="s">
        <v>422</v>
      </c>
      <c r="F231" s="69" t="s">
        <v>5117</v>
      </c>
      <c r="G231" s="64" t="s">
        <v>392</v>
      </c>
      <c r="H231" s="82"/>
      <c r="I231" s="64"/>
      <c r="J231" s="64"/>
      <c r="K231" s="64"/>
      <c r="L231" s="61"/>
      <c r="M231" s="100"/>
      <c r="N231" s="100"/>
    </row>
    <row r="232" ht="15.6" spans="1:14">
      <c r="A232" s="95"/>
      <c r="B232" s="69" t="s">
        <v>5119</v>
      </c>
      <c r="C232" s="96" t="s">
        <v>706</v>
      </c>
      <c r="D232" s="61" t="s">
        <v>5120</v>
      </c>
      <c r="E232" s="64" t="s">
        <v>422</v>
      </c>
      <c r="F232" s="69" t="s">
        <v>5119</v>
      </c>
      <c r="G232" s="64" t="s">
        <v>392</v>
      </c>
      <c r="H232" s="82"/>
      <c r="I232" s="64"/>
      <c r="J232" s="64"/>
      <c r="K232" s="64"/>
      <c r="L232" s="61"/>
      <c r="M232" s="100"/>
      <c r="N232" s="100"/>
    </row>
    <row r="233" ht="15.6" spans="1:14">
      <c r="A233" s="95"/>
      <c r="B233" s="69" t="s">
        <v>5121</v>
      </c>
      <c r="C233" s="96" t="s">
        <v>706</v>
      </c>
      <c r="D233" s="61" t="s">
        <v>5122</v>
      </c>
      <c r="E233" s="64" t="s">
        <v>422</v>
      </c>
      <c r="F233" s="69" t="s">
        <v>5121</v>
      </c>
      <c r="G233" s="64" t="s">
        <v>392</v>
      </c>
      <c r="H233" s="82"/>
      <c r="I233" s="64"/>
      <c r="J233" s="64"/>
      <c r="K233" s="64"/>
      <c r="L233" s="61"/>
      <c r="M233" s="100"/>
      <c r="N233" s="100"/>
    </row>
    <row r="234" ht="15.6" spans="1:14">
      <c r="A234" s="95"/>
      <c r="B234" s="69" t="s">
        <v>5123</v>
      </c>
      <c r="C234" s="96" t="s">
        <v>706</v>
      </c>
      <c r="D234" s="61" t="s">
        <v>5124</v>
      </c>
      <c r="E234" s="64" t="s">
        <v>422</v>
      </c>
      <c r="F234" s="69" t="s">
        <v>5123</v>
      </c>
      <c r="G234" s="64" t="s">
        <v>392</v>
      </c>
      <c r="H234" s="82"/>
      <c r="I234" s="64"/>
      <c r="J234" s="64"/>
      <c r="K234" s="64"/>
      <c r="L234" s="61"/>
      <c r="M234" s="100"/>
      <c r="N234" s="100"/>
    </row>
    <row r="235" ht="15.6" spans="1:14">
      <c r="A235" s="95"/>
      <c r="B235" s="69" t="s">
        <v>5125</v>
      </c>
      <c r="C235" s="96" t="s">
        <v>706</v>
      </c>
      <c r="D235" s="61" t="s">
        <v>5126</v>
      </c>
      <c r="E235" s="64" t="s">
        <v>422</v>
      </c>
      <c r="F235" s="69" t="s">
        <v>5125</v>
      </c>
      <c r="G235" s="64" t="s">
        <v>392</v>
      </c>
      <c r="H235" s="82"/>
      <c r="I235" s="64"/>
      <c r="J235" s="64"/>
      <c r="K235" s="64"/>
      <c r="L235" s="61"/>
      <c r="M235" s="100"/>
      <c r="N235" s="100"/>
    </row>
    <row r="236" ht="15.6" spans="1:14">
      <c r="A236" s="95"/>
      <c r="B236" s="69" t="s">
        <v>5127</v>
      </c>
      <c r="C236" s="96" t="s">
        <v>706</v>
      </c>
      <c r="D236" s="61" t="s">
        <v>5128</v>
      </c>
      <c r="E236" s="64" t="s">
        <v>422</v>
      </c>
      <c r="F236" s="69" t="s">
        <v>5127</v>
      </c>
      <c r="G236" s="64" t="s">
        <v>392</v>
      </c>
      <c r="H236" s="82"/>
      <c r="I236" s="64"/>
      <c r="J236" s="64"/>
      <c r="K236" s="64"/>
      <c r="L236" s="61"/>
      <c r="M236" s="100"/>
      <c r="N236" s="100"/>
    </row>
    <row r="237" ht="15.6" spans="1:14">
      <c r="A237" s="95"/>
      <c r="B237" s="69" t="s">
        <v>5129</v>
      </c>
      <c r="C237" s="96" t="s">
        <v>706</v>
      </c>
      <c r="D237" s="61" t="s">
        <v>5130</v>
      </c>
      <c r="E237" s="64" t="s">
        <v>422</v>
      </c>
      <c r="F237" s="69" t="s">
        <v>5129</v>
      </c>
      <c r="G237" s="64" t="s">
        <v>392</v>
      </c>
      <c r="H237" s="82"/>
      <c r="I237" s="64"/>
      <c r="J237" s="64"/>
      <c r="K237" s="64"/>
      <c r="L237" s="61"/>
      <c r="M237" s="100"/>
      <c r="N237" s="100"/>
    </row>
    <row r="238" ht="15.6" spans="1:14">
      <c r="A238" s="95"/>
      <c r="B238" s="69" t="s">
        <v>5131</v>
      </c>
      <c r="C238" s="96" t="s">
        <v>706</v>
      </c>
      <c r="D238" s="61" t="s">
        <v>5132</v>
      </c>
      <c r="E238" s="64" t="s">
        <v>422</v>
      </c>
      <c r="F238" s="69" t="s">
        <v>5131</v>
      </c>
      <c r="G238" s="64" t="s">
        <v>392</v>
      </c>
      <c r="H238" s="82"/>
      <c r="I238" s="64"/>
      <c r="J238" s="64"/>
      <c r="K238" s="64"/>
      <c r="L238" s="61"/>
      <c r="M238" s="100"/>
      <c r="N238" s="100"/>
    </row>
    <row r="239" ht="15.6" spans="1:14">
      <c r="A239" s="95"/>
      <c r="B239" s="69" t="s">
        <v>5133</v>
      </c>
      <c r="C239" s="96" t="s">
        <v>706</v>
      </c>
      <c r="D239" s="61" t="s">
        <v>5134</v>
      </c>
      <c r="E239" s="64" t="s">
        <v>422</v>
      </c>
      <c r="F239" s="69" t="s">
        <v>5133</v>
      </c>
      <c r="G239" s="64" t="s">
        <v>392</v>
      </c>
      <c r="H239" s="82"/>
      <c r="I239" s="64"/>
      <c r="J239" s="64"/>
      <c r="K239" s="64"/>
      <c r="L239" s="61"/>
      <c r="M239" s="100"/>
      <c r="N239" s="100"/>
    </row>
    <row r="240" ht="16.5" customHeight="1" spans="1:14">
      <c r="A240" s="95"/>
      <c r="B240" s="69" t="s">
        <v>5135</v>
      </c>
      <c r="C240" s="96" t="s">
        <v>691</v>
      </c>
      <c r="D240" s="61" t="s">
        <v>5136</v>
      </c>
      <c r="E240" s="64" t="s">
        <v>422</v>
      </c>
      <c r="F240" s="69" t="s">
        <v>5741</v>
      </c>
      <c r="G240" s="64" t="s">
        <v>6098</v>
      </c>
      <c r="H240" s="82"/>
      <c r="I240" s="64"/>
      <c r="J240" s="64"/>
      <c r="K240" s="64"/>
      <c r="L240" s="61"/>
      <c r="M240" s="100"/>
      <c r="N240" s="100"/>
    </row>
    <row r="241" ht="52.8" spans="1:14">
      <c r="A241" s="95"/>
      <c r="B241" s="69" t="s">
        <v>5138</v>
      </c>
      <c r="C241" s="96" t="s">
        <v>691</v>
      </c>
      <c r="D241" s="61" t="s">
        <v>5139</v>
      </c>
      <c r="E241" s="64" t="s">
        <v>422</v>
      </c>
      <c r="F241" s="69" t="s">
        <v>5744</v>
      </c>
      <c r="G241" s="64" t="s">
        <v>6099</v>
      </c>
      <c r="H241" s="82"/>
      <c r="I241" s="102" t="s">
        <v>5142</v>
      </c>
      <c r="J241" s="64"/>
      <c r="K241" s="64"/>
      <c r="L241" s="61"/>
      <c r="M241" s="100"/>
      <c r="N241" s="100"/>
    </row>
    <row r="242" ht="16.5" customHeight="1" spans="1:14">
      <c r="A242" s="95"/>
      <c r="B242" s="69" t="s">
        <v>5143</v>
      </c>
      <c r="C242" s="96" t="s">
        <v>229</v>
      </c>
      <c r="D242" s="61" t="s">
        <v>5144</v>
      </c>
      <c r="E242" s="64" t="s">
        <v>422</v>
      </c>
      <c r="F242" s="69" t="s">
        <v>6100</v>
      </c>
      <c r="G242" s="64" t="s">
        <v>392</v>
      </c>
      <c r="H242" s="82"/>
      <c r="I242" s="64"/>
      <c r="J242" s="64"/>
      <c r="K242" s="64"/>
      <c r="L242" s="61"/>
      <c r="M242" s="100"/>
      <c r="N242" s="100"/>
    </row>
    <row r="243" ht="15.6" spans="1:14">
      <c r="A243" s="95"/>
      <c r="B243" s="69" t="s">
        <v>6101</v>
      </c>
      <c r="C243" s="96" t="s">
        <v>229</v>
      </c>
      <c r="D243" s="61" t="s">
        <v>5148</v>
      </c>
      <c r="E243" s="64" t="s">
        <v>422</v>
      </c>
      <c r="F243" s="69" t="s">
        <v>5147</v>
      </c>
      <c r="G243" s="64" t="s">
        <v>392</v>
      </c>
      <c r="H243" s="82"/>
      <c r="I243" s="64"/>
      <c r="J243" s="64"/>
      <c r="K243" s="64"/>
      <c r="L243" s="61"/>
      <c r="M243" s="100"/>
      <c r="N243" s="100"/>
    </row>
    <row r="244" ht="15.6" spans="1:14">
      <c r="A244" s="95"/>
      <c r="B244" s="69" t="s">
        <v>5150</v>
      </c>
      <c r="C244" s="96" t="s">
        <v>1349</v>
      </c>
      <c r="D244" s="61" t="s">
        <v>5151</v>
      </c>
      <c r="E244" s="64" t="s">
        <v>422</v>
      </c>
      <c r="F244" s="69"/>
      <c r="G244" s="61" t="s">
        <v>6102</v>
      </c>
      <c r="H244" s="82"/>
      <c r="I244" s="64"/>
      <c r="J244" s="64"/>
      <c r="K244" s="64"/>
      <c r="L244" s="61"/>
      <c r="M244" s="100"/>
      <c r="N244" s="100"/>
    </row>
    <row r="245" ht="15.6" spans="1:14">
      <c r="A245" s="95"/>
      <c r="B245" s="69" t="s">
        <v>5153</v>
      </c>
      <c r="C245" s="96" t="s">
        <v>1349</v>
      </c>
      <c r="D245" s="61" t="s">
        <v>5154</v>
      </c>
      <c r="E245" s="64" t="s">
        <v>422</v>
      </c>
      <c r="F245" s="69" t="s">
        <v>5153</v>
      </c>
      <c r="G245" s="72" t="s">
        <v>392</v>
      </c>
      <c r="H245" s="82"/>
      <c r="I245" s="64"/>
      <c r="J245" s="64"/>
      <c r="K245" s="64"/>
      <c r="L245" s="61"/>
      <c r="M245" s="100"/>
      <c r="N245" s="100"/>
    </row>
    <row r="246" ht="15.6" spans="1:14">
      <c r="A246" s="95"/>
      <c r="B246" s="69" t="s">
        <v>5156</v>
      </c>
      <c r="C246" s="96" t="s">
        <v>1349</v>
      </c>
      <c r="D246" s="61" t="s">
        <v>5157</v>
      </c>
      <c r="E246" s="64" t="s">
        <v>422</v>
      </c>
      <c r="F246" s="69" t="s">
        <v>5156</v>
      </c>
      <c r="G246" s="72" t="s">
        <v>392</v>
      </c>
      <c r="H246" s="82"/>
      <c r="I246" s="64"/>
      <c r="J246" s="64"/>
      <c r="K246" s="64"/>
      <c r="L246" s="61"/>
      <c r="M246" s="100"/>
      <c r="N246" s="100"/>
    </row>
    <row r="247" ht="15.6" spans="1:14">
      <c r="A247" s="95"/>
      <c r="B247" s="69" t="s">
        <v>5159</v>
      </c>
      <c r="C247" s="96" t="s">
        <v>1349</v>
      </c>
      <c r="D247" s="61" t="s">
        <v>5160</v>
      </c>
      <c r="E247" s="64" t="s">
        <v>422</v>
      </c>
      <c r="F247" s="69" t="s">
        <v>5159</v>
      </c>
      <c r="G247" s="72" t="s">
        <v>392</v>
      </c>
      <c r="H247" s="82"/>
      <c r="I247" s="64"/>
      <c r="J247" s="64"/>
      <c r="K247" s="64"/>
      <c r="L247" s="61"/>
      <c r="M247" s="100"/>
      <c r="N247" s="100"/>
    </row>
    <row r="248" ht="15.6" spans="1:14">
      <c r="A248" s="95"/>
      <c r="B248" s="69" t="s">
        <v>5162</v>
      </c>
      <c r="C248" s="96" t="s">
        <v>229</v>
      </c>
      <c r="D248" s="61" t="s">
        <v>5163</v>
      </c>
      <c r="E248" s="64" t="s">
        <v>422</v>
      </c>
      <c r="F248" s="69" t="s">
        <v>5162</v>
      </c>
      <c r="G248" s="61" t="s">
        <v>6103</v>
      </c>
      <c r="H248" s="82"/>
      <c r="I248" s="64"/>
      <c r="J248" s="64"/>
      <c r="K248" s="64"/>
      <c r="L248" s="61"/>
      <c r="M248" s="100"/>
      <c r="N248" s="100"/>
    </row>
    <row r="249" ht="15.6" spans="1:14">
      <c r="A249" s="95"/>
      <c r="B249" s="69" t="s">
        <v>5164</v>
      </c>
      <c r="C249" s="96" t="s">
        <v>229</v>
      </c>
      <c r="D249" s="61" t="s">
        <v>5165</v>
      </c>
      <c r="E249" s="64" t="s">
        <v>422</v>
      </c>
      <c r="F249" s="69" t="s">
        <v>5164</v>
      </c>
      <c r="G249" s="61" t="s">
        <v>6035</v>
      </c>
      <c r="H249" s="82"/>
      <c r="I249" s="64"/>
      <c r="J249" s="64"/>
      <c r="K249" s="64"/>
      <c r="L249" s="61"/>
      <c r="M249" s="100"/>
      <c r="N249" s="100"/>
    </row>
    <row r="250" ht="15.6" spans="1:14">
      <c r="A250" s="95"/>
      <c r="B250" s="69" t="s">
        <v>5166</v>
      </c>
      <c r="C250" s="96" t="s">
        <v>229</v>
      </c>
      <c r="D250" s="61" t="s">
        <v>5167</v>
      </c>
      <c r="E250" s="64" t="s">
        <v>422</v>
      </c>
      <c r="F250" s="69" t="s">
        <v>5166</v>
      </c>
      <c r="G250" s="72" t="s">
        <v>392</v>
      </c>
      <c r="H250" s="82"/>
      <c r="I250" s="64"/>
      <c r="J250" s="64"/>
      <c r="K250" s="64"/>
      <c r="L250" s="61"/>
      <c r="M250" s="100"/>
      <c r="N250" s="100"/>
    </row>
    <row r="251" ht="15.6" spans="1:14">
      <c r="A251" s="95"/>
      <c r="B251" s="69" t="s">
        <v>5168</v>
      </c>
      <c r="C251" s="96" t="s">
        <v>229</v>
      </c>
      <c r="D251" s="61" t="s">
        <v>5169</v>
      </c>
      <c r="E251" s="64" t="s">
        <v>422</v>
      </c>
      <c r="F251" s="69" t="s">
        <v>5168</v>
      </c>
      <c r="G251" s="72" t="s">
        <v>392</v>
      </c>
      <c r="H251" s="82"/>
      <c r="I251" s="64"/>
      <c r="J251" s="64"/>
      <c r="K251" s="64"/>
      <c r="L251" s="61"/>
      <c r="M251" s="100"/>
      <c r="N251" s="100"/>
    </row>
    <row r="252" ht="15.6" spans="1:14">
      <c r="A252" s="95"/>
      <c r="B252" s="69" t="s">
        <v>5170</v>
      </c>
      <c r="C252" s="96" t="s">
        <v>1349</v>
      </c>
      <c r="D252" s="61" t="s">
        <v>5171</v>
      </c>
      <c r="E252" s="64" t="s">
        <v>422</v>
      </c>
      <c r="F252" s="69"/>
      <c r="G252" s="61" t="s">
        <v>6104</v>
      </c>
      <c r="H252" s="82"/>
      <c r="I252" s="64"/>
      <c r="J252" s="64"/>
      <c r="K252" s="64"/>
      <c r="L252" s="61"/>
      <c r="M252" s="100"/>
      <c r="N252" s="100"/>
    </row>
    <row r="253" ht="15.6" spans="1:14">
      <c r="A253" s="95"/>
      <c r="B253" s="69" t="s">
        <v>5173</v>
      </c>
      <c r="C253" s="96" t="s">
        <v>229</v>
      </c>
      <c r="D253" s="61" t="s">
        <v>5174</v>
      </c>
      <c r="E253" s="64" t="s">
        <v>422</v>
      </c>
      <c r="F253" s="69" t="s">
        <v>5173</v>
      </c>
      <c r="G253" s="72" t="s">
        <v>392</v>
      </c>
      <c r="H253" s="82"/>
      <c r="I253" s="64"/>
      <c r="J253" s="64"/>
      <c r="K253" s="64"/>
      <c r="L253" s="61"/>
      <c r="M253" s="100"/>
      <c r="N253" s="100"/>
    </row>
    <row r="254" ht="15.6" spans="1:14">
      <c r="A254" s="95"/>
      <c r="B254" s="69" t="s">
        <v>5175</v>
      </c>
      <c r="C254" s="96" t="s">
        <v>229</v>
      </c>
      <c r="D254" s="61" t="s">
        <v>5167</v>
      </c>
      <c r="E254" s="64" t="s">
        <v>422</v>
      </c>
      <c r="F254" s="69" t="s">
        <v>5175</v>
      </c>
      <c r="G254" s="72" t="s">
        <v>392</v>
      </c>
      <c r="H254" s="82"/>
      <c r="I254" s="64"/>
      <c r="J254" s="64"/>
      <c r="K254" s="64"/>
      <c r="L254" s="61"/>
      <c r="M254" s="100"/>
      <c r="N254" s="100"/>
    </row>
    <row r="255" ht="15.6" spans="1:14">
      <c r="A255" s="95"/>
      <c r="B255" s="69" t="s">
        <v>5176</v>
      </c>
      <c r="C255" s="96" t="s">
        <v>1349</v>
      </c>
      <c r="D255" s="61" t="s">
        <v>5177</v>
      </c>
      <c r="E255" s="64" t="s">
        <v>422</v>
      </c>
      <c r="F255" s="69"/>
      <c r="G255" s="61" t="s">
        <v>6105</v>
      </c>
      <c r="H255" s="82"/>
      <c r="I255" s="64"/>
      <c r="J255" s="64"/>
      <c r="K255" s="64"/>
      <c r="L255" s="61"/>
      <c r="M255" s="100"/>
      <c r="N255" s="100"/>
    </row>
    <row r="256" ht="15.6" spans="1:14">
      <c r="A256" s="95"/>
      <c r="B256" s="69" t="s">
        <v>6106</v>
      </c>
      <c r="C256" s="96" t="s">
        <v>1349</v>
      </c>
      <c r="D256" s="61" t="s">
        <v>5180</v>
      </c>
      <c r="E256" s="64" t="s">
        <v>422</v>
      </c>
      <c r="F256" s="69"/>
      <c r="G256" s="61" t="s">
        <v>6107</v>
      </c>
      <c r="H256" s="82"/>
      <c r="I256" s="64"/>
      <c r="J256" s="64"/>
      <c r="K256" s="64"/>
      <c r="L256" s="61"/>
      <c r="M256" s="100"/>
      <c r="N256" s="100"/>
    </row>
    <row r="257" ht="15.6" spans="1:14">
      <c r="A257" s="95"/>
      <c r="B257" s="69" t="s">
        <v>5182</v>
      </c>
      <c r="C257" s="96" t="s">
        <v>229</v>
      </c>
      <c r="D257" s="61" t="s">
        <v>5183</v>
      </c>
      <c r="E257" s="64" t="s">
        <v>422</v>
      </c>
      <c r="F257" s="69" t="s">
        <v>5182</v>
      </c>
      <c r="G257" s="72" t="s">
        <v>392</v>
      </c>
      <c r="H257" s="82"/>
      <c r="I257" s="64"/>
      <c r="J257" s="64"/>
      <c r="K257" s="64"/>
      <c r="L257" s="61"/>
      <c r="M257" s="100"/>
      <c r="N257" s="100"/>
    </row>
    <row r="258" ht="15.6" spans="1:14">
      <c r="A258" s="95"/>
      <c r="B258" s="69" t="s">
        <v>5184</v>
      </c>
      <c r="C258" s="96" t="s">
        <v>229</v>
      </c>
      <c r="D258" s="61" t="s">
        <v>5185</v>
      </c>
      <c r="E258" s="64" t="s">
        <v>422</v>
      </c>
      <c r="F258" s="69" t="s">
        <v>5184</v>
      </c>
      <c r="G258" s="72" t="s">
        <v>392</v>
      </c>
      <c r="H258" s="82"/>
      <c r="I258" s="64"/>
      <c r="J258" s="64"/>
      <c r="K258" s="64"/>
      <c r="L258" s="61"/>
      <c r="M258" s="100"/>
      <c r="N258" s="100"/>
    </row>
    <row r="259" ht="15.6" spans="1:14">
      <c r="A259" s="95"/>
      <c r="B259" s="69" t="s">
        <v>5186</v>
      </c>
      <c r="C259" s="96" t="s">
        <v>1349</v>
      </c>
      <c r="D259" s="61" t="s">
        <v>5187</v>
      </c>
      <c r="E259" s="64" t="s">
        <v>422</v>
      </c>
      <c r="F259" s="69"/>
      <c r="G259" s="61" t="s">
        <v>5188</v>
      </c>
      <c r="H259" s="82"/>
      <c r="I259" s="64"/>
      <c r="J259" s="64"/>
      <c r="K259" s="64"/>
      <c r="L259" s="61"/>
      <c r="M259" s="100"/>
      <c r="N259" s="100"/>
    </row>
    <row r="260" ht="15.6" spans="1:14">
      <c r="A260" s="95"/>
      <c r="B260" s="69" t="s">
        <v>5189</v>
      </c>
      <c r="C260" s="96" t="s">
        <v>1349</v>
      </c>
      <c r="D260" s="61" t="s">
        <v>5190</v>
      </c>
      <c r="E260" s="64" t="s">
        <v>422</v>
      </c>
      <c r="F260" s="69" t="s">
        <v>5189</v>
      </c>
      <c r="G260" s="72" t="s">
        <v>392</v>
      </c>
      <c r="H260" s="82"/>
      <c r="I260" s="64"/>
      <c r="J260" s="64"/>
      <c r="K260" s="64"/>
      <c r="L260" s="61"/>
      <c r="M260" s="100"/>
      <c r="N260" s="100"/>
    </row>
    <row r="261" ht="15.6" spans="1:14">
      <c r="A261" s="95"/>
      <c r="B261" s="69" t="s">
        <v>5192</v>
      </c>
      <c r="C261" s="96" t="s">
        <v>1349</v>
      </c>
      <c r="D261" s="61" t="s">
        <v>5193</v>
      </c>
      <c r="E261" s="64" t="s">
        <v>422</v>
      </c>
      <c r="F261" s="69" t="s">
        <v>5192</v>
      </c>
      <c r="G261" s="72" t="s">
        <v>392</v>
      </c>
      <c r="H261" s="82"/>
      <c r="I261" s="64"/>
      <c r="J261" s="64"/>
      <c r="K261" s="64"/>
      <c r="L261" s="61"/>
      <c r="M261" s="100"/>
      <c r="N261" s="100"/>
    </row>
    <row r="262" ht="15.6" spans="1:14">
      <c r="A262" s="95"/>
      <c r="B262" s="69" t="s">
        <v>5194</v>
      </c>
      <c r="C262" s="96" t="s">
        <v>1349</v>
      </c>
      <c r="D262" s="61" t="s">
        <v>5195</v>
      </c>
      <c r="E262" s="64" t="s">
        <v>422</v>
      </c>
      <c r="F262" s="69"/>
      <c r="G262" s="61" t="s">
        <v>5196</v>
      </c>
      <c r="H262" s="82"/>
      <c r="I262" s="64"/>
      <c r="J262" s="64"/>
      <c r="K262" s="64" t="s">
        <v>5197</v>
      </c>
      <c r="L262" s="61"/>
      <c r="M262" s="100"/>
      <c r="N262" s="100"/>
    </row>
    <row r="263" ht="15.6" spans="1:14">
      <c r="A263" s="95"/>
      <c r="B263" s="69" t="s">
        <v>5198</v>
      </c>
      <c r="C263" s="96" t="s">
        <v>1349</v>
      </c>
      <c r="D263" s="61" t="s">
        <v>5199</v>
      </c>
      <c r="E263" s="64" t="s">
        <v>422</v>
      </c>
      <c r="F263" s="69"/>
      <c r="G263" s="61" t="s">
        <v>5200</v>
      </c>
      <c r="H263" s="82"/>
      <c r="I263" s="64"/>
      <c r="J263" s="64"/>
      <c r="K263" s="64" t="s">
        <v>5197</v>
      </c>
      <c r="L263" s="61"/>
      <c r="M263" s="100"/>
      <c r="N263" s="100"/>
    </row>
    <row r="264" ht="15.6" spans="1:14">
      <c r="A264" s="95"/>
      <c r="B264" s="69" t="s">
        <v>5201</v>
      </c>
      <c r="C264" s="96" t="s">
        <v>1349</v>
      </c>
      <c r="D264" s="61" t="s">
        <v>5202</v>
      </c>
      <c r="E264" s="64" t="s">
        <v>422</v>
      </c>
      <c r="F264" s="69" t="s">
        <v>5201</v>
      </c>
      <c r="G264" s="61" t="s">
        <v>392</v>
      </c>
      <c r="H264" s="82"/>
      <c r="I264" s="64"/>
      <c r="J264" s="64"/>
      <c r="K264" s="64"/>
      <c r="L264" s="61"/>
      <c r="M264" s="100"/>
      <c r="N264" s="100"/>
    </row>
    <row r="265" ht="15.6" spans="1:14">
      <c r="A265" s="95"/>
      <c r="B265" s="69" t="s">
        <v>5204</v>
      </c>
      <c r="C265" s="96" t="s">
        <v>229</v>
      </c>
      <c r="D265" s="61" t="s">
        <v>5205</v>
      </c>
      <c r="E265" s="64" t="s">
        <v>422</v>
      </c>
      <c r="F265" s="69" t="s">
        <v>5204</v>
      </c>
      <c r="G265" s="61" t="s">
        <v>392</v>
      </c>
      <c r="H265" s="82"/>
      <c r="I265" s="64"/>
      <c r="J265" s="64"/>
      <c r="K265" s="64"/>
      <c r="L265" s="61"/>
      <c r="M265" s="100"/>
      <c r="N265" s="100"/>
    </row>
    <row r="266" ht="15.6" spans="1:14">
      <c r="A266" s="95"/>
      <c r="B266" s="69" t="s">
        <v>5207</v>
      </c>
      <c r="C266" s="96" t="s">
        <v>1349</v>
      </c>
      <c r="D266" s="61" t="s">
        <v>5208</v>
      </c>
      <c r="E266" s="64" t="s">
        <v>422</v>
      </c>
      <c r="F266" s="69" t="s">
        <v>5207</v>
      </c>
      <c r="G266" s="61" t="s">
        <v>6035</v>
      </c>
      <c r="H266" s="82"/>
      <c r="I266" s="64"/>
      <c r="J266" s="64"/>
      <c r="K266" s="64"/>
      <c r="L266" s="61"/>
      <c r="M266" s="100"/>
      <c r="N266" s="100"/>
    </row>
    <row r="267" ht="15.6" spans="1:14">
      <c r="A267" s="95"/>
      <c r="B267" s="69" t="s">
        <v>5209</v>
      </c>
      <c r="C267" s="96" t="s">
        <v>229</v>
      </c>
      <c r="D267" s="61" t="s">
        <v>5210</v>
      </c>
      <c r="E267" s="64" t="s">
        <v>422</v>
      </c>
      <c r="F267" s="69" t="s">
        <v>5209</v>
      </c>
      <c r="G267" s="61" t="s">
        <v>392</v>
      </c>
      <c r="H267" s="82"/>
      <c r="I267" s="64"/>
      <c r="J267" s="64"/>
      <c r="K267" s="64"/>
      <c r="L267" s="61"/>
      <c r="M267" s="100"/>
      <c r="N267" s="100"/>
    </row>
    <row r="268" ht="15.6" spans="1:14">
      <c r="A268" s="95"/>
      <c r="B268" s="69" t="s">
        <v>5211</v>
      </c>
      <c r="C268" s="96" t="s">
        <v>229</v>
      </c>
      <c r="D268" s="61" t="s">
        <v>5212</v>
      </c>
      <c r="E268" s="64" t="s">
        <v>422</v>
      </c>
      <c r="F268" s="69" t="s">
        <v>5211</v>
      </c>
      <c r="G268" s="61" t="s">
        <v>392</v>
      </c>
      <c r="H268" s="82"/>
      <c r="I268" s="64"/>
      <c r="J268" s="64"/>
      <c r="K268" s="64"/>
      <c r="L268" s="61"/>
      <c r="M268" s="100"/>
      <c r="N268" s="100"/>
    </row>
    <row r="269" ht="15.6" spans="1:14">
      <c r="A269" s="95"/>
      <c r="B269" s="69" t="s">
        <v>5213</v>
      </c>
      <c r="C269" s="96" t="s">
        <v>229</v>
      </c>
      <c r="D269" s="61" t="s">
        <v>5214</v>
      </c>
      <c r="E269" s="64" t="s">
        <v>422</v>
      </c>
      <c r="F269" s="69" t="s">
        <v>5213</v>
      </c>
      <c r="G269" s="61" t="s">
        <v>392</v>
      </c>
      <c r="H269" s="82"/>
      <c r="I269" s="64"/>
      <c r="J269" s="64"/>
      <c r="K269" s="64"/>
      <c r="L269" s="61"/>
      <c r="M269" s="100"/>
      <c r="N269" s="100"/>
    </row>
    <row r="270" ht="15.6" spans="1:14">
      <c r="A270" s="95"/>
      <c r="B270" s="69" t="s">
        <v>5215</v>
      </c>
      <c r="C270" s="96" t="s">
        <v>1349</v>
      </c>
      <c r="D270" s="61" t="s">
        <v>5216</v>
      </c>
      <c r="E270" s="64" t="s">
        <v>422</v>
      </c>
      <c r="F270" s="69" t="s">
        <v>5215</v>
      </c>
      <c r="G270" s="61" t="s">
        <v>392</v>
      </c>
      <c r="H270" s="82"/>
      <c r="I270" s="64"/>
      <c r="J270" s="64"/>
      <c r="K270" s="64"/>
      <c r="L270" s="61"/>
      <c r="M270" s="100"/>
      <c r="N270" s="100"/>
    </row>
    <row r="271" ht="15.6" spans="1:14">
      <c r="A271" s="95"/>
      <c r="B271" s="69" t="s">
        <v>5217</v>
      </c>
      <c r="C271" s="96" t="s">
        <v>229</v>
      </c>
      <c r="D271" s="61" t="s">
        <v>5218</v>
      </c>
      <c r="E271" s="64" t="s">
        <v>422</v>
      </c>
      <c r="F271" s="69" t="s">
        <v>5217</v>
      </c>
      <c r="G271" s="61" t="s">
        <v>392</v>
      </c>
      <c r="H271" s="82"/>
      <c r="I271" s="64"/>
      <c r="J271" s="64"/>
      <c r="K271" s="64"/>
      <c r="L271" s="61"/>
      <c r="M271" s="100"/>
      <c r="N271" s="100"/>
    </row>
    <row r="272" ht="15.6" spans="1:14">
      <c r="A272" s="95"/>
      <c r="B272" s="69" t="s">
        <v>5219</v>
      </c>
      <c r="C272" s="96" t="s">
        <v>229</v>
      </c>
      <c r="D272" s="61" t="s">
        <v>5220</v>
      </c>
      <c r="E272" s="64" t="s">
        <v>422</v>
      </c>
      <c r="F272" s="69" t="s">
        <v>5219</v>
      </c>
      <c r="G272" s="61" t="s">
        <v>392</v>
      </c>
      <c r="H272" s="82"/>
      <c r="I272" s="64"/>
      <c r="J272" s="64"/>
      <c r="K272" s="64"/>
      <c r="L272" s="61"/>
      <c r="M272" s="100"/>
      <c r="N272" s="100"/>
    </row>
    <row r="273" ht="15.6" spans="1:14">
      <c r="A273" s="95"/>
      <c r="B273" s="69" t="s">
        <v>5221</v>
      </c>
      <c r="C273" s="96" t="s">
        <v>229</v>
      </c>
      <c r="D273" s="61" t="s">
        <v>5222</v>
      </c>
      <c r="E273" s="64" t="s">
        <v>422</v>
      </c>
      <c r="F273" s="69" t="s">
        <v>5221</v>
      </c>
      <c r="G273" s="61" t="s">
        <v>392</v>
      </c>
      <c r="H273" s="82"/>
      <c r="I273" s="64"/>
      <c r="J273" s="64"/>
      <c r="K273" s="64"/>
      <c r="L273" s="61"/>
      <c r="M273" s="100"/>
      <c r="N273" s="100"/>
    </row>
    <row r="274" ht="15.6" spans="1:14">
      <c r="A274" s="95"/>
      <c r="B274" s="69" t="s">
        <v>5223</v>
      </c>
      <c r="C274" s="96" t="s">
        <v>229</v>
      </c>
      <c r="D274" s="61" t="s">
        <v>5224</v>
      </c>
      <c r="E274" s="64" t="s">
        <v>422</v>
      </c>
      <c r="F274" s="69" t="s">
        <v>5223</v>
      </c>
      <c r="G274" s="61" t="s">
        <v>392</v>
      </c>
      <c r="H274" s="82"/>
      <c r="I274" s="64"/>
      <c r="J274" s="64"/>
      <c r="K274" s="64"/>
      <c r="L274" s="61"/>
      <c r="M274" s="100"/>
      <c r="N274" s="100"/>
    </row>
    <row r="275" ht="15.6" spans="1:14">
      <c r="A275" s="95"/>
      <c r="B275" s="69" t="s">
        <v>5225</v>
      </c>
      <c r="C275" s="96" t="s">
        <v>229</v>
      </c>
      <c r="D275" s="61" t="s">
        <v>5226</v>
      </c>
      <c r="E275" s="64" t="s">
        <v>422</v>
      </c>
      <c r="F275" s="69" t="s">
        <v>5225</v>
      </c>
      <c r="G275" s="61" t="s">
        <v>392</v>
      </c>
      <c r="H275" s="82"/>
      <c r="I275" s="64"/>
      <c r="J275" s="64"/>
      <c r="K275" s="64"/>
      <c r="L275" s="61"/>
      <c r="M275" s="100"/>
      <c r="N275" s="100"/>
    </row>
    <row r="276" ht="15.6" spans="1:14">
      <c r="A276" s="95"/>
      <c r="B276" s="69" t="s">
        <v>5227</v>
      </c>
      <c r="C276" s="96" t="s">
        <v>229</v>
      </c>
      <c r="D276" s="61" t="s">
        <v>5228</v>
      </c>
      <c r="E276" s="64" t="s">
        <v>422</v>
      </c>
      <c r="F276" s="69" t="s">
        <v>5227</v>
      </c>
      <c r="G276" s="61" t="s">
        <v>392</v>
      </c>
      <c r="H276" s="82"/>
      <c r="I276" s="64"/>
      <c r="J276" s="64"/>
      <c r="K276" s="64"/>
      <c r="L276" s="61"/>
      <c r="M276" s="100"/>
      <c r="N276" s="100"/>
    </row>
    <row r="277" ht="15.6" spans="1:14">
      <c r="A277" s="95"/>
      <c r="B277" s="69" t="s">
        <v>5229</v>
      </c>
      <c r="C277" s="96" t="s">
        <v>229</v>
      </c>
      <c r="D277" s="61" t="s">
        <v>5230</v>
      </c>
      <c r="E277" s="64" t="s">
        <v>422</v>
      </c>
      <c r="F277" s="69" t="s">
        <v>5229</v>
      </c>
      <c r="G277" s="61" t="s">
        <v>392</v>
      </c>
      <c r="H277" s="82"/>
      <c r="I277" s="64"/>
      <c r="J277" s="64"/>
      <c r="K277" s="64"/>
      <c r="L277" s="61"/>
      <c r="M277" s="100"/>
      <c r="N277" s="100"/>
    </row>
    <row r="278" ht="15.6" spans="1:14">
      <c r="A278" s="95"/>
      <c r="B278" s="69" t="s">
        <v>5231</v>
      </c>
      <c r="C278" s="96" t="s">
        <v>229</v>
      </c>
      <c r="D278" s="61" t="s">
        <v>5232</v>
      </c>
      <c r="E278" s="64" t="s">
        <v>422</v>
      </c>
      <c r="F278" s="69" t="s">
        <v>5231</v>
      </c>
      <c r="G278" s="61" t="s">
        <v>392</v>
      </c>
      <c r="H278" s="82"/>
      <c r="I278" s="64"/>
      <c r="J278" s="64"/>
      <c r="K278" s="64"/>
      <c r="L278" s="61"/>
      <c r="M278" s="100"/>
      <c r="N278" s="100"/>
    </row>
    <row r="279" ht="15.6" spans="1:14">
      <c r="A279" s="95"/>
      <c r="B279" s="69" t="s">
        <v>5233</v>
      </c>
      <c r="C279" s="96" t="s">
        <v>229</v>
      </c>
      <c r="D279" s="61" t="s">
        <v>5234</v>
      </c>
      <c r="E279" s="64" t="s">
        <v>422</v>
      </c>
      <c r="F279" s="69" t="s">
        <v>5233</v>
      </c>
      <c r="G279" s="61" t="s">
        <v>392</v>
      </c>
      <c r="H279" s="82"/>
      <c r="I279" s="64"/>
      <c r="J279" s="64"/>
      <c r="K279" s="64"/>
      <c r="L279" s="61"/>
      <c r="M279" s="100"/>
      <c r="N279" s="100"/>
    </row>
    <row r="280" ht="15.6" spans="1:14">
      <c r="A280" s="95"/>
      <c r="B280" s="69" t="s">
        <v>5235</v>
      </c>
      <c r="C280" s="96" t="s">
        <v>229</v>
      </c>
      <c r="D280" s="61" t="s">
        <v>5236</v>
      </c>
      <c r="E280" s="64" t="s">
        <v>422</v>
      </c>
      <c r="F280" s="69" t="s">
        <v>5235</v>
      </c>
      <c r="G280" s="61" t="s">
        <v>392</v>
      </c>
      <c r="H280" s="82"/>
      <c r="I280" s="64"/>
      <c r="J280" s="64"/>
      <c r="K280" s="64"/>
      <c r="L280" s="61"/>
      <c r="M280" s="100"/>
      <c r="N280" s="100"/>
    </row>
    <row r="281" ht="15.6" spans="1:14">
      <c r="A281" s="95"/>
      <c r="B281" s="69" t="s">
        <v>5237</v>
      </c>
      <c r="C281" s="96" t="s">
        <v>229</v>
      </c>
      <c r="D281" s="61" t="s">
        <v>5238</v>
      </c>
      <c r="E281" s="64" t="s">
        <v>422</v>
      </c>
      <c r="F281" s="69" t="s">
        <v>5237</v>
      </c>
      <c r="G281" s="61" t="s">
        <v>392</v>
      </c>
      <c r="H281" s="82"/>
      <c r="I281" s="64"/>
      <c r="J281" s="64"/>
      <c r="K281" s="64"/>
      <c r="L281" s="61"/>
      <c r="M281" s="100"/>
      <c r="N281" s="100"/>
    </row>
    <row r="282" ht="15.6" spans="1:14">
      <c r="A282" s="95"/>
      <c r="B282" s="69" t="s">
        <v>5239</v>
      </c>
      <c r="C282" s="96" t="s">
        <v>229</v>
      </c>
      <c r="D282" s="61" t="s">
        <v>5240</v>
      </c>
      <c r="E282" s="64" t="s">
        <v>422</v>
      </c>
      <c r="F282" s="69" t="s">
        <v>5239</v>
      </c>
      <c r="G282" s="61" t="s">
        <v>392</v>
      </c>
      <c r="H282" s="82"/>
      <c r="I282" s="64"/>
      <c r="J282" s="64"/>
      <c r="K282" s="64"/>
      <c r="L282" s="61"/>
      <c r="M282" s="100"/>
      <c r="N282" s="100"/>
    </row>
    <row r="283" ht="15.6" spans="1:14">
      <c r="A283" s="95"/>
      <c r="B283" s="69" t="s">
        <v>5241</v>
      </c>
      <c r="C283" s="96" t="s">
        <v>229</v>
      </c>
      <c r="D283" s="61" t="s">
        <v>5242</v>
      </c>
      <c r="E283" s="64" t="s">
        <v>422</v>
      </c>
      <c r="F283" s="69" t="s">
        <v>5241</v>
      </c>
      <c r="G283" s="61" t="s">
        <v>392</v>
      </c>
      <c r="H283" s="82"/>
      <c r="I283" s="64"/>
      <c r="J283" s="64"/>
      <c r="K283" s="64"/>
      <c r="L283" s="61"/>
      <c r="M283" s="100"/>
      <c r="N283" s="100"/>
    </row>
    <row r="284" ht="15.6" spans="1:14">
      <c r="A284" s="95"/>
      <c r="B284" s="69" t="s">
        <v>5243</v>
      </c>
      <c r="C284" s="96" t="s">
        <v>1349</v>
      </c>
      <c r="D284" s="61" t="s">
        <v>5244</v>
      </c>
      <c r="E284" s="64" t="s">
        <v>422</v>
      </c>
      <c r="F284" s="69" t="s">
        <v>5243</v>
      </c>
      <c r="G284" s="61" t="s">
        <v>392</v>
      </c>
      <c r="H284" s="82"/>
      <c r="I284" s="64"/>
      <c r="J284" s="64"/>
      <c r="K284" s="64"/>
      <c r="L284" s="61"/>
      <c r="M284" s="100"/>
      <c r="N284" s="100"/>
    </row>
    <row r="285" ht="15.6" spans="1:14">
      <c r="A285" s="95"/>
      <c r="B285" s="69" t="s">
        <v>5245</v>
      </c>
      <c r="C285" s="96" t="s">
        <v>1349</v>
      </c>
      <c r="D285" s="61" t="s">
        <v>5246</v>
      </c>
      <c r="E285" s="64" t="s">
        <v>422</v>
      </c>
      <c r="F285" s="69" t="s">
        <v>5245</v>
      </c>
      <c r="G285" s="61" t="s">
        <v>392</v>
      </c>
      <c r="H285" s="82"/>
      <c r="I285" s="64"/>
      <c r="J285" s="64"/>
      <c r="K285" s="64"/>
      <c r="L285" s="61"/>
      <c r="M285" s="100"/>
      <c r="N285" s="100"/>
    </row>
    <row r="286" ht="15.6" spans="1:14">
      <c r="A286" s="95"/>
      <c r="B286" s="69" t="s">
        <v>5247</v>
      </c>
      <c r="C286" s="96" t="s">
        <v>1349</v>
      </c>
      <c r="D286" s="61" t="s">
        <v>5248</v>
      </c>
      <c r="E286" s="64" t="s">
        <v>422</v>
      </c>
      <c r="F286" s="69" t="s">
        <v>5247</v>
      </c>
      <c r="G286" s="61" t="s">
        <v>392</v>
      </c>
      <c r="H286" s="82"/>
      <c r="I286" s="64"/>
      <c r="J286" s="64"/>
      <c r="K286" s="64"/>
      <c r="L286" s="61"/>
      <c r="M286" s="100"/>
      <c r="N286" s="100"/>
    </row>
    <row r="287" ht="15.6" spans="1:14">
      <c r="A287" s="95"/>
      <c r="B287" s="69" t="s">
        <v>5249</v>
      </c>
      <c r="C287" s="96" t="s">
        <v>1349</v>
      </c>
      <c r="D287" s="61" t="s">
        <v>5250</v>
      </c>
      <c r="E287" s="64" t="s">
        <v>422</v>
      </c>
      <c r="F287" s="69" t="s">
        <v>5249</v>
      </c>
      <c r="G287" s="61" t="s">
        <v>392</v>
      </c>
      <c r="H287" s="82"/>
      <c r="I287" s="64"/>
      <c r="J287" s="64"/>
      <c r="K287" s="64"/>
      <c r="L287" s="61"/>
      <c r="M287" s="100"/>
      <c r="N287" s="100"/>
    </row>
    <row r="288" ht="15.6" spans="1:14">
      <c r="A288" s="95"/>
      <c r="B288" s="69" t="s">
        <v>5251</v>
      </c>
      <c r="C288" s="96" t="s">
        <v>229</v>
      </c>
      <c r="D288" s="61" t="s">
        <v>5252</v>
      </c>
      <c r="E288" s="64" t="s">
        <v>422</v>
      </c>
      <c r="F288" s="69" t="s">
        <v>5251</v>
      </c>
      <c r="G288" s="61" t="s">
        <v>392</v>
      </c>
      <c r="H288" s="82"/>
      <c r="I288" s="64"/>
      <c r="J288" s="64"/>
      <c r="K288" s="64"/>
      <c r="L288" s="61"/>
      <c r="M288" s="100"/>
      <c r="N288" s="100"/>
    </row>
    <row r="289" ht="15.6" spans="1:14">
      <c r="A289" s="95"/>
      <c r="B289" s="69" t="s">
        <v>5253</v>
      </c>
      <c r="C289" s="96" t="s">
        <v>229</v>
      </c>
      <c r="D289" s="61" t="s">
        <v>5254</v>
      </c>
      <c r="E289" s="64" t="s">
        <v>422</v>
      </c>
      <c r="F289" s="69" t="s">
        <v>5253</v>
      </c>
      <c r="G289" s="61" t="s">
        <v>392</v>
      </c>
      <c r="H289" s="82"/>
      <c r="I289" s="64"/>
      <c r="J289" s="64"/>
      <c r="K289" s="64"/>
      <c r="L289" s="61"/>
      <c r="M289" s="100"/>
      <c r="N289" s="100"/>
    </row>
    <row r="290" ht="15.6" spans="1:14">
      <c r="A290" s="95"/>
      <c r="B290" s="69" t="s">
        <v>5255</v>
      </c>
      <c r="C290" s="96" t="s">
        <v>229</v>
      </c>
      <c r="D290" s="61" t="s">
        <v>5256</v>
      </c>
      <c r="E290" s="64" t="s">
        <v>422</v>
      </c>
      <c r="F290" s="69" t="s">
        <v>5255</v>
      </c>
      <c r="G290" s="61" t="s">
        <v>392</v>
      </c>
      <c r="H290" s="82"/>
      <c r="I290" s="64"/>
      <c r="J290" s="64"/>
      <c r="K290" s="64"/>
      <c r="L290" s="61"/>
      <c r="M290" s="100"/>
      <c r="N290" s="100"/>
    </row>
    <row r="291" ht="15.6" spans="1:14">
      <c r="A291" s="95"/>
      <c r="B291" s="69" t="s">
        <v>5257</v>
      </c>
      <c r="C291" s="96" t="s">
        <v>229</v>
      </c>
      <c r="D291" s="61" t="s">
        <v>5258</v>
      </c>
      <c r="E291" s="64" t="s">
        <v>422</v>
      </c>
      <c r="F291" s="69" t="s">
        <v>5257</v>
      </c>
      <c r="G291" s="61" t="s">
        <v>392</v>
      </c>
      <c r="H291" s="82"/>
      <c r="I291" s="64"/>
      <c r="J291" s="64"/>
      <c r="K291" s="64"/>
      <c r="L291" s="61"/>
      <c r="M291" s="100"/>
      <c r="N291" s="100"/>
    </row>
    <row r="292" ht="15.6" spans="1:14">
      <c r="A292" s="95"/>
      <c r="B292" s="69" t="s">
        <v>5259</v>
      </c>
      <c r="C292" s="96" t="s">
        <v>229</v>
      </c>
      <c r="D292" s="61" t="s">
        <v>5260</v>
      </c>
      <c r="E292" s="64" t="s">
        <v>422</v>
      </c>
      <c r="F292" s="69" t="s">
        <v>5259</v>
      </c>
      <c r="G292" s="61" t="s">
        <v>392</v>
      </c>
      <c r="H292" s="82"/>
      <c r="I292" s="64"/>
      <c r="J292" s="64"/>
      <c r="K292" s="64"/>
      <c r="L292" s="61"/>
      <c r="M292" s="100"/>
      <c r="N292" s="100"/>
    </row>
    <row r="293" ht="15.6" spans="1:14">
      <c r="A293" s="95"/>
      <c r="B293" s="69" t="s">
        <v>5261</v>
      </c>
      <c r="C293" s="96" t="s">
        <v>229</v>
      </c>
      <c r="D293" s="61" t="s">
        <v>5262</v>
      </c>
      <c r="E293" s="64" t="s">
        <v>422</v>
      </c>
      <c r="F293" s="69" t="s">
        <v>5261</v>
      </c>
      <c r="G293" s="61" t="s">
        <v>392</v>
      </c>
      <c r="H293" s="82"/>
      <c r="I293" s="64"/>
      <c r="J293" s="64"/>
      <c r="K293" s="64"/>
      <c r="L293" s="61"/>
      <c r="M293" s="100"/>
      <c r="N293" s="100"/>
    </row>
    <row r="294" ht="15.6" spans="1:14">
      <c r="A294" s="95"/>
      <c r="B294" s="69" t="s">
        <v>5263</v>
      </c>
      <c r="C294" s="96" t="s">
        <v>229</v>
      </c>
      <c r="D294" s="61" t="s">
        <v>5264</v>
      </c>
      <c r="E294" s="64" t="s">
        <v>422</v>
      </c>
      <c r="F294" s="69" t="s">
        <v>5263</v>
      </c>
      <c r="G294" s="61" t="s">
        <v>392</v>
      </c>
      <c r="H294" s="82"/>
      <c r="I294" s="64"/>
      <c r="J294" s="64"/>
      <c r="K294" s="64"/>
      <c r="L294" s="61"/>
      <c r="M294" s="100"/>
      <c r="N294" s="100"/>
    </row>
    <row r="295" ht="15.6" spans="1:14">
      <c r="A295" s="95"/>
      <c r="B295" s="69" t="s">
        <v>5265</v>
      </c>
      <c r="C295" s="96" t="s">
        <v>229</v>
      </c>
      <c r="D295" s="61" t="s">
        <v>5266</v>
      </c>
      <c r="E295" s="64" t="s">
        <v>422</v>
      </c>
      <c r="F295" s="69" t="s">
        <v>5265</v>
      </c>
      <c r="G295" s="61" t="s">
        <v>392</v>
      </c>
      <c r="H295" s="82"/>
      <c r="I295" s="64"/>
      <c r="J295" s="64"/>
      <c r="K295" s="64"/>
      <c r="L295" s="61"/>
      <c r="M295" s="100"/>
      <c r="N295" s="100"/>
    </row>
    <row r="296" ht="15.6" spans="1:14">
      <c r="A296" s="95"/>
      <c r="B296" s="69" t="s">
        <v>5267</v>
      </c>
      <c r="C296" s="96" t="s">
        <v>229</v>
      </c>
      <c r="D296" s="61" t="s">
        <v>5268</v>
      </c>
      <c r="E296" s="64" t="s">
        <v>422</v>
      </c>
      <c r="F296" s="69" t="s">
        <v>5267</v>
      </c>
      <c r="G296" s="61" t="s">
        <v>392</v>
      </c>
      <c r="H296" s="82"/>
      <c r="I296" s="64"/>
      <c r="J296" s="64"/>
      <c r="K296" s="64"/>
      <c r="L296" s="61"/>
      <c r="M296" s="100"/>
      <c r="N296" s="100"/>
    </row>
    <row r="297" ht="15.6" spans="1:14">
      <c r="A297" s="95"/>
      <c r="B297" s="69" t="s">
        <v>5269</v>
      </c>
      <c r="C297" s="96" t="s">
        <v>229</v>
      </c>
      <c r="D297" s="61" t="s">
        <v>5270</v>
      </c>
      <c r="E297" s="64" t="s">
        <v>422</v>
      </c>
      <c r="F297" s="69" t="s">
        <v>5269</v>
      </c>
      <c r="G297" s="61" t="s">
        <v>392</v>
      </c>
      <c r="H297" s="82"/>
      <c r="I297" s="64"/>
      <c r="J297" s="64"/>
      <c r="K297" s="64"/>
      <c r="L297" s="61"/>
      <c r="M297" s="100"/>
      <c r="N297" s="100"/>
    </row>
    <row r="298" ht="15.6" spans="1:14">
      <c r="A298" s="95"/>
      <c r="B298" s="69" t="s">
        <v>5271</v>
      </c>
      <c r="C298" s="96" t="s">
        <v>229</v>
      </c>
      <c r="D298" s="61" t="s">
        <v>5272</v>
      </c>
      <c r="E298" s="64" t="s">
        <v>422</v>
      </c>
      <c r="F298" s="69" t="s">
        <v>5271</v>
      </c>
      <c r="G298" s="61" t="s">
        <v>392</v>
      </c>
      <c r="H298" s="82"/>
      <c r="I298" s="64"/>
      <c r="J298" s="64"/>
      <c r="K298" s="64"/>
      <c r="L298" s="61"/>
      <c r="M298" s="100"/>
      <c r="N298" s="100"/>
    </row>
    <row r="299" ht="15.6" spans="1:14">
      <c r="A299" s="95"/>
      <c r="B299" s="69" t="s">
        <v>5273</v>
      </c>
      <c r="C299" s="96" t="s">
        <v>229</v>
      </c>
      <c r="D299" s="61" t="s">
        <v>5274</v>
      </c>
      <c r="E299" s="64" t="s">
        <v>422</v>
      </c>
      <c r="F299" s="69" t="s">
        <v>5273</v>
      </c>
      <c r="G299" s="61" t="s">
        <v>392</v>
      </c>
      <c r="H299" s="82"/>
      <c r="I299" s="64"/>
      <c r="J299" s="64"/>
      <c r="K299" s="64"/>
      <c r="L299" s="61"/>
      <c r="M299" s="100"/>
      <c r="N299" s="100"/>
    </row>
    <row r="300" ht="15.6" spans="1:14">
      <c r="A300" s="95"/>
      <c r="B300" s="69" t="s">
        <v>5275</v>
      </c>
      <c r="C300" s="96" t="s">
        <v>229</v>
      </c>
      <c r="D300" s="61" t="s">
        <v>5276</v>
      </c>
      <c r="E300" s="64" t="s">
        <v>422</v>
      </c>
      <c r="F300" s="69" t="s">
        <v>5275</v>
      </c>
      <c r="G300" s="61" t="s">
        <v>392</v>
      </c>
      <c r="H300" s="82"/>
      <c r="I300" s="64"/>
      <c r="J300" s="64"/>
      <c r="K300" s="64"/>
      <c r="L300" s="61"/>
      <c r="M300" s="100"/>
      <c r="N300" s="100"/>
    </row>
    <row r="301" ht="15.6" spans="1:14">
      <c r="A301" s="95"/>
      <c r="B301" s="69" t="s">
        <v>5277</v>
      </c>
      <c r="C301" s="96" t="s">
        <v>229</v>
      </c>
      <c r="D301" s="61" t="s">
        <v>5278</v>
      </c>
      <c r="E301" s="64" t="s">
        <v>422</v>
      </c>
      <c r="F301" s="69" t="s">
        <v>5277</v>
      </c>
      <c r="G301" s="61" t="s">
        <v>392</v>
      </c>
      <c r="H301" s="82"/>
      <c r="I301" s="64"/>
      <c r="J301" s="64"/>
      <c r="K301" s="64"/>
      <c r="L301" s="61"/>
      <c r="M301" s="100"/>
      <c r="N301" s="100"/>
    </row>
    <row r="302" ht="15.6" spans="1:14">
      <c r="A302" s="95"/>
      <c r="B302" s="69" t="s">
        <v>5279</v>
      </c>
      <c r="C302" s="96" t="s">
        <v>229</v>
      </c>
      <c r="D302" s="61" t="s">
        <v>5280</v>
      </c>
      <c r="E302" s="64" t="s">
        <v>422</v>
      </c>
      <c r="F302" s="69" t="s">
        <v>5279</v>
      </c>
      <c r="G302" s="61" t="s">
        <v>392</v>
      </c>
      <c r="H302" s="82"/>
      <c r="I302" s="64"/>
      <c r="J302" s="64"/>
      <c r="K302" s="64"/>
      <c r="L302" s="61"/>
      <c r="M302" s="100"/>
      <c r="N302" s="100"/>
    </row>
    <row r="303" ht="15.6" spans="1:14">
      <c r="A303" s="95"/>
      <c r="B303" s="69" t="s">
        <v>5281</v>
      </c>
      <c r="C303" s="96" t="s">
        <v>229</v>
      </c>
      <c r="D303" s="61" t="s">
        <v>5282</v>
      </c>
      <c r="E303" s="64" t="s">
        <v>422</v>
      </c>
      <c r="F303" s="69" t="s">
        <v>5281</v>
      </c>
      <c r="G303" s="61" t="s">
        <v>392</v>
      </c>
      <c r="H303" s="82"/>
      <c r="I303" s="64"/>
      <c r="J303" s="64"/>
      <c r="K303" s="64"/>
      <c r="L303" s="61"/>
      <c r="M303" s="100"/>
      <c r="N303" s="100"/>
    </row>
    <row r="304" ht="15.6" spans="1:14">
      <c r="A304" s="95"/>
      <c r="B304" s="69" t="s">
        <v>5283</v>
      </c>
      <c r="C304" s="96" t="s">
        <v>229</v>
      </c>
      <c r="D304" s="61" t="s">
        <v>5284</v>
      </c>
      <c r="E304" s="64" t="s">
        <v>422</v>
      </c>
      <c r="F304" s="69" t="s">
        <v>5283</v>
      </c>
      <c r="G304" s="61" t="s">
        <v>392</v>
      </c>
      <c r="H304" s="82"/>
      <c r="I304" s="64"/>
      <c r="J304" s="64"/>
      <c r="K304" s="64"/>
      <c r="L304" s="61"/>
      <c r="M304" s="100"/>
      <c r="N304" s="100"/>
    </row>
    <row r="305" ht="15.6" spans="1:14">
      <c r="A305" s="95"/>
      <c r="B305" s="69" t="s">
        <v>5285</v>
      </c>
      <c r="C305" s="96" t="s">
        <v>229</v>
      </c>
      <c r="D305" s="61" t="s">
        <v>5286</v>
      </c>
      <c r="E305" s="64" t="s">
        <v>422</v>
      </c>
      <c r="F305" s="69" t="s">
        <v>5285</v>
      </c>
      <c r="G305" s="61" t="s">
        <v>392</v>
      </c>
      <c r="H305" s="82"/>
      <c r="I305" s="64"/>
      <c r="J305" s="64"/>
      <c r="K305" s="64"/>
      <c r="L305" s="61"/>
      <c r="M305" s="100"/>
      <c r="N305" s="100"/>
    </row>
    <row r="306" ht="15.6" spans="1:14">
      <c r="A306" s="95"/>
      <c r="B306" s="69" t="s">
        <v>5287</v>
      </c>
      <c r="C306" s="96" t="s">
        <v>229</v>
      </c>
      <c r="D306" s="61" t="s">
        <v>5288</v>
      </c>
      <c r="E306" s="64" t="s">
        <v>422</v>
      </c>
      <c r="F306" s="69" t="s">
        <v>5287</v>
      </c>
      <c r="G306" s="61" t="s">
        <v>392</v>
      </c>
      <c r="H306" s="82"/>
      <c r="I306" s="64"/>
      <c r="J306" s="64"/>
      <c r="K306" s="64"/>
      <c r="L306" s="61"/>
      <c r="M306" s="100"/>
      <c r="N306" s="100"/>
    </row>
    <row r="307" ht="15.6" spans="1:14">
      <c r="A307" s="95"/>
      <c r="B307" s="69" t="s">
        <v>5289</v>
      </c>
      <c r="C307" s="96" t="s">
        <v>229</v>
      </c>
      <c r="D307" s="61" t="s">
        <v>5290</v>
      </c>
      <c r="E307" s="64" t="s">
        <v>422</v>
      </c>
      <c r="F307" s="69" t="s">
        <v>5289</v>
      </c>
      <c r="G307" s="61" t="s">
        <v>392</v>
      </c>
      <c r="H307" s="82"/>
      <c r="I307" s="64"/>
      <c r="J307" s="64"/>
      <c r="K307" s="64"/>
      <c r="L307" s="61"/>
      <c r="M307" s="100"/>
      <c r="N307" s="100"/>
    </row>
    <row r="308" ht="15.6" spans="1:14">
      <c r="A308" s="95"/>
      <c r="B308" s="69" t="s">
        <v>5291</v>
      </c>
      <c r="C308" s="96" t="s">
        <v>229</v>
      </c>
      <c r="D308" s="61" t="s">
        <v>5292</v>
      </c>
      <c r="E308" s="64" t="s">
        <v>422</v>
      </c>
      <c r="F308" s="69" t="s">
        <v>5291</v>
      </c>
      <c r="G308" s="61" t="s">
        <v>392</v>
      </c>
      <c r="H308" s="82"/>
      <c r="I308" s="64"/>
      <c r="J308" s="64"/>
      <c r="K308" s="64"/>
      <c r="L308" s="61"/>
      <c r="M308" s="100"/>
      <c r="N308" s="100"/>
    </row>
    <row r="309" ht="15.6" spans="1:14">
      <c r="A309" s="95"/>
      <c r="B309" s="69" t="s">
        <v>5293</v>
      </c>
      <c r="C309" s="96" t="s">
        <v>229</v>
      </c>
      <c r="D309" s="61" t="s">
        <v>5294</v>
      </c>
      <c r="E309" s="64" t="s">
        <v>422</v>
      </c>
      <c r="F309" s="69" t="s">
        <v>5293</v>
      </c>
      <c r="G309" s="61" t="s">
        <v>392</v>
      </c>
      <c r="H309" s="82"/>
      <c r="I309" s="64"/>
      <c r="J309" s="64"/>
      <c r="K309" s="64"/>
      <c r="L309" s="61"/>
      <c r="M309" s="100"/>
      <c r="N309" s="100"/>
    </row>
    <row r="310" ht="15.6" spans="1:14">
      <c r="A310" s="95"/>
      <c r="B310" s="69" t="s">
        <v>5295</v>
      </c>
      <c r="C310" s="96" t="s">
        <v>229</v>
      </c>
      <c r="D310" s="61" t="s">
        <v>5296</v>
      </c>
      <c r="E310" s="64" t="s">
        <v>422</v>
      </c>
      <c r="F310" s="69" t="s">
        <v>5295</v>
      </c>
      <c r="G310" s="61" t="s">
        <v>392</v>
      </c>
      <c r="H310" s="82"/>
      <c r="I310" s="64"/>
      <c r="J310" s="64"/>
      <c r="K310" s="64"/>
      <c r="L310" s="61"/>
      <c r="M310" s="100"/>
      <c r="N310" s="100"/>
    </row>
    <row r="311" ht="15.6" spans="1:14">
      <c r="A311" s="95"/>
      <c r="B311" s="69" t="s">
        <v>5297</v>
      </c>
      <c r="C311" s="96" t="s">
        <v>229</v>
      </c>
      <c r="D311" s="61" t="s">
        <v>5298</v>
      </c>
      <c r="E311" s="64" t="s">
        <v>422</v>
      </c>
      <c r="F311" s="69" t="s">
        <v>5297</v>
      </c>
      <c r="G311" s="61" t="s">
        <v>392</v>
      </c>
      <c r="H311" s="82"/>
      <c r="I311" s="64"/>
      <c r="J311" s="64"/>
      <c r="K311" s="64"/>
      <c r="L311" s="61"/>
      <c r="M311" s="100"/>
      <c r="N311" s="100"/>
    </row>
    <row r="312" ht="15.6" spans="1:14">
      <c r="A312" s="95"/>
      <c r="B312" s="69" t="s">
        <v>5299</v>
      </c>
      <c r="C312" s="96" t="s">
        <v>229</v>
      </c>
      <c r="D312" s="61" t="s">
        <v>5300</v>
      </c>
      <c r="E312" s="64" t="s">
        <v>422</v>
      </c>
      <c r="F312" s="69" t="s">
        <v>5299</v>
      </c>
      <c r="G312" s="61" t="s">
        <v>392</v>
      </c>
      <c r="H312" s="82"/>
      <c r="I312" s="64"/>
      <c r="J312" s="64"/>
      <c r="K312" s="64"/>
      <c r="L312" s="61"/>
      <c r="M312" s="100"/>
      <c r="N312" s="100"/>
    </row>
    <row r="313" ht="15.6" spans="1:14">
      <c r="A313" s="95"/>
      <c r="B313" s="69" t="s">
        <v>5301</v>
      </c>
      <c r="C313" s="96" t="s">
        <v>229</v>
      </c>
      <c r="D313" s="61" t="s">
        <v>5302</v>
      </c>
      <c r="E313" s="64" t="s">
        <v>422</v>
      </c>
      <c r="F313" s="69" t="s">
        <v>5301</v>
      </c>
      <c r="G313" s="61" t="s">
        <v>392</v>
      </c>
      <c r="H313" s="82"/>
      <c r="I313" s="64"/>
      <c r="J313" s="64"/>
      <c r="K313" s="64"/>
      <c r="L313" s="61"/>
      <c r="M313" s="100"/>
      <c r="N313" s="100"/>
    </row>
    <row r="314" ht="15.6" spans="1:14">
      <c r="A314" s="95"/>
      <c r="B314" s="69" t="s">
        <v>5303</v>
      </c>
      <c r="C314" s="96" t="s">
        <v>229</v>
      </c>
      <c r="D314" s="61" t="s">
        <v>5304</v>
      </c>
      <c r="E314" s="64" t="s">
        <v>422</v>
      </c>
      <c r="F314" s="69" t="s">
        <v>5303</v>
      </c>
      <c r="G314" s="61" t="s">
        <v>392</v>
      </c>
      <c r="H314" s="82"/>
      <c r="I314" s="64"/>
      <c r="J314" s="64"/>
      <c r="K314" s="64"/>
      <c r="L314" s="61"/>
      <c r="M314" s="100"/>
      <c r="N314" s="100"/>
    </row>
    <row r="315" ht="15.6" spans="1:14">
      <c r="A315" s="95"/>
      <c r="B315" s="69" t="s">
        <v>5305</v>
      </c>
      <c r="C315" s="96" t="s">
        <v>229</v>
      </c>
      <c r="D315" s="61" t="s">
        <v>5306</v>
      </c>
      <c r="E315" s="64" t="s">
        <v>422</v>
      </c>
      <c r="F315" s="69" t="s">
        <v>5305</v>
      </c>
      <c r="G315" s="61" t="s">
        <v>392</v>
      </c>
      <c r="H315" s="82"/>
      <c r="I315" s="64"/>
      <c r="J315" s="64"/>
      <c r="K315" s="64"/>
      <c r="L315" s="61"/>
      <c r="M315" s="100"/>
      <c r="N315" s="100"/>
    </row>
    <row r="316" ht="15.6" spans="1:14">
      <c r="A316" s="95"/>
      <c r="B316" s="69" t="s">
        <v>5307</v>
      </c>
      <c r="C316" s="96" t="s">
        <v>229</v>
      </c>
      <c r="D316" s="61" t="s">
        <v>5308</v>
      </c>
      <c r="E316" s="64" t="s">
        <v>422</v>
      </c>
      <c r="F316" s="69" t="s">
        <v>5307</v>
      </c>
      <c r="G316" s="61" t="s">
        <v>392</v>
      </c>
      <c r="H316" s="82"/>
      <c r="I316" s="64"/>
      <c r="J316" s="64"/>
      <c r="K316" s="64"/>
      <c r="L316" s="61"/>
      <c r="M316" s="100"/>
      <c r="N316" s="100"/>
    </row>
    <row r="317" ht="15.6" spans="1:14">
      <c r="A317" s="95"/>
      <c r="B317" s="69" t="s">
        <v>5309</v>
      </c>
      <c r="C317" s="96" t="s">
        <v>229</v>
      </c>
      <c r="D317" s="61" t="s">
        <v>5310</v>
      </c>
      <c r="E317" s="64" t="s">
        <v>422</v>
      </c>
      <c r="F317" s="69" t="s">
        <v>5309</v>
      </c>
      <c r="G317" s="61" t="s">
        <v>392</v>
      </c>
      <c r="H317" s="82"/>
      <c r="I317" s="64"/>
      <c r="J317" s="64"/>
      <c r="K317" s="64"/>
      <c r="L317" s="61"/>
      <c r="M317" s="100"/>
      <c r="N317" s="100"/>
    </row>
    <row r="318" ht="15.6" spans="1:14">
      <c r="A318" s="95"/>
      <c r="B318" s="69" t="s">
        <v>5311</v>
      </c>
      <c r="C318" s="96" t="s">
        <v>229</v>
      </c>
      <c r="D318" s="61" t="s">
        <v>5312</v>
      </c>
      <c r="E318" s="64" t="s">
        <v>422</v>
      </c>
      <c r="F318" s="69" t="s">
        <v>5311</v>
      </c>
      <c r="G318" s="61" t="s">
        <v>392</v>
      </c>
      <c r="H318" s="82"/>
      <c r="I318" s="64"/>
      <c r="J318" s="64"/>
      <c r="K318" s="64"/>
      <c r="L318" s="61"/>
      <c r="M318" s="100"/>
      <c r="N318" s="100"/>
    </row>
    <row r="319" ht="15.6" spans="1:14">
      <c r="A319" s="95"/>
      <c r="B319" s="69" t="s">
        <v>5313</v>
      </c>
      <c r="C319" s="96" t="s">
        <v>1349</v>
      </c>
      <c r="D319" s="61" t="s">
        <v>5314</v>
      </c>
      <c r="E319" s="64" t="s">
        <v>422</v>
      </c>
      <c r="F319" s="69" t="s">
        <v>5313</v>
      </c>
      <c r="G319" s="61" t="s">
        <v>392</v>
      </c>
      <c r="H319" s="82"/>
      <c r="I319" s="64"/>
      <c r="J319" s="64"/>
      <c r="K319" s="64"/>
      <c r="L319" s="61"/>
      <c r="M319" s="100"/>
      <c r="N319" s="100"/>
    </row>
    <row r="320" ht="15.6" spans="1:14">
      <c r="A320" s="95"/>
      <c r="B320" s="69" t="s">
        <v>5315</v>
      </c>
      <c r="C320" s="96" t="s">
        <v>1349</v>
      </c>
      <c r="D320" s="61" t="s">
        <v>5316</v>
      </c>
      <c r="E320" s="64" t="s">
        <v>422</v>
      </c>
      <c r="F320" s="69" t="s">
        <v>5315</v>
      </c>
      <c r="G320" s="61" t="s">
        <v>392</v>
      </c>
      <c r="H320" s="82"/>
      <c r="I320" s="64"/>
      <c r="J320" s="64"/>
      <c r="K320" s="64"/>
      <c r="L320" s="61"/>
      <c r="M320" s="100"/>
      <c r="N320" s="100"/>
    </row>
    <row r="321" ht="15.6" spans="1:14">
      <c r="A321" s="95"/>
      <c r="B321" s="69" t="s">
        <v>5317</v>
      </c>
      <c r="C321" s="96" t="s">
        <v>1349</v>
      </c>
      <c r="D321" s="61" t="s">
        <v>5318</v>
      </c>
      <c r="E321" s="64" t="s">
        <v>422</v>
      </c>
      <c r="F321" s="69" t="s">
        <v>5317</v>
      </c>
      <c r="G321" s="61" t="s">
        <v>392</v>
      </c>
      <c r="H321" s="82"/>
      <c r="I321" s="64"/>
      <c r="J321" s="64"/>
      <c r="K321" s="64"/>
      <c r="L321" s="61"/>
      <c r="M321" s="100"/>
      <c r="N321" s="100"/>
    </row>
    <row r="322" ht="15.6" spans="1:14">
      <c r="A322" s="95"/>
      <c r="B322" s="69" t="s">
        <v>5319</v>
      </c>
      <c r="C322" s="96" t="s">
        <v>1349</v>
      </c>
      <c r="D322" s="61" t="s">
        <v>5320</v>
      </c>
      <c r="E322" s="64" t="s">
        <v>422</v>
      </c>
      <c r="F322" s="69" t="s">
        <v>5319</v>
      </c>
      <c r="G322" s="61" t="s">
        <v>392</v>
      </c>
      <c r="H322" s="82"/>
      <c r="I322" s="64"/>
      <c r="J322" s="64"/>
      <c r="K322" s="64"/>
      <c r="L322" s="61"/>
      <c r="M322" s="100"/>
      <c r="N322" s="100"/>
    </row>
    <row r="323" ht="15.6" spans="1:14">
      <c r="A323" s="95"/>
      <c r="B323" s="69" t="s">
        <v>5321</v>
      </c>
      <c r="C323" s="96" t="s">
        <v>229</v>
      </c>
      <c r="D323" s="61" t="s">
        <v>5322</v>
      </c>
      <c r="E323" s="64" t="s">
        <v>422</v>
      </c>
      <c r="F323" s="69" t="s">
        <v>5321</v>
      </c>
      <c r="G323" s="61" t="s">
        <v>392</v>
      </c>
      <c r="H323" s="82"/>
      <c r="I323" s="64"/>
      <c r="J323" s="64"/>
      <c r="K323" s="64"/>
      <c r="L323" s="61"/>
      <c r="M323" s="100"/>
      <c r="N323" s="100"/>
    </row>
    <row r="324" ht="15.6" spans="1:14">
      <c r="A324" s="95"/>
      <c r="B324" s="69" t="s">
        <v>5323</v>
      </c>
      <c r="C324" s="96" t="s">
        <v>229</v>
      </c>
      <c r="D324" s="61" t="s">
        <v>5324</v>
      </c>
      <c r="E324" s="64" t="s">
        <v>422</v>
      </c>
      <c r="F324" s="69" t="s">
        <v>5323</v>
      </c>
      <c r="G324" s="61" t="s">
        <v>392</v>
      </c>
      <c r="H324" s="82"/>
      <c r="I324" s="64"/>
      <c r="J324" s="64"/>
      <c r="K324" s="64"/>
      <c r="L324" s="61"/>
      <c r="M324" s="100"/>
      <c r="N324" s="100"/>
    </row>
    <row r="325" ht="15.6" spans="1:14">
      <c r="A325" s="95"/>
      <c r="B325" s="69" t="s">
        <v>5325</v>
      </c>
      <c r="C325" s="96" t="s">
        <v>229</v>
      </c>
      <c r="D325" s="61" t="s">
        <v>5326</v>
      </c>
      <c r="E325" s="64" t="s">
        <v>422</v>
      </c>
      <c r="F325" s="69" t="s">
        <v>5325</v>
      </c>
      <c r="G325" s="61" t="s">
        <v>392</v>
      </c>
      <c r="H325" s="82"/>
      <c r="I325" s="64"/>
      <c r="J325" s="64"/>
      <c r="K325" s="64"/>
      <c r="L325" s="61"/>
      <c r="M325" s="100"/>
      <c r="N325" s="100"/>
    </row>
    <row r="326" ht="15.6" spans="1:14">
      <c r="A326" s="95"/>
      <c r="B326" s="69" t="s">
        <v>5327</v>
      </c>
      <c r="C326" s="96" t="s">
        <v>229</v>
      </c>
      <c r="D326" s="61" t="s">
        <v>5328</v>
      </c>
      <c r="E326" s="64" t="s">
        <v>422</v>
      </c>
      <c r="F326" s="69" t="s">
        <v>5327</v>
      </c>
      <c r="G326" s="61" t="s">
        <v>392</v>
      </c>
      <c r="H326" s="82"/>
      <c r="I326" s="64"/>
      <c r="J326" s="64"/>
      <c r="K326" s="64"/>
      <c r="L326" s="61"/>
      <c r="M326" s="100"/>
      <c r="N326" s="100"/>
    </row>
    <row r="327" ht="15.6" spans="1:14">
      <c r="A327" s="95"/>
      <c r="B327" s="69" t="s">
        <v>5329</v>
      </c>
      <c r="C327" s="96" t="s">
        <v>229</v>
      </c>
      <c r="D327" s="61" t="s">
        <v>5322</v>
      </c>
      <c r="E327" s="64" t="s">
        <v>422</v>
      </c>
      <c r="F327" s="69" t="s">
        <v>5329</v>
      </c>
      <c r="G327" s="61" t="s">
        <v>392</v>
      </c>
      <c r="H327" s="82"/>
      <c r="I327" s="64"/>
      <c r="J327" s="64"/>
      <c r="K327" s="64"/>
      <c r="L327" s="61"/>
      <c r="M327" s="100"/>
      <c r="N327" s="100"/>
    </row>
    <row r="328" ht="15.6" spans="1:14">
      <c r="A328" s="95"/>
      <c r="B328" s="69" t="s">
        <v>5330</v>
      </c>
      <c r="C328" s="96" t="s">
        <v>229</v>
      </c>
      <c r="D328" s="61" t="s">
        <v>5324</v>
      </c>
      <c r="E328" s="64" t="s">
        <v>422</v>
      </c>
      <c r="F328" s="69" t="s">
        <v>5330</v>
      </c>
      <c r="G328" s="61" t="s">
        <v>392</v>
      </c>
      <c r="H328" s="82"/>
      <c r="I328" s="64"/>
      <c r="J328" s="64"/>
      <c r="K328" s="64"/>
      <c r="L328" s="61"/>
      <c r="M328" s="100"/>
      <c r="N328" s="100"/>
    </row>
    <row r="329" ht="15.6" spans="1:14">
      <c r="A329" s="95"/>
      <c r="B329" s="69" t="s">
        <v>5331</v>
      </c>
      <c r="C329" s="96" t="s">
        <v>229</v>
      </c>
      <c r="D329" s="61" t="s">
        <v>5326</v>
      </c>
      <c r="E329" s="64" t="s">
        <v>422</v>
      </c>
      <c r="F329" s="69" t="s">
        <v>5331</v>
      </c>
      <c r="G329" s="61" t="s">
        <v>392</v>
      </c>
      <c r="H329" s="82"/>
      <c r="I329" s="64"/>
      <c r="J329" s="64"/>
      <c r="K329" s="64"/>
      <c r="L329" s="61"/>
      <c r="M329" s="100"/>
      <c r="N329" s="100"/>
    </row>
    <row r="330" ht="15.6" spans="1:14">
      <c r="A330" s="95"/>
      <c r="B330" s="69" t="s">
        <v>5332</v>
      </c>
      <c r="C330" s="96" t="s">
        <v>229</v>
      </c>
      <c r="D330" s="61" t="s">
        <v>5328</v>
      </c>
      <c r="E330" s="64" t="s">
        <v>422</v>
      </c>
      <c r="F330" s="69" t="s">
        <v>5332</v>
      </c>
      <c r="G330" s="61" t="s">
        <v>392</v>
      </c>
      <c r="H330" s="82"/>
      <c r="I330" s="64"/>
      <c r="J330" s="64"/>
      <c r="K330" s="64"/>
      <c r="L330" s="61"/>
      <c r="M330" s="100"/>
      <c r="N330" s="100"/>
    </row>
    <row r="331" ht="15.6" spans="1:14">
      <c r="A331" s="95"/>
      <c r="B331" s="69" t="s">
        <v>5333</v>
      </c>
      <c r="C331" s="96" t="s">
        <v>229</v>
      </c>
      <c r="D331" s="61" t="s">
        <v>5334</v>
      </c>
      <c r="E331" s="64" t="s">
        <v>422</v>
      </c>
      <c r="F331" s="69" t="s">
        <v>5333</v>
      </c>
      <c r="G331" s="61" t="s">
        <v>392</v>
      </c>
      <c r="H331" s="82"/>
      <c r="I331" s="64"/>
      <c r="J331" s="64"/>
      <c r="K331" s="64"/>
      <c r="L331" s="61"/>
      <c r="M331" s="100"/>
      <c r="N331" s="100"/>
    </row>
    <row r="332" ht="15.6" spans="1:14">
      <c r="A332" s="95"/>
      <c r="B332" s="69" t="s">
        <v>5335</v>
      </c>
      <c r="C332" s="96" t="s">
        <v>229</v>
      </c>
      <c r="D332" s="61" t="s">
        <v>5336</v>
      </c>
      <c r="E332" s="64" t="s">
        <v>422</v>
      </c>
      <c r="F332" s="69" t="s">
        <v>5335</v>
      </c>
      <c r="G332" s="61" t="s">
        <v>392</v>
      </c>
      <c r="H332" s="82"/>
      <c r="I332" s="64"/>
      <c r="J332" s="64"/>
      <c r="K332" s="64"/>
      <c r="L332" s="61"/>
      <c r="M332" s="100"/>
      <c r="N332" s="100"/>
    </row>
    <row r="333" ht="15.6" spans="1:14">
      <c r="A333" s="95"/>
      <c r="B333" s="69" t="s">
        <v>5337</v>
      </c>
      <c r="C333" s="96" t="s">
        <v>229</v>
      </c>
      <c r="D333" s="61" t="s">
        <v>5338</v>
      </c>
      <c r="E333" s="64" t="s">
        <v>422</v>
      </c>
      <c r="F333" s="69" t="s">
        <v>5337</v>
      </c>
      <c r="G333" s="61" t="s">
        <v>392</v>
      </c>
      <c r="H333" s="82"/>
      <c r="I333" s="64"/>
      <c r="J333" s="64"/>
      <c r="K333" s="64"/>
      <c r="L333" s="61"/>
      <c r="M333" s="100"/>
      <c r="N333" s="100"/>
    </row>
    <row r="334" ht="15.6" spans="1:14">
      <c r="A334" s="95"/>
      <c r="B334" s="69" t="s">
        <v>5339</v>
      </c>
      <c r="C334" s="96" t="s">
        <v>229</v>
      </c>
      <c r="D334" s="61" t="s">
        <v>5340</v>
      </c>
      <c r="E334" s="64" t="s">
        <v>422</v>
      </c>
      <c r="F334" s="69" t="s">
        <v>5339</v>
      </c>
      <c r="G334" s="61" t="s">
        <v>392</v>
      </c>
      <c r="H334" s="82"/>
      <c r="I334" s="64"/>
      <c r="J334" s="64"/>
      <c r="K334" s="64"/>
      <c r="L334" s="61"/>
      <c r="M334" s="100"/>
      <c r="N334" s="100"/>
    </row>
    <row r="335" ht="15.6" spans="1:14">
      <c r="A335" s="95"/>
      <c r="B335" s="69" t="s">
        <v>5341</v>
      </c>
      <c r="C335" s="96" t="s">
        <v>229</v>
      </c>
      <c r="D335" s="61" t="s">
        <v>5342</v>
      </c>
      <c r="E335" s="64" t="s">
        <v>422</v>
      </c>
      <c r="F335" s="69" t="s">
        <v>5341</v>
      </c>
      <c r="G335" s="61" t="s">
        <v>392</v>
      </c>
      <c r="H335" s="82"/>
      <c r="I335" s="64"/>
      <c r="J335" s="64"/>
      <c r="K335" s="64"/>
      <c r="L335" s="61"/>
      <c r="M335" s="100"/>
      <c r="N335" s="100"/>
    </row>
    <row r="336" ht="15.6" spans="1:14">
      <c r="A336" s="95"/>
      <c r="B336" s="69" t="s">
        <v>5343</v>
      </c>
      <c r="C336" s="96" t="s">
        <v>229</v>
      </c>
      <c r="D336" s="61" t="s">
        <v>5344</v>
      </c>
      <c r="E336" s="64" t="s">
        <v>422</v>
      </c>
      <c r="F336" s="69" t="s">
        <v>5343</v>
      </c>
      <c r="G336" s="61" t="s">
        <v>392</v>
      </c>
      <c r="H336" s="82"/>
      <c r="I336" s="64"/>
      <c r="J336" s="64"/>
      <c r="K336" s="64"/>
      <c r="L336" s="61"/>
      <c r="M336" s="100"/>
      <c r="N336" s="100"/>
    </row>
    <row r="337" ht="15.6" spans="1:14">
      <c r="A337" s="95"/>
      <c r="B337" s="69" t="s">
        <v>5345</v>
      </c>
      <c r="C337" s="96" t="s">
        <v>229</v>
      </c>
      <c r="D337" s="61" t="s">
        <v>5346</v>
      </c>
      <c r="E337" s="64" t="s">
        <v>422</v>
      </c>
      <c r="F337" s="69" t="s">
        <v>5345</v>
      </c>
      <c r="G337" s="61" t="s">
        <v>392</v>
      </c>
      <c r="H337" s="82"/>
      <c r="I337" s="64"/>
      <c r="J337" s="64"/>
      <c r="K337" s="64"/>
      <c r="L337" s="61"/>
      <c r="M337" s="100"/>
      <c r="N337" s="100"/>
    </row>
    <row r="338" ht="15.6" spans="1:14">
      <c r="A338" s="95"/>
      <c r="B338" s="69" t="s">
        <v>5347</v>
      </c>
      <c r="C338" s="96" t="s">
        <v>229</v>
      </c>
      <c r="D338" s="61" t="s">
        <v>5348</v>
      </c>
      <c r="E338" s="64" t="s">
        <v>422</v>
      </c>
      <c r="F338" s="69" t="s">
        <v>5347</v>
      </c>
      <c r="G338" s="61" t="s">
        <v>392</v>
      </c>
      <c r="H338" s="82"/>
      <c r="I338" s="64"/>
      <c r="J338" s="64"/>
      <c r="K338" s="64"/>
      <c r="L338" s="61"/>
      <c r="M338" s="100"/>
      <c r="N338" s="100"/>
    </row>
    <row r="339" ht="15.6" spans="1:14">
      <c r="A339" s="95"/>
      <c r="B339" s="69" t="s">
        <v>5349</v>
      </c>
      <c r="C339" s="96" t="s">
        <v>1349</v>
      </c>
      <c r="D339" s="61" t="s">
        <v>5350</v>
      </c>
      <c r="E339" s="64" t="s">
        <v>422</v>
      </c>
      <c r="F339" s="69"/>
      <c r="G339" s="61" t="s">
        <v>6108</v>
      </c>
      <c r="H339" s="82"/>
      <c r="I339" s="64"/>
      <c r="J339" s="64"/>
      <c r="K339" s="64"/>
      <c r="L339" s="61"/>
      <c r="M339" s="100"/>
      <c r="N339" s="100"/>
    </row>
    <row r="340" ht="15.6" spans="1:14">
      <c r="A340" s="95"/>
      <c r="B340" s="69" t="s">
        <v>5352</v>
      </c>
      <c r="C340" s="96" t="s">
        <v>1349</v>
      </c>
      <c r="D340" s="61" t="s">
        <v>5353</v>
      </c>
      <c r="E340" s="64" t="s">
        <v>422</v>
      </c>
      <c r="F340" s="69"/>
      <c r="G340" s="61" t="s">
        <v>6109</v>
      </c>
      <c r="H340" s="82"/>
      <c r="I340" s="64"/>
      <c r="J340" s="64"/>
      <c r="K340" s="64"/>
      <c r="L340" s="61"/>
      <c r="M340" s="100"/>
      <c r="N340" s="100"/>
    </row>
    <row r="341" ht="15.6" spans="1:14">
      <c r="A341" s="95"/>
      <c r="B341" s="69" t="s">
        <v>5355</v>
      </c>
      <c r="C341" s="96" t="s">
        <v>1349</v>
      </c>
      <c r="D341" s="61" t="s">
        <v>5356</v>
      </c>
      <c r="E341" s="64" t="s">
        <v>422</v>
      </c>
      <c r="F341" s="69"/>
      <c r="G341" s="61" t="s">
        <v>6110</v>
      </c>
      <c r="H341" s="82"/>
      <c r="I341" s="64"/>
      <c r="J341" s="64"/>
      <c r="K341" s="64"/>
      <c r="L341" s="61"/>
      <c r="M341" s="100"/>
      <c r="N341" s="100"/>
    </row>
    <row r="342" ht="15.6" spans="1:14">
      <c r="A342" s="95"/>
      <c r="B342" s="69" t="s">
        <v>5358</v>
      </c>
      <c r="C342" s="96" t="s">
        <v>1349</v>
      </c>
      <c r="D342" s="61" t="s">
        <v>5359</v>
      </c>
      <c r="E342" s="64" t="s">
        <v>422</v>
      </c>
      <c r="F342" s="69"/>
      <c r="G342" s="61" t="s">
        <v>6111</v>
      </c>
      <c r="H342" s="82"/>
      <c r="I342" s="64"/>
      <c r="J342" s="64"/>
      <c r="K342" s="64"/>
      <c r="L342" s="61"/>
      <c r="M342" s="100"/>
      <c r="N342" s="100"/>
    </row>
    <row r="343" ht="15.6" spans="1:14">
      <c r="A343" s="95"/>
      <c r="B343" s="69" t="s">
        <v>5361</v>
      </c>
      <c r="C343" s="96" t="s">
        <v>1349</v>
      </c>
      <c r="D343" s="61" t="s">
        <v>5362</v>
      </c>
      <c r="E343" s="64" t="s">
        <v>422</v>
      </c>
      <c r="F343" s="69"/>
      <c r="G343" s="61" t="s">
        <v>6112</v>
      </c>
      <c r="H343" s="82"/>
      <c r="I343" s="64"/>
      <c r="J343" s="64"/>
      <c r="K343" s="64"/>
      <c r="L343" s="61"/>
      <c r="M343" s="100"/>
      <c r="N343" s="100"/>
    </row>
    <row r="344" ht="15.6" spans="1:14">
      <c r="A344" s="95"/>
      <c r="B344" s="69" t="s">
        <v>5364</v>
      </c>
      <c r="C344" s="96" t="s">
        <v>1349</v>
      </c>
      <c r="D344" s="61" t="s">
        <v>5365</v>
      </c>
      <c r="E344" s="64" t="s">
        <v>422</v>
      </c>
      <c r="F344" s="103"/>
      <c r="G344" s="61" t="s">
        <v>6113</v>
      </c>
      <c r="H344" s="82"/>
      <c r="I344" s="64" t="s">
        <v>5367</v>
      </c>
      <c r="J344" s="64"/>
      <c r="K344" s="64"/>
      <c r="L344" s="61"/>
      <c r="M344" s="100"/>
      <c r="N344" s="100"/>
    </row>
    <row r="345" ht="15.6" spans="1:14">
      <c r="A345" s="95"/>
      <c r="B345" s="69" t="s">
        <v>5368</v>
      </c>
      <c r="C345" s="96" t="s">
        <v>1349</v>
      </c>
      <c r="D345" s="61" t="s">
        <v>5369</v>
      </c>
      <c r="E345" s="64" t="s">
        <v>422</v>
      </c>
      <c r="F345" s="69"/>
      <c r="G345" s="61" t="s">
        <v>6114</v>
      </c>
      <c r="H345" s="82"/>
      <c r="I345" s="64"/>
      <c r="J345" s="64"/>
      <c r="K345" s="64"/>
      <c r="L345" s="61"/>
      <c r="M345" s="100"/>
      <c r="N345" s="100"/>
    </row>
    <row r="346" ht="15.6" spans="1:14">
      <c r="A346" s="95"/>
      <c r="B346" s="69" t="s">
        <v>5371</v>
      </c>
      <c r="C346" s="96" t="s">
        <v>1349</v>
      </c>
      <c r="D346" s="61" t="s">
        <v>5372</v>
      </c>
      <c r="E346" s="64" t="s">
        <v>422</v>
      </c>
      <c r="F346" s="69"/>
      <c r="G346" s="61" t="s">
        <v>6115</v>
      </c>
      <c r="H346" s="82"/>
      <c r="I346" s="64"/>
      <c r="J346" s="64"/>
      <c r="K346" s="64"/>
      <c r="L346" s="61"/>
      <c r="M346" s="100"/>
      <c r="N346" s="100"/>
    </row>
    <row r="347" ht="15.6" spans="1:14">
      <c r="A347" s="95"/>
      <c r="B347" s="69" t="s">
        <v>5374</v>
      </c>
      <c r="C347" s="96" t="s">
        <v>1349</v>
      </c>
      <c r="D347" s="61" t="s">
        <v>5151</v>
      </c>
      <c r="E347" s="64" t="s">
        <v>422</v>
      </c>
      <c r="F347" s="69"/>
      <c r="G347" s="61" t="s">
        <v>6102</v>
      </c>
      <c r="H347" s="82"/>
      <c r="I347" s="64"/>
      <c r="J347" s="64"/>
      <c r="K347" s="64"/>
      <c r="L347" s="61"/>
      <c r="M347" s="100"/>
      <c r="N347" s="100"/>
    </row>
    <row r="348" ht="15.6" spans="1:14">
      <c r="A348" s="95"/>
      <c r="B348" s="69" t="s">
        <v>5375</v>
      </c>
      <c r="C348" s="96" t="s">
        <v>1349</v>
      </c>
      <c r="D348" s="61" t="s">
        <v>5376</v>
      </c>
      <c r="E348" s="64" t="s">
        <v>422</v>
      </c>
      <c r="F348" s="69"/>
      <c r="G348" s="61" t="s">
        <v>6116</v>
      </c>
      <c r="H348" s="82"/>
      <c r="I348" s="64"/>
      <c r="J348" s="64"/>
      <c r="K348" s="64"/>
      <c r="L348" s="61"/>
      <c r="M348" s="100"/>
      <c r="N348" s="100"/>
    </row>
    <row r="349" ht="15.6" spans="1:14">
      <c r="A349" s="95"/>
      <c r="B349" s="69" t="s">
        <v>5378</v>
      </c>
      <c r="C349" s="96" t="s">
        <v>1349</v>
      </c>
      <c r="D349" s="61" t="s">
        <v>5379</v>
      </c>
      <c r="E349" s="64" t="s">
        <v>422</v>
      </c>
      <c r="F349" s="69"/>
      <c r="G349" s="61" t="s">
        <v>6117</v>
      </c>
      <c r="H349" s="82"/>
      <c r="I349" s="64"/>
      <c r="J349" s="64"/>
      <c r="K349" s="64"/>
      <c r="L349" s="61"/>
      <c r="M349" s="100"/>
      <c r="N349" s="100"/>
    </row>
    <row r="350" ht="15.6" spans="1:14">
      <c r="A350" s="95"/>
      <c r="B350" s="69" t="s">
        <v>5381</v>
      </c>
      <c r="C350" s="96" t="s">
        <v>1349</v>
      </c>
      <c r="D350" s="61" t="s">
        <v>5382</v>
      </c>
      <c r="E350" s="64" t="s">
        <v>422</v>
      </c>
      <c r="F350" s="69"/>
      <c r="G350" s="61" t="s">
        <v>6118</v>
      </c>
      <c r="H350" s="82"/>
      <c r="I350" s="64"/>
      <c r="J350" s="64"/>
      <c r="K350" s="64"/>
      <c r="L350" s="61"/>
      <c r="M350" s="100"/>
      <c r="N350" s="100"/>
    </row>
    <row r="351" ht="15.6" spans="1:14">
      <c r="A351" s="95"/>
      <c r="B351" s="69" t="s">
        <v>5384</v>
      </c>
      <c r="C351" s="96" t="s">
        <v>1349</v>
      </c>
      <c r="D351" s="61" t="s">
        <v>5385</v>
      </c>
      <c r="E351" s="64" t="s">
        <v>422</v>
      </c>
      <c r="F351" s="69"/>
      <c r="G351" s="61" t="s">
        <v>6119</v>
      </c>
      <c r="H351" s="82"/>
      <c r="I351" s="64"/>
      <c r="J351" s="64"/>
      <c r="K351" s="64"/>
      <c r="L351" s="61"/>
      <c r="M351" s="100"/>
      <c r="N351" s="100"/>
    </row>
    <row r="352" ht="15.6" spans="1:14">
      <c r="A352" s="95"/>
      <c r="B352" s="69" t="s">
        <v>5387</v>
      </c>
      <c r="C352" s="96" t="s">
        <v>1349</v>
      </c>
      <c r="D352" s="61" t="s">
        <v>5388</v>
      </c>
      <c r="E352" s="64" t="s">
        <v>422</v>
      </c>
      <c r="F352" s="69"/>
      <c r="G352" s="61" t="s">
        <v>6120</v>
      </c>
      <c r="H352" s="82"/>
      <c r="I352" s="64"/>
      <c r="J352" s="64"/>
      <c r="K352" s="64"/>
      <c r="L352" s="61"/>
      <c r="M352" s="100"/>
      <c r="N352" s="100"/>
    </row>
    <row r="353" ht="15.6" spans="1:14">
      <c r="A353" s="95"/>
      <c r="B353" s="69" t="s">
        <v>5390</v>
      </c>
      <c r="C353" s="96" t="s">
        <v>1349</v>
      </c>
      <c r="D353" s="61" t="s">
        <v>5391</v>
      </c>
      <c r="E353" s="64" t="s">
        <v>422</v>
      </c>
      <c r="F353" s="69" t="s">
        <v>5390</v>
      </c>
      <c r="G353" s="69" t="s">
        <v>6035</v>
      </c>
      <c r="H353" s="82"/>
      <c r="I353" s="64"/>
      <c r="J353" s="64"/>
      <c r="K353" s="64"/>
      <c r="L353" s="61"/>
      <c r="M353" s="100"/>
      <c r="N353" s="100"/>
    </row>
    <row r="354" ht="15.6" spans="1:14">
      <c r="A354" s="95"/>
      <c r="B354" s="69" t="s">
        <v>5392</v>
      </c>
      <c r="C354" s="96" t="s">
        <v>1349</v>
      </c>
      <c r="D354" s="61" t="s">
        <v>5393</v>
      </c>
      <c r="E354" s="64" t="s">
        <v>422</v>
      </c>
      <c r="F354" s="69" t="s">
        <v>5392</v>
      </c>
      <c r="G354" s="61" t="s">
        <v>6035</v>
      </c>
      <c r="H354" s="82"/>
      <c r="I354" s="64"/>
      <c r="J354" s="64"/>
      <c r="K354" s="64"/>
      <c r="L354" s="61"/>
      <c r="M354" s="100"/>
      <c r="N354" s="100"/>
    </row>
    <row r="355" ht="15.6" spans="1:14">
      <c r="A355" s="95"/>
      <c r="B355" s="69" t="s">
        <v>5394</v>
      </c>
      <c r="C355" s="96" t="s">
        <v>1349</v>
      </c>
      <c r="D355" s="61" t="s">
        <v>5395</v>
      </c>
      <c r="E355" s="64" t="s">
        <v>422</v>
      </c>
      <c r="F355" s="69" t="s">
        <v>5394</v>
      </c>
      <c r="G355" s="61" t="s">
        <v>392</v>
      </c>
      <c r="H355" s="82"/>
      <c r="I355" s="64"/>
      <c r="J355" s="64"/>
      <c r="K355" s="64"/>
      <c r="L355" s="61"/>
      <c r="M355" s="100"/>
      <c r="N355" s="100"/>
    </row>
    <row r="356" ht="15.6" spans="1:14">
      <c r="A356" s="95"/>
      <c r="B356" s="69" t="s">
        <v>5396</v>
      </c>
      <c r="C356" s="96" t="s">
        <v>1349</v>
      </c>
      <c r="D356" s="61" t="s">
        <v>5397</v>
      </c>
      <c r="E356" s="64" t="s">
        <v>422</v>
      </c>
      <c r="F356" s="69" t="s">
        <v>5396</v>
      </c>
      <c r="G356" s="61" t="s">
        <v>392</v>
      </c>
      <c r="H356" s="82"/>
      <c r="I356" s="64"/>
      <c r="J356" s="64"/>
      <c r="K356" s="64"/>
      <c r="L356" s="61"/>
      <c r="M356" s="100"/>
      <c r="N356" s="100"/>
    </row>
    <row r="357" ht="15.6" spans="1:14">
      <c r="A357" s="95"/>
      <c r="B357" s="69" t="s">
        <v>5398</v>
      </c>
      <c r="C357" s="96" t="s">
        <v>229</v>
      </c>
      <c r="D357" s="61" t="s">
        <v>5399</v>
      </c>
      <c r="E357" s="64" t="s">
        <v>422</v>
      </c>
      <c r="F357" s="69" t="s">
        <v>5398</v>
      </c>
      <c r="G357" s="61" t="s">
        <v>6103</v>
      </c>
      <c r="H357" s="82"/>
      <c r="I357" s="64"/>
      <c r="J357" s="64"/>
      <c r="K357" s="64"/>
      <c r="L357" s="61"/>
      <c r="M357" s="100"/>
      <c r="N357" s="100"/>
    </row>
    <row r="358" ht="15.6" spans="1:14">
      <c r="A358" s="95"/>
      <c r="B358" s="69" t="s">
        <v>5400</v>
      </c>
      <c r="C358" s="96" t="s">
        <v>229</v>
      </c>
      <c r="D358" s="61" t="s">
        <v>5401</v>
      </c>
      <c r="E358" s="64" t="s">
        <v>422</v>
      </c>
      <c r="F358" s="69" t="s">
        <v>5400</v>
      </c>
      <c r="G358" s="61" t="s">
        <v>6103</v>
      </c>
      <c r="H358" s="82"/>
      <c r="I358" s="64"/>
      <c r="J358" s="64"/>
      <c r="K358" s="64"/>
      <c r="L358" s="61"/>
      <c r="M358" s="100"/>
      <c r="N358" s="100"/>
    </row>
    <row r="359" ht="15.6" spans="1:14">
      <c r="A359" s="95"/>
      <c r="B359" s="69" t="s">
        <v>5402</v>
      </c>
      <c r="C359" s="96" t="s">
        <v>1349</v>
      </c>
      <c r="D359" s="61" t="s">
        <v>5403</v>
      </c>
      <c r="E359" s="64" t="s">
        <v>422</v>
      </c>
      <c r="F359" s="69"/>
      <c r="G359" s="61" t="s">
        <v>6121</v>
      </c>
      <c r="H359" s="82"/>
      <c r="I359" s="64"/>
      <c r="J359" s="64"/>
      <c r="K359" s="64"/>
      <c r="L359" s="61"/>
      <c r="M359" s="100"/>
      <c r="N359" s="100"/>
    </row>
    <row r="360" ht="15.6" spans="1:14">
      <c r="A360" s="95"/>
      <c r="B360" s="69" t="s">
        <v>5405</v>
      </c>
      <c r="C360" s="96" t="s">
        <v>1349</v>
      </c>
      <c r="D360" s="61" t="s">
        <v>5406</v>
      </c>
      <c r="E360" s="64" t="s">
        <v>422</v>
      </c>
      <c r="F360" s="69"/>
      <c r="G360" s="61" t="s">
        <v>6122</v>
      </c>
      <c r="H360" s="82"/>
      <c r="I360" s="64"/>
      <c r="J360" s="64"/>
      <c r="K360" s="64"/>
      <c r="L360" s="61"/>
      <c r="M360" s="100"/>
      <c r="N360" s="100"/>
    </row>
    <row r="361" ht="15.6" spans="1:14">
      <c r="A361" s="95"/>
      <c r="B361" s="69" t="s">
        <v>5408</v>
      </c>
      <c r="C361" s="96" t="s">
        <v>1349</v>
      </c>
      <c r="D361" s="61" t="s">
        <v>5409</v>
      </c>
      <c r="E361" s="64" t="s">
        <v>422</v>
      </c>
      <c r="F361" s="69"/>
      <c r="G361" s="61" t="s">
        <v>6123</v>
      </c>
      <c r="H361" s="82"/>
      <c r="I361" s="64"/>
      <c r="J361" s="64"/>
      <c r="K361" s="64"/>
      <c r="L361" s="61"/>
      <c r="M361" s="100"/>
      <c r="N361" s="100"/>
    </row>
    <row r="362" ht="15.6" spans="1:14">
      <c r="A362" s="95"/>
      <c r="B362" s="69" t="s">
        <v>5411</v>
      </c>
      <c r="C362" s="96" t="s">
        <v>1349</v>
      </c>
      <c r="D362" s="61" t="s">
        <v>5412</v>
      </c>
      <c r="E362" s="64" t="s">
        <v>422</v>
      </c>
      <c r="F362" s="69"/>
      <c r="G362" s="61" t="s">
        <v>6124</v>
      </c>
      <c r="H362" s="82"/>
      <c r="I362" s="64"/>
      <c r="J362" s="64"/>
      <c r="K362" s="64"/>
      <c r="L362" s="61"/>
      <c r="M362" s="100"/>
      <c r="N362" s="100"/>
    </row>
    <row r="363" ht="15.6" spans="1:14">
      <c r="A363" s="95"/>
      <c r="B363" s="69" t="s">
        <v>5414</v>
      </c>
      <c r="C363" s="96" t="s">
        <v>1349</v>
      </c>
      <c r="D363" s="61" t="s">
        <v>5415</v>
      </c>
      <c r="E363" s="64" t="s">
        <v>422</v>
      </c>
      <c r="F363" s="69"/>
      <c r="G363" s="61" t="s">
        <v>6125</v>
      </c>
      <c r="H363" s="82"/>
      <c r="I363" s="64"/>
      <c r="J363" s="64"/>
      <c r="K363" s="64"/>
      <c r="L363" s="61"/>
      <c r="M363" s="100"/>
      <c r="N363" s="100"/>
    </row>
    <row r="364" ht="15.6" spans="1:14">
      <c r="A364" s="95"/>
      <c r="B364" s="69" t="s">
        <v>5417</v>
      </c>
      <c r="C364" s="96" t="s">
        <v>1349</v>
      </c>
      <c r="D364" s="61" t="s">
        <v>5418</v>
      </c>
      <c r="E364" s="64" t="s">
        <v>422</v>
      </c>
      <c r="F364" s="69"/>
      <c r="G364" s="61" t="s">
        <v>6126</v>
      </c>
      <c r="H364" s="82"/>
      <c r="I364" s="64"/>
      <c r="J364" s="64"/>
      <c r="K364" s="64"/>
      <c r="L364" s="61"/>
      <c r="M364" s="100"/>
      <c r="N364" s="100"/>
    </row>
    <row r="365" ht="15.6" spans="1:14">
      <c r="A365" s="95"/>
      <c r="B365" s="69" t="s">
        <v>5420</v>
      </c>
      <c r="C365" s="96" t="s">
        <v>1349</v>
      </c>
      <c r="D365" s="61" t="s">
        <v>5421</v>
      </c>
      <c r="E365" s="64" t="s">
        <v>422</v>
      </c>
      <c r="F365" s="69"/>
      <c r="G365" s="61" t="s">
        <v>6127</v>
      </c>
      <c r="H365" s="82"/>
      <c r="I365" s="64"/>
      <c r="J365" s="64"/>
      <c r="K365" s="64"/>
      <c r="L365" s="61"/>
      <c r="M365" s="100"/>
      <c r="N365" s="100"/>
    </row>
    <row r="366" ht="15.6" spans="1:14">
      <c r="A366" s="95"/>
      <c r="B366" s="69" t="s">
        <v>5423</v>
      </c>
      <c r="C366" s="96" t="s">
        <v>1349</v>
      </c>
      <c r="D366" s="61" t="s">
        <v>5424</v>
      </c>
      <c r="E366" s="64" t="s">
        <v>422</v>
      </c>
      <c r="F366" s="69"/>
      <c r="G366" s="61" t="s">
        <v>6128</v>
      </c>
      <c r="H366" s="82"/>
      <c r="I366" s="64"/>
      <c r="J366" s="64"/>
      <c r="K366" s="64"/>
      <c r="L366" s="61"/>
      <c r="M366" s="100"/>
      <c r="N366" s="100"/>
    </row>
    <row r="367" ht="15.6" spans="1:14">
      <c r="A367" s="95"/>
      <c r="B367" s="69" t="s">
        <v>5426</v>
      </c>
      <c r="C367" s="96" t="s">
        <v>1349</v>
      </c>
      <c r="D367" s="61" t="s">
        <v>5427</v>
      </c>
      <c r="E367" s="64" t="s">
        <v>422</v>
      </c>
      <c r="F367" s="69"/>
      <c r="G367" s="61" t="s">
        <v>6129</v>
      </c>
      <c r="H367" s="82"/>
      <c r="I367" s="64"/>
      <c r="J367" s="64"/>
      <c r="K367" s="64"/>
      <c r="L367" s="61"/>
      <c r="M367" s="100"/>
      <c r="N367" s="100"/>
    </row>
    <row r="368" ht="15.6" spans="1:14">
      <c r="A368" s="95"/>
      <c r="B368" s="69" t="s">
        <v>5429</v>
      </c>
      <c r="C368" s="96" t="s">
        <v>1349</v>
      </c>
      <c r="D368" s="61" t="s">
        <v>5430</v>
      </c>
      <c r="E368" s="64" t="s">
        <v>422</v>
      </c>
      <c r="F368" s="69"/>
      <c r="G368" s="61" t="s">
        <v>6130</v>
      </c>
      <c r="H368" s="82"/>
      <c r="I368" s="64"/>
      <c r="J368" s="64"/>
      <c r="K368" s="64"/>
      <c r="L368" s="61"/>
      <c r="M368" s="100"/>
      <c r="N368" s="100"/>
    </row>
    <row r="369" ht="15.6" spans="1:14">
      <c r="A369" s="95"/>
      <c r="B369" s="69" t="s">
        <v>5432</v>
      </c>
      <c r="C369" s="96" t="s">
        <v>1349</v>
      </c>
      <c r="D369" s="61" t="s">
        <v>5433</v>
      </c>
      <c r="E369" s="64" t="s">
        <v>422</v>
      </c>
      <c r="F369" s="69"/>
      <c r="G369" s="61" t="s">
        <v>6131</v>
      </c>
      <c r="H369" s="82"/>
      <c r="I369" s="64"/>
      <c r="J369" s="64"/>
      <c r="K369" s="64"/>
      <c r="L369" s="61"/>
      <c r="M369" s="100"/>
      <c r="N369" s="100"/>
    </row>
    <row r="370" ht="15.6" spans="1:14">
      <c r="A370" s="95"/>
      <c r="B370" s="69" t="s">
        <v>5435</v>
      </c>
      <c r="C370" s="96" t="s">
        <v>1349</v>
      </c>
      <c r="D370" s="61" t="s">
        <v>5436</v>
      </c>
      <c r="E370" s="64" t="s">
        <v>422</v>
      </c>
      <c r="F370" s="69"/>
      <c r="G370" s="61" t="s">
        <v>6132</v>
      </c>
      <c r="H370" s="82"/>
      <c r="I370" s="64"/>
      <c r="J370" s="64"/>
      <c r="K370" s="64"/>
      <c r="L370" s="61"/>
      <c r="M370" s="100"/>
      <c r="N370" s="100"/>
    </row>
    <row r="371" ht="15.6" spans="1:14">
      <c r="A371" s="95"/>
      <c r="B371" s="69" t="s">
        <v>5438</v>
      </c>
      <c r="C371" s="96" t="s">
        <v>1349</v>
      </c>
      <c r="D371" s="61" t="s">
        <v>5439</v>
      </c>
      <c r="E371" s="64" t="s">
        <v>422</v>
      </c>
      <c r="F371" s="69"/>
      <c r="G371" s="61" t="s">
        <v>6133</v>
      </c>
      <c r="H371" s="82"/>
      <c r="I371" s="64"/>
      <c r="J371" s="64"/>
      <c r="K371" s="64"/>
      <c r="L371" s="61"/>
      <c r="M371" s="100"/>
      <c r="N371" s="100"/>
    </row>
    <row r="372" ht="15.6" spans="1:14">
      <c r="A372" s="95"/>
      <c r="B372" s="69" t="s">
        <v>5441</v>
      </c>
      <c r="C372" s="96" t="s">
        <v>1349</v>
      </c>
      <c r="D372" s="61" t="s">
        <v>5442</v>
      </c>
      <c r="E372" s="64" t="s">
        <v>422</v>
      </c>
      <c r="F372" s="69"/>
      <c r="G372" s="61" t="s">
        <v>6134</v>
      </c>
      <c r="H372" s="82"/>
      <c r="I372" s="64"/>
      <c r="J372" s="64"/>
      <c r="K372" s="64"/>
      <c r="L372" s="61"/>
      <c r="M372" s="100"/>
      <c r="N372" s="100"/>
    </row>
    <row r="373" ht="15.6" spans="1:14">
      <c r="A373" s="95"/>
      <c r="B373" s="69" t="s">
        <v>5444</v>
      </c>
      <c r="C373" s="96" t="s">
        <v>1349</v>
      </c>
      <c r="D373" s="61" t="s">
        <v>5445</v>
      </c>
      <c r="E373" s="64" t="s">
        <v>422</v>
      </c>
      <c r="F373" s="69"/>
      <c r="G373" s="61" t="s">
        <v>6135</v>
      </c>
      <c r="H373" s="82"/>
      <c r="I373" s="64"/>
      <c r="J373" s="64"/>
      <c r="K373" s="64"/>
      <c r="L373" s="61"/>
      <c r="M373" s="100"/>
      <c r="N373" s="100"/>
    </row>
    <row r="374" ht="15.6" spans="1:14">
      <c r="A374" s="95"/>
      <c r="B374" s="69" t="s">
        <v>5447</v>
      </c>
      <c r="C374" s="96" t="s">
        <v>1349</v>
      </c>
      <c r="D374" s="61" t="s">
        <v>5448</v>
      </c>
      <c r="E374" s="64" t="s">
        <v>422</v>
      </c>
      <c r="F374" s="69"/>
      <c r="G374" s="61" t="s">
        <v>6136</v>
      </c>
      <c r="H374" s="82"/>
      <c r="I374" s="64"/>
      <c r="J374" s="64"/>
      <c r="K374" s="64"/>
      <c r="L374" s="61"/>
      <c r="M374" s="100"/>
      <c r="N374" s="100"/>
    </row>
    <row r="375" ht="15.6" spans="1:14">
      <c r="A375" s="95"/>
      <c r="B375" s="69" t="s">
        <v>5450</v>
      </c>
      <c r="C375" s="96" t="s">
        <v>1349</v>
      </c>
      <c r="D375" s="61" t="s">
        <v>5451</v>
      </c>
      <c r="E375" s="64" t="s">
        <v>422</v>
      </c>
      <c r="F375" s="69"/>
      <c r="G375" s="61" t="s">
        <v>6137</v>
      </c>
      <c r="H375" s="82"/>
      <c r="I375" s="64"/>
      <c r="J375" s="64"/>
      <c r="K375" s="64"/>
      <c r="L375" s="61"/>
      <c r="M375" s="100"/>
      <c r="N375" s="100"/>
    </row>
    <row r="376" ht="15.6" spans="1:14">
      <c r="A376" s="95"/>
      <c r="B376" s="69" t="s">
        <v>5453</v>
      </c>
      <c r="C376" s="96" t="s">
        <v>1349</v>
      </c>
      <c r="D376" s="61" t="s">
        <v>5454</v>
      </c>
      <c r="E376" s="64" t="s">
        <v>422</v>
      </c>
      <c r="F376" s="69"/>
      <c r="G376" s="61" t="s">
        <v>6138</v>
      </c>
      <c r="H376" s="82"/>
      <c r="I376" s="64"/>
      <c r="J376" s="64"/>
      <c r="K376" s="64"/>
      <c r="L376" s="61"/>
      <c r="M376" s="100"/>
      <c r="N376" s="100"/>
    </row>
    <row r="377" ht="15.6" spans="1:14">
      <c r="A377" s="95"/>
      <c r="B377" s="69" t="s">
        <v>5456</v>
      </c>
      <c r="C377" s="96" t="s">
        <v>1349</v>
      </c>
      <c r="D377" s="61" t="s">
        <v>5457</v>
      </c>
      <c r="E377" s="64" t="s">
        <v>422</v>
      </c>
      <c r="F377" s="69" t="s">
        <v>5456</v>
      </c>
      <c r="G377" s="61" t="s">
        <v>1693</v>
      </c>
      <c r="H377" s="82"/>
      <c r="I377" s="64"/>
      <c r="J377" s="64"/>
      <c r="K377" s="64"/>
      <c r="L377" s="61"/>
      <c r="M377" s="100"/>
      <c r="N377" s="100"/>
    </row>
    <row r="378" ht="15.6" spans="1:14">
      <c r="A378" s="95"/>
      <c r="B378" s="69" t="s">
        <v>5458</v>
      </c>
      <c r="C378" s="96" t="s">
        <v>1349</v>
      </c>
      <c r="D378" s="61" t="s">
        <v>5459</v>
      </c>
      <c r="E378" s="64" t="s">
        <v>422</v>
      </c>
      <c r="F378" s="69" t="s">
        <v>5458</v>
      </c>
      <c r="G378" s="61" t="s">
        <v>1693</v>
      </c>
      <c r="H378" s="82"/>
      <c r="I378" s="64"/>
      <c r="J378" s="64"/>
      <c r="K378" s="64"/>
      <c r="L378" s="61"/>
      <c r="M378" s="100"/>
      <c r="N378" s="100"/>
    </row>
    <row r="379" ht="15.6" spans="1:14">
      <c r="A379" s="95"/>
      <c r="B379" s="69" t="s">
        <v>5460</v>
      </c>
      <c r="C379" s="96" t="s">
        <v>1349</v>
      </c>
      <c r="D379" s="61" t="s">
        <v>5461</v>
      </c>
      <c r="E379" s="64" t="s">
        <v>422</v>
      </c>
      <c r="F379" s="69" t="s">
        <v>5460</v>
      </c>
      <c r="G379" s="61" t="s">
        <v>1693</v>
      </c>
      <c r="H379" s="82"/>
      <c r="I379" s="64"/>
      <c r="J379" s="64"/>
      <c r="K379" s="64"/>
      <c r="L379" s="61"/>
      <c r="M379" s="100"/>
      <c r="N379" s="100"/>
    </row>
    <row r="380" ht="15.6" spans="1:14">
      <c r="A380" s="95"/>
      <c r="B380" s="69" t="s">
        <v>5462</v>
      </c>
      <c r="C380" s="96" t="s">
        <v>1349</v>
      </c>
      <c r="D380" s="61" t="s">
        <v>5462</v>
      </c>
      <c r="E380" s="64" t="s">
        <v>422</v>
      </c>
      <c r="F380" s="69" t="s">
        <v>5462</v>
      </c>
      <c r="G380" s="61" t="s">
        <v>1693</v>
      </c>
      <c r="H380" s="82"/>
      <c r="I380" s="64"/>
      <c r="J380" s="64"/>
      <c r="K380" s="64"/>
      <c r="L380" s="61"/>
      <c r="M380" s="100"/>
      <c r="N380" s="100"/>
    </row>
    <row r="381" ht="15.6" spans="1:14">
      <c r="A381" s="95"/>
      <c r="B381" s="69" t="s">
        <v>5463</v>
      </c>
      <c r="C381" s="96" t="s">
        <v>1349</v>
      </c>
      <c r="D381" s="61" t="s">
        <v>5464</v>
      </c>
      <c r="E381" s="64" t="s">
        <v>422</v>
      </c>
      <c r="F381" s="69" t="s">
        <v>5463</v>
      </c>
      <c r="G381" s="61" t="s">
        <v>1693</v>
      </c>
      <c r="H381" s="82"/>
      <c r="I381" s="64"/>
      <c r="J381" s="64"/>
      <c r="K381" s="64"/>
      <c r="L381" s="61"/>
      <c r="M381" s="100"/>
      <c r="N381" s="100"/>
    </row>
    <row r="382" ht="16.5" customHeight="1" spans="1:14">
      <c r="A382" s="95"/>
      <c r="B382" s="69" t="s">
        <v>5465</v>
      </c>
      <c r="C382" s="96" t="s">
        <v>229</v>
      </c>
      <c r="D382" s="61" t="s">
        <v>5466</v>
      </c>
      <c r="E382" s="64" t="s">
        <v>422</v>
      </c>
      <c r="F382" s="69" t="s">
        <v>5465</v>
      </c>
      <c r="G382" s="61" t="s">
        <v>1693</v>
      </c>
      <c r="H382" s="63"/>
      <c r="I382" s="64"/>
      <c r="J382" s="64"/>
      <c r="K382" s="64"/>
      <c r="L382" s="61"/>
      <c r="M382" s="100"/>
      <c r="N382" s="100"/>
    </row>
    <row r="383" ht="15.6" spans="1:14">
      <c r="A383" s="95"/>
      <c r="B383" s="69" t="s">
        <v>5468</v>
      </c>
      <c r="C383" s="96" t="s">
        <v>229</v>
      </c>
      <c r="D383" s="61" t="s">
        <v>5469</v>
      </c>
      <c r="E383" s="64" t="s">
        <v>422</v>
      </c>
      <c r="F383" s="69" t="s">
        <v>5468</v>
      </c>
      <c r="G383" s="61" t="s">
        <v>1693</v>
      </c>
      <c r="H383" s="63"/>
      <c r="I383" s="64"/>
      <c r="J383" s="64"/>
      <c r="K383" s="64"/>
      <c r="L383" s="61"/>
      <c r="M383" s="100"/>
      <c r="N383" s="100"/>
    </row>
    <row r="384" ht="15.6" spans="1:14">
      <c r="A384" s="95"/>
      <c r="B384" s="69" t="s">
        <v>5470</v>
      </c>
      <c r="C384" s="96" t="s">
        <v>229</v>
      </c>
      <c r="D384" s="61" t="s">
        <v>5471</v>
      </c>
      <c r="E384" s="64" t="s">
        <v>422</v>
      </c>
      <c r="F384" s="69" t="s">
        <v>5470</v>
      </c>
      <c r="G384" s="61" t="s">
        <v>1693</v>
      </c>
      <c r="H384" s="63"/>
      <c r="I384" s="64"/>
      <c r="J384" s="64"/>
      <c r="K384" s="64"/>
      <c r="L384" s="61"/>
      <c r="M384" s="100"/>
      <c r="N384" s="100"/>
    </row>
    <row r="385" ht="15.6" spans="1:14">
      <c r="A385" s="95"/>
      <c r="B385" s="69" t="s">
        <v>5472</v>
      </c>
      <c r="C385" s="96" t="s">
        <v>706</v>
      </c>
      <c r="D385" s="61" t="s">
        <v>758</v>
      </c>
      <c r="E385" s="64" t="s">
        <v>422</v>
      </c>
      <c r="F385" s="69" t="s">
        <v>5472</v>
      </c>
      <c r="G385" s="61" t="s">
        <v>1693</v>
      </c>
      <c r="H385" s="63"/>
      <c r="I385" s="64"/>
      <c r="J385" s="64"/>
      <c r="K385" s="64"/>
      <c r="L385" s="61"/>
      <c r="M385" s="100"/>
      <c r="N385" s="100"/>
    </row>
    <row r="386" ht="15.6" spans="1:14">
      <c r="A386" s="95"/>
      <c r="B386" s="69" t="s">
        <v>5473</v>
      </c>
      <c r="C386" s="96" t="s">
        <v>706</v>
      </c>
      <c r="D386" s="61" t="s">
        <v>761</v>
      </c>
      <c r="E386" s="64" t="s">
        <v>422</v>
      </c>
      <c r="F386" s="69" t="s">
        <v>5473</v>
      </c>
      <c r="G386" s="61" t="s">
        <v>1693</v>
      </c>
      <c r="H386" s="63"/>
      <c r="I386" s="64"/>
      <c r="J386" s="64"/>
      <c r="K386" s="64"/>
      <c r="L386" s="61"/>
      <c r="M386" s="100"/>
      <c r="N386" s="100"/>
    </row>
    <row r="387" ht="15.6" spans="1:14">
      <c r="A387" s="95"/>
      <c r="B387" s="69" t="s">
        <v>5474</v>
      </c>
      <c r="C387" s="96" t="s">
        <v>706</v>
      </c>
      <c r="D387" s="61" t="s">
        <v>5009</v>
      </c>
      <c r="E387" s="64" t="s">
        <v>422</v>
      </c>
      <c r="F387" s="69" t="s">
        <v>5474</v>
      </c>
      <c r="G387" s="61" t="s">
        <v>1693</v>
      </c>
      <c r="H387" s="63"/>
      <c r="I387" s="64"/>
      <c r="J387" s="64"/>
      <c r="K387" s="64"/>
      <c r="L387" s="61"/>
      <c r="M387" s="100"/>
      <c r="N387" s="100"/>
    </row>
    <row r="388" ht="15.6" spans="1:14">
      <c r="A388" s="95"/>
      <c r="B388" s="69" t="s">
        <v>5475</v>
      </c>
      <c r="C388" s="96" t="s">
        <v>706</v>
      </c>
      <c r="D388" s="61" t="s">
        <v>5011</v>
      </c>
      <c r="E388" s="64" t="s">
        <v>422</v>
      </c>
      <c r="F388" s="69" t="s">
        <v>5475</v>
      </c>
      <c r="G388" s="61" t="s">
        <v>1693</v>
      </c>
      <c r="H388" s="63"/>
      <c r="I388" s="64"/>
      <c r="J388" s="64"/>
      <c r="K388" s="64"/>
      <c r="L388" s="61"/>
      <c r="M388" s="100"/>
      <c r="N388" s="100"/>
    </row>
    <row r="389" ht="15.6" spans="1:14">
      <c r="A389" s="95"/>
      <c r="B389" s="69" t="s">
        <v>5476</v>
      </c>
      <c r="C389" s="96" t="s">
        <v>203</v>
      </c>
      <c r="D389" s="61" t="s">
        <v>4933</v>
      </c>
      <c r="E389" s="64" t="s">
        <v>422</v>
      </c>
      <c r="F389" s="69" t="s">
        <v>5476</v>
      </c>
      <c r="G389" s="61" t="s">
        <v>1693</v>
      </c>
      <c r="H389" s="63"/>
      <c r="I389" s="64"/>
      <c r="J389" s="64"/>
      <c r="K389" s="64"/>
      <c r="L389" s="61"/>
      <c r="M389" s="100"/>
      <c r="N389" s="100"/>
    </row>
    <row r="390" ht="15.6" spans="1:14">
      <c r="A390" s="95"/>
      <c r="B390" s="69" t="s">
        <v>5477</v>
      </c>
      <c r="C390" s="96" t="s">
        <v>203</v>
      </c>
      <c r="D390" s="61" t="s">
        <v>4936</v>
      </c>
      <c r="E390" s="64" t="s">
        <v>422</v>
      </c>
      <c r="F390" s="69" t="s">
        <v>5477</v>
      </c>
      <c r="G390" s="61" t="s">
        <v>1693</v>
      </c>
      <c r="H390" s="63"/>
      <c r="I390" s="64"/>
      <c r="J390" s="64"/>
      <c r="K390" s="64"/>
      <c r="L390" s="61"/>
      <c r="M390" s="100"/>
      <c r="N390" s="100"/>
    </row>
    <row r="391" ht="15.6" spans="1:14">
      <c r="A391" s="95"/>
      <c r="B391" s="69" t="s">
        <v>5478</v>
      </c>
      <c r="C391" s="96" t="s">
        <v>706</v>
      </c>
      <c r="D391" s="61" t="s">
        <v>788</v>
      </c>
      <c r="E391" s="64" t="s">
        <v>422</v>
      </c>
      <c r="F391" s="69" t="s">
        <v>5478</v>
      </c>
      <c r="G391" s="61" t="s">
        <v>1693</v>
      </c>
      <c r="H391" s="63"/>
      <c r="I391" s="64"/>
      <c r="J391" s="64"/>
      <c r="K391" s="64"/>
      <c r="L391" s="61"/>
      <c r="M391" s="100"/>
      <c r="N391" s="100"/>
    </row>
    <row r="392" ht="15.6" spans="1:14">
      <c r="A392" s="95"/>
      <c r="B392" s="69" t="s">
        <v>5479</v>
      </c>
      <c r="C392" s="96" t="s">
        <v>706</v>
      </c>
      <c r="D392" s="61" t="s">
        <v>791</v>
      </c>
      <c r="E392" s="64" t="s">
        <v>422</v>
      </c>
      <c r="F392" s="69" t="s">
        <v>5479</v>
      </c>
      <c r="G392" s="61" t="s">
        <v>1693</v>
      </c>
      <c r="H392" s="63"/>
      <c r="I392" s="64"/>
      <c r="J392" s="64"/>
      <c r="K392" s="64"/>
      <c r="L392" s="61"/>
      <c r="M392" s="100"/>
      <c r="N392" s="100"/>
    </row>
    <row r="393" ht="15.6" spans="1:14">
      <c r="A393" s="95"/>
      <c r="B393" s="69" t="s">
        <v>5480</v>
      </c>
      <c r="C393" s="96" t="s">
        <v>706</v>
      </c>
      <c r="D393" s="61" t="s">
        <v>794</v>
      </c>
      <c r="E393" s="64" t="s">
        <v>422</v>
      </c>
      <c r="F393" s="69" t="s">
        <v>5480</v>
      </c>
      <c r="G393" s="61" t="s">
        <v>1693</v>
      </c>
      <c r="H393" s="63"/>
      <c r="I393" s="64"/>
      <c r="J393" s="64"/>
      <c r="K393" s="64"/>
      <c r="L393" s="61"/>
      <c r="M393" s="100"/>
      <c r="N393" s="100"/>
    </row>
    <row r="394" ht="15.6" spans="1:14">
      <c r="A394" s="95"/>
      <c r="B394" s="69" t="s">
        <v>5481</v>
      </c>
      <c r="C394" s="96" t="s">
        <v>706</v>
      </c>
      <c r="D394" s="61" t="s">
        <v>797</v>
      </c>
      <c r="E394" s="64" t="s">
        <v>422</v>
      </c>
      <c r="F394" s="69" t="s">
        <v>5481</v>
      </c>
      <c r="G394" s="61" t="s">
        <v>1693</v>
      </c>
      <c r="H394" s="63"/>
      <c r="I394" s="64"/>
      <c r="J394" s="64"/>
      <c r="K394" s="64"/>
      <c r="L394" s="61"/>
      <c r="M394" s="100"/>
      <c r="N394" s="100"/>
    </row>
    <row r="395" ht="15.6" spans="1:14">
      <c r="A395" s="95"/>
      <c r="B395" s="69" t="s">
        <v>5482</v>
      </c>
      <c r="C395" s="96" t="s">
        <v>1349</v>
      </c>
      <c r="D395" s="61" t="s">
        <v>1368</v>
      </c>
      <c r="E395" s="64" t="s">
        <v>422</v>
      </c>
      <c r="F395" s="69" t="s">
        <v>5482</v>
      </c>
      <c r="G395" s="61" t="s">
        <v>1693</v>
      </c>
      <c r="H395" s="63"/>
      <c r="I395" s="64"/>
      <c r="J395" s="64"/>
      <c r="K395" s="64"/>
      <c r="L395" s="61"/>
      <c r="M395" s="100"/>
      <c r="N395" s="100"/>
    </row>
    <row r="396" ht="15.6" spans="1:14">
      <c r="A396" s="95"/>
      <c r="B396" s="69" t="s">
        <v>5483</v>
      </c>
      <c r="C396" s="96" t="s">
        <v>1349</v>
      </c>
      <c r="D396" s="61" t="s">
        <v>1386</v>
      </c>
      <c r="E396" s="64" t="s">
        <v>422</v>
      </c>
      <c r="F396" s="69" t="s">
        <v>5483</v>
      </c>
      <c r="G396" s="61" t="s">
        <v>1693</v>
      </c>
      <c r="H396" s="63"/>
      <c r="I396" s="64"/>
      <c r="J396" s="64"/>
      <c r="K396" s="64"/>
      <c r="L396" s="61"/>
      <c r="M396" s="100"/>
      <c r="N396" s="100"/>
    </row>
    <row r="397" ht="15.6" spans="1:14">
      <c r="A397" s="95"/>
      <c r="B397" s="69" t="s">
        <v>5484</v>
      </c>
      <c r="C397" s="96" t="s">
        <v>1349</v>
      </c>
      <c r="D397" s="61" t="s">
        <v>1422</v>
      </c>
      <c r="E397" s="64" t="s">
        <v>422</v>
      </c>
      <c r="F397" s="69" t="s">
        <v>5484</v>
      </c>
      <c r="G397" s="61" t="s">
        <v>1693</v>
      </c>
      <c r="H397" s="63"/>
      <c r="I397" s="64"/>
      <c r="J397" s="64"/>
      <c r="K397" s="64"/>
      <c r="L397" s="61"/>
      <c r="M397" s="100"/>
      <c r="N397" s="100"/>
    </row>
    <row r="398" ht="15.6" spans="1:14">
      <c r="A398" s="95"/>
      <c r="B398" s="69" t="s">
        <v>5485</v>
      </c>
      <c r="C398" s="96" t="s">
        <v>1349</v>
      </c>
      <c r="D398" s="61" t="s">
        <v>1440</v>
      </c>
      <c r="E398" s="64" t="s">
        <v>422</v>
      </c>
      <c r="F398" s="69" t="s">
        <v>5485</v>
      </c>
      <c r="G398" s="61" t="s">
        <v>1693</v>
      </c>
      <c r="H398" s="63"/>
      <c r="I398" s="64"/>
      <c r="J398" s="64"/>
      <c r="K398" s="64"/>
      <c r="L398" s="61"/>
      <c r="M398" s="100"/>
      <c r="N398" s="100"/>
    </row>
    <row r="399" ht="15.6" spans="1:14">
      <c r="A399" s="95"/>
      <c r="B399" s="69" t="s">
        <v>5486</v>
      </c>
      <c r="C399" s="96" t="s">
        <v>229</v>
      </c>
      <c r="D399" s="61" t="s">
        <v>5487</v>
      </c>
      <c r="E399" s="64" t="s">
        <v>422</v>
      </c>
      <c r="F399" s="69" t="s">
        <v>5486</v>
      </c>
      <c r="G399" s="61" t="s">
        <v>1693</v>
      </c>
      <c r="H399" s="63"/>
      <c r="I399" s="64"/>
      <c r="J399" s="64"/>
      <c r="K399" s="64"/>
      <c r="L399" s="61"/>
      <c r="M399" s="100"/>
      <c r="N399" s="100"/>
    </row>
    <row r="400" ht="15.6" spans="1:14">
      <c r="A400" s="95"/>
      <c r="B400" s="69" t="s">
        <v>5488</v>
      </c>
      <c r="C400" s="96" t="s">
        <v>1349</v>
      </c>
      <c r="D400" s="61" t="s">
        <v>5489</v>
      </c>
      <c r="E400" s="64" t="s">
        <v>422</v>
      </c>
      <c r="F400" s="69" t="s">
        <v>5488</v>
      </c>
      <c r="G400" s="61" t="s">
        <v>1693</v>
      </c>
      <c r="H400" s="63"/>
      <c r="I400" s="64"/>
      <c r="J400" s="64"/>
      <c r="K400" s="64"/>
      <c r="L400" s="61"/>
      <c r="M400" s="100"/>
      <c r="N400" s="100"/>
    </row>
    <row r="401" ht="16.5" customHeight="1" spans="1:14">
      <c r="A401" s="95"/>
      <c r="B401" s="69" t="s">
        <v>5490</v>
      </c>
      <c r="C401" s="96" t="s">
        <v>229</v>
      </c>
      <c r="D401" s="61" t="s">
        <v>5466</v>
      </c>
      <c r="E401" s="64" t="s">
        <v>422</v>
      </c>
      <c r="F401" s="69" t="s">
        <v>5490</v>
      </c>
      <c r="G401" s="61" t="s">
        <v>1693</v>
      </c>
      <c r="H401" s="82"/>
      <c r="I401" s="64"/>
      <c r="J401" s="64"/>
      <c r="K401" s="64"/>
      <c r="L401" s="61"/>
      <c r="M401" s="100"/>
      <c r="N401" s="100"/>
    </row>
    <row r="402" ht="15.6" spans="1:14">
      <c r="A402" s="95"/>
      <c r="B402" s="69" t="s">
        <v>5491</v>
      </c>
      <c r="C402" s="96" t="s">
        <v>229</v>
      </c>
      <c r="D402" s="61" t="s">
        <v>5469</v>
      </c>
      <c r="E402" s="64" t="s">
        <v>422</v>
      </c>
      <c r="F402" s="69" t="s">
        <v>5491</v>
      </c>
      <c r="G402" s="61" t="s">
        <v>1693</v>
      </c>
      <c r="H402" s="82"/>
      <c r="I402" s="64"/>
      <c r="J402" s="64"/>
      <c r="K402" s="64"/>
      <c r="L402" s="61"/>
      <c r="M402" s="100"/>
      <c r="N402" s="100"/>
    </row>
    <row r="403" ht="15.6" spans="1:14">
      <c r="A403" s="95"/>
      <c r="B403" s="69" t="s">
        <v>5492</v>
      </c>
      <c r="C403" s="96" t="s">
        <v>229</v>
      </c>
      <c r="D403" s="61" t="s">
        <v>4958</v>
      </c>
      <c r="E403" s="64" t="s">
        <v>422</v>
      </c>
      <c r="F403" s="69" t="s">
        <v>5492</v>
      </c>
      <c r="G403" s="61" t="s">
        <v>1693</v>
      </c>
      <c r="H403" s="82"/>
      <c r="I403" s="64"/>
      <c r="J403" s="64"/>
      <c r="K403" s="64"/>
      <c r="L403" s="61"/>
      <c r="M403" s="100"/>
      <c r="N403" s="100"/>
    </row>
    <row r="404" ht="15.6" spans="1:14">
      <c r="A404" s="95"/>
      <c r="B404" s="69" t="s">
        <v>5493</v>
      </c>
      <c r="C404" s="96" t="s">
        <v>706</v>
      </c>
      <c r="D404" s="61" t="s">
        <v>758</v>
      </c>
      <c r="E404" s="64" t="s">
        <v>422</v>
      </c>
      <c r="F404" s="69" t="s">
        <v>5493</v>
      </c>
      <c r="G404" s="61" t="s">
        <v>1693</v>
      </c>
      <c r="H404" s="82"/>
      <c r="I404" s="64"/>
      <c r="J404" s="64"/>
      <c r="K404" s="64"/>
      <c r="L404" s="61"/>
      <c r="M404" s="100"/>
      <c r="N404" s="100"/>
    </row>
    <row r="405" ht="15.6" spans="1:14">
      <c r="A405" s="95"/>
      <c r="B405" s="69" t="s">
        <v>5494</v>
      </c>
      <c r="C405" s="96" t="s">
        <v>706</v>
      </c>
      <c r="D405" s="61" t="s">
        <v>761</v>
      </c>
      <c r="E405" s="64" t="s">
        <v>422</v>
      </c>
      <c r="F405" s="69" t="s">
        <v>5494</v>
      </c>
      <c r="G405" s="61" t="s">
        <v>1693</v>
      </c>
      <c r="H405" s="82"/>
      <c r="I405" s="64"/>
      <c r="J405" s="64"/>
      <c r="K405" s="64"/>
      <c r="L405" s="61"/>
      <c r="M405" s="100"/>
      <c r="N405" s="100"/>
    </row>
    <row r="406" ht="15.6" spans="1:14">
      <c r="A406" s="95"/>
      <c r="B406" s="69" t="s">
        <v>5495</v>
      </c>
      <c r="C406" s="96" t="s">
        <v>706</v>
      </c>
      <c r="D406" s="61" t="s">
        <v>5009</v>
      </c>
      <c r="E406" s="64" t="s">
        <v>422</v>
      </c>
      <c r="F406" s="69" t="s">
        <v>5495</v>
      </c>
      <c r="G406" s="61" t="s">
        <v>1693</v>
      </c>
      <c r="H406" s="82"/>
      <c r="I406" s="64"/>
      <c r="J406" s="64"/>
      <c r="K406" s="64"/>
      <c r="L406" s="61"/>
      <c r="M406" s="100"/>
      <c r="N406" s="100"/>
    </row>
    <row r="407" ht="15.6" spans="1:14">
      <c r="A407" s="95"/>
      <c r="B407" s="69" t="s">
        <v>5496</v>
      </c>
      <c r="C407" s="96" t="s">
        <v>706</v>
      </c>
      <c r="D407" s="61" t="s">
        <v>5011</v>
      </c>
      <c r="E407" s="64" t="s">
        <v>422</v>
      </c>
      <c r="F407" s="69" t="s">
        <v>5496</v>
      </c>
      <c r="G407" s="61" t="s">
        <v>1693</v>
      </c>
      <c r="H407" s="82"/>
      <c r="I407" s="64"/>
      <c r="J407" s="64"/>
      <c r="K407" s="64"/>
      <c r="L407" s="61"/>
      <c r="M407" s="100"/>
      <c r="N407" s="100"/>
    </row>
    <row r="408" ht="15.6" spans="1:14">
      <c r="A408" s="95"/>
      <c r="B408" s="69" t="s">
        <v>5497</v>
      </c>
      <c r="C408" s="96" t="s">
        <v>203</v>
      </c>
      <c r="D408" s="61" t="s">
        <v>4933</v>
      </c>
      <c r="E408" s="64" t="s">
        <v>422</v>
      </c>
      <c r="F408" s="69" t="s">
        <v>5497</v>
      </c>
      <c r="G408" s="61" t="s">
        <v>1693</v>
      </c>
      <c r="H408" s="82"/>
      <c r="I408" s="64"/>
      <c r="J408" s="64"/>
      <c r="K408" s="64"/>
      <c r="L408" s="61"/>
      <c r="M408" s="100"/>
      <c r="N408" s="100"/>
    </row>
    <row r="409" ht="15.6" spans="1:14">
      <c r="A409" s="95"/>
      <c r="B409" s="69" t="s">
        <v>5498</v>
      </c>
      <c r="C409" s="96" t="s">
        <v>203</v>
      </c>
      <c r="D409" s="61" t="s">
        <v>4936</v>
      </c>
      <c r="E409" s="64" t="s">
        <v>422</v>
      </c>
      <c r="F409" s="69" t="s">
        <v>5498</v>
      </c>
      <c r="G409" s="61" t="s">
        <v>1693</v>
      </c>
      <c r="H409" s="82"/>
      <c r="I409" s="64"/>
      <c r="J409" s="64"/>
      <c r="K409" s="64"/>
      <c r="L409" s="61"/>
      <c r="M409" s="100"/>
      <c r="N409" s="100"/>
    </row>
    <row r="410" ht="15.6" spans="1:14">
      <c r="A410" s="95"/>
      <c r="B410" s="69" t="s">
        <v>5499</v>
      </c>
      <c r="C410" s="96" t="s">
        <v>706</v>
      </c>
      <c r="D410" s="61" t="s">
        <v>788</v>
      </c>
      <c r="E410" s="64" t="s">
        <v>422</v>
      </c>
      <c r="F410" s="69" t="s">
        <v>5499</v>
      </c>
      <c r="G410" s="61" t="s">
        <v>1693</v>
      </c>
      <c r="H410" s="82"/>
      <c r="I410" s="64"/>
      <c r="J410" s="64"/>
      <c r="K410" s="64"/>
      <c r="L410" s="61"/>
      <c r="M410" s="100"/>
      <c r="N410" s="100"/>
    </row>
    <row r="411" ht="15.6" spans="1:14">
      <c r="A411" s="95"/>
      <c r="B411" s="69" t="s">
        <v>5500</v>
      </c>
      <c r="C411" s="96" t="s">
        <v>706</v>
      </c>
      <c r="D411" s="61" t="s">
        <v>791</v>
      </c>
      <c r="E411" s="64" t="s">
        <v>422</v>
      </c>
      <c r="F411" s="69" t="s">
        <v>5500</v>
      </c>
      <c r="G411" s="61" t="s">
        <v>1693</v>
      </c>
      <c r="H411" s="82"/>
      <c r="I411" s="64"/>
      <c r="J411" s="64"/>
      <c r="K411" s="64"/>
      <c r="L411" s="61"/>
      <c r="M411" s="100"/>
      <c r="N411" s="100"/>
    </row>
    <row r="412" ht="15.6" spans="1:14">
      <c r="A412" s="95"/>
      <c r="B412" s="69" t="s">
        <v>5501</v>
      </c>
      <c r="C412" s="96" t="s">
        <v>706</v>
      </c>
      <c r="D412" s="61" t="s">
        <v>794</v>
      </c>
      <c r="E412" s="64" t="s">
        <v>422</v>
      </c>
      <c r="F412" s="69" t="s">
        <v>5501</v>
      </c>
      <c r="G412" s="61" t="s">
        <v>1693</v>
      </c>
      <c r="H412" s="82"/>
      <c r="I412" s="64"/>
      <c r="J412" s="64"/>
      <c r="K412" s="64"/>
      <c r="L412" s="61"/>
      <c r="M412" s="100"/>
      <c r="N412" s="100"/>
    </row>
    <row r="413" ht="15.6" spans="1:14">
      <c r="A413" s="95"/>
      <c r="B413" s="69" t="s">
        <v>5502</v>
      </c>
      <c r="C413" s="96" t="s">
        <v>706</v>
      </c>
      <c r="D413" s="61" t="s">
        <v>797</v>
      </c>
      <c r="E413" s="64" t="s">
        <v>422</v>
      </c>
      <c r="F413" s="69" t="s">
        <v>5502</v>
      </c>
      <c r="G413" s="61" t="s">
        <v>1693</v>
      </c>
      <c r="H413" s="82"/>
      <c r="I413" s="64"/>
      <c r="J413" s="64"/>
      <c r="K413" s="64"/>
      <c r="L413" s="61"/>
      <c r="M413" s="100"/>
      <c r="N413" s="100"/>
    </row>
    <row r="414" ht="15.6" spans="1:14">
      <c r="A414" s="95"/>
      <c r="B414" s="69" t="s">
        <v>5503</v>
      </c>
      <c r="C414" s="96" t="s">
        <v>1349</v>
      </c>
      <c r="D414" s="61" t="s">
        <v>1368</v>
      </c>
      <c r="E414" s="64" t="s">
        <v>422</v>
      </c>
      <c r="F414" s="69" t="s">
        <v>5503</v>
      </c>
      <c r="G414" s="61" t="s">
        <v>1693</v>
      </c>
      <c r="H414" s="82"/>
      <c r="I414" s="64"/>
      <c r="J414" s="64"/>
      <c r="K414" s="64"/>
      <c r="L414" s="61"/>
      <c r="M414" s="100"/>
      <c r="N414" s="100"/>
    </row>
    <row r="415" ht="15.6" spans="1:14">
      <c r="A415" s="95"/>
      <c r="B415" s="69" t="s">
        <v>5504</v>
      </c>
      <c r="C415" s="96" t="s">
        <v>1349</v>
      </c>
      <c r="D415" s="61" t="s">
        <v>1386</v>
      </c>
      <c r="E415" s="64" t="s">
        <v>422</v>
      </c>
      <c r="F415" s="69" t="s">
        <v>5504</v>
      </c>
      <c r="G415" s="61" t="s">
        <v>1693</v>
      </c>
      <c r="H415" s="82"/>
      <c r="I415" s="64"/>
      <c r="J415" s="64"/>
      <c r="K415" s="64"/>
      <c r="L415" s="61"/>
      <c r="M415" s="100"/>
      <c r="N415" s="100"/>
    </row>
    <row r="416" ht="15.6" spans="1:14">
      <c r="A416" s="95"/>
      <c r="B416" s="69" t="s">
        <v>5505</v>
      </c>
      <c r="C416" s="96" t="s">
        <v>1349</v>
      </c>
      <c r="D416" s="61" t="s">
        <v>1422</v>
      </c>
      <c r="E416" s="64" t="s">
        <v>422</v>
      </c>
      <c r="F416" s="69" t="s">
        <v>5505</v>
      </c>
      <c r="G416" s="61" t="s">
        <v>1693</v>
      </c>
      <c r="H416" s="82"/>
      <c r="I416" s="64"/>
      <c r="J416" s="64"/>
      <c r="K416" s="64"/>
      <c r="L416" s="61"/>
      <c r="M416" s="100"/>
      <c r="N416" s="100"/>
    </row>
    <row r="417" ht="15.6" spans="1:14">
      <c r="A417" s="95"/>
      <c r="B417" s="69" t="s">
        <v>5506</v>
      </c>
      <c r="C417" s="96" t="s">
        <v>1349</v>
      </c>
      <c r="D417" s="61" t="s">
        <v>1440</v>
      </c>
      <c r="E417" s="64" t="s">
        <v>422</v>
      </c>
      <c r="F417" s="69" t="s">
        <v>5506</v>
      </c>
      <c r="G417" s="61" t="s">
        <v>1693</v>
      </c>
      <c r="H417" s="82"/>
      <c r="I417" s="64"/>
      <c r="J417" s="64"/>
      <c r="K417" s="64"/>
      <c r="L417" s="61"/>
      <c r="M417" s="100"/>
      <c r="N417" s="100"/>
    </row>
    <row r="418" ht="15.6" spans="1:14">
      <c r="A418" s="95"/>
      <c r="B418" s="69" t="s">
        <v>5507</v>
      </c>
      <c r="C418" s="96" t="s">
        <v>229</v>
      </c>
      <c r="D418" s="61" t="s">
        <v>5487</v>
      </c>
      <c r="E418" s="64" t="s">
        <v>422</v>
      </c>
      <c r="F418" s="69" t="s">
        <v>5507</v>
      </c>
      <c r="G418" s="61" t="s">
        <v>1693</v>
      </c>
      <c r="H418" s="82"/>
      <c r="I418" s="64"/>
      <c r="J418" s="64"/>
      <c r="K418" s="64"/>
      <c r="L418" s="61"/>
      <c r="M418" s="100"/>
      <c r="N418" s="100"/>
    </row>
    <row r="419" ht="15.6" spans="1:14">
      <c r="A419" s="95"/>
      <c r="B419" s="69" t="s">
        <v>5508</v>
      </c>
      <c r="C419" s="96" t="s">
        <v>1349</v>
      </c>
      <c r="D419" s="61" t="s">
        <v>5489</v>
      </c>
      <c r="E419" s="64" t="s">
        <v>422</v>
      </c>
      <c r="F419" s="69" t="s">
        <v>5508</v>
      </c>
      <c r="G419" s="61" t="s">
        <v>1693</v>
      </c>
      <c r="H419" s="82"/>
      <c r="I419" s="64"/>
      <c r="J419" s="64"/>
      <c r="K419" s="64"/>
      <c r="L419" s="61"/>
      <c r="M419" s="100"/>
      <c r="N419" s="100"/>
    </row>
    <row r="420" ht="15.6" spans="1:14">
      <c r="A420" s="95"/>
      <c r="B420" s="69" t="s">
        <v>823</v>
      </c>
      <c r="C420" s="96" t="s">
        <v>706</v>
      </c>
      <c r="D420" s="61" t="s">
        <v>824</v>
      </c>
      <c r="E420" s="64" t="s">
        <v>422</v>
      </c>
      <c r="F420" s="69" t="s">
        <v>823</v>
      </c>
      <c r="G420" s="61" t="s">
        <v>1693</v>
      </c>
      <c r="H420" s="61"/>
      <c r="I420" s="64"/>
      <c r="J420" s="64"/>
      <c r="K420" s="64"/>
      <c r="L420" s="61"/>
      <c r="M420" s="100"/>
      <c r="N420" s="100"/>
    </row>
    <row r="421" ht="15.6" spans="1:14">
      <c r="A421" s="95"/>
      <c r="B421" s="69" t="s">
        <v>826</v>
      </c>
      <c r="C421" s="96" t="s">
        <v>706</v>
      </c>
      <c r="D421" s="61" t="s">
        <v>5509</v>
      </c>
      <c r="E421" s="64" t="s">
        <v>422</v>
      </c>
      <c r="F421" s="69" t="s">
        <v>826</v>
      </c>
      <c r="G421" s="61" t="s">
        <v>1693</v>
      </c>
      <c r="H421" s="61"/>
      <c r="I421" s="64"/>
      <c r="J421" s="64"/>
      <c r="K421" s="64"/>
      <c r="L421" s="61"/>
      <c r="M421" s="100"/>
      <c r="N421" s="100"/>
    </row>
    <row r="422" ht="15.6" spans="1:14">
      <c r="A422" s="95"/>
      <c r="B422" s="69" t="s">
        <v>5510</v>
      </c>
      <c r="C422" s="96" t="s">
        <v>706</v>
      </c>
      <c r="D422" s="61" t="s">
        <v>5511</v>
      </c>
      <c r="E422" s="64" t="s">
        <v>422</v>
      </c>
      <c r="F422" s="69" t="s">
        <v>5510</v>
      </c>
      <c r="G422" s="61" t="s">
        <v>1693</v>
      </c>
      <c r="H422" s="61"/>
      <c r="I422" s="64"/>
      <c r="J422" s="64"/>
      <c r="K422" s="64"/>
      <c r="L422" s="61"/>
      <c r="M422" s="100"/>
      <c r="N422" s="100"/>
    </row>
    <row r="423" ht="15.6" spans="1:14">
      <c r="A423" s="95"/>
      <c r="B423" s="69" t="s">
        <v>5512</v>
      </c>
      <c r="C423" s="96" t="s">
        <v>706</v>
      </c>
      <c r="D423" s="61" t="s">
        <v>5513</v>
      </c>
      <c r="E423" s="64" t="s">
        <v>422</v>
      </c>
      <c r="F423" s="69" t="s">
        <v>5512</v>
      </c>
      <c r="G423" s="61" t="s">
        <v>1693</v>
      </c>
      <c r="H423" s="61"/>
      <c r="I423" s="64"/>
      <c r="J423" s="64"/>
      <c r="K423" s="64"/>
      <c r="L423" s="61"/>
      <c r="M423" s="100"/>
      <c r="N423" s="100"/>
    </row>
    <row r="424" ht="15.6" spans="1:14">
      <c r="A424" s="95"/>
      <c r="B424" s="69" t="s">
        <v>5514</v>
      </c>
      <c r="C424" s="96" t="s">
        <v>203</v>
      </c>
      <c r="D424" s="61" t="s">
        <v>5515</v>
      </c>
      <c r="E424" s="64" t="s">
        <v>422</v>
      </c>
      <c r="F424" s="69" t="s">
        <v>5514</v>
      </c>
      <c r="G424" s="101" t="s">
        <v>5516</v>
      </c>
      <c r="H424" s="64"/>
      <c r="I424" s="64"/>
      <c r="J424" s="64"/>
      <c r="K424" s="64"/>
      <c r="L424" s="61"/>
      <c r="M424" s="100"/>
      <c r="N424" s="100"/>
    </row>
    <row r="425" ht="15.6" spans="1:14">
      <c r="A425" s="95"/>
      <c r="B425" s="69" t="s">
        <v>5517</v>
      </c>
      <c r="C425" s="96" t="s">
        <v>706</v>
      </c>
      <c r="D425" s="61" t="s">
        <v>5518</v>
      </c>
      <c r="E425" s="64" t="s">
        <v>422</v>
      </c>
      <c r="F425" s="69" t="s">
        <v>5517</v>
      </c>
      <c r="G425" s="101" t="s">
        <v>5516</v>
      </c>
      <c r="H425" s="64"/>
      <c r="I425" s="64"/>
      <c r="J425" s="64"/>
      <c r="K425" s="64"/>
      <c r="L425" s="61"/>
      <c r="M425" s="100"/>
      <c r="N425" s="100"/>
    </row>
    <row r="426" ht="15.6" spans="1:14">
      <c r="A426" s="95"/>
      <c r="B426" s="69" t="s">
        <v>5519</v>
      </c>
      <c r="C426" s="96" t="s">
        <v>706</v>
      </c>
      <c r="D426" s="61" t="s">
        <v>5520</v>
      </c>
      <c r="E426" s="64" t="s">
        <v>422</v>
      </c>
      <c r="F426" s="69" t="s">
        <v>5519</v>
      </c>
      <c r="G426" s="101" t="s">
        <v>5516</v>
      </c>
      <c r="H426" s="64"/>
      <c r="I426" s="64"/>
      <c r="J426" s="64"/>
      <c r="K426" s="64"/>
      <c r="L426" s="61"/>
      <c r="M426" s="100"/>
      <c r="N426" s="100"/>
    </row>
    <row r="427" ht="15.6" spans="1:14">
      <c r="A427" s="95"/>
      <c r="B427" s="69" t="s">
        <v>5521</v>
      </c>
      <c r="C427" s="96" t="s">
        <v>706</v>
      </c>
      <c r="D427" s="61" t="s">
        <v>5522</v>
      </c>
      <c r="E427" s="64" t="s">
        <v>422</v>
      </c>
      <c r="F427" s="69" t="s">
        <v>5521</v>
      </c>
      <c r="G427" s="101" t="s">
        <v>5516</v>
      </c>
      <c r="H427" s="64"/>
      <c r="I427" s="64"/>
      <c r="J427" s="64"/>
      <c r="K427" s="64"/>
      <c r="L427" s="61"/>
      <c r="M427" s="100"/>
      <c r="N427" s="100"/>
    </row>
    <row r="428" ht="15.6" spans="1:14">
      <c r="A428" s="95"/>
      <c r="B428" s="69" t="s">
        <v>5523</v>
      </c>
      <c r="C428" s="96" t="s">
        <v>706</v>
      </c>
      <c r="D428" s="61" t="s">
        <v>5524</v>
      </c>
      <c r="E428" s="64" t="s">
        <v>422</v>
      </c>
      <c r="F428" s="69" t="s">
        <v>5523</v>
      </c>
      <c r="G428" s="101" t="s">
        <v>5516</v>
      </c>
      <c r="H428" s="64"/>
      <c r="I428" s="64"/>
      <c r="J428" s="64"/>
      <c r="K428" s="64"/>
      <c r="L428" s="61"/>
      <c r="M428" s="100"/>
      <c r="N428" s="100"/>
    </row>
    <row r="429" ht="15.6" spans="1:14">
      <c r="A429" s="95"/>
      <c r="B429" s="69" t="s">
        <v>5525</v>
      </c>
      <c r="C429" s="96" t="s">
        <v>706</v>
      </c>
      <c r="D429" s="61" t="s">
        <v>5526</v>
      </c>
      <c r="E429" s="64" t="s">
        <v>422</v>
      </c>
      <c r="F429" s="69" t="s">
        <v>5525</v>
      </c>
      <c r="G429" s="101" t="s">
        <v>5516</v>
      </c>
      <c r="H429" s="64"/>
      <c r="I429" s="64"/>
      <c r="J429" s="64"/>
      <c r="K429" s="64"/>
      <c r="L429" s="61"/>
      <c r="M429" s="100"/>
      <c r="N429" s="100"/>
    </row>
    <row r="430" ht="15.6" spans="1:14">
      <c r="A430" s="95"/>
      <c r="B430" s="69" t="s">
        <v>5527</v>
      </c>
      <c r="C430" s="96" t="s">
        <v>706</v>
      </c>
      <c r="D430" s="61" t="s">
        <v>5528</v>
      </c>
      <c r="E430" s="64" t="s">
        <v>422</v>
      </c>
      <c r="F430" s="69" t="s">
        <v>5527</v>
      </c>
      <c r="G430" s="101" t="s">
        <v>5516</v>
      </c>
      <c r="H430" s="64"/>
      <c r="I430" s="64"/>
      <c r="J430" s="64"/>
      <c r="K430" s="64"/>
      <c r="L430" s="61"/>
      <c r="M430" s="100"/>
      <c r="N430" s="100"/>
    </row>
    <row r="431" ht="15.6" spans="1:14">
      <c r="A431" s="95"/>
      <c r="B431" s="69" t="s">
        <v>5529</v>
      </c>
      <c r="C431" s="96" t="s">
        <v>706</v>
      </c>
      <c r="D431" s="61" t="s">
        <v>5530</v>
      </c>
      <c r="E431" s="64" t="s">
        <v>422</v>
      </c>
      <c r="F431" s="69" t="s">
        <v>5529</v>
      </c>
      <c r="G431" s="101" t="s">
        <v>5516</v>
      </c>
      <c r="H431" s="64"/>
      <c r="I431" s="64"/>
      <c r="J431" s="64"/>
      <c r="K431" s="64"/>
      <c r="L431" s="61"/>
      <c r="M431" s="100"/>
      <c r="N431" s="100"/>
    </row>
    <row r="432" ht="15.6" spans="1:14">
      <c r="A432" s="95"/>
      <c r="B432" s="69" t="s">
        <v>5531</v>
      </c>
      <c r="C432" s="96" t="s">
        <v>706</v>
      </c>
      <c r="D432" s="61" t="s">
        <v>5532</v>
      </c>
      <c r="E432" s="64" t="s">
        <v>422</v>
      </c>
      <c r="F432" s="69" t="s">
        <v>5531</v>
      </c>
      <c r="G432" s="101" t="s">
        <v>5516</v>
      </c>
      <c r="H432" s="64"/>
      <c r="I432" s="64"/>
      <c r="J432" s="64"/>
      <c r="K432" s="64"/>
      <c r="L432" s="61"/>
      <c r="M432" s="100"/>
      <c r="N432" s="100"/>
    </row>
    <row r="433" ht="15.6" spans="1:14">
      <c r="A433" s="95"/>
      <c r="B433" s="69" t="s">
        <v>5533</v>
      </c>
      <c r="C433" s="96" t="s">
        <v>1349</v>
      </c>
      <c r="D433" s="61" t="s">
        <v>5534</v>
      </c>
      <c r="E433" s="64" t="s">
        <v>422</v>
      </c>
      <c r="F433" s="69" t="s">
        <v>5533</v>
      </c>
      <c r="G433" s="101" t="s">
        <v>5516</v>
      </c>
      <c r="H433" s="64"/>
      <c r="I433" s="64"/>
      <c r="J433" s="64"/>
      <c r="K433" s="64"/>
      <c r="L433" s="61"/>
      <c r="M433" s="100"/>
      <c r="N433" s="100"/>
    </row>
    <row r="434" ht="15.6" spans="1:14">
      <c r="A434" s="95"/>
      <c r="B434" s="69" t="s">
        <v>5535</v>
      </c>
      <c r="C434" s="96" t="s">
        <v>229</v>
      </c>
      <c r="D434" s="61" t="s">
        <v>5536</v>
      </c>
      <c r="E434" s="64" t="s">
        <v>422</v>
      </c>
      <c r="F434" s="69" t="s">
        <v>5535</v>
      </c>
      <c r="G434" s="101" t="s">
        <v>5516</v>
      </c>
      <c r="H434" s="64"/>
      <c r="I434" s="64"/>
      <c r="J434" s="64"/>
      <c r="K434" s="64"/>
      <c r="L434" s="61"/>
      <c r="M434" s="100"/>
      <c r="N434" s="100"/>
    </row>
    <row r="435" ht="15.6" spans="1:14">
      <c r="A435" s="95"/>
      <c r="B435" s="69" t="s">
        <v>5537</v>
      </c>
      <c r="C435" s="96" t="s">
        <v>203</v>
      </c>
      <c r="D435" s="61" t="s">
        <v>5538</v>
      </c>
      <c r="E435" s="64" t="s">
        <v>422</v>
      </c>
      <c r="F435" s="69" t="s">
        <v>5537</v>
      </c>
      <c r="G435" s="101" t="s">
        <v>5516</v>
      </c>
      <c r="H435" s="64"/>
      <c r="I435" s="64"/>
      <c r="J435" s="64"/>
      <c r="K435" s="64"/>
      <c r="L435" s="61"/>
      <c r="M435" s="100"/>
      <c r="N435" s="100"/>
    </row>
    <row r="436" ht="15.6" spans="1:14">
      <c r="A436" s="95"/>
      <c r="B436" s="69" t="s">
        <v>5539</v>
      </c>
      <c r="C436" s="96" t="s">
        <v>203</v>
      </c>
      <c r="D436" s="96" t="s">
        <v>5540</v>
      </c>
      <c r="E436" s="64" t="s">
        <v>422</v>
      </c>
      <c r="F436" s="69" t="s">
        <v>5539</v>
      </c>
      <c r="G436" s="101" t="s">
        <v>5516</v>
      </c>
      <c r="H436" s="64"/>
      <c r="I436" s="64"/>
      <c r="J436" s="64"/>
      <c r="K436" s="64"/>
      <c r="L436" s="61"/>
      <c r="M436" s="100"/>
      <c r="N436" s="100"/>
    </row>
    <row r="437" ht="15.6" spans="1:14">
      <c r="A437" s="95"/>
      <c r="B437" s="69" t="s">
        <v>5541</v>
      </c>
      <c r="C437" s="96" t="s">
        <v>203</v>
      </c>
      <c r="D437" s="96" t="s">
        <v>5542</v>
      </c>
      <c r="E437" s="64" t="s">
        <v>422</v>
      </c>
      <c r="F437" s="69" t="s">
        <v>5541</v>
      </c>
      <c r="G437" s="101" t="s">
        <v>5516</v>
      </c>
      <c r="H437" s="64"/>
      <c r="I437" s="64"/>
      <c r="J437" s="64"/>
      <c r="K437" s="64"/>
      <c r="L437" s="61"/>
      <c r="M437" s="100"/>
      <c r="N437" s="100"/>
    </row>
    <row r="438" ht="15.6" spans="1:14">
      <c r="A438" s="95"/>
      <c r="B438" s="69" t="s">
        <v>5543</v>
      </c>
      <c r="C438" s="96" t="s">
        <v>203</v>
      </c>
      <c r="D438" s="96" t="s">
        <v>5544</v>
      </c>
      <c r="E438" s="64" t="s">
        <v>422</v>
      </c>
      <c r="F438" s="69" t="s">
        <v>5543</v>
      </c>
      <c r="G438" s="101" t="s">
        <v>5516</v>
      </c>
      <c r="H438" s="64"/>
      <c r="I438" s="64"/>
      <c r="J438" s="64"/>
      <c r="K438" s="64"/>
      <c r="L438" s="61"/>
      <c r="M438" s="100"/>
      <c r="N438" s="100"/>
    </row>
    <row r="439" ht="15.6" spans="1:14">
      <c r="A439" s="95"/>
      <c r="B439" s="69" t="s">
        <v>5545</v>
      </c>
      <c r="C439" s="61" t="s">
        <v>229</v>
      </c>
      <c r="D439" s="96" t="s">
        <v>5546</v>
      </c>
      <c r="E439" s="64" t="s">
        <v>422</v>
      </c>
      <c r="F439" s="69" t="s">
        <v>5545</v>
      </c>
      <c r="G439" s="101" t="s">
        <v>5516</v>
      </c>
      <c r="H439" s="64"/>
      <c r="I439" s="64"/>
      <c r="J439" s="64"/>
      <c r="K439" s="64"/>
      <c r="L439" s="61"/>
      <c r="M439" s="100"/>
      <c r="N439" s="100"/>
    </row>
    <row r="440" ht="15.6" spans="1:14">
      <c r="A440" s="95"/>
      <c r="B440" s="69" t="s">
        <v>5547</v>
      </c>
      <c r="C440" s="61" t="s">
        <v>229</v>
      </c>
      <c r="D440" s="96" t="s">
        <v>5548</v>
      </c>
      <c r="E440" s="64" t="s">
        <v>422</v>
      </c>
      <c r="F440" s="69" t="s">
        <v>5547</v>
      </c>
      <c r="G440" s="101" t="s">
        <v>5516</v>
      </c>
      <c r="H440" s="64"/>
      <c r="I440" s="64"/>
      <c r="J440" s="64"/>
      <c r="K440" s="64"/>
      <c r="L440" s="61"/>
      <c r="M440" s="100"/>
      <c r="N440" s="100"/>
    </row>
    <row r="441" ht="15.6" spans="1:14">
      <c r="A441" s="95"/>
      <c r="B441" s="69" t="s">
        <v>5549</v>
      </c>
      <c r="C441" s="96" t="s">
        <v>203</v>
      </c>
      <c r="D441" s="96" t="s">
        <v>5550</v>
      </c>
      <c r="E441" s="64" t="s">
        <v>422</v>
      </c>
      <c r="F441" s="69" t="s">
        <v>5549</v>
      </c>
      <c r="G441" s="101" t="s">
        <v>5516</v>
      </c>
      <c r="H441" s="64"/>
      <c r="I441" s="64"/>
      <c r="J441" s="64"/>
      <c r="K441" s="64"/>
      <c r="L441" s="61"/>
      <c r="M441" s="100"/>
      <c r="N441" s="100"/>
    </row>
    <row r="442" ht="15.6" spans="1:14">
      <c r="A442" s="95"/>
      <c r="B442" s="69" t="s">
        <v>5551</v>
      </c>
      <c r="C442" s="61" t="s">
        <v>229</v>
      </c>
      <c r="D442" s="96" t="s">
        <v>5552</v>
      </c>
      <c r="E442" s="64" t="s">
        <v>422</v>
      </c>
      <c r="F442" s="69" t="s">
        <v>5551</v>
      </c>
      <c r="G442" s="101" t="s">
        <v>5516</v>
      </c>
      <c r="H442" s="64"/>
      <c r="I442" s="64"/>
      <c r="J442" s="64"/>
      <c r="K442" s="64"/>
      <c r="L442" s="61"/>
      <c r="M442" s="100"/>
      <c r="N442" s="100"/>
    </row>
    <row r="443" ht="15.6" spans="1:14">
      <c r="A443" s="95"/>
      <c r="B443" s="69" t="s">
        <v>5553</v>
      </c>
      <c r="C443" s="61" t="s">
        <v>229</v>
      </c>
      <c r="D443" s="96" t="s">
        <v>5554</v>
      </c>
      <c r="E443" s="64" t="s">
        <v>422</v>
      </c>
      <c r="F443" s="69" t="s">
        <v>5553</v>
      </c>
      <c r="G443" s="101" t="s">
        <v>5516</v>
      </c>
      <c r="H443" s="64"/>
      <c r="I443" s="64"/>
      <c r="J443" s="64"/>
      <c r="K443" s="64"/>
      <c r="L443" s="61"/>
      <c r="M443" s="100"/>
      <c r="N443" s="100"/>
    </row>
    <row r="444" ht="15.6" spans="1:14">
      <c r="A444" s="95"/>
      <c r="B444" s="69" t="s">
        <v>5555</v>
      </c>
      <c r="C444" s="96" t="s">
        <v>203</v>
      </c>
      <c r="D444" s="96" t="s">
        <v>5556</v>
      </c>
      <c r="E444" s="64" t="s">
        <v>422</v>
      </c>
      <c r="F444" s="69" t="s">
        <v>5555</v>
      </c>
      <c r="G444" s="101" t="s">
        <v>5516</v>
      </c>
      <c r="H444" s="64"/>
      <c r="I444" s="64"/>
      <c r="J444" s="64"/>
      <c r="K444" s="64"/>
      <c r="L444" s="61"/>
      <c r="M444" s="100"/>
      <c r="N444" s="100"/>
    </row>
    <row r="445" ht="15.6" spans="1:14">
      <c r="A445" s="95"/>
      <c r="B445" s="69" t="s">
        <v>5557</v>
      </c>
      <c r="C445" s="61" t="s">
        <v>229</v>
      </c>
      <c r="D445" s="96" t="s">
        <v>5558</v>
      </c>
      <c r="E445" s="64" t="s">
        <v>422</v>
      </c>
      <c r="F445" s="69" t="s">
        <v>5557</v>
      </c>
      <c r="G445" s="101" t="s">
        <v>5516</v>
      </c>
      <c r="H445" s="64"/>
      <c r="I445" s="64"/>
      <c r="J445" s="64"/>
      <c r="K445" s="64"/>
      <c r="L445" s="61"/>
      <c r="M445" s="100"/>
      <c r="N445" s="100"/>
    </row>
    <row r="446" ht="15.6" spans="1:14">
      <c r="A446" s="95"/>
      <c r="B446" s="69" t="s">
        <v>5559</v>
      </c>
      <c r="C446" s="61" t="s">
        <v>229</v>
      </c>
      <c r="D446" s="104" t="s">
        <v>5560</v>
      </c>
      <c r="E446" s="64" t="s">
        <v>422</v>
      </c>
      <c r="F446" s="69" t="s">
        <v>5559</v>
      </c>
      <c r="G446" s="101" t="s">
        <v>5516</v>
      </c>
      <c r="H446" s="64"/>
      <c r="I446" s="64"/>
      <c r="J446" s="64"/>
      <c r="K446" s="64"/>
      <c r="L446" s="61"/>
      <c r="M446" s="100"/>
      <c r="N446" s="100"/>
    </row>
    <row r="447" ht="15.6" spans="1:14">
      <c r="A447" s="95"/>
      <c r="B447" s="69" t="s">
        <v>5561</v>
      </c>
      <c r="C447" s="96" t="s">
        <v>203</v>
      </c>
      <c r="D447" s="104" t="s">
        <v>5562</v>
      </c>
      <c r="E447" s="64" t="s">
        <v>422</v>
      </c>
      <c r="F447" s="69" t="s">
        <v>5561</v>
      </c>
      <c r="G447" s="101" t="s">
        <v>5516</v>
      </c>
      <c r="H447" s="64"/>
      <c r="I447" s="64"/>
      <c r="J447" s="64"/>
      <c r="K447" s="64"/>
      <c r="L447" s="61"/>
      <c r="M447" s="100"/>
      <c r="N447" s="100"/>
    </row>
    <row r="448" ht="15.6" spans="1:14">
      <c r="A448" s="95"/>
      <c r="B448" s="69" t="s">
        <v>2769</v>
      </c>
      <c r="C448" s="96" t="s">
        <v>706</v>
      </c>
      <c r="D448" s="104" t="s">
        <v>2770</v>
      </c>
      <c r="E448" s="64" t="s">
        <v>422</v>
      </c>
      <c r="F448" s="69" t="s">
        <v>2769</v>
      </c>
      <c r="G448" s="101" t="s">
        <v>392</v>
      </c>
      <c r="H448" s="64"/>
      <c r="I448" s="64"/>
      <c r="J448" s="64"/>
      <c r="K448" s="64"/>
      <c r="L448" s="61"/>
      <c r="M448" s="100"/>
      <c r="N448" s="100"/>
    </row>
    <row r="449" ht="15.6" spans="1:14">
      <c r="A449" s="95"/>
      <c r="B449" s="69" t="s">
        <v>5563</v>
      </c>
      <c r="C449" s="61" t="s">
        <v>706</v>
      </c>
      <c r="D449" s="105" t="s">
        <v>5564</v>
      </c>
      <c r="E449" s="64" t="s">
        <v>422</v>
      </c>
      <c r="F449" s="69" t="s">
        <v>5563</v>
      </c>
      <c r="G449" s="101" t="s">
        <v>1693</v>
      </c>
      <c r="H449" s="64"/>
      <c r="I449" s="64"/>
      <c r="J449" s="64"/>
      <c r="K449" s="64"/>
      <c r="L449" s="61"/>
      <c r="M449" s="100"/>
      <c r="N449" s="100"/>
    </row>
    <row r="450" ht="15.6" spans="1:14">
      <c r="A450" s="95"/>
      <c r="B450" s="69" t="s">
        <v>5565</v>
      </c>
      <c r="C450" s="61" t="s">
        <v>706</v>
      </c>
      <c r="D450" s="105" t="s">
        <v>5566</v>
      </c>
      <c r="E450" s="64" t="s">
        <v>422</v>
      </c>
      <c r="F450" s="69" t="s">
        <v>5565</v>
      </c>
      <c r="G450" s="101" t="s">
        <v>1693</v>
      </c>
      <c r="H450" s="64"/>
      <c r="I450" s="64"/>
      <c r="J450" s="64"/>
      <c r="K450" s="64"/>
      <c r="L450" s="61"/>
      <c r="M450" s="100"/>
      <c r="N450" s="100"/>
    </row>
    <row r="451" ht="15.6" spans="1:14">
      <c r="A451" s="95"/>
      <c r="B451" s="69" t="s">
        <v>5567</v>
      </c>
      <c r="C451" s="61" t="s">
        <v>203</v>
      </c>
      <c r="D451" s="104" t="s">
        <v>5568</v>
      </c>
      <c r="E451" s="64" t="s">
        <v>422</v>
      </c>
      <c r="F451" s="69" t="s">
        <v>5567</v>
      </c>
      <c r="G451" s="101" t="s">
        <v>5516</v>
      </c>
      <c r="H451" s="64"/>
      <c r="I451" s="64"/>
      <c r="J451" s="64"/>
      <c r="K451" s="64"/>
      <c r="L451" s="61"/>
      <c r="M451" s="100"/>
      <c r="N451" s="100"/>
    </row>
    <row r="452" ht="15.6" spans="1:14">
      <c r="A452" s="95"/>
      <c r="B452" s="69" t="s">
        <v>5569</v>
      </c>
      <c r="C452" s="61" t="s">
        <v>203</v>
      </c>
      <c r="D452" s="96" t="s">
        <v>5570</v>
      </c>
      <c r="E452" s="64" t="s">
        <v>422</v>
      </c>
      <c r="F452" s="69" t="s">
        <v>5569</v>
      </c>
      <c r="G452" s="101" t="s">
        <v>5516</v>
      </c>
      <c r="H452" s="64"/>
      <c r="I452" s="64"/>
      <c r="J452" s="64"/>
      <c r="K452" s="64"/>
      <c r="L452" s="61"/>
      <c r="M452" s="100"/>
      <c r="N452" s="100"/>
    </row>
    <row r="453" ht="15.6" spans="1:14">
      <c r="A453" s="100"/>
      <c r="B453" s="69" t="s">
        <v>5571</v>
      </c>
      <c r="C453" s="61" t="s">
        <v>175</v>
      </c>
      <c r="D453" s="96" t="s">
        <v>240</v>
      </c>
      <c r="E453" s="64"/>
      <c r="F453" s="64"/>
      <c r="G453" s="64"/>
      <c r="H453" s="64"/>
      <c r="I453" s="64"/>
      <c r="J453" s="64"/>
      <c r="K453" s="64"/>
      <c r="L453" s="61"/>
      <c r="M453" s="100"/>
      <c r="N453" s="100"/>
    </row>
    <row r="454" ht="15.6" spans="1:14">
      <c r="A454" s="76"/>
      <c r="B454" s="69" t="s">
        <v>1530</v>
      </c>
      <c r="C454" s="61" t="s">
        <v>175</v>
      </c>
      <c r="D454" s="96" t="s">
        <v>599</v>
      </c>
      <c r="E454" s="64"/>
      <c r="F454" s="64"/>
      <c r="G454" s="64"/>
      <c r="H454" s="64"/>
      <c r="I454" s="64"/>
      <c r="J454" s="64"/>
      <c r="K454" s="64"/>
      <c r="L454" s="61"/>
      <c r="M454" s="100"/>
      <c r="N454" s="100"/>
    </row>
    <row r="455" ht="15.6" spans="1:14">
      <c r="A455" s="76"/>
      <c r="B455" s="69" t="s">
        <v>1532</v>
      </c>
      <c r="C455" s="61" t="s">
        <v>175</v>
      </c>
      <c r="D455" s="96" t="s">
        <v>1859</v>
      </c>
      <c r="E455" s="64"/>
      <c r="F455" s="64"/>
      <c r="G455" s="64"/>
      <c r="H455" s="64"/>
      <c r="I455" s="64"/>
      <c r="J455" s="64"/>
      <c r="K455" s="64"/>
      <c r="L455" s="61"/>
      <c r="M455" s="100"/>
      <c r="N455" s="100"/>
    </row>
  </sheetData>
  <autoFilter xmlns:etc="http://www.wps.cn/officeDocument/2017/etCustomData" ref="B12:L455" etc:filterBottomFollowUsedRange="0">
    <extLst/>
  </autoFilter>
  <mergeCells count="13">
    <mergeCell ref="B2:H2"/>
    <mergeCell ref="B6:H6"/>
    <mergeCell ref="B11:L11"/>
    <mergeCell ref="H53:H76"/>
    <mergeCell ref="H77:H106"/>
    <mergeCell ref="H107:H134"/>
    <mergeCell ref="H135:H172"/>
    <mergeCell ref="H173:H218"/>
    <mergeCell ref="H219:H239"/>
    <mergeCell ref="H240:H241"/>
    <mergeCell ref="H242:H381"/>
    <mergeCell ref="H382:H400"/>
    <mergeCell ref="H401:H419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hyperlinks>
    <hyperlink ref="B1" location="导航!B1" display="=HYPERLINK(&quot;#&quot;&amp;&quot;导航应用&quot;&amp;&quot;!B1&quot;,&quot;返回&quot;)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B1:S346"/>
  <sheetViews>
    <sheetView workbookViewId="0">
      <selection activeCell="J27" sqref="J27"/>
    </sheetView>
  </sheetViews>
  <sheetFormatPr defaultColWidth="9" defaultRowHeight="15.6"/>
  <cols>
    <col min="1" max="1" width="7.5" style="41" customWidth="1"/>
    <col min="2" max="2" width="27.8796296296296" style="41" customWidth="1"/>
    <col min="3" max="3" width="26.25" style="41" customWidth="1"/>
    <col min="4" max="4" width="30" style="41" customWidth="1"/>
    <col min="5" max="5" width="16.25" style="41" customWidth="1"/>
    <col min="6" max="6" width="11.1296296296296" style="41" customWidth="1"/>
    <col min="7" max="7" width="33.5" style="41" customWidth="1"/>
    <col min="8" max="8" width="12" style="41" customWidth="1"/>
    <col min="9" max="9" width="22.5" style="41" customWidth="1"/>
    <col min="10" max="10" width="12.5" style="41" customWidth="1"/>
    <col min="11" max="11" width="14.1296296296296" style="41" customWidth="1"/>
    <col min="12" max="12" width="12.3796296296296" style="42" customWidth="1"/>
    <col min="13" max="16384" width="9" style="42"/>
  </cols>
  <sheetData>
    <row r="1" s="40" customFormat="1" ht="15" spans="2:8">
      <c r="B1" s="43" t="str">
        <f>HYPERLINK("#"&amp;"导航应用"&amp;"!B1","返回")</f>
        <v>返回</v>
      </c>
      <c r="C1" s="44"/>
      <c r="D1" s="44"/>
      <c r="E1" s="45"/>
      <c r="F1" s="46"/>
      <c r="G1" s="46"/>
      <c r="H1" s="47"/>
    </row>
    <row r="2" ht="17.4" spans="2:8">
      <c r="B2" s="48" t="s">
        <v>132</v>
      </c>
      <c r="C2" s="48"/>
      <c r="D2" s="48"/>
      <c r="E2" s="48"/>
      <c r="F2" s="48"/>
      <c r="G2" s="48"/>
      <c r="H2" s="48"/>
    </row>
    <row r="3" spans="2:8">
      <c r="B3" s="49" t="s">
        <v>133</v>
      </c>
      <c r="C3" s="49" t="s">
        <v>134</v>
      </c>
      <c r="D3" s="49" t="s">
        <v>135</v>
      </c>
      <c r="E3" s="49" t="s">
        <v>136</v>
      </c>
      <c r="F3" s="49" t="s">
        <v>137</v>
      </c>
      <c r="G3" s="49" t="s">
        <v>138</v>
      </c>
      <c r="H3" s="49" t="s">
        <v>139</v>
      </c>
    </row>
    <row r="4" ht="26.4" spans="2:14">
      <c r="B4" s="12"/>
      <c r="C4" s="50" t="s">
        <v>117</v>
      </c>
      <c r="D4" s="50" t="s">
        <v>118</v>
      </c>
      <c r="E4" s="12" t="s">
        <v>174</v>
      </c>
      <c r="F4" s="51" t="s">
        <v>141</v>
      </c>
      <c r="G4" s="12"/>
      <c r="H4" s="12"/>
      <c r="N4" s="41"/>
    </row>
    <row r="5" spans="2:8">
      <c r="B5" s="52"/>
      <c r="C5" s="52"/>
      <c r="D5" s="52"/>
      <c r="E5" s="52"/>
      <c r="F5" s="52"/>
      <c r="G5" s="52"/>
      <c r="H5" s="52"/>
    </row>
    <row r="6" ht="17.4" spans="2:8">
      <c r="B6" s="48" t="s">
        <v>142</v>
      </c>
      <c r="C6" s="48"/>
      <c r="D6" s="48"/>
      <c r="E6" s="48"/>
      <c r="F6" s="48"/>
      <c r="G6" s="48"/>
      <c r="H6" s="48"/>
    </row>
    <row r="7" spans="2:8">
      <c r="B7" s="53" t="s">
        <v>143</v>
      </c>
      <c r="C7" s="53" t="s">
        <v>144</v>
      </c>
      <c r="D7" s="53" t="s">
        <v>145</v>
      </c>
      <c r="E7" s="53" t="s">
        <v>146</v>
      </c>
      <c r="F7" s="53" t="s">
        <v>147</v>
      </c>
      <c r="G7" s="53" t="s">
        <v>13</v>
      </c>
      <c r="H7" s="53" t="s">
        <v>148</v>
      </c>
    </row>
    <row r="8" ht="26.4" spans="2:8">
      <c r="B8" s="12" t="s">
        <v>149</v>
      </c>
      <c r="C8" s="50" t="s">
        <v>105</v>
      </c>
      <c r="D8" s="50" t="s">
        <v>106</v>
      </c>
      <c r="E8" s="12" t="s">
        <v>422</v>
      </c>
      <c r="F8" s="12"/>
      <c r="G8" s="54"/>
      <c r="H8" s="16" t="s">
        <v>21</v>
      </c>
    </row>
    <row r="9" spans="2:8">
      <c r="B9" s="12"/>
      <c r="C9" s="55"/>
      <c r="D9" s="12"/>
      <c r="E9" s="12"/>
      <c r="F9" s="12"/>
      <c r="G9" s="12"/>
      <c r="H9" s="12"/>
    </row>
    <row r="10" spans="2:12">
      <c r="B10" s="56" t="s">
        <v>158</v>
      </c>
      <c r="C10" s="57"/>
      <c r="D10" s="57"/>
      <c r="E10" s="57"/>
      <c r="F10" s="57"/>
      <c r="G10" s="57"/>
      <c r="H10" s="57"/>
      <c r="I10" s="57"/>
      <c r="J10" s="57"/>
      <c r="K10" s="57"/>
      <c r="L10" s="62"/>
    </row>
    <row r="11" ht="24" spans="2:12">
      <c r="B11" s="58" t="s">
        <v>159</v>
      </c>
      <c r="C11" s="58" t="s">
        <v>160</v>
      </c>
      <c r="D11" s="58" t="s">
        <v>161</v>
      </c>
      <c r="E11" s="58" t="s">
        <v>162</v>
      </c>
      <c r="F11" s="58" t="s">
        <v>163</v>
      </c>
      <c r="G11" s="58" t="s">
        <v>164</v>
      </c>
      <c r="H11" s="58" t="s">
        <v>165</v>
      </c>
      <c r="I11" s="58" t="s">
        <v>13</v>
      </c>
      <c r="J11" s="58" t="s">
        <v>166</v>
      </c>
      <c r="K11" s="58" t="s">
        <v>167</v>
      </c>
      <c r="L11" s="58" t="s">
        <v>168</v>
      </c>
    </row>
    <row r="12" spans="2:13">
      <c r="B12" s="59" t="s">
        <v>174</v>
      </c>
      <c r="C12" s="59" t="s">
        <v>175</v>
      </c>
      <c r="D12" s="59" t="s">
        <v>176</v>
      </c>
      <c r="E12" s="59" t="s">
        <v>422</v>
      </c>
      <c r="F12" s="12"/>
      <c r="G12" s="59" t="s">
        <v>177</v>
      </c>
      <c r="H12" s="12"/>
      <c r="I12" s="12"/>
      <c r="J12" s="12"/>
      <c r="K12" s="59"/>
      <c r="L12" s="55"/>
      <c r="M12" s="55"/>
    </row>
    <row r="13" spans="2:13">
      <c r="B13" s="60" t="s">
        <v>169</v>
      </c>
      <c r="C13" s="59" t="s">
        <v>170</v>
      </c>
      <c r="D13" s="59" t="s">
        <v>525</v>
      </c>
      <c r="E13" s="59" t="s">
        <v>422</v>
      </c>
      <c r="F13" s="12"/>
      <c r="G13" s="59" t="s">
        <v>169</v>
      </c>
      <c r="H13" s="12"/>
      <c r="I13" s="12"/>
      <c r="J13" s="12"/>
      <c r="K13" s="59"/>
      <c r="L13" s="55"/>
      <c r="M13" s="55"/>
    </row>
    <row r="14" spans="2:13">
      <c r="B14" s="60" t="s">
        <v>178</v>
      </c>
      <c r="C14" s="59" t="s">
        <v>170</v>
      </c>
      <c r="D14" s="59" t="s">
        <v>527</v>
      </c>
      <c r="E14" s="59" t="s">
        <v>422</v>
      </c>
      <c r="F14" s="12"/>
      <c r="G14" s="59" t="s">
        <v>178</v>
      </c>
      <c r="H14" s="12"/>
      <c r="I14" s="12"/>
      <c r="J14" s="12"/>
      <c r="K14" s="59"/>
      <c r="L14" s="55"/>
      <c r="M14" s="55"/>
    </row>
    <row r="15" spans="2:13">
      <c r="B15" s="60" t="s">
        <v>180</v>
      </c>
      <c r="C15" s="59" t="s">
        <v>170</v>
      </c>
      <c r="D15" s="59" t="s">
        <v>5588</v>
      </c>
      <c r="E15" s="59" t="s">
        <v>422</v>
      </c>
      <c r="F15" s="12"/>
      <c r="G15" s="59" t="s">
        <v>180</v>
      </c>
      <c r="H15" s="12"/>
      <c r="I15" s="12"/>
      <c r="J15" s="12"/>
      <c r="K15" s="59"/>
      <c r="L15" s="55"/>
      <c r="M15" s="55"/>
    </row>
    <row r="16" spans="2:13">
      <c r="B16" s="60" t="s">
        <v>5589</v>
      </c>
      <c r="C16" s="59" t="s">
        <v>175</v>
      </c>
      <c r="D16" s="59" t="s">
        <v>1553</v>
      </c>
      <c r="E16" s="59" t="s">
        <v>422</v>
      </c>
      <c r="F16" s="12"/>
      <c r="G16" s="59" t="s">
        <v>5589</v>
      </c>
      <c r="H16" s="12"/>
      <c r="I16" s="12"/>
      <c r="J16" s="12"/>
      <c r="K16" s="59"/>
      <c r="L16" s="55"/>
      <c r="M16" s="55"/>
    </row>
    <row r="17" spans="2:13">
      <c r="B17" s="60" t="s">
        <v>746</v>
      </c>
      <c r="C17" s="59" t="s">
        <v>175</v>
      </c>
      <c r="D17" s="59" t="s">
        <v>747</v>
      </c>
      <c r="E17" s="59" t="s">
        <v>422</v>
      </c>
      <c r="F17" s="12"/>
      <c r="G17" s="59" t="s">
        <v>746</v>
      </c>
      <c r="H17" s="12"/>
      <c r="I17" s="12"/>
      <c r="J17" s="12"/>
      <c r="K17" s="59"/>
      <c r="L17" s="55"/>
      <c r="M17" s="55"/>
    </row>
    <row r="18" spans="2:13">
      <c r="B18" s="60" t="s">
        <v>191</v>
      </c>
      <c r="C18" s="59" t="s">
        <v>175</v>
      </c>
      <c r="D18" s="59" t="s">
        <v>5591</v>
      </c>
      <c r="E18" s="59" t="s">
        <v>422</v>
      </c>
      <c r="F18" s="12"/>
      <c r="G18" s="59" t="s">
        <v>191</v>
      </c>
      <c r="H18" s="12"/>
      <c r="I18" s="12"/>
      <c r="J18" s="12"/>
      <c r="K18" s="59"/>
      <c r="L18" s="55"/>
      <c r="M18" s="55"/>
    </row>
    <row r="19" spans="2:13">
      <c r="B19" s="60" t="s">
        <v>188</v>
      </c>
      <c r="C19" s="59" t="s">
        <v>175</v>
      </c>
      <c r="D19" s="59" t="s">
        <v>5592</v>
      </c>
      <c r="E19" s="59" t="s">
        <v>422</v>
      </c>
      <c r="F19" s="12"/>
      <c r="G19" s="59" t="s">
        <v>188</v>
      </c>
      <c r="H19" s="12"/>
      <c r="I19" s="12"/>
      <c r="J19" s="12"/>
      <c r="K19" s="59"/>
      <c r="L19" s="55"/>
      <c r="M19" s="55"/>
    </row>
    <row r="20" spans="2:13">
      <c r="B20" s="60" t="s">
        <v>1564</v>
      </c>
      <c r="C20" s="59" t="s">
        <v>175</v>
      </c>
      <c r="D20" s="59" t="s">
        <v>1565</v>
      </c>
      <c r="E20" s="59" t="s">
        <v>422</v>
      </c>
      <c r="F20" s="12"/>
      <c r="G20" s="59" t="s">
        <v>1564</v>
      </c>
      <c r="H20" s="12"/>
      <c r="I20" s="12"/>
      <c r="J20" s="12"/>
      <c r="K20" s="59"/>
      <c r="L20" s="55"/>
      <c r="M20" s="55"/>
    </row>
    <row r="21" spans="2:13">
      <c r="B21" s="60" t="s">
        <v>211</v>
      </c>
      <c r="C21" s="59" t="s">
        <v>175</v>
      </c>
      <c r="D21" s="59" t="s">
        <v>211</v>
      </c>
      <c r="E21" s="59" t="s">
        <v>422</v>
      </c>
      <c r="F21" s="12"/>
      <c r="G21" s="59" t="s">
        <v>211</v>
      </c>
      <c r="H21" s="12"/>
      <c r="I21" s="12"/>
      <c r="J21" s="12"/>
      <c r="K21" s="59"/>
      <c r="L21" s="55"/>
      <c r="M21" s="55"/>
    </row>
    <row r="22" spans="2:13">
      <c r="B22" s="59" t="s">
        <v>255</v>
      </c>
      <c r="C22" s="59" t="s">
        <v>229</v>
      </c>
      <c r="D22" s="59" t="s">
        <v>618</v>
      </c>
      <c r="E22" s="59" t="s">
        <v>422</v>
      </c>
      <c r="F22" s="12"/>
      <c r="G22" s="59" t="s">
        <v>256</v>
      </c>
      <c r="H22" s="12"/>
      <c r="I22" s="59" t="s">
        <v>5593</v>
      </c>
      <c r="J22" s="12"/>
      <c r="K22" s="59"/>
      <c r="L22" s="55"/>
      <c r="M22" s="55"/>
    </row>
    <row r="23" spans="2:13">
      <c r="B23" s="59" t="s">
        <v>4263</v>
      </c>
      <c r="C23" s="59" t="s">
        <v>229</v>
      </c>
      <c r="D23" s="59" t="s">
        <v>4264</v>
      </c>
      <c r="E23" s="59" t="s">
        <v>422</v>
      </c>
      <c r="F23" s="12"/>
      <c r="G23" s="59" t="s">
        <v>5594</v>
      </c>
      <c r="H23" s="55"/>
      <c r="I23" s="59" t="s">
        <v>5593</v>
      </c>
      <c r="J23" s="12"/>
      <c r="K23" s="59"/>
      <c r="L23" s="55"/>
      <c r="M23" s="55"/>
    </row>
    <row r="24" spans="2:13">
      <c r="B24" s="59" t="s">
        <v>4266</v>
      </c>
      <c r="C24" s="59" t="s">
        <v>203</v>
      </c>
      <c r="D24" s="59" t="s">
        <v>4267</v>
      </c>
      <c r="E24" s="59" t="s">
        <v>422</v>
      </c>
      <c r="F24" s="12"/>
      <c r="G24" s="59" t="s">
        <v>5595</v>
      </c>
      <c r="H24" s="55"/>
      <c r="I24" s="59" t="s">
        <v>5593</v>
      </c>
      <c r="J24" s="12"/>
      <c r="K24" s="59"/>
      <c r="L24" s="55"/>
      <c r="M24" s="55"/>
    </row>
    <row r="25" spans="2:13">
      <c r="B25" s="59" t="s">
        <v>4269</v>
      </c>
      <c r="C25" s="59" t="s">
        <v>229</v>
      </c>
      <c r="D25" s="59" t="s">
        <v>1847</v>
      </c>
      <c r="E25" s="59" t="s">
        <v>422</v>
      </c>
      <c r="F25" s="12"/>
      <c r="G25" s="59" t="s">
        <v>5596</v>
      </c>
      <c r="H25" s="55"/>
      <c r="I25" s="59" t="s">
        <v>5593</v>
      </c>
      <c r="J25" s="12"/>
      <c r="K25" s="59"/>
      <c r="L25" s="55"/>
      <c r="M25" s="55"/>
    </row>
    <row r="26" spans="2:13">
      <c r="B26" s="59" t="s">
        <v>4271</v>
      </c>
      <c r="C26" s="59" t="s">
        <v>229</v>
      </c>
      <c r="D26" s="59" t="s">
        <v>1849</v>
      </c>
      <c r="E26" s="59" t="s">
        <v>422</v>
      </c>
      <c r="F26" s="12"/>
      <c r="G26" s="59" t="s">
        <v>5597</v>
      </c>
      <c r="H26" s="55"/>
      <c r="I26" s="59" t="s">
        <v>5593</v>
      </c>
      <c r="J26" s="12"/>
      <c r="K26" s="59"/>
      <c r="L26" s="55"/>
      <c r="M26" s="55"/>
    </row>
    <row r="27" spans="2:13">
      <c r="B27" s="59" t="s">
        <v>4273</v>
      </c>
      <c r="C27" s="59" t="s">
        <v>229</v>
      </c>
      <c r="D27" s="59" t="s">
        <v>1851</v>
      </c>
      <c r="E27" s="59" t="s">
        <v>422</v>
      </c>
      <c r="F27" s="12"/>
      <c r="G27" s="59" t="s">
        <v>5598</v>
      </c>
      <c r="H27" s="55"/>
      <c r="I27" s="59" t="s">
        <v>5593</v>
      </c>
      <c r="J27" s="12"/>
      <c r="K27" s="59"/>
      <c r="L27" s="55"/>
      <c r="M27" s="55"/>
    </row>
    <row r="28" spans="2:13">
      <c r="B28" s="59" t="s">
        <v>4275</v>
      </c>
      <c r="C28" s="59" t="s">
        <v>229</v>
      </c>
      <c r="D28" s="59" t="s">
        <v>1853</v>
      </c>
      <c r="E28" s="59" t="s">
        <v>422</v>
      </c>
      <c r="F28" s="12"/>
      <c r="G28" s="59" t="s">
        <v>5599</v>
      </c>
      <c r="H28" s="55"/>
      <c r="I28" s="59" t="s">
        <v>5593</v>
      </c>
      <c r="J28" s="12"/>
      <c r="K28" s="59"/>
      <c r="L28" s="55"/>
      <c r="M28" s="55"/>
    </row>
    <row r="29" spans="2:13">
      <c r="B29" s="59" t="s">
        <v>4277</v>
      </c>
      <c r="C29" s="59" t="s">
        <v>229</v>
      </c>
      <c r="D29" s="59" t="s">
        <v>1855</v>
      </c>
      <c r="E29" s="59" t="s">
        <v>422</v>
      </c>
      <c r="F29" s="12"/>
      <c r="G29" s="59" t="s">
        <v>5600</v>
      </c>
      <c r="H29" s="55"/>
      <c r="I29" s="59" t="s">
        <v>5593</v>
      </c>
      <c r="J29" s="12"/>
      <c r="K29" s="59"/>
      <c r="L29" s="55"/>
      <c r="M29" s="55"/>
    </row>
    <row r="30" spans="2:13">
      <c r="B30" s="59" t="s">
        <v>4279</v>
      </c>
      <c r="C30" s="59" t="s">
        <v>229</v>
      </c>
      <c r="D30" s="59" t="s">
        <v>1857</v>
      </c>
      <c r="E30" s="59" t="s">
        <v>422</v>
      </c>
      <c r="F30" s="12"/>
      <c r="G30" s="59" t="s">
        <v>5601</v>
      </c>
      <c r="H30" s="55"/>
      <c r="I30" s="59" t="s">
        <v>5593</v>
      </c>
      <c r="J30" s="12"/>
      <c r="K30" s="59"/>
      <c r="L30" s="55"/>
      <c r="M30" s="55"/>
    </row>
    <row r="31" spans="2:13">
      <c r="B31" s="59" t="s">
        <v>257</v>
      </c>
      <c r="C31" s="59" t="s">
        <v>229</v>
      </c>
      <c r="D31" s="59" t="s">
        <v>394</v>
      </c>
      <c r="E31" s="59" t="s">
        <v>422</v>
      </c>
      <c r="F31" s="12"/>
      <c r="G31" s="59" t="s">
        <v>5602</v>
      </c>
      <c r="H31" s="55"/>
      <c r="I31" s="59" t="s">
        <v>5593</v>
      </c>
      <c r="J31" s="12"/>
      <c r="K31" s="59"/>
      <c r="L31" s="55"/>
      <c r="M31" s="55"/>
    </row>
    <row r="32" spans="2:13">
      <c r="B32" s="59" t="s">
        <v>264</v>
      </c>
      <c r="C32" s="59" t="s">
        <v>229</v>
      </c>
      <c r="D32" s="59" t="s">
        <v>395</v>
      </c>
      <c r="E32" s="59" t="s">
        <v>422</v>
      </c>
      <c r="F32" s="12"/>
      <c r="G32" s="59" t="s">
        <v>4856</v>
      </c>
      <c r="H32" s="55"/>
      <c r="I32" s="59" t="s">
        <v>5593</v>
      </c>
      <c r="J32" s="12"/>
      <c r="K32" s="59"/>
      <c r="L32" s="55"/>
      <c r="M32" s="55"/>
    </row>
    <row r="33" spans="2:13">
      <c r="B33" s="59" t="s">
        <v>1989</v>
      </c>
      <c r="C33" s="59" t="s">
        <v>229</v>
      </c>
      <c r="D33" s="59" t="s">
        <v>4283</v>
      </c>
      <c r="E33" s="59" t="s">
        <v>422</v>
      </c>
      <c r="F33" s="12"/>
      <c r="G33" s="59" t="s">
        <v>1990</v>
      </c>
      <c r="H33" s="55"/>
      <c r="I33" s="59" t="s">
        <v>5593</v>
      </c>
      <c r="J33" s="12"/>
      <c r="K33" s="59"/>
      <c r="L33" s="55"/>
      <c r="M33" s="55"/>
    </row>
    <row r="34" spans="2:13">
      <c r="B34" s="59" t="s">
        <v>1991</v>
      </c>
      <c r="C34" s="59" t="s">
        <v>229</v>
      </c>
      <c r="D34" s="59" t="s">
        <v>4285</v>
      </c>
      <c r="E34" s="59" t="s">
        <v>422</v>
      </c>
      <c r="F34" s="12"/>
      <c r="G34" s="59" t="s">
        <v>1992</v>
      </c>
      <c r="H34" s="55"/>
      <c r="I34" s="59" t="s">
        <v>5593</v>
      </c>
      <c r="J34" s="12"/>
      <c r="K34" s="59"/>
      <c r="L34" s="55"/>
      <c r="M34" s="55"/>
    </row>
    <row r="35" spans="2:13">
      <c r="B35" s="59" t="s">
        <v>4287</v>
      </c>
      <c r="C35" s="59" t="s">
        <v>229</v>
      </c>
      <c r="D35" s="59" t="s">
        <v>4288</v>
      </c>
      <c r="E35" s="59" t="s">
        <v>422</v>
      </c>
      <c r="F35" s="12"/>
      <c r="G35" s="59" t="s">
        <v>5603</v>
      </c>
      <c r="H35" s="55"/>
      <c r="I35" s="59" t="s">
        <v>5593</v>
      </c>
      <c r="J35" s="12"/>
      <c r="K35" s="59"/>
      <c r="L35" s="55"/>
      <c r="M35" s="55"/>
    </row>
    <row r="36" spans="2:13">
      <c r="B36" s="59" t="s">
        <v>4290</v>
      </c>
      <c r="C36" s="59" t="s">
        <v>229</v>
      </c>
      <c r="D36" s="59" t="s">
        <v>4291</v>
      </c>
      <c r="E36" s="59" t="s">
        <v>422</v>
      </c>
      <c r="F36" s="12"/>
      <c r="G36" s="59" t="s">
        <v>5604</v>
      </c>
      <c r="H36" s="55"/>
      <c r="I36" s="59" t="s">
        <v>5593</v>
      </c>
      <c r="J36" s="12"/>
      <c r="K36" s="59"/>
      <c r="L36" s="55"/>
      <c r="M36" s="55"/>
    </row>
    <row r="37" spans="2:13">
      <c r="B37" s="59" t="s">
        <v>1993</v>
      </c>
      <c r="C37" s="59" t="s">
        <v>229</v>
      </c>
      <c r="D37" s="59" t="s">
        <v>4293</v>
      </c>
      <c r="E37" s="59" t="s">
        <v>422</v>
      </c>
      <c r="F37" s="12"/>
      <c r="G37" s="59" t="s">
        <v>1994</v>
      </c>
      <c r="H37" s="55"/>
      <c r="I37" s="59" t="s">
        <v>5593</v>
      </c>
      <c r="J37" s="12"/>
      <c r="K37" s="59"/>
      <c r="L37" s="55"/>
      <c r="M37" s="55"/>
    </row>
    <row r="38" spans="2:13">
      <c r="B38" s="59" t="s">
        <v>1995</v>
      </c>
      <c r="C38" s="59" t="s">
        <v>229</v>
      </c>
      <c r="D38" s="59" t="s">
        <v>4295</v>
      </c>
      <c r="E38" s="59" t="s">
        <v>422</v>
      </c>
      <c r="F38" s="12"/>
      <c r="G38" s="59" t="s">
        <v>1996</v>
      </c>
      <c r="H38" s="55"/>
      <c r="I38" s="59" t="s">
        <v>5593</v>
      </c>
      <c r="J38" s="12"/>
      <c r="K38" s="59"/>
      <c r="L38" s="55"/>
      <c r="M38" s="55"/>
    </row>
    <row r="39" spans="2:13">
      <c r="B39" s="59" t="s">
        <v>4297</v>
      </c>
      <c r="C39" s="59" t="s">
        <v>203</v>
      </c>
      <c r="D39" s="59" t="s">
        <v>4298</v>
      </c>
      <c r="E39" s="59" t="s">
        <v>422</v>
      </c>
      <c r="F39" s="12"/>
      <c r="G39" s="59" t="s">
        <v>2489</v>
      </c>
      <c r="H39" s="55"/>
      <c r="I39" s="59" t="s">
        <v>5593</v>
      </c>
      <c r="J39" s="12"/>
      <c r="K39" s="59"/>
      <c r="L39" s="55"/>
      <c r="M39" s="55"/>
    </row>
    <row r="40" spans="2:13">
      <c r="B40" s="59" t="s">
        <v>4300</v>
      </c>
      <c r="C40" s="59" t="s">
        <v>203</v>
      </c>
      <c r="D40" s="59" t="s">
        <v>4301</v>
      </c>
      <c r="E40" s="59" t="s">
        <v>422</v>
      </c>
      <c r="F40" s="12"/>
      <c r="G40" s="59" t="s">
        <v>2512</v>
      </c>
      <c r="H40" s="55"/>
      <c r="I40" s="59" t="s">
        <v>5593</v>
      </c>
      <c r="J40" s="12"/>
      <c r="K40" s="59"/>
      <c r="L40" s="55"/>
      <c r="M40" s="55"/>
    </row>
    <row r="41" spans="2:13">
      <c r="B41" s="59" t="s">
        <v>4303</v>
      </c>
      <c r="C41" s="59" t="s">
        <v>203</v>
      </c>
      <c r="D41" s="59" t="s">
        <v>4304</v>
      </c>
      <c r="E41" s="59" t="s">
        <v>422</v>
      </c>
      <c r="F41" s="12"/>
      <c r="G41" s="59" t="s">
        <v>5605</v>
      </c>
      <c r="H41" s="55"/>
      <c r="I41" s="59" t="s">
        <v>5593</v>
      </c>
      <c r="J41" s="12"/>
      <c r="K41" s="59"/>
      <c r="L41" s="55"/>
      <c r="M41" s="55"/>
    </row>
    <row r="42" spans="2:13">
      <c r="B42" s="59" t="s">
        <v>4306</v>
      </c>
      <c r="C42" s="59" t="s">
        <v>203</v>
      </c>
      <c r="D42" s="59" t="s">
        <v>4307</v>
      </c>
      <c r="E42" s="59" t="s">
        <v>422</v>
      </c>
      <c r="F42" s="12"/>
      <c r="G42" s="59" t="s">
        <v>1959</v>
      </c>
      <c r="H42" s="55"/>
      <c r="I42" s="59" t="s">
        <v>5593</v>
      </c>
      <c r="J42" s="12"/>
      <c r="K42" s="59"/>
      <c r="L42" s="55"/>
      <c r="M42" s="55"/>
    </row>
    <row r="43" spans="2:13">
      <c r="B43" s="59" t="s">
        <v>4309</v>
      </c>
      <c r="C43" s="59" t="s">
        <v>203</v>
      </c>
      <c r="D43" s="59" t="s">
        <v>4310</v>
      </c>
      <c r="E43" s="59" t="s">
        <v>422</v>
      </c>
      <c r="F43" s="12"/>
      <c r="G43" s="59" t="s">
        <v>1387</v>
      </c>
      <c r="H43" s="55"/>
      <c r="I43" s="59" t="s">
        <v>5593</v>
      </c>
      <c r="J43" s="12"/>
      <c r="K43" s="59"/>
      <c r="L43" s="55"/>
      <c r="M43" s="55"/>
    </row>
    <row r="44" spans="2:13">
      <c r="B44" s="59" t="s">
        <v>4312</v>
      </c>
      <c r="C44" s="59" t="s">
        <v>203</v>
      </c>
      <c r="D44" s="59" t="s">
        <v>4313</v>
      </c>
      <c r="E44" s="59" t="s">
        <v>422</v>
      </c>
      <c r="F44" s="12"/>
      <c r="G44" s="59" t="s">
        <v>5606</v>
      </c>
      <c r="H44" s="55"/>
      <c r="I44" s="59" t="s">
        <v>5593</v>
      </c>
      <c r="J44" s="12"/>
      <c r="K44" s="59"/>
      <c r="L44" s="55"/>
      <c r="M44" s="55"/>
    </row>
    <row r="45" spans="2:13">
      <c r="B45" s="59" t="s">
        <v>1577</v>
      </c>
      <c r="C45" s="59" t="s">
        <v>229</v>
      </c>
      <c r="D45" s="59" t="s">
        <v>4315</v>
      </c>
      <c r="E45" s="59" t="s">
        <v>422</v>
      </c>
      <c r="F45" s="12"/>
      <c r="G45" s="59" t="s">
        <v>5607</v>
      </c>
      <c r="H45" s="55"/>
      <c r="I45" s="59" t="s">
        <v>5593</v>
      </c>
      <c r="J45" s="12"/>
      <c r="K45" s="59"/>
      <c r="L45" s="55"/>
      <c r="M45" s="55"/>
    </row>
    <row r="46" spans="2:13">
      <c r="B46" s="59" t="s">
        <v>1581</v>
      </c>
      <c r="C46" s="59" t="s">
        <v>229</v>
      </c>
      <c r="D46" s="59" t="s">
        <v>4317</v>
      </c>
      <c r="E46" s="59" t="s">
        <v>422</v>
      </c>
      <c r="F46" s="12"/>
      <c r="G46" s="59" t="s">
        <v>5608</v>
      </c>
      <c r="H46" s="55"/>
      <c r="I46" s="59" t="s">
        <v>5593</v>
      </c>
      <c r="J46" s="12"/>
      <c r="K46" s="59"/>
      <c r="L46" s="55"/>
      <c r="M46" s="55"/>
    </row>
    <row r="47" spans="2:19">
      <c r="B47" s="59" t="s">
        <v>1796</v>
      </c>
      <c r="C47" s="59" t="s">
        <v>229</v>
      </c>
      <c r="D47" s="59" t="s">
        <v>4319</v>
      </c>
      <c r="E47" s="59" t="s">
        <v>422</v>
      </c>
      <c r="F47" s="12"/>
      <c r="G47" s="59" t="s">
        <v>5609</v>
      </c>
      <c r="H47" s="55"/>
      <c r="I47" s="59" t="s">
        <v>5593</v>
      </c>
      <c r="J47" s="12"/>
      <c r="K47" s="59"/>
      <c r="L47" s="55"/>
      <c r="M47" s="55"/>
      <c r="S47" s="42" t="s">
        <v>1796</v>
      </c>
    </row>
    <row r="48" spans="2:19">
      <c r="B48" s="59" t="s">
        <v>1798</v>
      </c>
      <c r="C48" s="59" t="s">
        <v>229</v>
      </c>
      <c r="D48" s="59" t="s">
        <v>4321</v>
      </c>
      <c r="E48" s="59" t="s">
        <v>422</v>
      </c>
      <c r="F48" s="12"/>
      <c r="G48" s="59" t="s">
        <v>5610</v>
      </c>
      <c r="H48" s="55"/>
      <c r="I48" s="59" t="s">
        <v>5593</v>
      </c>
      <c r="J48" s="12"/>
      <c r="K48" s="59"/>
      <c r="L48" s="55"/>
      <c r="M48" s="55"/>
      <c r="S48" s="42" t="s">
        <v>1798</v>
      </c>
    </row>
    <row r="49" spans="2:13">
      <c r="B49" s="59" t="s">
        <v>4323</v>
      </c>
      <c r="C49" s="59" t="s">
        <v>229</v>
      </c>
      <c r="D49" s="59" t="s">
        <v>4324</v>
      </c>
      <c r="E49" s="59" t="s">
        <v>422</v>
      </c>
      <c r="F49" s="12"/>
      <c r="G49" s="59" t="s">
        <v>5021</v>
      </c>
      <c r="H49" s="55"/>
      <c r="I49" s="59" t="s">
        <v>5593</v>
      </c>
      <c r="J49" s="12"/>
      <c r="K49" s="59"/>
      <c r="L49" s="55"/>
      <c r="M49" s="55"/>
    </row>
    <row r="50" spans="2:13">
      <c r="B50" s="59" t="s">
        <v>4326</v>
      </c>
      <c r="C50" s="59" t="s">
        <v>229</v>
      </c>
      <c r="D50" s="59" t="s">
        <v>4327</v>
      </c>
      <c r="E50" s="59" t="s">
        <v>422</v>
      </c>
      <c r="F50" s="12"/>
      <c r="G50" s="59" t="s">
        <v>5023</v>
      </c>
      <c r="H50" s="55"/>
      <c r="I50" s="59" t="s">
        <v>5593</v>
      </c>
      <c r="J50" s="12"/>
      <c r="K50" s="59"/>
      <c r="L50" s="55"/>
      <c r="M50" s="55"/>
    </row>
    <row r="51" spans="2:13">
      <c r="B51" s="59" t="s">
        <v>4329</v>
      </c>
      <c r="C51" s="59" t="s">
        <v>229</v>
      </c>
      <c r="D51" s="59" t="s">
        <v>4330</v>
      </c>
      <c r="E51" s="59" t="s">
        <v>422</v>
      </c>
      <c r="F51" s="12"/>
      <c r="G51" s="59" t="s">
        <v>5611</v>
      </c>
      <c r="H51" s="55"/>
      <c r="I51" s="59" t="s">
        <v>5593</v>
      </c>
      <c r="J51" s="12"/>
      <c r="K51" s="59"/>
      <c r="L51" s="55"/>
      <c r="M51" s="55"/>
    </row>
    <row r="52" ht="16.5" customHeight="1" spans="2:13">
      <c r="B52" s="59" t="s">
        <v>5612</v>
      </c>
      <c r="C52" s="59" t="s">
        <v>229</v>
      </c>
      <c r="D52" s="59" t="s">
        <v>5613</v>
      </c>
      <c r="E52" s="59" t="s">
        <v>422</v>
      </c>
      <c r="F52" s="12"/>
      <c r="G52" s="61" t="s">
        <v>4849</v>
      </c>
      <c r="H52" s="55"/>
      <c r="I52" s="63" t="s">
        <v>4850</v>
      </c>
      <c r="J52" s="12"/>
      <c r="K52" s="59"/>
      <c r="L52" s="55"/>
      <c r="M52" s="55"/>
    </row>
    <row r="53" spans="2:13">
      <c r="B53" s="59" t="s">
        <v>5614</v>
      </c>
      <c r="C53" s="59" t="s">
        <v>229</v>
      </c>
      <c r="D53" s="59" t="s">
        <v>5615</v>
      </c>
      <c r="E53" s="59" t="s">
        <v>422</v>
      </c>
      <c r="F53" s="12"/>
      <c r="G53" s="61" t="s">
        <v>4853</v>
      </c>
      <c r="H53" s="55"/>
      <c r="I53" s="63"/>
      <c r="J53" s="12"/>
      <c r="K53" s="59"/>
      <c r="L53" s="55"/>
      <c r="M53" s="55"/>
    </row>
    <row r="54" spans="2:19">
      <c r="B54" s="59" t="s">
        <v>5616</v>
      </c>
      <c r="C54" s="59" t="s">
        <v>229</v>
      </c>
      <c r="D54" s="59" t="s">
        <v>5617</v>
      </c>
      <c r="E54" s="59" t="s">
        <v>422</v>
      </c>
      <c r="F54" s="12"/>
      <c r="G54" s="61" t="s">
        <v>4856</v>
      </c>
      <c r="H54" s="55"/>
      <c r="I54" s="63"/>
      <c r="J54" s="12"/>
      <c r="K54" s="59"/>
      <c r="L54" s="55"/>
      <c r="M54" s="55"/>
      <c r="S54" s="42" t="s">
        <v>4329</v>
      </c>
    </row>
    <row r="55" spans="2:13">
      <c r="B55" s="59" t="s">
        <v>5618</v>
      </c>
      <c r="C55" s="59" t="s">
        <v>229</v>
      </c>
      <c r="D55" s="59" t="s">
        <v>5619</v>
      </c>
      <c r="E55" s="59" t="s">
        <v>422</v>
      </c>
      <c r="F55" s="12"/>
      <c r="G55" s="61" t="s">
        <v>4859</v>
      </c>
      <c r="H55" s="55"/>
      <c r="I55" s="63"/>
      <c r="J55" s="12"/>
      <c r="K55" s="59"/>
      <c r="L55" s="55"/>
      <c r="M55" s="55"/>
    </row>
    <row r="56" spans="2:13">
      <c r="B56" s="59" t="s">
        <v>5620</v>
      </c>
      <c r="C56" s="59" t="s">
        <v>229</v>
      </c>
      <c r="D56" s="59" t="s">
        <v>1586</v>
      </c>
      <c r="E56" s="59" t="s">
        <v>422</v>
      </c>
      <c r="F56" s="12"/>
      <c r="G56" s="61" t="s">
        <v>4861</v>
      </c>
      <c r="H56" s="55"/>
      <c r="I56" s="63"/>
      <c r="J56" s="12"/>
      <c r="K56" s="59" t="s">
        <v>1588</v>
      </c>
      <c r="L56" s="55"/>
      <c r="M56" s="55"/>
    </row>
    <row r="57" spans="2:13">
      <c r="B57" s="59" t="s">
        <v>5621</v>
      </c>
      <c r="C57" s="59" t="s">
        <v>229</v>
      </c>
      <c r="D57" s="59" t="s">
        <v>1591</v>
      </c>
      <c r="E57" s="59" t="s">
        <v>422</v>
      </c>
      <c r="F57" s="12"/>
      <c r="G57" s="61" t="s">
        <v>4863</v>
      </c>
      <c r="H57" s="55"/>
      <c r="I57" s="63"/>
      <c r="J57" s="12"/>
      <c r="K57" s="59" t="s">
        <v>1588</v>
      </c>
      <c r="L57" s="55"/>
      <c r="M57" s="55"/>
    </row>
    <row r="58" spans="2:13">
      <c r="B58" s="59" t="s">
        <v>5622</v>
      </c>
      <c r="C58" s="59" t="s">
        <v>229</v>
      </c>
      <c r="D58" s="61" t="s">
        <v>1595</v>
      </c>
      <c r="E58" s="59" t="s">
        <v>422</v>
      </c>
      <c r="F58" s="12"/>
      <c r="G58" s="61" t="s">
        <v>4865</v>
      </c>
      <c r="H58" s="55"/>
      <c r="I58" s="63"/>
      <c r="J58" s="12"/>
      <c r="K58" s="59" t="s">
        <v>231</v>
      </c>
      <c r="L58" s="55"/>
      <c r="M58" s="55"/>
    </row>
    <row r="59" spans="2:13">
      <c r="B59" s="59" t="s">
        <v>5623</v>
      </c>
      <c r="C59" s="59" t="s">
        <v>229</v>
      </c>
      <c r="D59" s="61" t="s">
        <v>4867</v>
      </c>
      <c r="E59" s="59" t="s">
        <v>422</v>
      </c>
      <c r="F59" s="12"/>
      <c r="G59" s="61" t="s">
        <v>4868</v>
      </c>
      <c r="H59" s="55"/>
      <c r="I59" s="63"/>
      <c r="J59" s="12"/>
      <c r="K59" s="59" t="s">
        <v>231</v>
      </c>
      <c r="L59" s="55"/>
      <c r="M59" s="55"/>
    </row>
    <row r="60" spans="2:13">
      <c r="B60" s="59" t="s">
        <v>5624</v>
      </c>
      <c r="C60" s="59" t="s">
        <v>229</v>
      </c>
      <c r="D60" s="59" t="s">
        <v>1607</v>
      </c>
      <c r="E60" s="59" t="s">
        <v>422</v>
      </c>
      <c r="F60" s="12"/>
      <c r="G60" s="61" t="s">
        <v>4870</v>
      </c>
      <c r="H60" s="55"/>
      <c r="I60" s="63"/>
      <c r="J60" s="12"/>
      <c r="K60" s="59"/>
      <c r="L60" s="55"/>
      <c r="M60" s="55"/>
    </row>
    <row r="61" spans="2:13">
      <c r="B61" s="59" t="s">
        <v>5625</v>
      </c>
      <c r="C61" s="59" t="s">
        <v>229</v>
      </c>
      <c r="D61" s="59" t="s">
        <v>1611</v>
      </c>
      <c r="E61" s="59" t="s">
        <v>422</v>
      </c>
      <c r="F61" s="12"/>
      <c r="G61" s="61" t="s">
        <v>4872</v>
      </c>
      <c r="H61" s="55"/>
      <c r="I61" s="63"/>
      <c r="J61" s="12"/>
      <c r="K61" s="59"/>
      <c r="L61" s="55"/>
      <c r="M61" s="55"/>
    </row>
    <row r="62" spans="2:13">
      <c r="B62" s="59" t="s">
        <v>5626</v>
      </c>
      <c r="C62" s="59" t="s">
        <v>229</v>
      </c>
      <c r="D62" s="59" t="s">
        <v>1615</v>
      </c>
      <c r="E62" s="59" t="s">
        <v>422</v>
      </c>
      <c r="F62" s="12"/>
      <c r="G62" s="61" t="s">
        <v>4874</v>
      </c>
      <c r="H62" s="55"/>
      <c r="I62" s="63"/>
      <c r="J62" s="12"/>
      <c r="K62" s="59"/>
      <c r="L62" s="55"/>
      <c r="M62" s="55"/>
    </row>
    <row r="63" spans="2:13">
      <c r="B63" s="59" t="s">
        <v>5627</v>
      </c>
      <c r="C63" s="59" t="s">
        <v>229</v>
      </c>
      <c r="D63" s="59" t="s">
        <v>1619</v>
      </c>
      <c r="E63" s="59" t="s">
        <v>422</v>
      </c>
      <c r="F63" s="12"/>
      <c r="G63" s="61" t="s">
        <v>4876</v>
      </c>
      <c r="H63" s="55"/>
      <c r="I63" s="63"/>
      <c r="J63" s="12"/>
      <c r="K63" s="59"/>
      <c r="L63" s="55"/>
      <c r="M63" s="55"/>
    </row>
    <row r="64" spans="2:13">
      <c r="B64" s="59" t="s">
        <v>5628</v>
      </c>
      <c r="C64" s="59" t="s">
        <v>203</v>
      </c>
      <c r="D64" s="59" t="s">
        <v>1721</v>
      </c>
      <c r="E64" s="59" t="s">
        <v>422</v>
      </c>
      <c r="F64" s="12"/>
      <c r="G64" s="61" t="s">
        <v>4878</v>
      </c>
      <c r="H64" s="55"/>
      <c r="I64" s="63"/>
      <c r="J64" s="12"/>
      <c r="K64" s="59"/>
      <c r="L64" s="55"/>
      <c r="M64" s="55"/>
    </row>
    <row r="65" spans="2:13">
      <c r="B65" s="59" t="s">
        <v>5629</v>
      </c>
      <c r="C65" s="59" t="s">
        <v>203</v>
      </c>
      <c r="D65" s="59" t="s">
        <v>1724</v>
      </c>
      <c r="E65" s="59" t="s">
        <v>422</v>
      </c>
      <c r="F65" s="12"/>
      <c r="G65" s="61" t="s">
        <v>4880</v>
      </c>
      <c r="H65" s="55"/>
      <c r="I65" s="63"/>
      <c r="J65" s="12"/>
      <c r="K65" s="59"/>
      <c r="L65" s="55"/>
      <c r="M65" s="55"/>
    </row>
    <row r="66" spans="2:13">
      <c r="B66" s="59" t="s">
        <v>5630</v>
      </c>
      <c r="C66" s="59" t="s">
        <v>203</v>
      </c>
      <c r="D66" s="59" t="s">
        <v>1731</v>
      </c>
      <c r="E66" s="59" t="s">
        <v>422</v>
      </c>
      <c r="F66" s="12"/>
      <c r="G66" s="61" t="s">
        <v>4882</v>
      </c>
      <c r="H66" s="55"/>
      <c r="I66" s="63"/>
      <c r="J66" s="12"/>
      <c r="K66" s="59"/>
      <c r="L66" s="55"/>
      <c r="M66" s="55"/>
    </row>
    <row r="67" spans="2:13">
      <c r="B67" s="59" t="s">
        <v>5631</v>
      </c>
      <c r="C67" s="59" t="s">
        <v>203</v>
      </c>
      <c r="D67" s="59" t="s">
        <v>1735</v>
      </c>
      <c r="E67" s="59" t="s">
        <v>422</v>
      </c>
      <c r="F67" s="12"/>
      <c r="G67" s="61" t="s">
        <v>4884</v>
      </c>
      <c r="H67" s="55"/>
      <c r="I67" s="63"/>
      <c r="J67" s="12"/>
      <c r="K67" s="59"/>
      <c r="L67" s="55"/>
      <c r="M67" s="55"/>
    </row>
    <row r="68" spans="2:13">
      <c r="B68" s="59" t="s">
        <v>5632</v>
      </c>
      <c r="C68" s="59" t="s">
        <v>229</v>
      </c>
      <c r="D68" s="59" t="s">
        <v>2910</v>
      </c>
      <c r="E68" s="59" t="s">
        <v>422</v>
      </c>
      <c r="F68" s="12"/>
      <c r="G68" s="61" t="s">
        <v>4886</v>
      </c>
      <c r="H68" s="55"/>
      <c r="I68" s="63"/>
      <c r="J68" s="12"/>
      <c r="K68" s="59"/>
      <c r="L68" s="55"/>
      <c r="M68" s="55"/>
    </row>
    <row r="69" spans="2:13">
      <c r="B69" s="59" t="s">
        <v>5633</v>
      </c>
      <c r="C69" s="59" t="s">
        <v>229</v>
      </c>
      <c r="D69" s="59" t="s">
        <v>2913</v>
      </c>
      <c r="E69" s="59" t="s">
        <v>422</v>
      </c>
      <c r="F69" s="12"/>
      <c r="G69" s="61" t="s">
        <v>4888</v>
      </c>
      <c r="H69" s="55"/>
      <c r="I69" s="63"/>
      <c r="J69" s="12"/>
      <c r="K69" s="59"/>
      <c r="L69" s="55"/>
      <c r="M69" s="55"/>
    </row>
    <row r="70" spans="2:13">
      <c r="B70" s="59" t="s">
        <v>5634</v>
      </c>
      <c r="C70" s="59" t="s">
        <v>229</v>
      </c>
      <c r="D70" s="59" t="s">
        <v>2916</v>
      </c>
      <c r="E70" s="59" t="s">
        <v>422</v>
      </c>
      <c r="F70" s="12"/>
      <c r="G70" s="61" t="s">
        <v>4890</v>
      </c>
      <c r="H70" s="55"/>
      <c r="I70" s="63"/>
      <c r="J70" s="12"/>
      <c r="K70" s="59"/>
      <c r="L70" s="55"/>
      <c r="M70" s="55"/>
    </row>
    <row r="71" spans="2:13">
      <c r="B71" s="59" t="s">
        <v>3427</v>
      </c>
      <c r="C71" s="59" t="s">
        <v>229</v>
      </c>
      <c r="D71" s="59" t="s">
        <v>3428</v>
      </c>
      <c r="E71" s="59" t="s">
        <v>422</v>
      </c>
      <c r="F71" s="12"/>
      <c r="G71" s="61" t="s">
        <v>4891</v>
      </c>
      <c r="H71" s="55"/>
      <c r="I71" s="63"/>
      <c r="J71" s="12"/>
      <c r="K71" s="59"/>
      <c r="L71" s="55"/>
      <c r="M71" s="55"/>
    </row>
    <row r="72" spans="2:13">
      <c r="B72" s="59" t="s">
        <v>3431</v>
      </c>
      <c r="C72" s="59" t="s">
        <v>229</v>
      </c>
      <c r="D72" s="59" t="s">
        <v>3432</v>
      </c>
      <c r="E72" s="59" t="s">
        <v>422</v>
      </c>
      <c r="F72" s="12"/>
      <c r="G72" s="61" t="s">
        <v>4892</v>
      </c>
      <c r="H72" s="55"/>
      <c r="I72" s="63"/>
      <c r="J72" s="12"/>
      <c r="K72" s="59"/>
      <c r="L72" s="55"/>
      <c r="M72" s="55"/>
    </row>
    <row r="73" spans="2:13">
      <c r="B73" s="59" t="s">
        <v>3435</v>
      </c>
      <c r="C73" s="59" t="s">
        <v>229</v>
      </c>
      <c r="D73" s="59" t="s">
        <v>3436</v>
      </c>
      <c r="E73" s="59" t="s">
        <v>422</v>
      </c>
      <c r="F73" s="12"/>
      <c r="G73" s="61" t="s">
        <v>4893</v>
      </c>
      <c r="H73" s="55"/>
      <c r="I73" s="63"/>
      <c r="J73" s="12"/>
      <c r="K73" s="59"/>
      <c r="L73" s="55"/>
      <c r="M73" s="55"/>
    </row>
    <row r="74" spans="2:13">
      <c r="B74" s="59" t="s">
        <v>5635</v>
      </c>
      <c r="C74" s="59" t="s">
        <v>229</v>
      </c>
      <c r="D74" s="59" t="s">
        <v>5636</v>
      </c>
      <c r="E74" s="59" t="s">
        <v>422</v>
      </c>
      <c r="F74" s="12"/>
      <c r="G74" s="61" t="s">
        <v>4764</v>
      </c>
      <c r="H74" s="55"/>
      <c r="I74" s="63"/>
      <c r="J74" s="12"/>
      <c r="K74" s="59"/>
      <c r="L74" s="55"/>
      <c r="M74" s="55"/>
    </row>
    <row r="75" spans="2:13">
      <c r="B75" s="59" t="s">
        <v>5637</v>
      </c>
      <c r="C75" s="59" t="s">
        <v>203</v>
      </c>
      <c r="D75" s="59" t="s">
        <v>5638</v>
      </c>
      <c r="E75" s="59" t="s">
        <v>422</v>
      </c>
      <c r="F75" s="12"/>
      <c r="G75" s="61" t="s">
        <v>4767</v>
      </c>
      <c r="H75" s="55"/>
      <c r="I75" s="63"/>
      <c r="J75" s="12"/>
      <c r="K75" s="59"/>
      <c r="L75" s="55"/>
      <c r="M75" s="55"/>
    </row>
    <row r="76" spans="2:13">
      <c r="B76" s="59" t="s">
        <v>5639</v>
      </c>
      <c r="C76" s="59" t="s">
        <v>229</v>
      </c>
      <c r="D76" s="59" t="s">
        <v>5640</v>
      </c>
      <c r="E76" s="59" t="s">
        <v>422</v>
      </c>
      <c r="F76" s="12"/>
      <c r="G76" s="61" t="s">
        <v>4849</v>
      </c>
      <c r="H76" s="55"/>
      <c r="I76" s="63" t="s">
        <v>4900</v>
      </c>
      <c r="J76" s="12"/>
      <c r="K76" s="59"/>
      <c r="L76" s="55"/>
      <c r="M76" s="55"/>
    </row>
    <row r="77" spans="2:13">
      <c r="B77" s="59" t="s">
        <v>5641</v>
      </c>
      <c r="C77" s="59" t="s">
        <v>203</v>
      </c>
      <c r="D77" s="59" t="s">
        <v>5642</v>
      </c>
      <c r="E77" s="59" t="s">
        <v>422</v>
      </c>
      <c r="F77" s="12"/>
      <c r="G77" s="61" t="s">
        <v>4856</v>
      </c>
      <c r="H77" s="55"/>
      <c r="I77" s="63"/>
      <c r="J77" s="12"/>
      <c r="K77" s="59"/>
      <c r="L77" s="55"/>
      <c r="M77" s="55"/>
    </row>
    <row r="78" spans="2:13">
      <c r="B78" s="59" t="s">
        <v>5643</v>
      </c>
      <c r="C78" s="59" t="s">
        <v>203</v>
      </c>
      <c r="D78" s="59" t="s">
        <v>5644</v>
      </c>
      <c r="E78" s="59" t="s">
        <v>422</v>
      </c>
      <c r="F78" s="12"/>
      <c r="G78" s="61" t="s">
        <v>4859</v>
      </c>
      <c r="H78" s="55"/>
      <c r="I78" s="63"/>
      <c r="J78" s="12"/>
      <c r="K78" s="59"/>
      <c r="L78" s="55"/>
      <c r="M78" s="55"/>
    </row>
    <row r="79" spans="2:13">
      <c r="B79" s="59" t="s">
        <v>5645</v>
      </c>
      <c r="C79" s="59" t="s">
        <v>229</v>
      </c>
      <c r="D79" s="59" t="s">
        <v>1586</v>
      </c>
      <c r="E79" s="59" t="s">
        <v>422</v>
      </c>
      <c r="F79" s="12"/>
      <c r="G79" s="61" t="s">
        <v>4861</v>
      </c>
      <c r="H79" s="55"/>
      <c r="I79" s="63"/>
      <c r="J79" s="12"/>
      <c r="K79" s="59" t="s">
        <v>1588</v>
      </c>
      <c r="L79" s="55"/>
      <c r="M79" s="55"/>
    </row>
    <row r="80" spans="2:13">
      <c r="B80" s="59" t="s">
        <v>5646</v>
      </c>
      <c r="C80" s="59" t="s">
        <v>229</v>
      </c>
      <c r="D80" s="59" t="s">
        <v>1591</v>
      </c>
      <c r="E80" s="59" t="s">
        <v>422</v>
      </c>
      <c r="F80" s="12"/>
      <c r="G80" s="61" t="s">
        <v>4863</v>
      </c>
      <c r="H80" s="55"/>
      <c r="I80" s="63"/>
      <c r="J80" s="12"/>
      <c r="K80" s="59" t="s">
        <v>1588</v>
      </c>
      <c r="L80" s="55"/>
      <c r="M80" s="55"/>
    </row>
    <row r="81" spans="2:13">
      <c r="B81" s="59" t="s">
        <v>5647</v>
      </c>
      <c r="C81" s="59" t="s">
        <v>229</v>
      </c>
      <c r="D81" s="61" t="s">
        <v>1595</v>
      </c>
      <c r="E81" s="59" t="s">
        <v>422</v>
      </c>
      <c r="F81" s="12"/>
      <c r="G81" s="61" t="s">
        <v>4865</v>
      </c>
      <c r="H81" s="55"/>
      <c r="I81" s="63"/>
      <c r="J81" s="12"/>
      <c r="K81" s="59" t="s">
        <v>231</v>
      </c>
      <c r="L81" s="55"/>
      <c r="M81" s="55"/>
    </row>
    <row r="82" spans="2:13">
      <c r="B82" s="59" t="s">
        <v>5648</v>
      </c>
      <c r="C82" s="59" t="s">
        <v>229</v>
      </c>
      <c r="D82" s="61" t="s">
        <v>4867</v>
      </c>
      <c r="E82" s="59" t="s">
        <v>422</v>
      </c>
      <c r="F82" s="12"/>
      <c r="G82" s="61" t="s">
        <v>4868</v>
      </c>
      <c r="H82" s="55"/>
      <c r="I82" s="63"/>
      <c r="J82" s="12"/>
      <c r="K82" s="59" t="s">
        <v>231</v>
      </c>
      <c r="L82" s="55"/>
      <c r="M82" s="55"/>
    </row>
    <row r="83" spans="2:13">
      <c r="B83" s="59" t="s">
        <v>5649</v>
      </c>
      <c r="C83" s="59" t="s">
        <v>229</v>
      </c>
      <c r="D83" s="59" t="s">
        <v>1607</v>
      </c>
      <c r="E83" s="59" t="s">
        <v>422</v>
      </c>
      <c r="F83" s="12"/>
      <c r="G83" s="61" t="s">
        <v>4870</v>
      </c>
      <c r="H83" s="55"/>
      <c r="I83" s="63"/>
      <c r="J83" s="12"/>
      <c r="K83" s="59"/>
      <c r="L83" s="55"/>
      <c r="M83" s="55"/>
    </row>
    <row r="84" spans="2:13">
      <c r="B84" s="59" t="s">
        <v>5650</v>
      </c>
      <c r="C84" s="59" t="s">
        <v>229</v>
      </c>
      <c r="D84" s="59" t="s">
        <v>1611</v>
      </c>
      <c r="E84" s="59" t="s">
        <v>422</v>
      </c>
      <c r="F84" s="12"/>
      <c r="G84" s="61" t="s">
        <v>4872</v>
      </c>
      <c r="H84" s="55"/>
      <c r="I84" s="63"/>
      <c r="J84" s="12"/>
      <c r="K84" s="59"/>
      <c r="L84" s="55"/>
      <c r="M84" s="55"/>
    </row>
    <row r="85" spans="2:13">
      <c r="B85" s="59" t="s">
        <v>5651</v>
      </c>
      <c r="C85" s="59" t="s">
        <v>229</v>
      </c>
      <c r="D85" s="59" t="s">
        <v>1615</v>
      </c>
      <c r="E85" s="59" t="s">
        <v>422</v>
      </c>
      <c r="F85" s="12"/>
      <c r="G85" s="61" t="s">
        <v>4874</v>
      </c>
      <c r="H85" s="55"/>
      <c r="I85" s="63"/>
      <c r="J85" s="12"/>
      <c r="K85" s="59"/>
      <c r="L85" s="55"/>
      <c r="M85" s="55"/>
    </row>
    <row r="86" spans="2:13">
      <c r="B86" s="59" t="s">
        <v>5652</v>
      </c>
      <c r="C86" s="59" t="s">
        <v>229</v>
      </c>
      <c r="D86" s="59" t="s">
        <v>1619</v>
      </c>
      <c r="E86" s="59" t="s">
        <v>422</v>
      </c>
      <c r="F86" s="12"/>
      <c r="G86" s="61" t="s">
        <v>4876</v>
      </c>
      <c r="H86" s="55"/>
      <c r="I86" s="63"/>
      <c r="J86" s="12"/>
      <c r="K86" s="59"/>
      <c r="L86" s="55"/>
      <c r="M86" s="55"/>
    </row>
    <row r="87" spans="2:13">
      <c r="B87" s="59" t="s">
        <v>5653</v>
      </c>
      <c r="C87" s="59" t="s">
        <v>203</v>
      </c>
      <c r="D87" s="59" t="s">
        <v>1721</v>
      </c>
      <c r="E87" s="59" t="s">
        <v>422</v>
      </c>
      <c r="F87" s="12"/>
      <c r="G87" s="61" t="s">
        <v>4878</v>
      </c>
      <c r="H87" s="55"/>
      <c r="I87" s="63"/>
      <c r="J87" s="12"/>
      <c r="K87" s="59"/>
      <c r="L87" s="55"/>
      <c r="M87" s="55"/>
    </row>
    <row r="88" spans="2:13">
      <c r="B88" s="59" t="s">
        <v>5654</v>
      </c>
      <c r="C88" s="59" t="s">
        <v>203</v>
      </c>
      <c r="D88" s="59" t="s">
        <v>1724</v>
      </c>
      <c r="E88" s="59" t="s">
        <v>422</v>
      </c>
      <c r="F88" s="12"/>
      <c r="G88" s="61" t="s">
        <v>4880</v>
      </c>
      <c r="H88" s="55"/>
      <c r="I88" s="63"/>
      <c r="J88" s="12"/>
      <c r="K88" s="59"/>
      <c r="L88" s="55"/>
      <c r="M88" s="55"/>
    </row>
    <row r="89" spans="2:13">
      <c r="B89" s="59" t="s">
        <v>5655</v>
      </c>
      <c r="C89" s="59" t="s">
        <v>203</v>
      </c>
      <c r="D89" s="59" t="s">
        <v>1731</v>
      </c>
      <c r="E89" s="59" t="s">
        <v>422</v>
      </c>
      <c r="F89" s="12"/>
      <c r="G89" s="61" t="s">
        <v>4882</v>
      </c>
      <c r="H89" s="55"/>
      <c r="I89" s="63"/>
      <c r="J89" s="12"/>
      <c r="K89" s="59"/>
      <c r="L89" s="55"/>
      <c r="M89" s="55"/>
    </row>
    <row r="90" spans="2:13">
      <c r="B90" s="59" t="s">
        <v>5656</v>
      </c>
      <c r="C90" s="59" t="s">
        <v>203</v>
      </c>
      <c r="D90" s="59" t="s">
        <v>1735</v>
      </c>
      <c r="E90" s="59" t="s">
        <v>422</v>
      </c>
      <c r="F90" s="12"/>
      <c r="G90" s="61" t="s">
        <v>4884</v>
      </c>
      <c r="H90" s="55"/>
      <c r="I90" s="63"/>
      <c r="J90" s="12"/>
      <c r="K90" s="59"/>
      <c r="L90" s="55"/>
      <c r="M90" s="55"/>
    </row>
    <row r="91" spans="2:13">
      <c r="B91" s="59" t="s">
        <v>5657</v>
      </c>
      <c r="C91" s="59" t="s">
        <v>229</v>
      </c>
      <c r="D91" s="59" t="s">
        <v>5640</v>
      </c>
      <c r="E91" s="59" t="s">
        <v>422</v>
      </c>
      <c r="F91" s="12"/>
      <c r="G91" s="61" t="s">
        <v>4886</v>
      </c>
      <c r="H91" s="55"/>
      <c r="I91" s="63"/>
      <c r="J91" s="12"/>
      <c r="K91" s="59"/>
      <c r="L91" s="55"/>
      <c r="M91" s="55"/>
    </row>
    <row r="92" spans="2:13">
      <c r="B92" s="59" t="s">
        <v>5658</v>
      </c>
      <c r="C92" s="59" t="s">
        <v>229</v>
      </c>
      <c r="D92" s="59" t="s">
        <v>5659</v>
      </c>
      <c r="E92" s="59" t="s">
        <v>422</v>
      </c>
      <c r="F92" s="12"/>
      <c r="G92" s="61" t="s">
        <v>4888</v>
      </c>
      <c r="H92" s="55"/>
      <c r="I92" s="63"/>
      <c r="J92" s="12"/>
      <c r="K92" s="59"/>
      <c r="L92" s="55"/>
      <c r="M92" s="55"/>
    </row>
    <row r="93" spans="2:13">
      <c r="B93" s="59" t="s">
        <v>5660</v>
      </c>
      <c r="C93" s="59" t="s">
        <v>203</v>
      </c>
      <c r="D93" s="59" t="s">
        <v>5661</v>
      </c>
      <c r="E93" s="59" t="s">
        <v>422</v>
      </c>
      <c r="F93" s="12"/>
      <c r="G93" s="61" t="s">
        <v>4926</v>
      </c>
      <c r="H93" s="55"/>
      <c r="I93" s="63"/>
      <c r="J93" s="12"/>
      <c r="K93" s="59"/>
      <c r="L93" s="55"/>
      <c r="M93" s="55"/>
    </row>
    <row r="94" spans="2:13">
      <c r="B94" s="59" t="s">
        <v>5662</v>
      </c>
      <c r="C94" s="59" t="s">
        <v>203</v>
      </c>
      <c r="D94" s="59" t="s">
        <v>2916</v>
      </c>
      <c r="E94" s="59" t="s">
        <v>422</v>
      </c>
      <c r="F94" s="12"/>
      <c r="G94" s="61" t="s">
        <v>4928</v>
      </c>
      <c r="H94" s="55"/>
      <c r="I94" s="63"/>
      <c r="J94" s="12"/>
      <c r="K94" s="59"/>
      <c r="L94" s="55"/>
      <c r="M94" s="55"/>
    </row>
    <row r="95" spans="2:13">
      <c r="B95" s="59" t="s">
        <v>5663</v>
      </c>
      <c r="C95" s="59" t="s">
        <v>203</v>
      </c>
      <c r="D95" s="59" t="s">
        <v>5664</v>
      </c>
      <c r="E95" s="59" t="s">
        <v>422</v>
      </c>
      <c r="F95" s="12"/>
      <c r="G95" s="61" t="s">
        <v>4931</v>
      </c>
      <c r="H95" s="55"/>
      <c r="I95" s="63"/>
      <c r="J95" s="12"/>
      <c r="K95" s="59"/>
      <c r="L95" s="55"/>
      <c r="M95" s="55"/>
    </row>
    <row r="96" spans="2:13">
      <c r="B96" s="59" t="s">
        <v>5665</v>
      </c>
      <c r="C96" s="59" t="s">
        <v>203</v>
      </c>
      <c r="D96" s="59" t="s">
        <v>2005</v>
      </c>
      <c r="E96" s="59" t="s">
        <v>422</v>
      </c>
      <c r="F96" s="12"/>
      <c r="G96" s="61" t="s">
        <v>4934</v>
      </c>
      <c r="H96" s="55"/>
      <c r="I96" s="63"/>
      <c r="J96" s="12"/>
      <c r="K96" s="59"/>
      <c r="L96" s="55"/>
      <c r="M96" s="55"/>
    </row>
    <row r="97" spans="2:13">
      <c r="B97" s="59" t="s">
        <v>5666</v>
      </c>
      <c r="C97" s="59" t="s">
        <v>203</v>
      </c>
      <c r="D97" s="59" t="s">
        <v>2007</v>
      </c>
      <c r="E97" s="59" t="s">
        <v>422</v>
      </c>
      <c r="F97" s="12"/>
      <c r="G97" s="61" t="s">
        <v>4937</v>
      </c>
      <c r="H97" s="55"/>
      <c r="I97" s="63"/>
      <c r="J97" s="12"/>
      <c r="K97" s="59"/>
      <c r="L97" s="55"/>
      <c r="M97" s="55"/>
    </row>
    <row r="98" spans="2:13">
      <c r="B98" s="59" t="s">
        <v>5667</v>
      </c>
      <c r="C98" s="59" t="s">
        <v>229</v>
      </c>
      <c r="D98" s="59" t="s">
        <v>3400</v>
      </c>
      <c r="E98" s="59" t="s">
        <v>422</v>
      </c>
      <c r="F98" s="12"/>
      <c r="G98" s="61" t="s">
        <v>4939</v>
      </c>
      <c r="H98" s="55"/>
      <c r="I98" s="63"/>
      <c r="J98" s="12"/>
      <c r="K98" s="59"/>
      <c r="L98" s="55"/>
      <c r="M98" s="55"/>
    </row>
    <row r="99" spans="2:13">
      <c r="B99" s="59" t="s">
        <v>5668</v>
      </c>
      <c r="C99" s="59" t="s">
        <v>229</v>
      </c>
      <c r="D99" s="59" t="s">
        <v>3404</v>
      </c>
      <c r="E99" s="59" t="s">
        <v>422</v>
      </c>
      <c r="F99" s="12"/>
      <c r="G99" s="61" t="s">
        <v>4941</v>
      </c>
      <c r="H99" s="55"/>
      <c r="I99" s="63"/>
      <c r="J99" s="12"/>
      <c r="K99" s="59"/>
      <c r="L99" s="55"/>
      <c r="M99" s="55"/>
    </row>
    <row r="100" spans="2:13">
      <c r="B100" s="59" t="s">
        <v>5669</v>
      </c>
      <c r="C100" s="59" t="s">
        <v>229</v>
      </c>
      <c r="D100" s="59" t="s">
        <v>3408</v>
      </c>
      <c r="E100" s="59" t="s">
        <v>422</v>
      </c>
      <c r="F100" s="12"/>
      <c r="G100" s="61" t="s">
        <v>4943</v>
      </c>
      <c r="H100" s="55"/>
      <c r="I100" s="63"/>
      <c r="J100" s="12"/>
      <c r="K100" s="59"/>
      <c r="L100" s="55"/>
      <c r="M100" s="55"/>
    </row>
    <row r="101" spans="2:13">
      <c r="B101" s="59" t="s">
        <v>5670</v>
      </c>
      <c r="C101" s="59" t="s">
        <v>229</v>
      </c>
      <c r="D101" s="59" t="s">
        <v>3412</v>
      </c>
      <c r="E101" s="59" t="s">
        <v>422</v>
      </c>
      <c r="F101" s="12"/>
      <c r="G101" s="61" t="s">
        <v>4945</v>
      </c>
      <c r="H101" s="55"/>
      <c r="I101" s="63"/>
      <c r="J101" s="12"/>
      <c r="K101" s="59"/>
      <c r="L101" s="55"/>
      <c r="M101" s="55"/>
    </row>
    <row r="102" spans="2:13">
      <c r="B102" s="59" t="s">
        <v>5671</v>
      </c>
      <c r="C102" s="59" t="s">
        <v>229</v>
      </c>
      <c r="D102" s="59" t="s">
        <v>3415</v>
      </c>
      <c r="E102" s="59" t="s">
        <v>422</v>
      </c>
      <c r="F102" s="12"/>
      <c r="G102" s="61" t="s">
        <v>4947</v>
      </c>
      <c r="H102" s="55"/>
      <c r="I102" s="63"/>
      <c r="J102" s="12"/>
      <c r="K102" s="59"/>
      <c r="L102" s="55"/>
      <c r="M102" s="55"/>
    </row>
    <row r="103" spans="2:13">
      <c r="B103" s="59" t="s">
        <v>5672</v>
      </c>
      <c r="C103" s="59" t="s">
        <v>229</v>
      </c>
      <c r="D103" s="59" t="s">
        <v>3419</v>
      </c>
      <c r="E103" s="59" t="s">
        <v>422</v>
      </c>
      <c r="F103" s="12"/>
      <c r="G103" s="61" t="s">
        <v>4949</v>
      </c>
      <c r="H103" s="55"/>
      <c r="I103" s="63"/>
      <c r="J103" s="12"/>
      <c r="K103" s="59"/>
      <c r="L103" s="55"/>
      <c r="M103" s="55"/>
    </row>
    <row r="104" spans="2:13">
      <c r="B104" s="59" t="s">
        <v>5673</v>
      </c>
      <c r="C104" s="59" t="s">
        <v>229</v>
      </c>
      <c r="D104" s="59" t="s">
        <v>5636</v>
      </c>
      <c r="E104" s="59" t="s">
        <v>422</v>
      </c>
      <c r="F104" s="12"/>
      <c r="G104" s="61" t="s">
        <v>4764</v>
      </c>
      <c r="H104" s="55"/>
      <c r="I104" s="63"/>
      <c r="J104" s="12"/>
      <c r="K104" s="59"/>
      <c r="L104" s="55"/>
      <c r="M104" s="55"/>
    </row>
    <row r="105" spans="2:13">
      <c r="B105" s="59" t="s">
        <v>5674</v>
      </c>
      <c r="C105" s="59" t="s">
        <v>203</v>
      </c>
      <c r="D105" s="59" t="s">
        <v>5638</v>
      </c>
      <c r="E105" s="59" t="s">
        <v>422</v>
      </c>
      <c r="F105" s="12"/>
      <c r="G105" s="61" t="s">
        <v>4767</v>
      </c>
      <c r="H105" s="55"/>
      <c r="I105" s="63"/>
      <c r="J105" s="12"/>
      <c r="K105" s="59"/>
      <c r="L105" s="55"/>
      <c r="M105" s="55"/>
    </row>
    <row r="106" spans="2:13">
      <c r="B106" s="59" t="s">
        <v>5675</v>
      </c>
      <c r="C106" s="59" t="s">
        <v>229</v>
      </c>
      <c r="D106" s="59" t="s">
        <v>254</v>
      </c>
      <c r="E106" s="59" t="s">
        <v>422</v>
      </c>
      <c r="F106" s="12"/>
      <c r="G106" s="61" t="s">
        <v>4761</v>
      </c>
      <c r="H106" s="55"/>
      <c r="I106" s="63" t="s">
        <v>4954</v>
      </c>
      <c r="J106" s="12"/>
      <c r="K106" s="59"/>
      <c r="L106" s="55"/>
      <c r="M106" s="55"/>
    </row>
    <row r="107" spans="2:13">
      <c r="B107" s="59" t="s">
        <v>5676</v>
      </c>
      <c r="C107" s="59" t="s">
        <v>229</v>
      </c>
      <c r="D107" s="59" t="s">
        <v>5677</v>
      </c>
      <c r="E107" s="59" t="s">
        <v>422</v>
      </c>
      <c r="F107" s="12"/>
      <c r="G107" s="61" t="s">
        <v>4856</v>
      </c>
      <c r="H107" s="55"/>
      <c r="I107" s="63"/>
      <c r="J107" s="12"/>
      <c r="K107" s="59"/>
      <c r="L107" s="55"/>
      <c r="M107" s="55"/>
    </row>
    <row r="108" spans="2:13">
      <c r="B108" s="59" t="s">
        <v>5678</v>
      </c>
      <c r="C108" s="59" t="s">
        <v>229</v>
      </c>
      <c r="D108" s="59" t="s">
        <v>5679</v>
      </c>
      <c r="E108" s="59" t="s">
        <v>422</v>
      </c>
      <c r="F108" s="12"/>
      <c r="G108" s="61" t="s">
        <v>4859</v>
      </c>
      <c r="H108" s="55"/>
      <c r="I108" s="63"/>
      <c r="J108" s="12"/>
      <c r="K108" s="59"/>
      <c r="L108" s="55"/>
      <c r="M108" s="55"/>
    </row>
    <row r="109" spans="2:13">
      <c r="B109" s="59" t="s">
        <v>5680</v>
      </c>
      <c r="C109" s="59" t="s">
        <v>229</v>
      </c>
      <c r="D109" s="59" t="s">
        <v>1586</v>
      </c>
      <c r="E109" s="59" t="s">
        <v>422</v>
      </c>
      <c r="F109" s="12"/>
      <c r="G109" s="61" t="s">
        <v>4861</v>
      </c>
      <c r="H109" s="55"/>
      <c r="I109" s="63"/>
      <c r="J109" s="12"/>
      <c r="K109" s="59" t="s">
        <v>1588</v>
      </c>
      <c r="L109" s="55"/>
      <c r="M109" s="55"/>
    </row>
    <row r="110" spans="2:13">
      <c r="B110" s="59" t="s">
        <v>5681</v>
      </c>
      <c r="C110" s="59" t="s">
        <v>229</v>
      </c>
      <c r="D110" s="59" t="s">
        <v>1591</v>
      </c>
      <c r="E110" s="59" t="s">
        <v>422</v>
      </c>
      <c r="F110" s="12"/>
      <c r="G110" s="61" t="s">
        <v>4863</v>
      </c>
      <c r="H110" s="55"/>
      <c r="I110" s="63"/>
      <c r="J110" s="12"/>
      <c r="K110" s="59" t="s">
        <v>1588</v>
      </c>
      <c r="L110" s="55"/>
      <c r="M110" s="55"/>
    </row>
    <row r="111" spans="2:13">
      <c r="B111" s="59" t="s">
        <v>5682</v>
      </c>
      <c r="C111" s="59" t="s">
        <v>229</v>
      </c>
      <c r="D111" s="61" t="s">
        <v>1595</v>
      </c>
      <c r="E111" s="59" t="s">
        <v>422</v>
      </c>
      <c r="F111" s="12"/>
      <c r="G111" s="61" t="s">
        <v>4865</v>
      </c>
      <c r="H111" s="55"/>
      <c r="I111" s="63"/>
      <c r="J111" s="12"/>
      <c r="K111" s="59" t="s">
        <v>231</v>
      </c>
      <c r="L111" s="55"/>
      <c r="M111" s="55"/>
    </row>
    <row r="112" spans="2:13">
      <c r="B112" s="59" t="s">
        <v>5683</v>
      </c>
      <c r="C112" s="59" t="s">
        <v>229</v>
      </c>
      <c r="D112" s="61" t="s">
        <v>4867</v>
      </c>
      <c r="E112" s="59" t="s">
        <v>422</v>
      </c>
      <c r="F112" s="12"/>
      <c r="G112" s="61" t="s">
        <v>4868</v>
      </c>
      <c r="H112" s="55"/>
      <c r="I112" s="63"/>
      <c r="J112" s="12"/>
      <c r="K112" s="59" t="s">
        <v>231</v>
      </c>
      <c r="L112" s="55"/>
      <c r="M112" s="55"/>
    </row>
    <row r="113" spans="2:13">
      <c r="B113" s="59" t="s">
        <v>5684</v>
      </c>
      <c r="C113" s="59" t="s">
        <v>229</v>
      </c>
      <c r="D113" s="59" t="s">
        <v>1607</v>
      </c>
      <c r="E113" s="59" t="s">
        <v>422</v>
      </c>
      <c r="F113" s="12"/>
      <c r="G113" s="61" t="s">
        <v>4870</v>
      </c>
      <c r="H113" s="55"/>
      <c r="I113" s="63"/>
      <c r="J113" s="12"/>
      <c r="K113" s="59"/>
      <c r="L113" s="55"/>
      <c r="M113" s="55"/>
    </row>
    <row r="114" spans="2:13">
      <c r="B114" s="59" t="s">
        <v>5685</v>
      </c>
      <c r="C114" s="59" t="s">
        <v>229</v>
      </c>
      <c r="D114" s="59" t="s">
        <v>1611</v>
      </c>
      <c r="E114" s="59" t="s">
        <v>422</v>
      </c>
      <c r="F114" s="12"/>
      <c r="G114" s="61" t="s">
        <v>4872</v>
      </c>
      <c r="H114" s="55"/>
      <c r="I114" s="63"/>
      <c r="J114" s="12"/>
      <c r="K114" s="59"/>
      <c r="L114" s="55"/>
      <c r="M114" s="55"/>
    </row>
    <row r="115" spans="2:13">
      <c r="B115" s="59" t="s">
        <v>5686</v>
      </c>
      <c r="C115" s="59" t="s">
        <v>229</v>
      </c>
      <c r="D115" s="59" t="s">
        <v>1615</v>
      </c>
      <c r="E115" s="59" t="s">
        <v>422</v>
      </c>
      <c r="F115" s="12"/>
      <c r="G115" s="61" t="s">
        <v>4874</v>
      </c>
      <c r="H115" s="55"/>
      <c r="I115" s="63"/>
      <c r="J115" s="12"/>
      <c r="K115" s="59"/>
      <c r="L115" s="55"/>
      <c r="M115" s="55"/>
    </row>
    <row r="116" spans="2:13">
      <c r="B116" s="59" t="s">
        <v>5687</v>
      </c>
      <c r="C116" s="59" t="s">
        <v>229</v>
      </c>
      <c r="D116" s="59" t="s">
        <v>1619</v>
      </c>
      <c r="E116" s="59" t="s">
        <v>422</v>
      </c>
      <c r="F116" s="12"/>
      <c r="G116" s="61" t="s">
        <v>4876</v>
      </c>
      <c r="H116" s="55"/>
      <c r="I116" s="63"/>
      <c r="J116" s="12"/>
      <c r="K116" s="59"/>
      <c r="L116" s="55"/>
      <c r="M116" s="55"/>
    </row>
    <row r="117" spans="2:13">
      <c r="B117" s="59" t="s">
        <v>5688</v>
      </c>
      <c r="C117" s="59" t="s">
        <v>203</v>
      </c>
      <c r="D117" s="59" t="s">
        <v>1721</v>
      </c>
      <c r="E117" s="59" t="s">
        <v>422</v>
      </c>
      <c r="F117" s="12"/>
      <c r="G117" s="61" t="s">
        <v>4878</v>
      </c>
      <c r="H117" s="55"/>
      <c r="I117" s="63"/>
      <c r="J117" s="12"/>
      <c r="K117" s="59"/>
      <c r="L117" s="55"/>
      <c r="M117" s="55"/>
    </row>
    <row r="118" spans="2:13">
      <c r="B118" s="59" t="s">
        <v>5689</v>
      </c>
      <c r="C118" s="59" t="s">
        <v>203</v>
      </c>
      <c r="D118" s="59" t="s">
        <v>1724</v>
      </c>
      <c r="E118" s="59" t="s">
        <v>422</v>
      </c>
      <c r="F118" s="12"/>
      <c r="G118" s="61" t="s">
        <v>4880</v>
      </c>
      <c r="H118" s="55"/>
      <c r="I118" s="63"/>
      <c r="J118" s="12"/>
      <c r="K118" s="59"/>
      <c r="L118" s="55"/>
      <c r="M118" s="55"/>
    </row>
    <row r="119" spans="2:13">
      <c r="B119" s="59" t="s">
        <v>5690</v>
      </c>
      <c r="C119" s="59" t="s">
        <v>203</v>
      </c>
      <c r="D119" s="59" t="s">
        <v>1731</v>
      </c>
      <c r="E119" s="59" t="s">
        <v>422</v>
      </c>
      <c r="F119" s="12"/>
      <c r="G119" s="61" t="s">
        <v>4882</v>
      </c>
      <c r="H119" s="55"/>
      <c r="I119" s="63"/>
      <c r="J119" s="12"/>
      <c r="K119" s="59"/>
      <c r="L119" s="55"/>
      <c r="M119" s="55"/>
    </row>
    <row r="120" spans="2:13">
      <c r="B120" s="59" t="s">
        <v>5691</v>
      </c>
      <c r="C120" s="59" t="s">
        <v>203</v>
      </c>
      <c r="D120" s="59" t="s">
        <v>1735</v>
      </c>
      <c r="E120" s="59" t="s">
        <v>422</v>
      </c>
      <c r="F120" s="12"/>
      <c r="G120" s="61" t="s">
        <v>4884</v>
      </c>
      <c r="H120" s="55"/>
      <c r="I120" s="63"/>
      <c r="J120" s="12"/>
      <c r="K120" s="59"/>
      <c r="L120" s="55"/>
      <c r="M120" s="55"/>
    </row>
    <row r="121" spans="2:13">
      <c r="B121" s="59" t="s">
        <v>5692</v>
      </c>
      <c r="C121" s="59" t="s">
        <v>229</v>
      </c>
      <c r="D121" s="59" t="s">
        <v>5693</v>
      </c>
      <c r="E121" s="59" t="s">
        <v>422</v>
      </c>
      <c r="F121" s="12"/>
      <c r="G121" s="61" t="s">
        <v>4973</v>
      </c>
      <c r="H121" s="55"/>
      <c r="I121" s="63"/>
      <c r="J121" s="12"/>
      <c r="K121" s="59"/>
      <c r="L121" s="55"/>
      <c r="M121" s="55"/>
    </row>
    <row r="122" spans="2:13">
      <c r="B122" s="59" t="s">
        <v>5694</v>
      </c>
      <c r="C122" s="59" t="s">
        <v>229</v>
      </c>
      <c r="D122" s="59" t="s">
        <v>3423</v>
      </c>
      <c r="E122" s="59" t="s">
        <v>422</v>
      </c>
      <c r="F122" s="12"/>
      <c r="G122" s="61" t="s">
        <v>4975</v>
      </c>
      <c r="H122" s="55"/>
      <c r="I122" s="63"/>
      <c r="J122" s="12"/>
      <c r="K122" s="59"/>
      <c r="L122" s="55"/>
      <c r="M122" s="55"/>
    </row>
    <row r="123" spans="2:13">
      <c r="B123" s="59" t="s">
        <v>5695</v>
      </c>
      <c r="C123" s="59" t="s">
        <v>203</v>
      </c>
      <c r="D123" s="59" t="s">
        <v>5696</v>
      </c>
      <c r="E123" s="59" t="s">
        <v>422</v>
      </c>
      <c r="F123" s="12"/>
      <c r="G123" s="61" t="s">
        <v>4978</v>
      </c>
      <c r="H123" s="55"/>
      <c r="I123" s="63"/>
      <c r="J123" s="12"/>
      <c r="K123" s="59"/>
      <c r="L123" s="55"/>
      <c r="M123" s="55"/>
    </row>
    <row r="124" spans="2:13">
      <c r="B124" s="59" t="s">
        <v>5697</v>
      </c>
      <c r="C124" s="59" t="s">
        <v>229</v>
      </c>
      <c r="D124" s="59" t="s">
        <v>5698</v>
      </c>
      <c r="E124" s="59" t="s">
        <v>422</v>
      </c>
      <c r="F124" s="12"/>
      <c r="G124" s="61" t="s">
        <v>4981</v>
      </c>
      <c r="H124" s="55"/>
      <c r="I124" s="63"/>
      <c r="J124" s="12"/>
      <c r="K124" s="59"/>
      <c r="L124" s="55"/>
      <c r="M124" s="55"/>
    </row>
    <row r="125" spans="2:13">
      <c r="B125" s="59" t="s">
        <v>5699</v>
      </c>
      <c r="C125" s="59" t="s">
        <v>229</v>
      </c>
      <c r="D125" s="59" t="s">
        <v>5700</v>
      </c>
      <c r="E125" s="59" t="s">
        <v>422</v>
      </c>
      <c r="F125" s="12"/>
      <c r="G125" s="61" t="s">
        <v>4984</v>
      </c>
      <c r="H125" s="55"/>
      <c r="I125" s="63"/>
      <c r="J125" s="12"/>
      <c r="K125" s="59"/>
      <c r="L125" s="55"/>
      <c r="M125" s="55"/>
    </row>
    <row r="126" spans="2:13">
      <c r="B126" s="59" t="s">
        <v>5701</v>
      </c>
      <c r="C126" s="59" t="s">
        <v>229</v>
      </c>
      <c r="D126" s="59" t="s">
        <v>5702</v>
      </c>
      <c r="E126" s="59" t="s">
        <v>422</v>
      </c>
      <c r="F126" s="12"/>
      <c r="G126" s="61" t="s">
        <v>4987</v>
      </c>
      <c r="H126" s="55"/>
      <c r="I126" s="63"/>
      <c r="J126" s="12"/>
      <c r="K126" s="59"/>
      <c r="L126" s="55"/>
      <c r="M126" s="55"/>
    </row>
    <row r="127" spans="2:13">
      <c r="B127" s="59" t="s">
        <v>5703</v>
      </c>
      <c r="C127" s="59" t="s">
        <v>203</v>
      </c>
      <c r="D127" s="59" t="s">
        <v>5704</v>
      </c>
      <c r="E127" s="59" t="s">
        <v>422</v>
      </c>
      <c r="F127" s="12"/>
      <c r="G127" s="61" t="s">
        <v>4990</v>
      </c>
      <c r="H127" s="55"/>
      <c r="I127" s="63"/>
      <c r="J127" s="12"/>
      <c r="K127" s="59"/>
      <c r="L127" s="55"/>
      <c r="M127" s="55"/>
    </row>
    <row r="128" spans="2:13">
      <c r="B128" s="59" t="s">
        <v>5705</v>
      </c>
      <c r="C128" s="59" t="s">
        <v>229</v>
      </c>
      <c r="D128" s="59" t="s">
        <v>5706</v>
      </c>
      <c r="E128" s="59" t="s">
        <v>422</v>
      </c>
      <c r="F128" s="12"/>
      <c r="G128" s="61" t="s">
        <v>4993</v>
      </c>
      <c r="H128" s="55"/>
      <c r="I128" s="63"/>
      <c r="J128" s="12"/>
      <c r="K128" s="59"/>
      <c r="L128" s="55"/>
      <c r="M128" s="55"/>
    </row>
    <row r="129" spans="2:13">
      <c r="B129" s="59" t="s">
        <v>3422</v>
      </c>
      <c r="C129" s="59" t="s">
        <v>229</v>
      </c>
      <c r="D129" s="59" t="s">
        <v>3797</v>
      </c>
      <c r="E129" s="59" t="s">
        <v>422</v>
      </c>
      <c r="F129" s="12"/>
      <c r="G129" s="61" t="s">
        <v>4995</v>
      </c>
      <c r="H129" s="55"/>
      <c r="I129" s="63"/>
      <c r="J129" s="12"/>
      <c r="K129" s="59"/>
      <c r="L129" s="55"/>
      <c r="M129" s="55"/>
    </row>
    <row r="130" spans="2:13">
      <c r="B130" s="59" t="s">
        <v>3424</v>
      </c>
      <c r="C130" s="59" t="s">
        <v>229</v>
      </c>
      <c r="D130" s="59" t="s">
        <v>3798</v>
      </c>
      <c r="E130" s="59" t="s">
        <v>422</v>
      </c>
      <c r="F130" s="12"/>
      <c r="G130" s="61" t="s">
        <v>4997</v>
      </c>
      <c r="H130" s="55"/>
      <c r="I130" s="63"/>
      <c r="J130" s="12"/>
      <c r="K130" s="59"/>
      <c r="L130" s="55"/>
      <c r="M130" s="55"/>
    </row>
    <row r="131" spans="2:13">
      <c r="B131" s="59" t="s">
        <v>3512</v>
      </c>
      <c r="C131" s="59" t="s">
        <v>229</v>
      </c>
      <c r="D131" s="59" t="s">
        <v>3513</v>
      </c>
      <c r="E131" s="59" t="s">
        <v>422</v>
      </c>
      <c r="F131" s="64" t="s">
        <v>4999</v>
      </c>
      <c r="G131" s="61" t="s">
        <v>4609</v>
      </c>
      <c r="H131" s="55"/>
      <c r="I131" s="63"/>
      <c r="J131" s="12"/>
      <c r="K131" s="59"/>
      <c r="L131" s="55"/>
      <c r="M131" s="55"/>
    </row>
    <row r="132" spans="2:13">
      <c r="B132" s="59" t="s">
        <v>5707</v>
      </c>
      <c r="C132" s="59" t="s">
        <v>229</v>
      </c>
      <c r="D132" s="59" t="s">
        <v>5636</v>
      </c>
      <c r="E132" s="59" t="s">
        <v>422</v>
      </c>
      <c r="F132" s="12"/>
      <c r="G132" s="61" t="s">
        <v>4764</v>
      </c>
      <c r="H132" s="55"/>
      <c r="I132" s="63"/>
      <c r="J132" s="12"/>
      <c r="K132" s="59"/>
      <c r="L132" s="55"/>
      <c r="M132" s="55"/>
    </row>
    <row r="133" spans="2:13">
      <c r="B133" s="59" t="s">
        <v>5708</v>
      </c>
      <c r="C133" s="59" t="s">
        <v>203</v>
      </c>
      <c r="D133" s="59" t="s">
        <v>5638</v>
      </c>
      <c r="E133" s="59" t="s">
        <v>422</v>
      </c>
      <c r="F133" s="12"/>
      <c r="G133" s="61" t="s">
        <v>4767</v>
      </c>
      <c r="H133" s="55"/>
      <c r="I133" s="63"/>
      <c r="J133" s="12"/>
      <c r="K133" s="59"/>
      <c r="L133" s="55"/>
      <c r="M133" s="55"/>
    </row>
    <row r="134" spans="2:13">
      <c r="B134" s="59" t="s">
        <v>5709</v>
      </c>
      <c r="C134" s="59" t="s">
        <v>229</v>
      </c>
      <c r="D134" s="59" t="s">
        <v>254</v>
      </c>
      <c r="E134" s="59" t="s">
        <v>422</v>
      </c>
      <c r="F134" s="12"/>
      <c r="G134" s="61" t="s">
        <v>4761</v>
      </c>
      <c r="H134" s="55"/>
      <c r="I134" s="70" t="s">
        <v>5003</v>
      </c>
      <c r="J134" s="12"/>
      <c r="K134" s="59"/>
      <c r="L134" s="55"/>
      <c r="M134" s="55"/>
    </row>
    <row r="135" spans="2:13">
      <c r="B135" s="59" t="s">
        <v>5710</v>
      </c>
      <c r="C135" s="59" t="s">
        <v>229</v>
      </c>
      <c r="D135" s="61" t="s">
        <v>395</v>
      </c>
      <c r="E135" s="59" t="s">
        <v>422</v>
      </c>
      <c r="F135" s="12"/>
      <c r="G135" s="61" t="s">
        <v>4856</v>
      </c>
      <c r="H135" s="55"/>
      <c r="I135" s="70"/>
      <c r="J135" s="12"/>
      <c r="K135" s="59"/>
      <c r="L135" s="55"/>
      <c r="M135" s="55"/>
    </row>
    <row r="136" spans="2:13">
      <c r="B136" s="59" t="s">
        <v>5711</v>
      </c>
      <c r="C136" s="59" t="s">
        <v>229</v>
      </c>
      <c r="D136" s="59" t="s">
        <v>5679</v>
      </c>
      <c r="E136" s="59" t="s">
        <v>422</v>
      </c>
      <c r="F136" s="12"/>
      <c r="G136" s="61" t="s">
        <v>4859</v>
      </c>
      <c r="H136" s="55"/>
      <c r="I136" s="70"/>
      <c r="J136" s="12"/>
      <c r="K136" s="59"/>
      <c r="L136" s="55"/>
      <c r="M136" s="55"/>
    </row>
    <row r="137" spans="2:13">
      <c r="B137" s="59" t="s">
        <v>5712</v>
      </c>
      <c r="C137" s="59" t="s">
        <v>229</v>
      </c>
      <c r="D137" s="59" t="s">
        <v>1586</v>
      </c>
      <c r="E137" s="59" t="s">
        <v>422</v>
      </c>
      <c r="F137" s="12"/>
      <c r="G137" s="61" t="s">
        <v>4861</v>
      </c>
      <c r="H137" s="55"/>
      <c r="I137" s="70"/>
      <c r="J137" s="12"/>
      <c r="K137" s="59" t="s">
        <v>1588</v>
      </c>
      <c r="L137" s="55"/>
      <c r="M137" s="55"/>
    </row>
    <row r="138" spans="2:13">
      <c r="B138" s="59" t="s">
        <v>5713</v>
      </c>
      <c r="C138" s="59" t="s">
        <v>229</v>
      </c>
      <c r="D138" s="59" t="s">
        <v>1591</v>
      </c>
      <c r="E138" s="59" t="s">
        <v>422</v>
      </c>
      <c r="F138" s="12"/>
      <c r="G138" s="61" t="s">
        <v>4863</v>
      </c>
      <c r="H138" s="55"/>
      <c r="I138" s="70"/>
      <c r="J138" s="12"/>
      <c r="K138" s="59" t="s">
        <v>1588</v>
      </c>
      <c r="L138" s="55"/>
      <c r="M138" s="55"/>
    </row>
    <row r="139" spans="2:13">
      <c r="B139" s="59" t="s">
        <v>5714</v>
      </c>
      <c r="C139" s="59" t="s">
        <v>229</v>
      </c>
      <c r="D139" s="59" t="s">
        <v>4867</v>
      </c>
      <c r="E139" s="59" t="s">
        <v>422</v>
      </c>
      <c r="F139" s="12"/>
      <c r="G139" s="61" t="s">
        <v>4865</v>
      </c>
      <c r="H139" s="55"/>
      <c r="I139" s="70"/>
      <c r="J139" s="12"/>
      <c r="K139" s="59" t="s">
        <v>231</v>
      </c>
      <c r="L139" s="55"/>
      <c r="M139" s="55"/>
    </row>
    <row r="140" spans="2:13">
      <c r="B140" s="59" t="s">
        <v>5715</v>
      </c>
      <c r="C140" s="59" t="s">
        <v>229</v>
      </c>
      <c r="D140" s="59" t="s">
        <v>4578</v>
      </c>
      <c r="E140" s="59" t="s">
        <v>422</v>
      </c>
      <c r="F140" s="12"/>
      <c r="G140" s="61" t="s">
        <v>4868</v>
      </c>
      <c r="H140" s="55"/>
      <c r="I140" s="70"/>
      <c r="J140" s="12"/>
      <c r="K140" s="59" t="s">
        <v>231</v>
      </c>
      <c r="L140" s="55"/>
      <c r="M140" s="55"/>
    </row>
    <row r="141" spans="2:13">
      <c r="B141" s="59" t="s">
        <v>5716</v>
      </c>
      <c r="C141" s="59" t="s">
        <v>229</v>
      </c>
      <c r="D141" s="59" t="s">
        <v>1607</v>
      </c>
      <c r="E141" s="59" t="s">
        <v>422</v>
      </c>
      <c r="F141" s="12"/>
      <c r="G141" s="61" t="s">
        <v>4870</v>
      </c>
      <c r="H141" s="55"/>
      <c r="I141" s="70"/>
      <c r="J141" s="12"/>
      <c r="K141" s="59"/>
      <c r="L141" s="55"/>
      <c r="M141" s="55"/>
    </row>
    <row r="142" spans="2:13">
      <c r="B142" s="59" t="s">
        <v>5717</v>
      </c>
      <c r="C142" s="59" t="s">
        <v>229</v>
      </c>
      <c r="D142" s="59" t="s">
        <v>1611</v>
      </c>
      <c r="E142" s="59" t="s">
        <v>422</v>
      </c>
      <c r="F142" s="12"/>
      <c r="G142" s="61" t="s">
        <v>4872</v>
      </c>
      <c r="H142" s="55"/>
      <c r="I142" s="70"/>
      <c r="J142" s="12"/>
      <c r="K142" s="59"/>
      <c r="L142" s="55"/>
      <c r="M142" s="55"/>
    </row>
    <row r="143" spans="2:13">
      <c r="B143" s="59" t="s">
        <v>5718</v>
      </c>
      <c r="C143" s="59" t="s">
        <v>229</v>
      </c>
      <c r="D143" s="59" t="s">
        <v>1615</v>
      </c>
      <c r="E143" s="59" t="s">
        <v>422</v>
      </c>
      <c r="F143" s="12"/>
      <c r="G143" s="61" t="s">
        <v>4874</v>
      </c>
      <c r="H143" s="55"/>
      <c r="I143" s="70"/>
      <c r="J143" s="12"/>
      <c r="K143" s="59"/>
      <c r="L143" s="55"/>
      <c r="M143" s="55"/>
    </row>
    <row r="144" spans="2:13">
      <c r="B144" s="59" t="s">
        <v>5719</v>
      </c>
      <c r="C144" s="59" t="s">
        <v>229</v>
      </c>
      <c r="D144" s="59" t="s">
        <v>1619</v>
      </c>
      <c r="E144" s="59" t="s">
        <v>422</v>
      </c>
      <c r="F144" s="12"/>
      <c r="G144" s="61" t="s">
        <v>4876</v>
      </c>
      <c r="H144" s="55"/>
      <c r="I144" s="70"/>
      <c r="J144" s="12"/>
      <c r="K144" s="59"/>
      <c r="L144" s="55"/>
      <c r="M144" s="55"/>
    </row>
    <row r="145" spans="2:13">
      <c r="B145" s="59" t="s">
        <v>5720</v>
      </c>
      <c r="C145" s="59" t="s">
        <v>203</v>
      </c>
      <c r="D145" s="59" t="s">
        <v>1721</v>
      </c>
      <c r="E145" s="59" t="s">
        <v>422</v>
      </c>
      <c r="F145" s="12"/>
      <c r="G145" s="61" t="s">
        <v>4878</v>
      </c>
      <c r="H145" s="55"/>
      <c r="I145" s="70"/>
      <c r="J145" s="12"/>
      <c r="K145" s="59"/>
      <c r="L145" s="55"/>
      <c r="M145" s="55"/>
    </row>
    <row r="146" spans="2:13">
      <c r="B146" s="59" t="s">
        <v>5721</v>
      </c>
      <c r="C146" s="59" t="s">
        <v>203</v>
      </c>
      <c r="D146" s="59" t="s">
        <v>1724</v>
      </c>
      <c r="E146" s="59" t="s">
        <v>422</v>
      </c>
      <c r="F146" s="12"/>
      <c r="G146" s="61" t="s">
        <v>4880</v>
      </c>
      <c r="H146" s="55"/>
      <c r="I146" s="70"/>
      <c r="J146" s="12"/>
      <c r="K146" s="59"/>
      <c r="L146" s="55"/>
      <c r="M146" s="55"/>
    </row>
    <row r="147" spans="2:13">
      <c r="B147" s="59" t="s">
        <v>5722</v>
      </c>
      <c r="C147" s="59" t="s">
        <v>203</v>
      </c>
      <c r="D147" s="59" t="s">
        <v>1731</v>
      </c>
      <c r="E147" s="59" t="s">
        <v>422</v>
      </c>
      <c r="F147" s="12"/>
      <c r="G147" s="61" t="s">
        <v>4882</v>
      </c>
      <c r="H147" s="55"/>
      <c r="I147" s="70"/>
      <c r="J147" s="12"/>
      <c r="K147" s="59"/>
      <c r="L147" s="55"/>
      <c r="M147" s="55"/>
    </row>
    <row r="148" spans="2:13">
      <c r="B148" s="59" t="s">
        <v>5723</v>
      </c>
      <c r="C148" s="59" t="s">
        <v>203</v>
      </c>
      <c r="D148" s="59" t="s">
        <v>1735</v>
      </c>
      <c r="E148" s="59" t="s">
        <v>422</v>
      </c>
      <c r="F148" s="12"/>
      <c r="G148" s="61" t="s">
        <v>4884</v>
      </c>
      <c r="H148" s="55"/>
      <c r="I148" s="70"/>
      <c r="J148" s="12"/>
      <c r="K148" s="59"/>
      <c r="L148" s="55"/>
      <c r="M148" s="55"/>
    </row>
    <row r="149" spans="2:13">
      <c r="B149" s="65" t="s">
        <v>5724</v>
      </c>
      <c r="C149" s="65" t="s">
        <v>203</v>
      </c>
      <c r="D149" s="65" t="s">
        <v>2005</v>
      </c>
      <c r="E149" s="59" t="s">
        <v>422</v>
      </c>
      <c r="F149" s="12"/>
      <c r="G149" s="66" t="s">
        <v>5021</v>
      </c>
      <c r="H149" s="55"/>
      <c r="I149" s="70"/>
      <c r="J149" s="12"/>
      <c r="K149" s="65"/>
      <c r="L149" s="55"/>
      <c r="M149" s="55"/>
    </row>
    <row r="150" spans="2:13">
      <c r="B150" s="65" t="s">
        <v>5725</v>
      </c>
      <c r="C150" s="65" t="s">
        <v>203</v>
      </c>
      <c r="D150" s="65" t="s">
        <v>2007</v>
      </c>
      <c r="E150" s="59" t="s">
        <v>422</v>
      </c>
      <c r="F150" s="12"/>
      <c r="G150" s="66" t="s">
        <v>5023</v>
      </c>
      <c r="H150" s="55"/>
      <c r="I150" s="70"/>
      <c r="J150" s="12"/>
      <c r="K150" s="65"/>
      <c r="L150" s="55"/>
      <c r="M150" s="55"/>
    </row>
    <row r="151" spans="2:13">
      <c r="B151" s="59" t="s">
        <v>2026</v>
      </c>
      <c r="C151" s="59" t="s">
        <v>229</v>
      </c>
      <c r="D151" s="59" t="s">
        <v>2027</v>
      </c>
      <c r="E151" s="59" t="s">
        <v>422</v>
      </c>
      <c r="F151" s="12"/>
      <c r="G151" s="67" t="s">
        <v>5026</v>
      </c>
      <c r="H151" s="55"/>
      <c r="I151" s="70"/>
      <c r="J151" s="12"/>
      <c r="K151" s="59"/>
      <c r="L151" s="55"/>
      <c r="M151" s="55"/>
    </row>
    <row r="152" spans="2:13">
      <c r="B152" s="59" t="s">
        <v>2029</v>
      </c>
      <c r="C152" s="59" t="s">
        <v>229</v>
      </c>
      <c r="D152" s="59" t="s">
        <v>2030</v>
      </c>
      <c r="E152" s="59" t="s">
        <v>422</v>
      </c>
      <c r="F152" s="12"/>
      <c r="G152" s="67" t="s">
        <v>5029</v>
      </c>
      <c r="H152" s="55"/>
      <c r="I152" s="70"/>
      <c r="J152" s="12"/>
      <c r="K152" s="59"/>
      <c r="L152" s="55"/>
      <c r="M152" s="55"/>
    </row>
    <row r="153" spans="2:13">
      <c r="B153" s="59" t="s">
        <v>2034</v>
      </c>
      <c r="C153" s="59" t="s">
        <v>229</v>
      </c>
      <c r="D153" s="59" t="s">
        <v>2035</v>
      </c>
      <c r="E153" s="59" t="s">
        <v>422</v>
      </c>
      <c r="F153" s="12"/>
      <c r="G153" s="67" t="s">
        <v>5032</v>
      </c>
      <c r="H153" s="55"/>
      <c r="I153" s="70"/>
      <c r="J153" s="12"/>
      <c r="K153" s="59"/>
      <c r="L153" s="55"/>
      <c r="M153" s="55"/>
    </row>
    <row r="154" spans="2:13">
      <c r="B154" s="59" t="s">
        <v>2041</v>
      </c>
      <c r="C154" s="59" t="s">
        <v>229</v>
      </c>
      <c r="D154" s="59" t="s">
        <v>2042</v>
      </c>
      <c r="E154" s="59" t="s">
        <v>422</v>
      </c>
      <c r="F154" s="12"/>
      <c r="G154" s="68" t="s">
        <v>5035</v>
      </c>
      <c r="H154" s="55"/>
      <c r="I154" s="70"/>
      <c r="J154" s="12"/>
      <c r="K154" s="59"/>
      <c r="L154" s="55"/>
      <c r="M154" s="55"/>
    </row>
    <row r="155" spans="2:13">
      <c r="B155" s="59" t="s">
        <v>2045</v>
      </c>
      <c r="C155" s="59" t="s">
        <v>229</v>
      </c>
      <c r="D155" s="59" t="s">
        <v>2046</v>
      </c>
      <c r="E155" s="59" t="s">
        <v>422</v>
      </c>
      <c r="F155" s="12"/>
      <c r="G155" s="69" t="s">
        <v>5038</v>
      </c>
      <c r="H155" s="55"/>
      <c r="I155" s="70"/>
      <c r="J155" s="12"/>
      <c r="K155" s="59"/>
      <c r="L155" s="55"/>
      <c r="M155" s="55"/>
    </row>
    <row r="156" spans="2:13">
      <c r="B156" s="59" t="s">
        <v>5039</v>
      </c>
      <c r="C156" s="59" t="s">
        <v>229</v>
      </c>
      <c r="D156" s="59" t="s">
        <v>2178</v>
      </c>
      <c r="E156" s="59" t="s">
        <v>422</v>
      </c>
      <c r="F156" s="12"/>
      <c r="G156" s="69" t="s">
        <v>4612</v>
      </c>
      <c r="H156" s="55"/>
      <c r="I156" s="70"/>
      <c r="J156" s="12"/>
      <c r="K156" s="59"/>
      <c r="L156" s="55"/>
      <c r="M156" s="55"/>
    </row>
    <row r="157" spans="2:13">
      <c r="B157" s="59" t="s">
        <v>5726</v>
      </c>
      <c r="C157" s="59" t="s">
        <v>229</v>
      </c>
      <c r="D157" s="59" t="s">
        <v>2182</v>
      </c>
      <c r="E157" s="59" t="s">
        <v>422</v>
      </c>
      <c r="F157" s="12"/>
      <c r="G157" s="69" t="s">
        <v>5043</v>
      </c>
      <c r="H157" s="55"/>
      <c r="I157" s="70"/>
      <c r="J157" s="12"/>
      <c r="K157" s="59"/>
      <c r="L157" s="55"/>
      <c r="M157" s="55"/>
    </row>
    <row r="158" spans="2:13">
      <c r="B158" s="59" t="s">
        <v>5727</v>
      </c>
      <c r="C158" s="59" t="s">
        <v>229</v>
      </c>
      <c r="D158" s="59" t="s">
        <v>2186</v>
      </c>
      <c r="E158" s="59" t="s">
        <v>422</v>
      </c>
      <c r="F158" s="12"/>
      <c r="G158" s="69" t="s">
        <v>5046</v>
      </c>
      <c r="H158" s="55"/>
      <c r="I158" s="70"/>
      <c r="J158" s="12"/>
      <c r="K158" s="59"/>
      <c r="L158" s="55"/>
      <c r="M158" s="55"/>
    </row>
    <row r="159" spans="2:13">
      <c r="B159" s="59" t="s">
        <v>5728</v>
      </c>
      <c r="C159" s="59" t="s">
        <v>229</v>
      </c>
      <c r="D159" s="59" t="s">
        <v>2190</v>
      </c>
      <c r="E159" s="59" t="s">
        <v>422</v>
      </c>
      <c r="F159" s="12"/>
      <c r="G159" s="69" t="s">
        <v>4615</v>
      </c>
      <c r="H159" s="55"/>
      <c r="I159" s="70"/>
      <c r="J159" s="12"/>
      <c r="K159" s="59"/>
      <c r="L159" s="55"/>
      <c r="M159" s="55"/>
    </row>
    <row r="160" spans="2:13">
      <c r="B160" s="59" t="s">
        <v>5729</v>
      </c>
      <c r="C160" s="59" t="s">
        <v>229</v>
      </c>
      <c r="D160" s="59" t="s">
        <v>2194</v>
      </c>
      <c r="E160" s="59" t="s">
        <v>422</v>
      </c>
      <c r="F160" s="12"/>
      <c r="G160" s="69" t="s">
        <v>5051</v>
      </c>
      <c r="H160" s="55"/>
      <c r="I160" s="70"/>
      <c r="J160" s="12"/>
      <c r="K160" s="59"/>
      <c r="L160" s="55"/>
      <c r="M160" s="55"/>
    </row>
    <row r="161" spans="2:13">
      <c r="B161" s="59" t="s">
        <v>5730</v>
      </c>
      <c r="C161" s="59" t="s">
        <v>229</v>
      </c>
      <c r="D161" s="59" t="s">
        <v>2198</v>
      </c>
      <c r="E161" s="59" t="s">
        <v>422</v>
      </c>
      <c r="F161" s="12"/>
      <c r="G161" s="69" t="s">
        <v>5054</v>
      </c>
      <c r="H161" s="55"/>
      <c r="I161" s="70"/>
      <c r="J161" s="12"/>
      <c r="K161" s="59"/>
      <c r="L161" s="55"/>
      <c r="M161" s="55"/>
    </row>
    <row r="162" spans="2:13">
      <c r="B162" s="65" t="s">
        <v>2049</v>
      </c>
      <c r="C162" s="65" t="s">
        <v>229</v>
      </c>
      <c r="D162" s="65" t="s">
        <v>3837</v>
      </c>
      <c r="E162" s="59" t="s">
        <v>422</v>
      </c>
      <c r="F162" s="12"/>
      <c r="G162" s="69" t="s">
        <v>5057</v>
      </c>
      <c r="H162" s="55"/>
      <c r="I162" s="70"/>
      <c r="J162" s="12"/>
      <c r="K162" s="65" t="s">
        <v>1575</v>
      </c>
      <c r="L162" s="55"/>
      <c r="M162" s="55"/>
    </row>
    <row r="163" spans="2:13">
      <c r="B163" s="65" t="s">
        <v>3981</v>
      </c>
      <c r="C163" s="65" t="s">
        <v>203</v>
      </c>
      <c r="D163" s="65" t="s">
        <v>2282</v>
      </c>
      <c r="E163" s="59" t="s">
        <v>422</v>
      </c>
      <c r="F163" s="12"/>
      <c r="G163" s="69" t="s">
        <v>5060</v>
      </c>
      <c r="H163" s="55"/>
      <c r="I163" s="70"/>
      <c r="J163" s="12"/>
      <c r="K163" s="65"/>
      <c r="L163" s="55"/>
      <c r="M163" s="55"/>
    </row>
    <row r="164" spans="2:13">
      <c r="B164" s="65" t="s">
        <v>3987</v>
      </c>
      <c r="C164" s="65" t="s">
        <v>203</v>
      </c>
      <c r="D164" s="65" t="s">
        <v>2306</v>
      </c>
      <c r="E164" s="59" t="s">
        <v>422</v>
      </c>
      <c r="F164" s="12"/>
      <c r="G164" s="69" t="s">
        <v>5063</v>
      </c>
      <c r="H164" s="55"/>
      <c r="I164" s="70"/>
      <c r="J164" s="12"/>
      <c r="K164" s="65"/>
      <c r="L164" s="55"/>
      <c r="M164" s="55"/>
    </row>
    <row r="165" spans="2:13">
      <c r="B165" s="65" t="s">
        <v>3993</v>
      </c>
      <c r="C165" s="65" t="s">
        <v>203</v>
      </c>
      <c r="D165" s="65" t="s">
        <v>3994</v>
      </c>
      <c r="E165" s="59" t="s">
        <v>422</v>
      </c>
      <c r="F165" s="12"/>
      <c r="G165" s="69" t="s">
        <v>5066</v>
      </c>
      <c r="H165" s="55"/>
      <c r="I165" s="70"/>
      <c r="J165" s="12"/>
      <c r="K165" s="65"/>
      <c r="L165" s="55"/>
      <c r="M165" s="55"/>
    </row>
    <row r="166" spans="2:13">
      <c r="B166" s="65" t="s">
        <v>4018</v>
      </c>
      <c r="C166" s="65" t="s">
        <v>203</v>
      </c>
      <c r="D166" s="65" t="s">
        <v>4019</v>
      </c>
      <c r="E166" s="59" t="s">
        <v>422</v>
      </c>
      <c r="F166" s="12"/>
      <c r="G166" s="69" t="s">
        <v>5068</v>
      </c>
      <c r="H166" s="55"/>
      <c r="I166" s="70"/>
      <c r="J166" s="12"/>
      <c r="K166" s="65"/>
      <c r="L166" s="55"/>
      <c r="M166" s="55"/>
    </row>
    <row r="167" spans="2:13">
      <c r="B167" s="65" t="s">
        <v>3857</v>
      </c>
      <c r="C167" s="65" t="s">
        <v>229</v>
      </c>
      <c r="D167" s="65" t="s">
        <v>2114</v>
      </c>
      <c r="E167" s="59" t="s">
        <v>422</v>
      </c>
      <c r="F167" s="12"/>
      <c r="G167" s="69" t="s">
        <v>5071</v>
      </c>
      <c r="H167" s="55"/>
      <c r="I167" s="70"/>
      <c r="J167" s="12"/>
      <c r="K167" s="65"/>
      <c r="L167" s="55"/>
      <c r="M167" s="55"/>
    </row>
    <row r="168" spans="2:13">
      <c r="B168" s="65" t="s">
        <v>2071</v>
      </c>
      <c r="C168" s="59" t="s">
        <v>203</v>
      </c>
      <c r="D168" s="65" t="s">
        <v>2072</v>
      </c>
      <c r="E168" s="59" t="s">
        <v>422</v>
      </c>
      <c r="F168" s="12"/>
      <c r="G168" s="69" t="s">
        <v>5074</v>
      </c>
      <c r="H168" s="55"/>
      <c r="I168" s="70"/>
      <c r="J168" s="12"/>
      <c r="K168" s="65"/>
      <c r="L168" s="55"/>
      <c r="M168" s="55"/>
    </row>
    <row r="169" spans="2:13">
      <c r="B169" s="65" t="s">
        <v>5731</v>
      </c>
      <c r="C169" s="59" t="s">
        <v>203</v>
      </c>
      <c r="D169" s="65" t="s">
        <v>3896</v>
      </c>
      <c r="E169" s="59" t="s">
        <v>422</v>
      </c>
      <c r="F169" s="12"/>
      <c r="G169" s="69" t="s">
        <v>5077</v>
      </c>
      <c r="H169" s="55"/>
      <c r="I169" s="70"/>
      <c r="J169" s="12"/>
      <c r="K169" s="65"/>
      <c r="L169" s="55"/>
      <c r="M169" s="55"/>
    </row>
    <row r="170" spans="2:13">
      <c r="B170" s="59" t="s">
        <v>5732</v>
      </c>
      <c r="C170" s="59" t="s">
        <v>229</v>
      </c>
      <c r="D170" s="59" t="s">
        <v>5636</v>
      </c>
      <c r="E170" s="59" t="s">
        <v>422</v>
      </c>
      <c r="F170" s="12"/>
      <c r="G170" s="61" t="s">
        <v>4764</v>
      </c>
      <c r="H170" s="55"/>
      <c r="I170" s="70"/>
      <c r="J170" s="12"/>
      <c r="K170" s="59"/>
      <c r="L170" s="55"/>
      <c r="M170" s="55"/>
    </row>
    <row r="171" spans="2:13">
      <c r="B171" s="59" t="s">
        <v>5733</v>
      </c>
      <c r="C171" s="59" t="s">
        <v>203</v>
      </c>
      <c r="D171" s="59" t="s">
        <v>5638</v>
      </c>
      <c r="E171" s="59" t="s">
        <v>422</v>
      </c>
      <c r="F171" s="12"/>
      <c r="G171" s="61" t="s">
        <v>4767</v>
      </c>
      <c r="H171" s="55"/>
      <c r="I171" s="71"/>
      <c r="J171" s="12"/>
      <c r="K171" s="59"/>
      <c r="L171" s="55"/>
      <c r="M171" s="55"/>
    </row>
    <row r="172" spans="2:13">
      <c r="B172" s="59" t="s">
        <v>4160</v>
      </c>
      <c r="C172" s="59" t="s">
        <v>203</v>
      </c>
      <c r="D172" s="59" t="s">
        <v>4161</v>
      </c>
      <c r="E172" s="59" t="s">
        <v>422</v>
      </c>
      <c r="F172" s="12"/>
      <c r="G172" s="59" t="s">
        <v>4160</v>
      </c>
      <c r="H172" s="55"/>
      <c r="I172" s="59" t="s">
        <v>5734</v>
      </c>
      <c r="J172" s="12"/>
      <c r="K172" s="59"/>
      <c r="L172" s="55"/>
      <c r="M172" s="55"/>
    </row>
    <row r="173" spans="2:13">
      <c r="B173" s="59" t="s">
        <v>4163</v>
      </c>
      <c r="C173" s="59" t="s">
        <v>229</v>
      </c>
      <c r="D173" s="59" t="s">
        <v>4164</v>
      </c>
      <c r="E173" s="59" t="s">
        <v>422</v>
      </c>
      <c r="F173" s="12"/>
      <c r="G173" s="59" t="s">
        <v>4163</v>
      </c>
      <c r="H173" s="55"/>
      <c r="I173" s="59" t="s">
        <v>5734</v>
      </c>
      <c r="J173" s="12"/>
      <c r="K173" s="59"/>
      <c r="L173" s="55"/>
      <c r="M173" s="55"/>
    </row>
    <row r="174" spans="2:13">
      <c r="B174" s="59" t="s">
        <v>4166</v>
      </c>
      <c r="C174" s="59" t="s">
        <v>229</v>
      </c>
      <c r="D174" s="59" t="s">
        <v>4167</v>
      </c>
      <c r="E174" s="59" t="s">
        <v>422</v>
      </c>
      <c r="F174" s="12"/>
      <c r="G174" s="59" t="s">
        <v>4166</v>
      </c>
      <c r="H174" s="55"/>
      <c r="I174" s="59" t="s">
        <v>5734</v>
      </c>
      <c r="J174" s="12"/>
      <c r="K174" s="59"/>
      <c r="L174" s="55"/>
      <c r="M174" s="55"/>
    </row>
    <row r="175" spans="2:13">
      <c r="B175" s="59" t="s">
        <v>4169</v>
      </c>
      <c r="C175" s="59" t="s">
        <v>229</v>
      </c>
      <c r="D175" s="59" t="s">
        <v>4170</v>
      </c>
      <c r="E175" s="59" t="s">
        <v>422</v>
      </c>
      <c r="F175" s="12"/>
      <c r="G175" s="59" t="s">
        <v>4169</v>
      </c>
      <c r="H175" s="55"/>
      <c r="I175" s="59" t="s">
        <v>5734</v>
      </c>
      <c r="J175" s="12"/>
      <c r="K175" s="59"/>
      <c r="L175" s="55"/>
      <c r="M175" s="55"/>
    </row>
    <row r="176" spans="2:13">
      <c r="B176" s="59" t="s">
        <v>4172</v>
      </c>
      <c r="C176" s="59" t="s">
        <v>203</v>
      </c>
      <c r="D176" s="59" t="s">
        <v>4173</v>
      </c>
      <c r="E176" s="59" t="s">
        <v>422</v>
      </c>
      <c r="F176" s="12"/>
      <c r="G176" s="59" t="s">
        <v>4172</v>
      </c>
      <c r="H176" s="55"/>
      <c r="I176" s="59" t="s">
        <v>5734</v>
      </c>
      <c r="J176" s="12"/>
      <c r="K176" s="59"/>
      <c r="L176" s="55"/>
      <c r="M176" s="55"/>
    </row>
    <row r="177" spans="2:13">
      <c r="B177" s="59" t="s">
        <v>4175</v>
      </c>
      <c r="C177" s="59" t="s">
        <v>203</v>
      </c>
      <c r="D177" s="59" t="s">
        <v>4176</v>
      </c>
      <c r="E177" s="59" t="s">
        <v>422</v>
      </c>
      <c r="F177" s="12"/>
      <c r="G177" s="59" t="s">
        <v>4175</v>
      </c>
      <c r="H177" s="55"/>
      <c r="I177" s="59" t="s">
        <v>5734</v>
      </c>
      <c r="J177" s="12"/>
      <c r="K177" s="59"/>
      <c r="L177" s="55"/>
      <c r="M177" s="55"/>
    </row>
    <row r="178" spans="2:13">
      <c r="B178" s="59" t="s">
        <v>4178</v>
      </c>
      <c r="C178" s="59" t="s">
        <v>203</v>
      </c>
      <c r="D178" s="59" t="s">
        <v>4179</v>
      </c>
      <c r="E178" s="59" t="s">
        <v>422</v>
      </c>
      <c r="F178" s="12"/>
      <c r="G178" s="59" t="s">
        <v>4178</v>
      </c>
      <c r="H178" s="55"/>
      <c r="I178" s="59" t="s">
        <v>5734</v>
      </c>
      <c r="J178" s="12"/>
      <c r="K178" s="59"/>
      <c r="L178" s="55"/>
      <c r="M178" s="55"/>
    </row>
    <row r="179" spans="2:13">
      <c r="B179" s="59" t="s">
        <v>4181</v>
      </c>
      <c r="C179" s="59" t="s">
        <v>229</v>
      </c>
      <c r="D179" s="59" t="s">
        <v>4182</v>
      </c>
      <c r="E179" s="59" t="s">
        <v>422</v>
      </c>
      <c r="F179" s="12"/>
      <c r="G179" s="59" t="s">
        <v>4181</v>
      </c>
      <c r="H179" s="55"/>
      <c r="I179" s="59" t="s">
        <v>5734</v>
      </c>
      <c r="J179" s="12"/>
      <c r="K179" s="59"/>
      <c r="L179" s="55"/>
      <c r="M179" s="55"/>
    </row>
    <row r="180" spans="2:13">
      <c r="B180" s="59" t="s">
        <v>4184</v>
      </c>
      <c r="C180" s="59" t="s">
        <v>229</v>
      </c>
      <c r="D180" s="59" t="s">
        <v>4185</v>
      </c>
      <c r="E180" s="59" t="s">
        <v>422</v>
      </c>
      <c r="F180" s="12"/>
      <c r="G180" s="59" t="s">
        <v>4184</v>
      </c>
      <c r="H180" s="55"/>
      <c r="I180" s="59" t="s">
        <v>5734</v>
      </c>
      <c r="J180" s="12"/>
      <c r="K180" s="59"/>
      <c r="L180" s="55"/>
      <c r="M180" s="55"/>
    </row>
    <row r="181" spans="2:13">
      <c r="B181" s="59" t="s">
        <v>4187</v>
      </c>
      <c r="C181" s="59" t="s">
        <v>203</v>
      </c>
      <c r="D181" s="59" t="s">
        <v>4188</v>
      </c>
      <c r="E181" s="59" t="s">
        <v>422</v>
      </c>
      <c r="F181" s="12"/>
      <c r="G181" s="59" t="s">
        <v>4187</v>
      </c>
      <c r="H181" s="55"/>
      <c r="I181" s="59" t="s">
        <v>5734</v>
      </c>
      <c r="J181" s="12"/>
      <c r="K181" s="59"/>
      <c r="L181" s="55"/>
      <c r="M181" s="55"/>
    </row>
    <row r="182" spans="2:13">
      <c r="B182" s="59" t="s">
        <v>4190</v>
      </c>
      <c r="C182" s="59" t="s">
        <v>203</v>
      </c>
      <c r="D182" s="59" t="s">
        <v>4191</v>
      </c>
      <c r="E182" s="59" t="s">
        <v>422</v>
      </c>
      <c r="F182" s="12"/>
      <c r="G182" s="59" t="s">
        <v>4190</v>
      </c>
      <c r="H182" s="55"/>
      <c r="I182" s="59" t="s">
        <v>5734</v>
      </c>
      <c r="J182" s="12"/>
      <c r="K182" s="59"/>
      <c r="L182" s="55"/>
      <c r="M182" s="55"/>
    </row>
    <row r="183" spans="2:13">
      <c r="B183" s="59" t="s">
        <v>4192</v>
      </c>
      <c r="C183" s="59" t="s">
        <v>229</v>
      </c>
      <c r="D183" s="59" t="s">
        <v>4193</v>
      </c>
      <c r="E183" s="59" t="s">
        <v>422</v>
      </c>
      <c r="F183" s="12"/>
      <c r="G183" s="59" t="s">
        <v>4192</v>
      </c>
      <c r="H183" s="55"/>
      <c r="I183" s="59" t="s">
        <v>5734</v>
      </c>
      <c r="J183" s="12"/>
      <c r="K183" s="59"/>
      <c r="L183" s="55"/>
      <c r="M183" s="55"/>
    </row>
    <row r="184" spans="2:13">
      <c r="B184" s="59" t="s">
        <v>4194</v>
      </c>
      <c r="C184" s="59" t="s">
        <v>229</v>
      </c>
      <c r="D184" s="59" t="s">
        <v>4195</v>
      </c>
      <c r="E184" s="59" t="s">
        <v>422</v>
      </c>
      <c r="F184" s="12"/>
      <c r="G184" s="59" t="s">
        <v>4194</v>
      </c>
      <c r="H184" s="55"/>
      <c r="I184" s="59" t="s">
        <v>5734</v>
      </c>
      <c r="J184" s="12"/>
      <c r="K184" s="59"/>
      <c r="L184" s="55"/>
      <c r="M184" s="55"/>
    </row>
    <row r="185" spans="2:13">
      <c r="B185" s="59" t="s">
        <v>4196</v>
      </c>
      <c r="C185" s="59" t="s">
        <v>203</v>
      </c>
      <c r="D185" s="59" t="s">
        <v>4197</v>
      </c>
      <c r="E185" s="59" t="s">
        <v>422</v>
      </c>
      <c r="F185" s="12"/>
      <c r="G185" s="59" t="s">
        <v>4196</v>
      </c>
      <c r="H185" s="55"/>
      <c r="I185" s="59" t="s">
        <v>5734</v>
      </c>
      <c r="J185" s="12"/>
      <c r="K185" s="59"/>
      <c r="L185" s="55"/>
      <c r="M185" s="55"/>
    </row>
    <row r="186" spans="2:13">
      <c r="B186" s="59" t="s">
        <v>4198</v>
      </c>
      <c r="C186" s="59" t="s">
        <v>229</v>
      </c>
      <c r="D186" s="59" t="s">
        <v>4199</v>
      </c>
      <c r="E186" s="59" t="s">
        <v>422</v>
      </c>
      <c r="F186" s="12"/>
      <c r="G186" s="59" t="s">
        <v>4198</v>
      </c>
      <c r="H186" s="55"/>
      <c r="I186" s="59" t="s">
        <v>5734</v>
      </c>
      <c r="J186" s="12"/>
      <c r="K186" s="59"/>
      <c r="L186" s="55"/>
      <c r="M186" s="55"/>
    </row>
    <row r="187" spans="2:13">
      <c r="B187" s="59" t="s">
        <v>4200</v>
      </c>
      <c r="C187" s="59" t="s">
        <v>229</v>
      </c>
      <c r="D187" s="59" t="s">
        <v>4201</v>
      </c>
      <c r="E187" s="59" t="s">
        <v>422</v>
      </c>
      <c r="F187" s="12"/>
      <c r="G187" s="59" t="s">
        <v>4200</v>
      </c>
      <c r="H187" s="55"/>
      <c r="I187" s="59" t="s">
        <v>5734</v>
      </c>
      <c r="J187" s="12"/>
      <c r="K187" s="59"/>
      <c r="L187" s="55"/>
      <c r="M187" s="55"/>
    </row>
    <row r="188" spans="2:13">
      <c r="B188" s="59" t="s">
        <v>4202</v>
      </c>
      <c r="C188" s="59" t="s">
        <v>229</v>
      </c>
      <c r="D188" s="59" t="s">
        <v>4203</v>
      </c>
      <c r="E188" s="59" t="s">
        <v>422</v>
      </c>
      <c r="F188" s="12"/>
      <c r="G188" s="59" t="s">
        <v>4202</v>
      </c>
      <c r="H188" s="55"/>
      <c r="I188" s="59" t="s">
        <v>5734</v>
      </c>
      <c r="J188" s="12"/>
      <c r="K188" s="59"/>
      <c r="L188" s="55"/>
      <c r="M188" s="55"/>
    </row>
    <row r="189" spans="2:13">
      <c r="B189" s="59" t="s">
        <v>4204</v>
      </c>
      <c r="C189" s="59" t="s">
        <v>229</v>
      </c>
      <c r="D189" s="59" t="s">
        <v>4205</v>
      </c>
      <c r="E189" s="59" t="s">
        <v>422</v>
      </c>
      <c r="F189" s="12"/>
      <c r="G189" s="59" t="s">
        <v>4204</v>
      </c>
      <c r="H189" s="55"/>
      <c r="I189" s="59" t="s">
        <v>5734</v>
      </c>
      <c r="J189" s="12"/>
      <c r="K189" s="59"/>
      <c r="L189" s="55"/>
      <c r="M189" s="55"/>
    </row>
    <row r="190" spans="2:13">
      <c r="B190" s="59" t="s">
        <v>4206</v>
      </c>
      <c r="C190" s="59" t="s">
        <v>203</v>
      </c>
      <c r="D190" s="59" t="s">
        <v>4207</v>
      </c>
      <c r="E190" s="59" t="s">
        <v>422</v>
      </c>
      <c r="F190" s="12"/>
      <c r="G190" s="59" t="s">
        <v>4206</v>
      </c>
      <c r="H190" s="55"/>
      <c r="I190" s="59" t="s">
        <v>5734</v>
      </c>
      <c r="J190" s="12"/>
      <c r="K190" s="59"/>
      <c r="L190" s="55"/>
      <c r="M190" s="55"/>
    </row>
    <row r="191" spans="2:13">
      <c r="B191" s="59" t="s">
        <v>4208</v>
      </c>
      <c r="C191" s="59" t="s">
        <v>203</v>
      </c>
      <c r="D191" s="59" t="s">
        <v>4209</v>
      </c>
      <c r="E191" s="59" t="s">
        <v>422</v>
      </c>
      <c r="F191" s="12"/>
      <c r="G191" s="59" t="s">
        <v>4208</v>
      </c>
      <c r="H191" s="55"/>
      <c r="I191" s="59" t="s">
        <v>5734</v>
      </c>
      <c r="J191" s="12"/>
      <c r="K191" s="59"/>
      <c r="L191" s="55"/>
      <c r="M191" s="55"/>
    </row>
    <row r="192" spans="2:13">
      <c r="B192" s="59" t="s">
        <v>4210</v>
      </c>
      <c r="C192" s="59" t="s">
        <v>203</v>
      </c>
      <c r="D192" s="59" t="s">
        <v>4211</v>
      </c>
      <c r="E192" s="59" t="s">
        <v>422</v>
      </c>
      <c r="F192" s="12"/>
      <c r="G192" s="59" t="s">
        <v>4210</v>
      </c>
      <c r="H192" s="55"/>
      <c r="I192" s="59" t="s">
        <v>5734</v>
      </c>
      <c r="J192" s="12"/>
      <c r="K192" s="59"/>
      <c r="L192" s="55"/>
      <c r="M192" s="55"/>
    </row>
    <row r="193" spans="2:13">
      <c r="B193" s="59" t="s">
        <v>4212</v>
      </c>
      <c r="C193" s="59" t="s">
        <v>203</v>
      </c>
      <c r="D193" s="59" t="s">
        <v>4213</v>
      </c>
      <c r="E193" s="59" t="s">
        <v>422</v>
      </c>
      <c r="F193" s="12"/>
      <c r="G193" s="59" t="s">
        <v>4212</v>
      </c>
      <c r="H193" s="55"/>
      <c r="I193" s="59" t="s">
        <v>5734</v>
      </c>
      <c r="J193" s="12"/>
      <c r="K193" s="59"/>
      <c r="L193" s="55"/>
      <c r="M193" s="55"/>
    </row>
    <row r="194" spans="2:13">
      <c r="B194" s="59" t="s">
        <v>4214</v>
      </c>
      <c r="C194" s="59" t="s">
        <v>229</v>
      </c>
      <c r="D194" s="59" t="s">
        <v>4215</v>
      </c>
      <c r="E194" s="59" t="s">
        <v>422</v>
      </c>
      <c r="F194" s="12"/>
      <c r="G194" s="59" t="s">
        <v>4214</v>
      </c>
      <c r="H194" s="55"/>
      <c r="I194" s="59" t="s">
        <v>5734</v>
      </c>
      <c r="J194" s="12"/>
      <c r="K194" s="59"/>
      <c r="L194" s="55"/>
      <c r="M194" s="55"/>
    </row>
    <row r="195" spans="2:13">
      <c r="B195" s="59" t="s">
        <v>4217</v>
      </c>
      <c r="C195" s="59" t="s">
        <v>229</v>
      </c>
      <c r="D195" s="59" t="s">
        <v>4218</v>
      </c>
      <c r="E195" s="59" t="s">
        <v>422</v>
      </c>
      <c r="F195" s="12"/>
      <c r="G195" s="59" t="s">
        <v>4217</v>
      </c>
      <c r="H195" s="55"/>
      <c r="I195" s="59" t="s">
        <v>5734</v>
      </c>
      <c r="J195" s="12"/>
      <c r="K195" s="59"/>
      <c r="L195" s="55"/>
      <c r="M195" s="55"/>
    </row>
    <row r="196" spans="2:13">
      <c r="B196" s="59" t="s">
        <v>4219</v>
      </c>
      <c r="C196" s="59" t="s">
        <v>229</v>
      </c>
      <c r="D196" s="59" t="s">
        <v>4220</v>
      </c>
      <c r="E196" s="59" t="s">
        <v>422</v>
      </c>
      <c r="F196" s="12"/>
      <c r="G196" s="59" t="s">
        <v>4219</v>
      </c>
      <c r="H196" s="55"/>
      <c r="I196" s="59" t="s">
        <v>5734</v>
      </c>
      <c r="J196" s="12"/>
      <c r="K196" s="59"/>
      <c r="L196" s="55"/>
      <c r="M196" s="55"/>
    </row>
    <row r="197" spans="2:13">
      <c r="B197" s="59" t="s">
        <v>4221</v>
      </c>
      <c r="C197" s="59" t="s">
        <v>229</v>
      </c>
      <c r="D197" s="59" t="s">
        <v>4222</v>
      </c>
      <c r="E197" s="59" t="s">
        <v>422</v>
      </c>
      <c r="F197" s="12"/>
      <c r="G197" s="59" t="s">
        <v>4221</v>
      </c>
      <c r="H197" s="55"/>
      <c r="I197" s="59" t="s">
        <v>5734</v>
      </c>
      <c r="J197" s="12"/>
      <c r="K197" s="59"/>
      <c r="L197" s="55"/>
      <c r="M197" s="55"/>
    </row>
    <row r="198" spans="2:13">
      <c r="B198" s="59" t="s">
        <v>5735</v>
      </c>
      <c r="C198" s="59" t="s">
        <v>229</v>
      </c>
      <c r="D198" s="59" t="s">
        <v>5736</v>
      </c>
      <c r="E198" s="59" t="s">
        <v>422</v>
      </c>
      <c r="F198" s="12"/>
      <c r="G198" s="59" t="s">
        <v>1693</v>
      </c>
      <c r="H198" s="55"/>
      <c r="I198" s="59" t="s">
        <v>5734</v>
      </c>
      <c r="J198" s="12"/>
      <c r="K198" s="59"/>
      <c r="L198" s="55"/>
      <c r="M198" s="55"/>
    </row>
    <row r="199" spans="2:13">
      <c r="B199" s="59" t="s">
        <v>5737</v>
      </c>
      <c r="C199" s="59" t="s">
        <v>229</v>
      </c>
      <c r="D199" s="59" t="s">
        <v>5738</v>
      </c>
      <c r="E199" s="59" t="s">
        <v>422</v>
      </c>
      <c r="F199" s="12"/>
      <c r="G199" s="59" t="s">
        <v>1693</v>
      </c>
      <c r="H199" s="55"/>
      <c r="I199" s="59" t="s">
        <v>5734</v>
      </c>
      <c r="J199" s="12"/>
      <c r="K199" s="59"/>
      <c r="L199" s="55"/>
      <c r="M199" s="55"/>
    </row>
    <row r="200" spans="2:13">
      <c r="B200" s="59" t="s">
        <v>4223</v>
      </c>
      <c r="C200" s="59" t="s">
        <v>203</v>
      </c>
      <c r="D200" s="59" t="s">
        <v>4224</v>
      </c>
      <c r="E200" s="59" t="s">
        <v>422</v>
      </c>
      <c r="F200" s="12"/>
      <c r="G200" s="59" t="s">
        <v>4223</v>
      </c>
      <c r="H200" s="55"/>
      <c r="I200" s="59" t="s">
        <v>5734</v>
      </c>
      <c r="J200" s="12"/>
      <c r="K200" s="59"/>
      <c r="L200" s="55"/>
      <c r="M200" s="55"/>
    </row>
    <row r="201" spans="2:13">
      <c r="B201" s="59" t="s">
        <v>4225</v>
      </c>
      <c r="C201" s="59" t="s">
        <v>203</v>
      </c>
      <c r="D201" s="59" t="s">
        <v>4226</v>
      </c>
      <c r="E201" s="59" t="s">
        <v>422</v>
      </c>
      <c r="F201" s="12"/>
      <c r="G201" s="59" t="s">
        <v>4225</v>
      </c>
      <c r="H201" s="55"/>
      <c r="I201" s="59" t="s">
        <v>5734</v>
      </c>
      <c r="J201" s="12"/>
      <c r="K201" s="59"/>
      <c r="L201" s="55"/>
      <c r="M201" s="55"/>
    </row>
    <row r="202" spans="2:13">
      <c r="B202" s="59" t="s">
        <v>4227</v>
      </c>
      <c r="C202" s="59" t="s">
        <v>203</v>
      </c>
      <c r="D202" s="59" t="s">
        <v>4228</v>
      </c>
      <c r="E202" s="59" t="s">
        <v>422</v>
      </c>
      <c r="F202" s="12"/>
      <c r="G202" s="50" t="s">
        <v>4227</v>
      </c>
      <c r="H202" s="55"/>
      <c r="I202" s="59" t="s">
        <v>5734</v>
      </c>
      <c r="J202" s="12"/>
      <c r="K202" s="59"/>
      <c r="L202" s="55"/>
      <c r="M202" s="55"/>
    </row>
    <row r="203" spans="2:13">
      <c r="B203" s="59" t="s">
        <v>4229</v>
      </c>
      <c r="C203" s="59" t="s">
        <v>203</v>
      </c>
      <c r="D203" s="59" t="s">
        <v>4230</v>
      </c>
      <c r="E203" s="59" t="s">
        <v>422</v>
      </c>
      <c r="F203" s="12"/>
      <c r="G203" s="59" t="s">
        <v>4229</v>
      </c>
      <c r="H203" s="55"/>
      <c r="I203" s="59" t="s">
        <v>5734</v>
      </c>
      <c r="J203" s="12"/>
      <c r="K203" s="59"/>
      <c r="L203" s="55"/>
      <c r="M203" s="55"/>
    </row>
    <row r="204" spans="2:13">
      <c r="B204" s="59" t="s">
        <v>4148</v>
      </c>
      <c r="C204" s="59" t="s">
        <v>203</v>
      </c>
      <c r="D204" s="59" t="s">
        <v>4149</v>
      </c>
      <c r="E204" s="59" t="s">
        <v>422</v>
      </c>
      <c r="F204" s="12"/>
      <c r="G204" s="59" t="s">
        <v>4148</v>
      </c>
      <c r="H204" s="55"/>
      <c r="I204" s="59" t="s">
        <v>5734</v>
      </c>
      <c r="J204" s="12"/>
      <c r="K204" s="59"/>
      <c r="L204" s="55"/>
      <c r="M204" s="55"/>
    </row>
    <row r="205" spans="2:13">
      <c r="B205" s="59" t="s">
        <v>4151</v>
      </c>
      <c r="C205" s="59" t="s">
        <v>203</v>
      </c>
      <c r="D205" s="59" t="s">
        <v>4152</v>
      </c>
      <c r="E205" s="59" t="s">
        <v>422</v>
      </c>
      <c r="F205" s="12"/>
      <c r="G205" s="59" t="s">
        <v>4151</v>
      </c>
      <c r="H205" s="55"/>
      <c r="I205" s="59" t="s">
        <v>5734</v>
      </c>
      <c r="J205" s="12"/>
      <c r="K205" s="59"/>
      <c r="L205" s="55"/>
      <c r="M205" s="55"/>
    </row>
    <row r="206" spans="2:13">
      <c r="B206" s="59" t="s">
        <v>4154</v>
      </c>
      <c r="C206" s="59" t="s">
        <v>203</v>
      </c>
      <c r="D206" s="59" t="s">
        <v>4155</v>
      </c>
      <c r="E206" s="59" t="s">
        <v>422</v>
      </c>
      <c r="F206" s="12"/>
      <c r="G206" s="55" t="s">
        <v>5739</v>
      </c>
      <c r="H206" s="55"/>
      <c r="I206" s="59" t="s">
        <v>5734</v>
      </c>
      <c r="J206" s="12"/>
      <c r="K206" s="59"/>
      <c r="L206" s="55"/>
      <c r="M206" s="55"/>
    </row>
    <row r="207" spans="2:13">
      <c r="B207" s="59" t="s">
        <v>4156</v>
      </c>
      <c r="C207" s="59" t="s">
        <v>203</v>
      </c>
      <c r="D207" s="59" t="s">
        <v>4157</v>
      </c>
      <c r="E207" s="59" t="s">
        <v>422</v>
      </c>
      <c r="F207" s="12"/>
      <c r="G207" s="55" t="s">
        <v>5740</v>
      </c>
      <c r="H207" s="55"/>
      <c r="I207" s="59" t="s">
        <v>5734</v>
      </c>
      <c r="J207" s="12"/>
      <c r="K207" s="59"/>
      <c r="L207" s="55"/>
      <c r="M207" s="55"/>
    </row>
    <row r="208" spans="2:13">
      <c r="B208" s="59" t="s">
        <v>4158</v>
      </c>
      <c r="C208" s="59" t="s">
        <v>229</v>
      </c>
      <c r="D208" s="59" t="s">
        <v>4159</v>
      </c>
      <c r="E208" s="59" t="s">
        <v>422</v>
      </c>
      <c r="F208" s="12"/>
      <c r="G208" s="55" t="s">
        <v>4158</v>
      </c>
      <c r="H208" s="55"/>
      <c r="I208" s="59" t="s">
        <v>5734</v>
      </c>
      <c r="J208" s="12"/>
      <c r="K208" s="59"/>
      <c r="L208" s="55"/>
      <c r="M208" s="55"/>
    </row>
    <row r="209" spans="2:13">
      <c r="B209" s="59" t="s">
        <v>5741</v>
      </c>
      <c r="C209" s="59" t="s">
        <v>170</v>
      </c>
      <c r="D209" s="59" t="s">
        <v>5742</v>
      </c>
      <c r="E209" s="59" t="s">
        <v>422</v>
      </c>
      <c r="F209" s="12"/>
      <c r="G209" s="59" t="s">
        <v>1693</v>
      </c>
      <c r="H209" s="55"/>
      <c r="I209" s="59" t="s">
        <v>5743</v>
      </c>
      <c r="J209" s="12"/>
      <c r="K209" s="59"/>
      <c r="L209" s="55"/>
      <c r="M209" s="55"/>
    </row>
    <row r="210" spans="2:13">
      <c r="B210" s="59" t="s">
        <v>5744</v>
      </c>
      <c r="C210" s="59" t="s">
        <v>170</v>
      </c>
      <c r="D210" s="59" t="s">
        <v>5745</v>
      </c>
      <c r="E210" s="59" t="s">
        <v>422</v>
      </c>
      <c r="F210" s="12"/>
      <c r="G210" s="59" t="s">
        <v>1693</v>
      </c>
      <c r="H210" s="55"/>
      <c r="I210" s="59" t="s">
        <v>5743</v>
      </c>
      <c r="J210" s="12"/>
      <c r="K210" s="59"/>
      <c r="L210" s="55"/>
      <c r="M210" s="55"/>
    </row>
    <row r="211" spans="2:13">
      <c r="B211" s="59" t="s">
        <v>5746</v>
      </c>
      <c r="C211" s="59" t="s">
        <v>203</v>
      </c>
      <c r="D211" s="59" t="s">
        <v>5747</v>
      </c>
      <c r="E211" s="59" t="s">
        <v>422</v>
      </c>
      <c r="F211" s="12"/>
      <c r="G211" s="59" t="s">
        <v>5748</v>
      </c>
      <c r="H211" s="55"/>
      <c r="I211" s="59" t="s">
        <v>5743</v>
      </c>
      <c r="J211" s="12"/>
      <c r="K211" s="59"/>
      <c r="L211" s="55"/>
      <c r="M211" s="55"/>
    </row>
    <row r="212" spans="2:13">
      <c r="B212" s="59" t="s">
        <v>5749</v>
      </c>
      <c r="C212" s="59" t="s">
        <v>203</v>
      </c>
      <c r="D212" s="59" t="s">
        <v>5750</v>
      </c>
      <c r="E212" s="59" t="s">
        <v>422</v>
      </c>
      <c r="F212" s="12"/>
      <c r="G212" s="59" t="s">
        <v>5751</v>
      </c>
      <c r="H212" s="55"/>
      <c r="I212" s="59" t="s">
        <v>5743</v>
      </c>
      <c r="J212" s="12"/>
      <c r="K212" s="59"/>
      <c r="L212" s="55"/>
      <c r="M212" s="55"/>
    </row>
    <row r="213" spans="2:13">
      <c r="B213" s="59" t="s">
        <v>5752</v>
      </c>
      <c r="C213" s="59" t="s">
        <v>203</v>
      </c>
      <c r="D213" s="59" t="s">
        <v>5753</v>
      </c>
      <c r="E213" s="59" t="s">
        <v>422</v>
      </c>
      <c r="F213" s="12"/>
      <c r="G213" s="59" t="s">
        <v>5754</v>
      </c>
      <c r="H213" s="55"/>
      <c r="I213" s="59" t="s">
        <v>5743</v>
      </c>
      <c r="J213" s="12"/>
      <c r="K213" s="59"/>
      <c r="L213" s="55"/>
      <c r="M213" s="55"/>
    </row>
    <row r="214" spans="2:13">
      <c r="B214" s="59" t="s">
        <v>5755</v>
      </c>
      <c r="C214" s="59" t="s">
        <v>203</v>
      </c>
      <c r="D214" s="59" t="s">
        <v>5756</v>
      </c>
      <c r="E214" s="59" t="s">
        <v>422</v>
      </c>
      <c r="F214" s="12"/>
      <c r="G214" s="59" t="s">
        <v>5757</v>
      </c>
      <c r="H214" s="55"/>
      <c r="I214" s="59" t="s">
        <v>5743</v>
      </c>
      <c r="J214" s="12"/>
      <c r="K214" s="59"/>
      <c r="L214" s="55"/>
      <c r="M214" s="55"/>
    </row>
    <row r="215" spans="2:13">
      <c r="B215" s="59" t="s">
        <v>5758</v>
      </c>
      <c r="C215" s="59" t="s">
        <v>229</v>
      </c>
      <c r="D215" s="59" t="s">
        <v>5759</v>
      </c>
      <c r="E215" s="59" t="s">
        <v>422</v>
      </c>
      <c r="F215" s="12"/>
      <c r="G215" s="59" t="s">
        <v>5758</v>
      </c>
      <c r="H215" s="55"/>
      <c r="I215" s="59" t="s">
        <v>5743</v>
      </c>
      <c r="J215" s="12"/>
      <c r="K215" s="59"/>
      <c r="L215" s="55"/>
      <c r="M215" s="55"/>
    </row>
    <row r="216" spans="2:13">
      <c r="B216" s="59" t="s">
        <v>5760</v>
      </c>
      <c r="C216" s="59" t="s">
        <v>229</v>
      </c>
      <c r="D216" s="59" t="s">
        <v>5761</v>
      </c>
      <c r="E216" s="59" t="s">
        <v>422</v>
      </c>
      <c r="F216" s="12"/>
      <c r="G216" s="59" t="s">
        <v>5760</v>
      </c>
      <c r="H216" s="55"/>
      <c r="I216" s="59" t="s">
        <v>5743</v>
      </c>
      <c r="J216" s="12"/>
      <c r="K216" s="59"/>
      <c r="L216" s="55"/>
      <c r="M216" s="55"/>
    </row>
    <row r="217" spans="2:13">
      <c r="B217" s="59" t="s">
        <v>5762</v>
      </c>
      <c r="C217" s="59" t="s">
        <v>203</v>
      </c>
      <c r="D217" s="59" t="s">
        <v>5763</v>
      </c>
      <c r="E217" s="59" t="s">
        <v>422</v>
      </c>
      <c r="F217" s="12"/>
      <c r="G217" s="59" t="s">
        <v>5762</v>
      </c>
      <c r="H217" s="55"/>
      <c r="I217" s="59" t="s">
        <v>5743</v>
      </c>
      <c r="J217" s="12"/>
      <c r="K217" s="59"/>
      <c r="L217" s="55"/>
      <c r="M217" s="55"/>
    </row>
    <row r="218" spans="2:13">
      <c r="B218" s="59" t="s">
        <v>5764</v>
      </c>
      <c r="C218" s="59" t="s">
        <v>203</v>
      </c>
      <c r="D218" s="59" t="s">
        <v>5765</v>
      </c>
      <c r="E218" s="59" t="s">
        <v>422</v>
      </c>
      <c r="F218" s="12"/>
      <c r="G218" s="59" t="s">
        <v>5764</v>
      </c>
      <c r="H218" s="55"/>
      <c r="I218" s="59" t="s">
        <v>5743</v>
      </c>
      <c r="J218" s="12"/>
      <c r="K218" s="59"/>
      <c r="L218" s="55"/>
      <c r="M218" s="55"/>
    </row>
    <row r="219" spans="2:13">
      <c r="B219" s="59" t="s">
        <v>5766</v>
      </c>
      <c r="C219" s="59" t="s">
        <v>229</v>
      </c>
      <c r="D219" s="59" t="s">
        <v>5767</v>
      </c>
      <c r="E219" s="59" t="s">
        <v>422</v>
      </c>
      <c r="F219" s="12"/>
      <c r="G219" s="59" t="s">
        <v>5768</v>
      </c>
      <c r="H219" s="55"/>
      <c r="I219" s="59" t="s">
        <v>5743</v>
      </c>
      <c r="J219" s="12"/>
      <c r="K219" s="59"/>
      <c r="L219" s="55"/>
      <c r="M219" s="55"/>
    </row>
    <row r="220" spans="2:13">
      <c r="B220" s="59" t="s">
        <v>5769</v>
      </c>
      <c r="C220" s="59" t="s">
        <v>203</v>
      </c>
      <c r="D220" s="59" t="s">
        <v>5770</v>
      </c>
      <c r="E220" s="59" t="s">
        <v>422</v>
      </c>
      <c r="F220" s="12"/>
      <c r="G220" s="59" t="s">
        <v>5769</v>
      </c>
      <c r="H220" s="55"/>
      <c r="I220" s="59" t="s">
        <v>5743</v>
      </c>
      <c r="J220" s="12"/>
      <c r="K220" s="59"/>
      <c r="L220" s="55"/>
      <c r="M220" s="55"/>
    </row>
    <row r="221" spans="2:13">
      <c r="B221" s="59" t="s">
        <v>5771</v>
      </c>
      <c r="C221" s="59" t="s">
        <v>229</v>
      </c>
      <c r="D221" s="59" t="s">
        <v>5759</v>
      </c>
      <c r="E221" s="59" t="s">
        <v>422</v>
      </c>
      <c r="F221" s="12"/>
      <c r="G221" s="59" t="s">
        <v>1693</v>
      </c>
      <c r="H221" s="55"/>
      <c r="I221" s="59" t="s">
        <v>5743</v>
      </c>
      <c r="J221" s="12"/>
      <c r="K221" s="59"/>
      <c r="L221" s="55"/>
      <c r="M221" s="55"/>
    </row>
    <row r="222" spans="2:13">
      <c r="B222" s="59" t="s">
        <v>5772</v>
      </c>
      <c r="C222" s="59" t="s">
        <v>229</v>
      </c>
      <c r="D222" s="59" t="s">
        <v>5761</v>
      </c>
      <c r="E222" s="59" t="s">
        <v>422</v>
      </c>
      <c r="F222" s="12"/>
      <c r="G222" s="59" t="s">
        <v>1693</v>
      </c>
      <c r="H222" s="55"/>
      <c r="I222" s="59" t="s">
        <v>5743</v>
      </c>
      <c r="J222" s="12"/>
      <c r="K222" s="59"/>
      <c r="L222" s="55"/>
      <c r="M222" s="55"/>
    </row>
    <row r="223" spans="2:13">
      <c r="B223" s="59" t="s">
        <v>5773</v>
      </c>
      <c r="C223" s="59" t="s">
        <v>203</v>
      </c>
      <c r="D223" s="59" t="s">
        <v>5774</v>
      </c>
      <c r="E223" s="59" t="s">
        <v>422</v>
      </c>
      <c r="F223" s="12"/>
      <c r="G223" s="59" t="s">
        <v>5775</v>
      </c>
      <c r="H223" s="55"/>
      <c r="I223" s="59" t="s">
        <v>5743</v>
      </c>
      <c r="J223" s="12"/>
      <c r="K223" s="59"/>
      <c r="L223" s="55"/>
      <c r="M223" s="55"/>
    </row>
    <row r="224" spans="2:12">
      <c r="B224" s="59" t="s">
        <v>5776</v>
      </c>
      <c r="C224" s="59" t="s">
        <v>203</v>
      </c>
      <c r="D224" s="59" t="s">
        <v>5777</v>
      </c>
      <c r="E224" s="59" t="s">
        <v>422</v>
      </c>
      <c r="F224" s="12"/>
      <c r="G224" s="59" t="s">
        <v>5778</v>
      </c>
      <c r="H224" s="55"/>
      <c r="I224" s="59" t="s">
        <v>5743</v>
      </c>
      <c r="J224" s="55"/>
      <c r="K224" s="59"/>
      <c r="L224" s="55"/>
    </row>
    <row r="225" spans="2:13">
      <c r="B225" s="59" t="s">
        <v>5779</v>
      </c>
      <c r="C225" s="59" t="s">
        <v>203</v>
      </c>
      <c r="D225" s="59" t="s">
        <v>5780</v>
      </c>
      <c r="E225" s="59" t="s">
        <v>422</v>
      </c>
      <c r="F225" s="12"/>
      <c r="G225" s="59" t="s">
        <v>5781</v>
      </c>
      <c r="H225" s="55"/>
      <c r="I225" s="59" t="s">
        <v>5743</v>
      </c>
      <c r="J225" s="12"/>
      <c r="K225" s="59"/>
      <c r="L225" s="55"/>
      <c r="M225" s="55"/>
    </row>
    <row r="226" spans="2:13">
      <c r="B226" s="59" t="s">
        <v>5782</v>
      </c>
      <c r="C226" s="59" t="s">
        <v>229</v>
      </c>
      <c r="D226" s="59" t="s">
        <v>5783</v>
      </c>
      <c r="E226" s="59" t="s">
        <v>422</v>
      </c>
      <c r="F226" s="12"/>
      <c r="G226" s="59" t="s">
        <v>1693</v>
      </c>
      <c r="H226" s="55"/>
      <c r="I226" s="59" t="s">
        <v>5743</v>
      </c>
      <c r="J226" s="12"/>
      <c r="K226" s="59"/>
      <c r="L226" s="55"/>
      <c r="M226" s="55"/>
    </row>
    <row r="227" spans="2:13">
      <c r="B227" s="59" t="s">
        <v>5784</v>
      </c>
      <c r="C227" s="59" t="s">
        <v>229</v>
      </c>
      <c r="D227" s="59" t="s">
        <v>5785</v>
      </c>
      <c r="E227" s="59" t="s">
        <v>422</v>
      </c>
      <c r="F227" s="12"/>
      <c r="G227" s="59" t="s">
        <v>1693</v>
      </c>
      <c r="H227" s="55"/>
      <c r="I227" s="59" t="s">
        <v>5743</v>
      </c>
      <c r="J227" s="12"/>
      <c r="K227" s="59"/>
      <c r="L227" s="55"/>
      <c r="M227" s="55"/>
    </row>
    <row r="228" spans="2:13">
      <c r="B228" s="59" t="s">
        <v>5786</v>
      </c>
      <c r="C228" s="59" t="s">
        <v>203</v>
      </c>
      <c r="D228" s="59" t="s">
        <v>5787</v>
      </c>
      <c r="E228" s="59" t="s">
        <v>422</v>
      </c>
      <c r="F228" s="12"/>
      <c r="G228" s="59" t="s">
        <v>5786</v>
      </c>
      <c r="H228" s="55"/>
      <c r="I228" s="59" t="s">
        <v>5743</v>
      </c>
      <c r="J228" s="12"/>
      <c r="K228" s="59"/>
      <c r="L228" s="55"/>
      <c r="M228" s="55"/>
    </row>
    <row r="229" spans="2:13">
      <c r="B229" s="59" t="s">
        <v>5788</v>
      </c>
      <c r="C229" s="59" t="s">
        <v>203</v>
      </c>
      <c r="D229" s="59" t="s">
        <v>5789</v>
      </c>
      <c r="E229" s="59" t="s">
        <v>422</v>
      </c>
      <c r="F229" s="12"/>
      <c r="G229" s="59" t="s">
        <v>5788</v>
      </c>
      <c r="H229" s="55"/>
      <c r="I229" s="59" t="s">
        <v>5743</v>
      </c>
      <c r="J229" s="12"/>
      <c r="K229" s="59"/>
      <c r="L229" s="55"/>
      <c r="M229" s="55"/>
    </row>
    <row r="230" spans="2:13">
      <c r="B230" s="59" t="s">
        <v>5790</v>
      </c>
      <c r="C230" s="59" t="s">
        <v>203</v>
      </c>
      <c r="D230" s="59" t="s">
        <v>5791</v>
      </c>
      <c r="E230" s="59" t="s">
        <v>422</v>
      </c>
      <c r="F230" s="12"/>
      <c r="G230" s="59" t="s">
        <v>1693</v>
      </c>
      <c r="H230" s="55"/>
      <c r="I230" s="59" t="s">
        <v>5743</v>
      </c>
      <c r="J230" s="12"/>
      <c r="K230" s="59"/>
      <c r="L230" s="55"/>
      <c r="M230" s="55"/>
    </row>
    <row r="231" spans="2:13">
      <c r="B231" s="59" t="s">
        <v>5792</v>
      </c>
      <c r="C231" s="59" t="s">
        <v>203</v>
      </c>
      <c r="D231" s="59" t="s">
        <v>5793</v>
      </c>
      <c r="E231" s="59" t="s">
        <v>422</v>
      </c>
      <c r="F231" s="12"/>
      <c r="G231" s="59" t="s">
        <v>1693</v>
      </c>
      <c r="H231" s="55"/>
      <c r="I231" s="59" t="s">
        <v>5743</v>
      </c>
      <c r="J231" s="12"/>
      <c r="K231" s="59"/>
      <c r="L231" s="55"/>
      <c r="M231" s="55"/>
    </row>
    <row r="232" spans="2:13">
      <c r="B232" s="59" t="s">
        <v>5794</v>
      </c>
      <c r="C232" s="59" t="s">
        <v>203</v>
      </c>
      <c r="D232" s="59" t="s">
        <v>5795</v>
      </c>
      <c r="E232" s="59" t="s">
        <v>422</v>
      </c>
      <c r="F232" s="12"/>
      <c r="G232" s="59" t="s">
        <v>1693</v>
      </c>
      <c r="H232" s="55"/>
      <c r="I232" s="59" t="s">
        <v>5743</v>
      </c>
      <c r="J232" s="12"/>
      <c r="K232" s="59"/>
      <c r="L232" s="55"/>
      <c r="M232" s="55"/>
    </row>
    <row r="233" spans="2:13">
      <c r="B233" s="59" t="s">
        <v>5796</v>
      </c>
      <c r="C233" s="59" t="s">
        <v>203</v>
      </c>
      <c r="D233" s="59" t="s">
        <v>5797</v>
      </c>
      <c r="E233" s="59" t="s">
        <v>422</v>
      </c>
      <c r="F233" s="12"/>
      <c r="G233" s="59" t="s">
        <v>1693</v>
      </c>
      <c r="H233" s="55"/>
      <c r="I233" s="59" t="s">
        <v>5743</v>
      </c>
      <c r="J233" s="12"/>
      <c r="K233" s="59"/>
      <c r="L233" s="55"/>
      <c r="M233" s="55"/>
    </row>
    <row r="234" spans="2:13">
      <c r="B234" s="59" t="s">
        <v>5798</v>
      </c>
      <c r="C234" s="59" t="s">
        <v>203</v>
      </c>
      <c r="D234" s="59" t="s">
        <v>5799</v>
      </c>
      <c r="E234" s="59" t="s">
        <v>422</v>
      </c>
      <c r="F234" s="12"/>
      <c r="G234" s="59" t="s">
        <v>5800</v>
      </c>
      <c r="H234" s="55"/>
      <c r="I234" s="59" t="s">
        <v>5743</v>
      </c>
      <c r="J234" s="12"/>
      <c r="K234" s="59"/>
      <c r="L234" s="55"/>
      <c r="M234" s="55"/>
    </row>
    <row r="235" spans="2:13">
      <c r="B235" s="59" t="s">
        <v>5801</v>
      </c>
      <c r="C235" s="59" t="s">
        <v>203</v>
      </c>
      <c r="D235" s="59" t="s">
        <v>5802</v>
      </c>
      <c r="E235" s="59" t="s">
        <v>422</v>
      </c>
      <c r="F235" s="12"/>
      <c r="G235" s="59" t="s">
        <v>5803</v>
      </c>
      <c r="H235" s="12"/>
      <c r="I235" s="59" t="s">
        <v>5743</v>
      </c>
      <c r="J235" s="12"/>
      <c r="K235" s="59"/>
      <c r="L235" s="55"/>
      <c r="M235" s="55"/>
    </row>
    <row r="236" spans="2:13">
      <c r="B236" s="59" t="s">
        <v>5804</v>
      </c>
      <c r="C236" s="59" t="s">
        <v>203</v>
      </c>
      <c r="D236" s="59" t="s">
        <v>5805</v>
      </c>
      <c r="E236" s="59" t="s">
        <v>422</v>
      </c>
      <c r="F236" s="12"/>
      <c r="G236" s="59" t="s">
        <v>5806</v>
      </c>
      <c r="H236" s="12"/>
      <c r="I236" s="59" t="s">
        <v>5743</v>
      </c>
      <c r="J236" s="12"/>
      <c r="K236" s="59"/>
      <c r="L236" s="55"/>
      <c r="M236" s="55"/>
    </row>
    <row r="237" ht="66" spans="2:12">
      <c r="B237" s="59" t="s">
        <v>5807</v>
      </c>
      <c r="C237" s="59" t="s">
        <v>203</v>
      </c>
      <c r="D237" s="59" t="s">
        <v>5808</v>
      </c>
      <c r="E237" s="59" t="s">
        <v>422</v>
      </c>
      <c r="F237" s="12"/>
      <c r="G237" s="50" t="s">
        <v>5809</v>
      </c>
      <c r="H237" s="12"/>
      <c r="I237" s="59" t="s">
        <v>5743</v>
      </c>
      <c r="J237" s="12"/>
      <c r="K237" s="59"/>
      <c r="L237" s="55"/>
    </row>
    <row r="238" spans="2:12">
      <c r="B238" s="59" t="s">
        <v>5810</v>
      </c>
      <c r="C238" s="59" t="s">
        <v>203</v>
      </c>
      <c r="D238" s="59" t="s">
        <v>5811</v>
      </c>
      <c r="E238" s="59" t="s">
        <v>422</v>
      </c>
      <c r="F238" s="12"/>
      <c r="G238" s="59" t="s">
        <v>5812</v>
      </c>
      <c r="H238" s="12"/>
      <c r="I238" s="59" t="s">
        <v>5743</v>
      </c>
      <c r="J238" s="12"/>
      <c r="K238" s="59"/>
      <c r="L238" s="55"/>
    </row>
    <row r="239" spans="2:12">
      <c r="B239" s="59" t="s">
        <v>5813</v>
      </c>
      <c r="C239" s="59" t="s">
        <v>229</v>
      </c>
      <c r="D239" s="59" t="s">
        <v>5814</v>
      </c>
      <c r="E239" s="59" t="s">
        <v>422</v>
      </c>
      <c r="F239" s="12"/>
      <c r="G239" s="59" t="s">
        <v>5813</v>
      </c>
      <c r="H239" s="12"/>
      <c r="I239" s="59" t="s">
        <v>5743</v>
      </c>
      <c r="J239" s="12"/>
      <c r="K239" s="59"/>
      <c r="L239" s="55"/>
    </row>
    <row r="240" spans="2:12">
      <c r="B240" s="59" t="s">
        <v>5815</v>
      </c>
      <c r="C240" s="59" t="s">
        <v>229</v>
      </c>
      <c r="D240" s="59" t="s">
        <v>5816</v>
      </c>
      <c r="E240" s="59" t="s">
        <v>422</v>
      </c>
      <c r="F240" s="12"/>
      <c r="G240" s="59" t="s">
        <v>5815</v>
      </c>
      <c r="H240" s="12"/>
      <c r="I240" s="59" t="s">
        <v>5743</v>
      </c>
      <c r="J240" s="12"/>
      <c r="K240" s="59"/>
      <c r="L240" s="55"/>
    </row>
    <row r="241" spans="2:12">
      <c r="B241" s="59" t="s">
        <v>5817</v>
      </c>
      <c r="C241" s="59" t="s">
        <v>229</v>
      </c>
      <c r="D241" s="59" t="s">
        <v>5818</v>
      </c>
      <c r="E241" s="59" t="s">
        <v>422</v>
      </c>
      <c r="F241" s="12"/>
      <c r="G241" s="59" t="s">
        <v>5817</v>
      </c>
      <c r="H241" s="12"/>
      <c r="I241" s="59" t="s">
        <v>5743</v>
      </c>
      <c r="J241" s="12"/>
      <c r="K241" s="59"/>
      <c r="L241" s="55"/>
    </row>
    <row r="242" spans="2:12">
      <c r="B242" s="59" t="s">
        <v>5819</v>
      </c>
      <c r="C242" s="59" t="s">
        <v>229</v>
      </c>
      <c r="D242" s="59" t="s">
        <v>5820</v>
      </c>
      <c r="E242" s="59" t="s">
        <v>422</v>
      </c>
      <c r="F242" s="12"/>
      <c r="G242" s="59" t="s">
        <v>5819</v>
      </c>
      <c r="H242" s="12"/>
      <c r="I242" s="59" t="s">
        <v>5743</v>
      </c>
      <c r="J242" s="12"/>
      <c r="K242" s="59"/>
      <c r="L242" s="55"/>
    </row>
    <row r="243" spans="2:12">
      <c r="B243" s="59" t="s">
        <v>5821</v>
      </c>
      <c r="C243" s="59" t="s">
        <v>229</v>
      </c>
      <c r="D243" s="59" t="s">
        <v>5822</v>
      </c>
      <c r="E243" s="59" t="s">
        <v>422</v>
      </c>
      <c r="F243" s="12"/>
      <c r="G243" s="59" t="s">
        <v>5821</v>
      </c>
      <c r="H243" s="12"/>
      <c r="I243" s="59" t="s">
        <v>5743</v>
      </c>
      <c r="J243" s="12"/>
      <c r="K243" s="59"/>
      <c r="L243" s="55"/>
    </row>
    <row r="244" spans="2:12">
      <c r="B244" s="59" t="s">
        <v>5823</v>
      </c>
      <c r="C244" s="59" t="s">
        <v>229</v>
      </c>
      <c r="D244" s="59" t="s">
        <v>5824</v>
      </c>
      <c r="E244" s="59" t="s">
        <v>422</v>
      </c>
      <c r="F244" s="12"/>
      <c r="G244" s="59" t="s">
        <v>5823</v>
      </c>
      <c r="H244" s="12"/>
      <c r="I244" s="59" t="s">
        <v>5743</v>
      </c>
      <c r="J244" s="12"/>
      <c r="K244" s="59"/>
      <c r="L244" s="55"/>
    </row>
    <row r="245" spans="2:12">
      <c r="B245" s="59" t="s">
        <v>5825</v>
      </c>
      <c r="C245" s="59" t="s">
        <v>229</v>
      </c>
      <c r="D245" s="59" t="s">
        <v>5826</v>
      </c>
      <c r="E245" s="59" t="s">
        <v>422</v>
      </c>
      <c r="F245" s="12"/>
      <c r="G245" s="59" t="s">
        <v>5825</v>
      </c>
      <c r="H245" s="12"/>
      <c r="I245" s="59" t="s">
        <v>5743</v>
      </c>
      <c r="J245" s="12"/>
      <c r="K245" s="59"/>
      <c r="L245" s="55"/>
    </row>
    <row r="246" spans="2:12">
      <c r="B246" s="59" t="s">
        <v>5827</v>
      </c>
      <c r="C246" s="59" t="s">
        <v>229</v>
      </c>
      <c r="D246" s="59" t="s">
        <v>5828</v>
      </c>
      <c r="E246" s="59" t="s">
        <v>422</v>
      </c>
      <c r="F246" s="12"/>
      <c r="G246" s="59" t="s">
        <v>5827</v>
      </c>
      <c r="H246" s="12"/>
      <c r="I246" s="59" t="s">
        <v>5743</v>
      </c>
      <c r="J246" s="12"/>
      <c r="K246" s="59"/>
      <c r="L246" s="55"/>
    </row>
    <row r="247" spans="2:12">
      <c r="B247" s="59" t="s">
        <v>5829</v>
      </c>
      <c r="C247" s="59" t="s">
        <v>229</v>
      </c>
      <c r="D247" s="59" t="s">
        <v>5830</v>
      </c>
      <c r="E247" s="59" t="s">
        <v>422</v>
      </c>
      <c r="F247" s="12"/>
      <c r="G247" s="59" t="s">
        <v>1693</v>
      </c>
      <c r="H247" s="12"/>
      <c r="I247" s="59" t="s">
        <v>5743</v>
      </c>
      <c r="J247" s="12"/>
      <c r="K247" s="59"/>
      <c r="L247" s="55"/>
    </row>
    <row r="248" spans="2:12">
      <c r="B248" s="59" t="s">
        <v>5831</v>
      </c>
      <c r="C248" s="59" t="s">
        <v>229</v>
      </c>
      <c r="D248" s="59" t="s">
        <v>5832</v>
      </c>
      <c r="E248" s="59" t="s">
        <v>422</v>
      </c>
      <c r="F248" s="12"/>
      <c r="G248" s="59" t="s">
        <v>1693</v>
      </c>
      <c r="H248" s="12"/>
      <c r="I248" s="59" t="s">
        <v>5743</v>
      </c>
      <c r="J248" s="12"/>
      <c r="K248" s="59"/>
      <c r="L248" s="55"/>
    </row>
    <row r="249" spans="2:12">
      <c r="B249" s="59" t="s">
        <v>5833</v>
      </c>
      <c r="C249" s="59" t="s">
        <v>229</v>
      </c>
      <c r="D249" s="59" t="s">
        <v>5834</v>
      </c>
      <c r="E249" s="59" t="s">
        <v>422</v>
      </c>
      <c r="F249" s="12"/>
      <c r="G249" s="59" t="s">
        <v>5833</v>
      </c>
      <c r="H249" s="12"/>
      <c r="I249" s="59" t="s">
        <v>5743</v>
      </c>
      <c r="J249" s="12"/>
      <c r="K249" s="59"/>
      <c r="L249" s="55"/>
    </row>
    <row r="250" spans="2:12">
      <c r="B250" s="59" t="s">
        <v>5835</v>
      </c>
      <c r="C250" s="59" t="s">
        <v>229</v>
      </c>
      <c r="D250" s="59" t="s">
        <v>5836</v>
      </c>
      <c r="E250" s="59" t="s">
        <v>422</v>
      </c>
      <c r="F250" s="12"/>
      <c r="G250" s="59" t="s">
        <v>5835</v>
      </c>
      <c r="H250" s="12"/>
      <c r="I250" s="59" t="s">
        <v>5743</v>
      </c>
      <c r="J250" s="12"/>
      <c r="K250" s="59"/>
      <c r="L250" s="55"/>
    </row>
    <row r="251" spans="2:12">
      <c r="B251" s="59" t="s">
        <v>5837</v>
      </c>
      <c r="C251" s="59" t="s">
        <v>229</v>
      </c>
      <c r="D251" s="59" t="s">
        <v>5838</v>
      </c>
      <c r="E251" s="59" t="s">
        <v>422</v>
      </c>
      <c r="F251" s="12"/>
      <c r="G251" s="59" t="s">
        <v>5837</v>
      </c>
      <c r="H251" s="12"/>
      <c r="I251" s="59" t="s">
        <v>5743</v>
      </c>
      <c r="J251" s="12"/>
      <c r="K251" s="59"/>
      <c r="L251" s="55"/>
    </row>
    <row r="252" spans="2:12">
      <c r="B252" s="59" t="s">
        <v>5839</v>
      </c>
      <c r="C252" s="59" t="s">
        <v>229</v>
      </c>
      <c r="D252" s="59" t="s">
        <v>5840</v>
      </c>
      <c r="E252" s="59" t="s">
        <v>422</v>
      </c>
      <c r="F252" s="12"/>
      <c r="G252" s="59" t="s">
        <v>5839</v>
      </c>
      <c r="H252" s="12"/>
      <c r="I252" s="59" t="s">
        <v>5743</v>
      </c>
      <c r="J252" s="12"/>
      <c r="K252" s="59"/>
      <c r="L252" s="55"/>
    </row>
    <row r="253" spans="2:12">
      <c r="B253" s="59" t="s">
        <v>5841</v>
      </c>
      <c r="C253" s="59" t="s">
        <v>229</v>
      </c>
      <c r="D253" s="59" t="s">
        <v>5842</v>
      </c>
      <c r="E253" s="59" t="s">
        <v>422</v>
      </c>
      <c r="F253" s="12"/>
      <c r="G253" s="59" t="s">
        <v>5841</v>
      </c>
      <c r="H253" s="12"/>
      <c r="I253" s="59" t="s">
        <v>5743</v>
      </c>
      <c r="J253" s="12"/>
      <c r="K253" s="59"/>
      <c r="L253" s="55"/>
    </row>
    <row r="254" spans="2:12">
      <c r="B254" s="59" t="s">
        <v>5843</v>
      </c>
      <c r="C254" s="59" t="s">
        <v>170</v>
      </c>
      <c r="D254" s="59" t="s">
        <v>5844</v>
      </c>
      <c r="E254" s="59" t="s">
        <v>422</v>
      </c>
      <c r="F254" s="12"/>
      <c r="G254" s="59" t="s">
        <v>5845</v>
      </c>
      <c r="H254" s="12"/>
      <c r="I254" s="59" t="s">
        <v>5743</v>
      </c>
      <c r="J254" s="12"/>
      <c r="K254" s="59"/>
      <c r="L254" s="55"/>
    </row>
    <row r="255" spans="2:12">
      <c r="B255" s="59" t="s">
        <v>5846</v>
      </c>
      <c r="C255" s="59" t="s">
        <v>170</v>
      </c>
      <c r="D255" s="59" t="s">
        <v>5847</v>
      </c>
      <c r="E255" s="59" t="s">
        <v>422</v>
      </c>
      <c r="F255" s="12"/>
      <c r="G255" s="59" t="s">
        <v>5848</v>
      </c>
      <c r="H255" s="12"/>
      <c r="I255" s="59" t="s">
        <v>5743</v>
      </c>
      <c r="J255" s="12"/>
      <c r="K255" s="59"/>
      <c r="L255" s="55"/>
    </row>
    <row r="256" spans="2:12">
      <c r="B256" s="59" t="s">
        <v>5849</v>
      </c>
      <c r="C256" s="59" t="s">
        <v>170</v>
      </c>
      <c r="D256" s="59" t="s">
        <v>5850</v>
      </c>
      <c r="E256" s="59" t="s">
        <v>422</v>
      </c>
      <c r="F256" s="12"/>
      <c r="G256" s="59" t="s">
        <v>5851</v>
      </c>
      <c r="H256" s="12"/>
      <c r="I256" s="59" t="s">
        <v>5743</v>
      </c>
      <c r="J256" s="12"/>
      <c r="K256" s="59"/>
      <c r="L256" s="55"/>
    </row>
    <row r="257" spans="2:12">
      <c r="B257" s="59" t="s">
        <v>5852</v>
      </c>
      <c r="C257" s="59" t="s">
        <v>170</v>
      </c>
      <c r="D257" s="59" t="s">
        <v>5853</v>
      </c>
      <c r="E257" s="59" t="s">
        <v>422</v>
      </c>
      <c r="F257" s="12"/>
      <c r="G257" s="59" t="s">
        <v>5854</v>
      </c>
      <c r="H257" s="12"/>
      <c r="I257" s="59" t="s">
        <v>5743</v>
      </c>
      <c r="J257" s="12"/>
      <c r="K257" s="59"/>
      <c r="L257" s="55"/>
    </row>
    <row r="258" spans="2:12">
      <c r="B258" s="59" t="s">
        <v>5855</v>
      </c>
      <c r="C258" s="59" t="s">
        <v>203</v>
      </c>
      <c r="D258" s="59" t="s">
        <v>5856</v>
      </c>
      <c r="E258" s="59" t="s">
        <v>422</v>
      </c>
      <c r="F258" s="12"/>
      <c r="G258" s="59" t="s">
        <v>5855</v>
      </c>
      <c r="H258" s="12"/>
      <c r="I258" s="59" t="s">
        <v>5743</v>
      </c>
      <c r="J258" s="12"/>
      <c r="K258" s="59"/>
      <c r="L258" s="55"/>
    </row>
    <row r="259" spans="2:12">
      <c r="B259" s="59" t="s">
        <v>5857</v>
      </c>
      <c r="C259" s="59" t="s">
        <v>229</v>
      </c>
      <c r="D259" s="59" t="s">
        <v>5858</v>
      </c>
      <c r="E259" s="59" t="s">
        <v>422</v>
      </c>
      <c r="F259" s="12"/>
      <c r="G259" s="59" t="s">
        <v>5857</v>
      </c>
      <c r="H259" s="12"/>
      <c r="I259" s="59" t="s">
        <v>5743</v>
      </c>
      <c r="J259" s="12"/>
      <c r="K259" s="59"/>
      <c r="L259" s="55"/>
    </row>
    <row r="260" spans="2:12">
      <c r="B260" s="59" t="s">
        <v>5859</v>
      </c>
      <c r="C260" s="59" t="s">
        <v>203</v>
      </c>
      <c r="D260" s="59" t="s">
        <v>5860</v>
      </c>
      <c r="E260" s="59" t="s">
        <v>422</v>
      </c>
      <c r="F260" s="12"/>
      <c r="G260" s="59" t="s">
        <v>5861</v>
      </c>
      <c r="H260" s="12"/>
      <c r="I260" s="59" t="s">
        <v>5743</v>
      </c>
      <c r="J260" s="12"/>
      <c r="K260" s="59"/>
      <c r="L260" s="55"/>
    </row>
    <row r="261" spans="2:12">
      <c r="B261" s="59" t="s">
        <v>5862</v>
      </c>
      <c r="C261" s="59" t="s">
        <v>203</v>
      </c>
      <c r="D261" s="59" t="s">
        <v>5863</v>
      </c>
      <c r="E261" s="59" t="s">
        <v>422</v>
      </c>
      <c r="F261" s="12"/>
      <c r="G261" s="59" t="s">
        <v>5864</v>
      </c>
      <c r="H261" s="12"/>
      <c r="I261" s="59" t="s">
        <v>5743</v>
      </c>
      <c r="J261" s="12"/>
      <c r="K261" s="59"/>
      <c r="L261" s="55"/>
    </row>
    <row r="262" spans="2:12">
      <c r="B262" s="59" t="s">
        <v>5865</v>
      </c>
      <c r="C262" s="59" t="s">
        <v>203</v>
      </c>
      <c r="D262" s="59" t="s">
        <v>5866</v>
      </c>
      <c r="E262" s="59" t="s">
        <v>422</v>
      </c>
      <c r="F262" s="12"/>
      <c r="G262" s="59" t="s">
        <v>5867</v>
      </c>
      <c r="H262" s="12"/>
      <c r="I262" s="59" t="s">
        <v>5743</v>
      </c>
      <c r="J262" s="12"/>
      <c r="K262" s="59"/>
      <c r="L262" s="55"/>
    </row>
    <row r="263" spans="2:12">
      <c r="B263" s="59" t="s">
        <v>5868</v>
      </c>
      <c r="C263" s="59" t="s">
        <v>203</v>
      </c>
      <c r="D263" s="59" t="s">
        <v>5869</v>
      </c>
      <c r="E263" s="59" t="s">
        <v>422</v>
      </c>
      <c r="F263" s="12"/>
      <c r="G263" s="59" t="s">
        <v>5870</v>
      </c>
      <c r="H263" s="12"/>
      <c r="I263" s="59" t="s">
        <v>5743</v>
      </c>
      <c r="J263" s="12"/>
      <c r="K263" s="59"/>
      <c r="L263" s="55"/>
    </row>
    <row r="264" spans="2:12">
      <c r="B264" s="59" t="s">
        <v>5871</v>
      </c>
      <c r="C264" s="59" t="s">
        <v>203</v>
      </c>
      <c r="D264" s="59" t="s">
        <v>5872</v>
      </c>
      <c r="E264" s="59" t="s">
        <v>422</v>
      </c>
      <c r="F264" s="12"/>
      <c r="G264" s="59" t="s">
        <v>5873</v>
      </c>
      <c r="H264" s="12"/>
      <c r="I264" s="59" t="s">
        <v>5743</v>
      </c>
      <c r="J264" s="12"/>
      <c r="K264" s="59"/>
      <c r="L264" s="55"/>
    </row>
    <row r="265" spans="2:12">
      <c r="B265" s="59" t="s">
        <v>5874</v>
      </c>
      <c r="C265" s="59" t="s">
        <v>203</v>
      </c>
      <c r="D265" s="59" t="s">
        <v>5875</v>
      </c>
      <c r="E265" s="59" t="s">
        <v>422</v>
      </c>
      <c r="F265" s="12"/>
      <c r="G265" s="59" t="s">
        <v>5876</v>
      </c>
      <c r="H265" s="12"/>
      <c r="I265" s="59" t="s">
        <v>5743</v>
      </c>
      <c r="J265" s="12"/>
      <c r="K265" s="59"/>
      <c r="L265" s="55"/>
    </row>
    <row r="266" spans="2:12">
      <c r="B266" s="59" t="s">
        <v>5877</v>
      </c>
      <c r="C266" s="59" t="s">
        <v>203</v>
      </c>
      <c r="D266" s="59" t="s">
        <v>5878</v>
      </c>
      <c r="E266" s="59" t="s">
        <v>422</v>
      </c>
      <c r="F266" s="12"/>
      <c r="G266" s="59" t="s">
        <v>5879</v>
      </c>
      <c r="H266" s="12"/>
      <c r="I266" s="59" t="s">
        <v>5743</v>
      </c>
      <c r="J266" s="12"/>
      <c r="K266" s="59"/>
      <c r="L266" s="55"/>
    </row>
    <row r="267" spans="2:12">
      <c r="B267" s="59" t="s">
        <v>5880</v>
      </c>
      <c r="C267" s="59" t="s">
        <v>203</v>
      </c>
      <c r="D267" s="59" t="s">
        <v>5881</v>
      </c>
      <c r="E267" s="59" t="s">
        <v>422</v>
      </c>
      <c r="F267" s="12"/>
      <c r="G267" s="59" t="s">
        <v>5882</v>
      </c>
      <c r="H267" s="12"/>
      <c r="I267" s="59" t="s">
        <v>5743</v>
      </c>
      <c r="J267" s="12"/>
      <c r="K267" s="59"/>
      <c r="L267" s="55"/>
    </row>
    <row r="268" spans="2:12">
      <c r="B268" s="59" t="s">
        <v>5883</v>
      </c>
      <c r="C268" s="59" t="s">
        <v>229</v>
      </c>
      <c r="D268" s="59" t="s">
        <v>5884</v>
      </c>
      <c r="E268" s="59" t="s">
        <v>422</v>
      </c>
      <c r="F268" s="12"/>
      <c r="G268" s="59" t="s">
        <v>5883</v>
      </c>
      <c r="H268" s="12"/>
      <c r="I268" s="59" t="s">
        <v>5743</v>
      </c>
      <c r="J268" s="12"/>
      <c r="K268" s="59"/>
      <c r="L268" s="55"/>
    </row>
    <row r="269" spans="2:12">
      <c r="B269" s="59" t="s">
        <v>5885</v>
      </c>
      <c r="C269" s="59" t="s">
        <v>229</v>
      </c>
      <c r="D269" s="59" t="s">
        <v>5886</v>
      </c>
      <c r="E269" s="59" t="s">
        <v>422</v>
      </c>
      <c r="F269" s="12"/>
      <c r="G269" s="59" t="s">
        <v>5885</v>
      </c>
      <c r="H269" s="12"/>
      <c r="I269" s="59" t="s">
        <v>5743</v>
      </c>
      <c r="J269" s="12"/>
      <c r="K269" s="59"/>
      <c r="L269" s="55"/>
    </row>
    <row r="270" spans="2:12">
      <c r="B270" s="59" t="s">
        <v>5887</v>
      </c>
      <c r="C270" s="59" t="s">
        <v>229</v>
      </c>
      <c r="D270" s="59" t="s">
        <v>5888</v>
      </c>
      <c r="E270" s="59" t="s">
        <v>422</v>
      </c>
      <c r="F270" s="12"/>
      <c r="G270" s="59" t="s">
        <v>5887</v>
      </c>
      <c r="H270" s="12"/>
      <c r="I270" s="59" t="s">
        <v>5743</v>
      </c>
      <c r="J270" s="12"/>
      <c r="K270" s="59"/>
      <c r="L270" s="55"/>
    </row>
    <row r="271" spans="2:12">
      <c r="B271" s="59" t="s">
        <v>5889</v>
      </c>
      <c r="C271" s="59" t="s">
        <v>229</v>
      </c>
      <c r="D271" s="59" t="s">
        <v>5890</v>
      </c>
      <c r="E271" s="59" t="s">
        <v>422</v>
      </c>
      <c r="F271" s="12"/>
      <c r="G271" s="59" t="s">
        <v>5889</v>
      </c>
      <c r="H271" s="12"/>
      <c r="I271" s="59" t="s">
        <v>5743</v>
      </c>
      <c r="J271" s="12"/>
      <c r="K271" s="59"/>
      <c r="L271" s="55"/>
    </row>
    <row r="272" spans="2:12">
      <c r="B272" s="59" t="s">
        <v>5891</v>
      </c>
      <c r="C272" s="59" t="s">
        <v>229</v>
      </c>
      <c r="D272" s="59" t="s">
        <v>5892</v>
      </c>
      <c r="E272" s="59" t="s">
        <v>422</v>
      </c>
      <c r="F272" s="12"/>
      <c r="G272" s="59" t="s">
        <v>5891</v>
      </c>
      <c r="H272" s="12"/>
      <c r="I272" s="59" t="s">
        <v>5743</v>
      </c>
      <c r="J272" s="12"/>
      <c r="K272" s="59"/>
      <c r="L272" s="55"/>
    </row>
    <row r="273" spans="2:12">
      <c r="B273" s="59" t="s">
        <v>5893</v>
      </c>
      <c r="C273" s="59" t="s">
        <v>229</v>
      </c>
      <c r="D273" s="59" t="s">
        <v>5894</v>
      </c>
      <c r="E273" s="59" t="s">
        <v>422</v>
      </c>
      <c r="F273" s="12"/>
      <c r="G273" s="59" t="s">
        <v>5893</v>
      </c>
      <c r="H273" s="12"/>
      <c r="I273" s="59" t="s">
        <v>5743</v>
      </c>
      <c r="J273" s="12"/>
      <c r="K273" s="59"/>
      <c r="L273" s="55"/>
    </row>
    <row r="274" spans="2:12">
      <c r="B274" s="59" t="s">
        <v>5895</v>
      </c>
      <c r="C274" s="59" t="s">
        <v>229</v>
      </c>
      <c r="D274" s="59" t="s">
        <v>5896</v>
      </c>
      <c r="E274" s="59" t="s">
        <v>422</v>
      </c>
      <c r="F274" s="12"/>
      <c r="G274" s="59" t="s">
        <v>5895</v>
      </c>
      <c r="H274" s="12"/>
      <c r="I274" s="59" t="s">
        <v>5743</v>
      </c>
      <c r="J274" s="12"/>
      <c r="K274" s="59"/>
      <c r="L274" s="55"/>
    </row>
    <row r="275" spans="2:12">
      <c r="B275" s="59" t="s">
        <v>5897</v>
      </c>
      <c r="C275" s="59" t="s">
        <v>229</v>
      </c>
      <c r="D275" s="59" t="s">
        <v>5898</v>
      </c>
      <c r="E275" s="59" t="s">
        <v>422</v>
      </c>
      <c r="F275" s="12"/>
      <c r="G275" s="59" t="s">
        <v>5897</v>
      </c>
      <c r="H275" s="12"/>
      <c r="I275" s="59" t="s">
        <v>5743</v>
      </c>
      <c r="J275" s="12"/>
      <c r="K275" s="59"/>
      <c r="L275" s="55"/>
    </row>
    <row r="276" spans="2:12">
      <c r="B276" s="59" t="s">
        <v>5899</v>
      </c>
      <c r="C276" s="59" t="s">
        <v>229</v>
      </c>
      <c r="D276" s="59" t="s">
        <v>5900</v>
      </c>
      <c r="E276" s="59" t="s">
        <v>422</v>
      </c>
      <c r="F276" s="12"/>
      <c r="G276" s="59" t="s">
        <v>5899</v>
      </c>
      <c r="H276" s="12"/>
      <c r="I276" s="59" t="s">
        <v>5743</v>
      </c>
      <c r="J276" s="12"/>
      <c r="K276" s="59"/>
      <c r="L276" s="55"/>
    </row>
    <row r="277" spans="2:12">
      <c r="B277" s="59" t="s">
        <v>5901</v>
      </c>
      <c r="C277" s="59" t="s">
        <v>229</v>
      </c>
      <c r="D277" s="59" t="s">
        <v>5902</v>
      </c>
      <c r="E277" s="59" t="s">
        <v>422</v>
      </c>
      <c r="F277" s="12"/>
      <c r="G277" s="59" t="s">
        <v>5901</v>
      </c>
      <c r="H277" s="12"/>
      <c r="I277" s="59" t="s">
        <v>5743</v>
      </c>
      <c r="J277" s="12"/>
      <c r="K277" s="59"/>
      <c r="L277" s="55"/>
    </row>
    <row r="278" spans="2:12">
      <c r="B278" s="59" t="s">
        <v>5903</v>
      </c>
      <c r="C278" s="59" t="s">
        <v>229</v>
      </c>
      <c r="D278" s="59" t="s">
        <v>5904</v>
      </c>
      <c r="E278" s="59" t="s">
        <v>422</v>
      </c>
      <c r="F278" s="12"/>
      <c r="G278" s="59" t="s">
        <v>5903</v>
      </c>
      <c r="H278" s="12"/>
      <c r="I278" s="59" t="s">
        <v>5743</v>
      </c>
      <c r="J278" s="12"/>
      <c r="K278" s="59"/>
      <c r="L278" s="55"/>
    </row>
    <row r="279" spans="2:12">
      <c r="B279" s="59" t="s">
        <v>5905</v>
      </c>
      <c r="C279" s="59" t="s">
        <v>229</v>
      </c>
      <c r="D279" s="59" t="s">
        <v>5906</v>
      </c>
      <c r="E279" s="59" t="s">
        <v>422</v>
      </c>
      <c r="F279" s="12"/>
      <c r="G279" s="59" t="s">
        <v>5905</v>
      </c>
      <c r="H279" s="12"/>
      <c r="I279" s="59" t="s">
        <v>5743</v>
      </c>
      <c r="J279" s="12"/>
      <c r="K279" s="59"/>
      <c r="L279" s="55"/>
    </row>
    <row r="280" spans="2:12">
      <c r="B280" s="59" t="s">
        <v>5907</v>
      </c>
      <c r="C280" s="59" t="s">
        <v>229</v>
      </c>
      <c r="D280" s="59" t="s">
        <v>5908</v>
      </c>
      <c r="E280" s="59" t="s">
        <v>422</v>
      </c>
      <c r="F280" s="12"/>
      <c r="G280" s="59" t="s">
        <v>5907</v>
      </c>
      <c r="H280" s="12"/>
      <c r="I280" s="59" t="s">
        <v>5743</v>
      </c>
      <c r="J280" s="12"/>
      <c r="K280" s="59"/>
      <c r="L280" s="55"/>
    </row>
    <row r="281" spans="2:12">
      <c r="B281" s="59" t="s">
        <v>5909</v>
      </c>
      <c r="C281" s="59" t="s">
        <v>229</v>
      </c>
      <c r="D281" s="59" t="s">
        <v>5910</v>
      </c>
      <c r="E281" s="59" t="s">
        <v>422</v>
      </c>
      <c r="F281" s="12"/>
      <c r="G281" s="59" t="s">
        <v>5909</v>
      </c>
      <c r="H281" s="12"/>
      <c r="I281" s="59" t="s">
        <v>5743</v>
      </c>
      <c r="J281" s="12"/>
      <c r="K281" s="59"/>
      <c r="L281" s="55"/>
    </row>
    <row r="282" spans="2:12">
      <c r="B282" s="59" t="s">
        <v>5911</v>
      </c>
      <c r="C282" s="59" t="s">
        <v>229</v>
      </c>
      <c r="D282" s="59" t="s">
        <v>5912</v>
      </c>
      <c r="E282" s="59" t="s">
        <v>422</v>
      </c>
      <c r="F282" s="12"/>
      <c r="G282" s="59" t="s">
        <v>5911</v>
      </c>
      <c r="H282" s="12"/>
      <c r="I282" s="59" t="s">
        <v>5743</v>
      </c>
      <c r="J282" s="12"/>
      <c r="K282" s="59"/>
      <c r="L282" s="55"/>
    </row>
    <row r="283" spans="2:12">
      <c r="B283" s="59" t="s">
        <v>5913</v>
      </c>
      <c r="C283" s="59" t="s">
        <v>229</v>
      </c>
      <c r="D283" s="59" t="s">
        <v>5914</v>
      </c>
      <c r="E283" s="59" t="s">
        <v>422</v>
      </c>
      <c r="F283" s="12"/>
      <c r="G283" s="59" t="s">
        <v>5913</v>
      </c>
      <c r="H283" s="12"/>
      <c r="I283" s="59" t="s">
        <v>5743</v>
      </c>
      <c r="J283" s="12"/>
      <c r="K283" s="59"/>
      <c r="L283" s="55"/>
    </row>
    <row r="284" spans="2:12">
      <c r="B284" s="59" t="s">
        <v>5915</v>
      </c>
      <c r="C284" s="59" t="s">
        <v>229</v>
      </c>
      <c r="D284" s="59" t="s">
        <v>5916</v>
      </c>
      <c r="E284" s="59" t="s">
        <v>422</v>
      </c>
      <c r="F284" s="12"/>
      <c r="G284" s="59" t="s">
        <v>5915</v>
      </c>
      <c r="H284" s="12"/>
      <c r="I284" s="59" t="s">
        <v>5743</v>
      </c>
      <c r="J284" s="12"/>
      <c r="K284" s="59"/>
      <c r="L284" s="55"/>
    </row>
    <row r="285" spans="2:12">
      <c r="B285" s="59" t="s">
        <v>5917</v>
      </c>
      <c r="C285" s="59" t="s">
        <v>229</v>
      </c>
      <c r="D285" s="59" t="s">
        <v>5918</v>
      </c>
      <c r="E285" s="59" t="s">
        <v>422</v>
      </c>
      <c r="F285" s="12"/>
      <c r="G285" s="59" t="s">
        <v>5917</v>
      </c>
      <c r="H285" s="12"/>
      <c r="I285" s="59" t="s">
        <v>5743</v>
      </c>
      <c r="J285" s="12"/>
      <c r="K285" s="59"/>
      <c r="L285" s="55"/>
    </row>
    <row r="286" spans="2:12">
      <c r="B286" s="59" t="s">
        <v>5919</v>
      </c>
      <c r="C286" s="59" t="s">
        <v>203</v>
      </c>
      <c r="D286" s="59" t="s">
        <v>5920</v>
      </c>
      <c r="E286" s="59" t="s">
        <v>422</v>
      </c>
      <c r="F286" s="12"/>
      <c r="G286" s="59" t="s">
        <v>5919</v>
      </c>
      <c r="H286" s="12"/>
      <c r="I286" s="59" t="s">
        <v>5743</v>
      </c>
      <c r="J286" s="12"/>
      <c r="K286" s="59"/>
      <c r="L286" s="55"/>
    </row>
    <row r="287" spans="2:12">
      <c r="B287" s="59" t="s">
        <v>5921</v>
      </c>
      <c r="C287" s="59" t="s">
        <v>203</v>
      </c>
      <c r="D287" s="59" t="s">
        <v>5922</v>
      </c>
      <c r="E287" s="59" t="s">
        <v>422</v>
      </c>
      <c r="F287" s="12"/>
      <c r="G287" s="59" t="s">
        <v>5921</v>
      </c>
      <c r="H287" s="12"/>
      <c r="I287" s="59" t="s">
        <v>5743</v>
      </c>
      <c r="J287" s="12"/>
      <c r="K287" s="59"/>
      <c r="L287" s="55"/>
    </row>
    <row r="288" spans="2:12">
      <c r="B288" s="59" t="s">
        <v>5923</v>
      </c>
      <c r="C288" s="59" t="s">
        <v>229</v>
      </c>
      <c r="D288" s="59" t="s">
        <v>5924</v>
      </c>
      <c r="E288" s="59" t="s">
        <v>422</v>
      </c>
      <c r="F288" s="12"/>
      <c r="G288" s="59" t="s">
        <v>5923</v>
      </c>
      <c r="H288" s="12"/>
      <c r="I288" s="59" t="s">
        <v>5743</v>
      </c>
      <c r="J288" s="12"/>
      <c r="K288" s="59"/>
      <c r="L288" s="55"/>
    </row>
    <row r="289" spans="2:12">
      <c r="B289" s="59" t="s">
        <v>5925</v>
      </c>
      <c r="C289" s="59" t="s">
        <v>229</v>
      </c>
      <c r="D289" s="59" t="s">
        <v>5926</v>
      </c>
      <c r="E289" s="59" t="s">
        <v>422</v>
      </c>
      <c r="F289" s="12"/>
      <c r="G289" s="59" t="s">
        <v>5925</v>
      </c>
      <c r="H289" s="12"/>
      <c r="I289" s="59" t="s">
        <v>5743</v>
      </c>
      <c r="J289" s="12"/>
      <c r="K289" s="59"/>
      <c r="L289" s="55"/>
    </row>
    <row r="290" spans="2:12">
      <c r="B290" s="59" t="s">
        <v>5927</v>
      </c>
      <c r="C290" s="59" t="s">
        <v>229</v>
      </c>
      <c r="D290" s="59" t="s">
        <v>5928</v>
      </c>
      <c r="E290" s="59" t="s">
        <v>422</v>
      </c>
      <c r="F290" s="12"/>
      <c r="G290" s="59" t="s">
        <v>5927</v>
      </c>
      <c r="H290" s="12"/>
      <c r="I290" s="59" t="s">
        <v>5743</v>
      </c>
      <c r="J290" s="12"/>
      <c r="K290" s="59"/>
      <c r="L290" s="55"/>
    </row>
    <row r="291" spans="2:12">
      <c r="B291" s="59" t="s">
        <v>5929</v>
      </c>
      <c r="C291" s="59" t="s">
        <v>229</v>
      </c>
      <c r="D291" s="59" t="s">
        <v>5930</v>
      </c>
      <c r="E291" s="59" t="s">
        <v>422</v>
      </c>
      <c r="F291" s="12"/>
      <c r="G291" s="59" t="s">
        <v>5929</v>
      </c>
      <c r="H291" s="12"/>
      <c r="I291" s="59" t="s">
        <v>5743</v>
      </c>
      <c r="J291" s="12"/>
      <c r="K291" s="59"/>
      <c r="L291" s="55"/>
    </row>
    <row r="292" spans="2:12">
      <c r="B292" s="59" t="s">
        <v>5931</v>
      </c>
      <c r="C292" s="59" t="s">
        <v>203</v>
      </c>
      <c r="D292" s="59" t="s">
        <v>5932</v>
      </c>
      <c r="E292" s="59" t="s">
        <v>422</v>
      </c>
      <c r="F292" s="12"/>
      <c r="G292" s="59" t="s">
        <v>5933</v>
      </c>
      <c r="H292" s="12"/>
      <c r="I292" s="59" t="s">
        <v>5743</v>
      </c>
      <c r="J292" s="12"/>
      <c r="K292" s="59"/>
      <c r="L292" s="55"/>
    </row>
    <row r="293" spans="2:12">
      <c r="B293" s="59" t="s">
        <v>5934</v>
      </c>
      <c r="C293" s="59" t="s">
        <v>203</v>
      </c>
      <c r="D293" s="59" t="s">
        <v>5935</v>
      </c>
      <c r="E293" s="59" t="s">
        <v>422</v>
      </c>
      <c r="F293" s="12"/>
      <c r="G293" s="59" t="s">
        <v>5936</v>
      </c>
      <c r="H293" s="12"/>
      <c r="I293" s="59" t="s">
        <v>5743</v>
      </c>
      <c r="J293" s="12"/>
      <c r="K293" s="59"/>
      <c r="L293" s="55"/>
    </row>
    <row r="294" spans="2:12">
      <c r="B294" s="59" t="s">
        <v>5937</v>
      </c>
      <c r="C294" s="59" t="s">
        <v>203</v>
      </c>
      <c r="D294" s="59" t="s">
        <v>5938</v>
      </c>
      <c r="E294" s="59" t="s">
        <v>422</v>
      </c>
      <c r="F294" s="12"/>
      <c r="G294" s="59" t="s">
        <v>5939</v>
      </c>
      <c r="H294" s="12"/>
      <c r="I294" s="59" t="s">
        <v>5743</v>
      </c>
      <c r="J294" s="12"/>
      <c r="K294" s="59"/>
      <c r="L294" s="55"/>
    </row>
    <row r="295" spans="2:12">
      <c r="B295" s="59" t="s">
        <v>5940</v>
      </c>
      <c r="C295" s="59" t="s">
        <v>203</v>
      </c>
      <c r="D295" s="59" t="s">
        <v>5941</v>
      </c>
      <c r="E295" s="59" t="s">
        <v>422</v>
      </c>
      <c r="F295" s="12"/>
      <c r="G295" s="59" t="s">
        <v>5940</v>
      </c>
      <c r="H295" s="12"/>
      <c r="I295" s="59" t="s">
        <v>5743</v>
      </c>
      <c r="J295" s="12"/>
      <c r="K295" s="59"/>
      <c r="L295" s="55"/>
    </row>
    <row r="296" spans="2:12">
      <c r="B296" s="59" t="s">
        <v>5942</v>
      </c>
      <c r="C296" s="59" t="s">
        <v>203</v>
      </c>
      <c r="D296" s="59" t="s">
        <v>5943</v>
      </c>
      <c r="E296" s="59" t="s">
        <v>422</v>
      </c>
      <c r="F296" s="12"/>
      <c r="G296" s="59" t="s">
        <v>5942</v>
      </c>
      <c r="H296" s="12"/>
      <c r="I296" s="59" t="s">
        <v>5743</v>
      </c>
      <c r="J296" s="12"/>
      <c r="K296" s="59"/>
      <c r="L296" s="55"/>
    </row>
    <row r="297" spans="2:12">
      <c r="B297" s="59" t="s">
        <v>5944</v>
      </c>
      <c r="C297" s="59" t="s">
        <v>229</v>
      </c>
      <c r="D297" s="59" t="s">
        <v>5945</v>
      </c>
      <c r="E297" s="59" t="s">
        <v>422</v>
      </c>
      <c r="F297" s="12"/>
      <c r="G297" s="59" t="s">
        <v>5944</v>
      </c>
      <c r="H297" s="12"/>
      <c r="I297" s="59" t="s">
        <v>5743</v>
      </c>
      <c r="J297" s="12"/>
      <c r="K297" s="59"/>
      <c r="L297" s="55"/>
    </row>
    <row r="298" spans="2:12">
      <c r="B298" s="59" t="s">
        <v>5946</v>
      </c>
      <c r="C298" s="59" t="s">
        <v>229</v>
      </c>
      <c r="D298" s="59" t="s">
        <v>5947</v>
      </c>
      <c r="E298" s="59" t="s">
        <v>422</v>
      </c>
      <c r="F298" s="12"/>
      <c r="G298" s="59" t="s">
        <v>5946</v>
      </c>
      <c r="H298" s="12"/>
      <c r="I298" s="59" t="s">
        <v>5743</v>
      </c>
      <c r="J298" s="12"/>
      <c r="K298" s="59"/>
      <c r="L298" s="55"/>
    </row>
    <row r="299" spans="2:12">
      <c r="B299" s="59" t="s">
        <v>5948</v>
      </c>
      <c r="C299" s="59" t="s">
        <v>229</v>
      </c>
      <c r="D299" s="59" t="s">
        <v>5949</v>
      </c>
      <c r="E299" s="59"/>
      <c r="F299" s="12"/>
      <c r="G299" s="59" t="s">
        <v>1693</v>
      </c>
      <c r="H299" s="12"/>
      <c r="I299" s="59" t="s">
        <v>5950</v>
      </c>
      <c r="J299" s="12"/>
      <c r="K299" s="59"/>
      <c r="L299" s="55"/>
    </row>
    <row r="300" spans="2:12">
      <c r="B300" s="59" t="s">
        <v>5951</v>
      </c>
      <c r="C300" s="59" t="s">
        <v>203</v>
      </c>
      <c r="D300" s="59" t="s">
        <v>5952</v>
      </c>
      <c r="E300" s="59"/>
      <c r="F300" s="12"/>
      <c r="G300" s="59" t="s">
        <v>1693</v>
      </c>
      <c r="H300" s="12"/>
      <c r="I300" s="59" t="s">
        <v>5950</v>
      </c>
      <c r="J300" s="12"/>
      <c r="K300" s="59"/>
      <c r="L300" s="55"/>
    </row>
    <row r="301" spans="2:12">
      <c r="B301" s="59" t="s">
        <v>5953</v>
      </c>
      <c r="C301" s="59" t="s">
        <v>203</v>
      </c>
      <c r="D301" s="59" t="s">
        <v>5954</v>
      </c>
      <c r="E301" s="59"/>
      <c r="F301" s="12"/>
      <c r="G301" s="59" t="s">
        <v>1693</v>
      </c>
      <c r="H301" s="12"/>
      <c r="I301" s="59" t="s">
        <v>5950</v>
      </c>
      <c r="J301" s="12"/>
      <c r="K301" s="59"/>
      <c r="L301" s="55"/>
    </row>
    <row r="302" spans="2:12">
      <c r="B302" s="59" t="s">
        <v>5955</v>
      </c>
      <c r="C302" s="59" t="s">
        <v>229</v>
      </c>
      <c r="D302" s="59" t="s">
        <v>1586</v>
      </c>
      <c r="E302" s="59"/>
      <c r="F302" s="12"/>
      <c r="G302" s="59" t="s">
        <v>1693</v>
      </c>
      <c r="H302" s="12"/>
      <c r="I302" s="59" t="s">
        <v>5950</v>
      </c>
      <c r="J302" s="12"/>
      <c r="K302" s="59" t="s">
        <v>1588</v>
      </c>
      <c r="L302" s="55"/>
    </row>
    <row r="303" spans="2:12">
      <c r="B303" s="59" t="s">
        <v>5956</v>
      </c>
      <c r="C303" s="59" t="s">
        <v>229</v>
      </c>
      <c r="D303" s="59" t="s">
        <v>1591</v>
      </c>
      <c r="E303" s="59"/>
      <c r="F303" s="12"/>
      <c r="G303" s="59" t="s">
        <v>1693</v>
      </c>
      <c r="H303" s="12"/>
      <c r="I303" s="59" t="s">
        <v>5950</v>
      </c>
      <c r="J303" s="12"/>
      <c r="K303" s="59" t="s">
        <v>1588</v>
      </c>
      <c r="L303" s="55"/>
    </row>
    <row r="304" spans="2:12">
      <c r="B304" s="59" t="s">
        <v>5957</v>
      </c>
      <c r="C304" s="59" t="s">
        <v>229</v>
      </c>
      <c r="D304" s="59" t="s">
        <v>4867</v>
      </c>
      <c r="E304" s="59"/>
      <c r="F304" s="12"/>
      <c r="G304" s="59" t="s">
        <v>1693</v>
      </c>
      <c r="H304" s="12"/>
      <c r="I304" s="59" t="s">
        <v>5950</v>
      </c>
      <c r="J304" s="12"/>
      <c r="K304" s="59" t="s">
        <v>231</v>
      </c>
      <c r="L304" s="55"/>
    </row>
    <row r="305" spans="2:12">
      <c r="B305" s="59" t="s">
        <v>5958</v>
      </c>
      <c r="C305" s="59" t="s">
        <v>229</v>
      </c>
      <c r="D305" s="59" t="s">
        <v>4578</v>
      </c>
      <c r="E305" s="59"/>
      <c r="F305" s="12"/>
      <c r="G305" s="59" t="s">
        <v>1693</v>
      </c>
      <c r="H305" s="12"/>
      <c r="I305" s="59" t="s">
        <v>5950</v>
      </c>
      <c r="J305" s="12"/>
      <c r="K305" s="59" t="s">
        <v>231</v>
      </c>
      <c r="L305" s="55"/>
    </row>
    <row r="306" spans="2:12">
      <c r="B306" s="59" t="s">
        <v>5959</v>
      </c>
      <c r="C306" s="59" t="s">
        <v>203</v>
      </c>
      <c r="D306" s="59" t="s">
        <v>2005</v>
      </c>
      <c r="E306" s="59"/>
      <c r="F306" s="12"/>
      <c r="G306" s="59" t="s">
        <v>1693</v>
      </c>
      <c r="H306" s="12"/>
      <c r="I306" s="59" t="s">
        <v>5950</v>
      </c>
      <c r="J306" s="12"/>
      <c r="K306" s="59"/>
      <c r="L306" s="55"/>
    </row>
    <row r="307" spans="2:12">
      <c r="B307" s="59" t="s">
        <v>5960</v>
      </c>
      <c r="C307" s="59" t="s">
        <v>203</v>
      </c>
      <c r="D307" s="59" t="s">
        <v>2007</v>
      </c>
      <c r="E307" s="59"/>
      <c r="F307" s="12"/>
      <c r="G307" s="59" t="s">
        <v>1693</v>
      </c>
      <c r="H307" s="12"/>
      <c r="I307" s="59" t="s">
        <v>5950</v>
      </c>
      <c r="J307" s="12"/>
      <c r="K307" s="59"/>
      <c r="L307" s="55"/>
    </row>
    <row r="308" spans="2:12">
      <c r="B308" s="59" t="s">
        <v>5961</v>
      </c>
      <c r="C308" s="59" t="s">
        <v>229</v>
      </c>
      <c r="D308" s="59" t="s">
        <v>1607</v>
      </c>
      <c r="E308" s="59"/>
      <c r="F308" s="12"/>
      <c r="G308" s="59" t="s">
        <v>1693</v>
      </c>
      <c r="H308" s="12"/>
      <c r="I308" s="59" t="s">
        <v>5950</v>
      </c>
      <c r="J308" s="12"/>
      <c r="K308" s="59"/>
      <c r="L308" s="55"/>
    </row>
    <row r="309" spans="2:12">
      <c r="B309" s="59" t="s">
        <v>5962</v>
      </c>
      <c r="C309" s="59" t="s">
        <v>229</v>
      </c>
      <c r="D309" s="59" t="s">
        <v>1611</v>
      </c>
      <c r="E309" s="59"/>
      <c r="F309" s="12"/>
      <c r="G309" s="59" t="s">
        <v>1693</v>
      </c>
      <c r="H309" s="12"/>
      <c r="I309" s="59" t="s">
        <v>5950</v>
      </c>
      <c r="J309" s="12"/>
      <c r="K309" s="59"/>
      <c r="L309" s="55"/>
    </row>
    <row r="310" spans="2:12">
      <c r="B310" s="59" t="s">
        <v>5963</v>
      </c>
      <c r="C310" s="59" t="s">
        <v>229</v>
      </c>
      <c r="D310" s="59" t="s">
        <v>1615</v>
      </c>
      <c r="E310" s="59"/>
      <c r="F310" s="12"/>
      <c r="G310" s="59" t="s">
        <v>1693</v>
      </c>
      <c r="H310" s="12"/>
      <c r="I310" s="59" t="s">
        <v>5950</v>
      </c>
      <c r="J310" s="12"/>
      <c r="K310" s="59"/>
      <c r="L310" s="55"/>
    </row>
    <row r="311" spans="2:12">
      <c r="B311" s="59" t="s">
        <v>5964</v>
      </c>
      <c r="C311" s="59" t="s">
        <v>229</v>
      </c>
      <c r="D311" s="59" t="s">
        <v>1619</v>
      </c>
      <c r="E311" s="59"/>
      <c r="F311" s="12"/>
      <c r="G311" s="59" t="s">
        <v>1693</v>
      </c>
      <c r="H311" s="12"/>
      <c r="I311" s="59" t="s">
        <v>5950</v>
      </c>
      <c r="J311" s="12"/>
      <c r="K311" s="59"/>
      <c r="L311" s="55"/>
    </row>
    <row r="312" spans="2:12">
      <c r="B312" s="59" t="s">
        <v>5965</v>
      </c>
      <c r="C312" s="59" t="s">
        <v>203</v>
      </c>
      <c r="D312" s="59" t="s">
        <v>1721</v>
      </c>
      <c r="E312" s="59"/>
      <c r="F312" s="12"/>
      <c r="G312" s="59" t="s">
        <v>1693</v>
      </c>
      <c r="H312" s="12"/>
      <c r="I312" s="59" t="s">
        <v>5950</v>
      </c>
      <c r="J312" s="12"/>
      <c r="K312" s="59"/>
      <c r="L312" s="55"/>
    </row>
    <row r="313" spans="2:12">
      <c r="B313" s="59" t="s">
        <v>5966</v>
      </c>
      <c r="C313" s="59" t="s">
        <v>203</v>
      </c>
      <c r="D313" s="59" t="s">
        <v>1724</v>
      </c>
      <c r="E313" s="59"/>
      <c r="F313" s="12"/>
      <c r="G313" s="59" t="s">
        <v>1693</v>
      </c>
      <c r="H313" s="12"/>
      <c r="I313" s="59" t="s">
        <v>5950</v>
      </c>
      <c r="J313" s="12"/>
      <c r="K313" s="59"/>
      <c r="L313" s="55"/>
    </row>
    <row r="314" spans="2:12">
      <c r="B314" s="59" t="s">
        <v>5967</v>
      </c>
      <c r="C314" s="59" t="s">
        <v>203</v>
      </c>
      <c r="D314" s="59" t="s">
        <v>1731</v>
      </c>
      <c r="E314" s="59"/>
      <c r="F314" s="12"/>
      <c r="G314" s="59" t="s">
        <v>1693</v>
      </c>
      <c r="H314" s="12"/>
      <c r="I314" s="59" t="s">
        <v>5950</v>
      </c>
      <c r="J314" s="12"/>
      <c r="K314" s="59"/>
      <c r="L314" s="55"/>
    </row>
    <row r="315" spans="2:12">
      <c r="B315" s="59" t="s">
        <v>5968</v>
      </c>
      <c r="C315" s="59" t="s">
        <v>203</v>
      </c>
      <c r="D315" s="59" t="s">
        <v>1735</v>
      </c>
      <c r="E315" s="59"/>
      <c r="F315" s="12"/>
      <c r="G315" s="59" t="s">
        <v>1693</v>
      </c>
      <c r="H315" s="12"/>
      <c r="I315" s="59" t="s">
        <v>5950</v>
      </c>
      <c r="J315" s="12"/>
      <c r="K315" s="59"/>
      <c r="L315" s="55"/>
    </row>
    <row r="316" spans="2:12">
      <c r="B316" s="59" t="s">
        <v>5969</v>
      </c>
      <c r="C316" s="59" t="s">
        <v>229</v>
      </c>
      <c r="D316" s="59" t="s">
        <v>3442</v>
      </c>
      <c r="E316" s="59"/>
      <c r="F316" s="12"/>
      <c r="G316" s="59" t="s">
        <v>1693</v>
      </c>
      <c r="H316" s="12"/>
      <c r="I316" s="59" t="s">
        <v>5950</v>
      </c>
      <c r="J316" s="12"/>
      <c r="K316" s="59"/>
      <c r="L316" s="55"/>
    </row>
    <row r="317" spans="2:12">
      <c r="B317" s="59" t="s">
        <v>5970</v>
      </c>
      <c r="C317" s="59" t="s">
        <v>203</v>
      </c>
      <c r="D317" s="59" t="s">
        <v>5971</v>
      </c>
      <c r="E317" s="59"/>
      <c r="F317" s="12"/>
      <c r="G317" s="59" t="s">
        <v>1693</v>
      </c>
      <c r="H317" s="12"/>
      <c r="I317" s="59" t="s">
        <v>5950</v>
      </c>
      <c r="J317" s="12"/>
      <c r="K317" s="59"/>
      <c r="L317" s="55"/>
    </row>
    <row r="318" spans="2:12">
      <c r="B318" s="59" t="s">
        <v>5972</v>
      </c>
      <c r="C318" s="59" t="s">
        <v>229</v>
      </c>
      <c r="D318" s="59" t="s">
        <v>5949</v>
      </c>
      <c r="E318" s="59"/>
      <c r="F318" s="12"/>
      <c r="G318" s="59" t="s">
        <v>1693</v>
      </c>
      <c r="H318" s="12"/>
      <c r="I318" s="59" t="s">
        <v>5950</v>
      </c>
      <c r="J318" s="12"/>
      <c r="K318" s="59"/>
      <c r="L318" s="55"/>
    </row>
    <row r="319" spans="2:12">
      <c r="B319" s="59" t="s">
        <v>5973</v>
      </c>
      <c r="C319" s="59" t="s">
        <v>229</v>
      </c>
      <c r="D319" s="59" t="s">
        <v>5952</v>
      </c>
      <c r="E319" s="59"/>
      <c r="F319" s="12"/>
      <c r="G319" s="59" t="s">
        <v>1693</v>
      </c>
      <c r="H319" s="12"/>
      <c r="I319" s="59" t="s">
        <v>5974</v>
      </c>
      <c r="J319" s="12"/>
      <c r="K319" s="59"/>
      <c r="L319" s="55"/>
    </row>
    <row r="320" spans="2:12">
      <c r="B320" s="59" t="s">
        <v>5975</v>
      </c>
      <c r="C320" s="59" t="s">
        <v>229</v>
      </c>
      <c r="D320" s="59" t="s">
        <v>5679</v>
      </c>
      <c r="E320" s="59"/>
      <c r="F320" s="12"/>
      <c r="G320" s="59" t="s">
        <v>1693</v>
      </c>
      <c r="H320" s="12"/>
      <c r="I320" s="59" t="s">
        <v>5974</v>
      </c>
      <c r="J320" s="12"/>
      <c r="K320" s="59"/>
      <c r="L320" s="55"/>
    </row>
    <row r="321" spans="2:12">
      <c r="B321" s="59" t="s">
        <v>5976</v>
      </c>
      <c r="C321" s="59" t="s">
        <v>229</v>
      </c>
      <c r="D321" s="59" t="s">
        <v>1586</v>
      </c>
      <c r="E321" s="59"/>
      <c r="F321" s="12"/>
      <c r="G321" s="59" t="s">
        <v>1693</v>
      </c>
      <c r="H321" s="12"/>
      <c r="I321" s="59" t="s">
        <v>5974</v>
      </c>
      <c r="J321" s="12"/>
      <c r="K321" s="59" t="s">
        <v>1588</v>
      </c>
      <c r="L321" s="55"/>
    </row>
    <row r="322" spans="2:12">
      <c r="B322" s="59" t="s">
        <v>5977</v>
      </c>
      <c r="C322" s="59" t="s">
        <v>229</v>
      </c>
      <c r="D322" s="59" t="s">
        <v>1591</v>
      </c>
      <c r="E322" s="59"/>
      <c r="F322" s="12"/>
      <c r="G322" s="59" t="s">
        <v>1693</v>
      </c>
      <c r="H322" s="12"/>
      <c r="I322" s="59" t="s">
        <v>5974</v>
      </c>
      <c r="J322" s="12"/>
      <c r="K322" s="59" t="s">
        <v>1588</v>
      </c>
      <c r="L322" s="55"/>
    </row>
    <row r="323" spans="2:12">
      <c r="B323" s="59" t="s">
        <v>5978</v>
      </c>
      <c r="C323" s="59" t="s">
        <v>229</v>
      </c>
      <c r="D323" s="59" t="s">
        <v>4867</v>
      </c>
      <c r="E323" s="59"/>
      <c r="F323" s="12"/>
      <c r="G323" s="59" t="s">
        <v>1693</v>
      </c>
      <c r="H323" s="12"/>
      <c r="I323" s="59" t="s">
        <v>5974</v>
      </c>
      <c r="J323" s="12"/>
      <c r="K323" s="59" t="s">
        <v>231</v>
      </c>
      <c r="L323" s="55"/>
    </row>
    <row r="324" spans="2:12">
      <c r="B324" s="59" t="s">
        <v>5979</v>
      </c>
      <c r="C324" s="59" t="s">
        <v>229</v>
      </c>
      <c r="D324" s="59" t="s">
        <v>4578</v>
      </c>
      <c r="E324" s="59"/>
      <c r="F324" s="12"/>
      <c r="G324" s="59" t="s">
        <v>1693</v>
      </c>
      <c r="H324" s="12"/>
      <c r="I324" s="59" t="s">
        <v>5974</v>
      </c>
      <c r="J324" s="12"/>
      <c r="K324" s="59" t="s">
        <v>231</v>
      </c>
      <c r="L324" s="55"/>
    </row>
    <row r="325" spans="2:12">
      <c r="B325" s="59" t="s">
        <v>5980</v>
      </c>
      <c r="C325" s="59" t="s">
        <v>203</v>
      </c>
      <c r="D325" s="59" t="s">
        <v>2005</v>
      </c>
      <c r="E325" s="59"/>
      <c r="F325" s="12"/>
      <c r="G325" s="59" t="s">
        <v>1693</v>
      </c>
      <c r="H325" s="12"/>
      <c r="I325" s="59" t="s">
        <v>5974</v>
      </c>
      <c r="J325" s="12"/>
      <c r="K325" s="59"/>
      <c r="L325" s="55"/>
    </row>
    <row r="326" spans="2:12">
      <c r="B326" s="59" t="s">
        <v>5981</v>
      </c>
      <c r="C326" s="59" t="s">
        <v>203</v>
      </c>
      <c r="D326" s="59" t="s">
        <v>2007</v>
      </c>
      <c r="E326" s="59"/>
      <c r="F326" s="12"/>
      <c r="G326" s="59" t="s">
        <v>1693</v>
      </c>
      <c r="H326" s="12"/>
      <c r="I326" s="59" t="s">
        <v>5974</v>
      </c>
      <c r="J326" s="12"/>
      <c r="K326" s="59"/>
      <c r="L326" s="55"/>
    </row>
    <row r="327" spans="2:12">
      <c r="B327" s="59" t="s">
        <v>5982</v>
      </c>
      <c r="C327" s="59" t="s">
        <v>229</v>
      </c>
      <c r="D327" s="59" t="s">
        <v>1607</v>
      </c>
      <c r="E327" s="59"/>
      <c r="F327" s="12"/>
      <c r="G327" s="59" t="s">
        <v>1693</v>
      </c>
      <c r="H327" s="12"/>
      <c r="I327" s="59" t="s">
        <v>5974</v>
      </c>
      <c r="J327" s="12"/>
      <c r="K327" s="59"/>
      <c r="L327" s="55"/>
    </row>
    <row r="328" spans="2:12">
      <c r="B328" s="59" t="s">
        <v>5983</v>
      </c>
      <c r="C328" s="59" t="s">
        <v>229</v>
      </c>
      <c r="D328" s="59" t="s">
        <v>1611</v>
      </c>
      <c r="E328" s="59"/>
      <c r="F328" s="12"/>
      <c r="G328" s="59" t="s">
        <v>1693</v>
      </c>
      <c r="H328" s="12"/>
      <c r="I328" s="59" t="s">
        <v>5974</v>
      </c>
      <c r="J328" s="12"/>
      <c r="K328" s="59"/>
      <c r="L328" s="55"/>
    </row>
    <row r="329" spans="2:12">
      <c r="B329" s="59" t="s">
        <v>5984</v>
      </c>
      <c r="C329" s="59" t="s">
        <v>229</v>
      </c>
      <c r="D329" s="59" t="s">
        <v>1615</v>
      </c>
      <c r="E329" s="59"/>
      <c r="F329" s="12"/>
      <c r="G329" s="59" t="s">
        <v>1693</v>
      </c>
      <c r="H329" s="12"/>
      <c r="I329" s="59" t="s">
        <v>5974</v>
      </c>
      <c r="J329" s="12"/>
      <c r="K329" s="59"/>
      <c r="L329" s="55"/>
    </row>
    <row r="330" spans="2:12">
      <c r="B330" s="59" t="s">
        <v>5985</v>
      </c>
      <c r="C330" s="59" t="s">
        <v>229</v>
      </c>
      <c r="D330" s="59" t="s">
        <v>1619</v>
      </c>
      <c r="E330" s="59"/>
      <c r="F330" s="12"/>
      <c r="G330" s="59" t="s">
        <v>1693</v>
      </c>
      <c r="H330" s="12"/>
      <c r="I330" s="59" t="s">
        <v>5974</v>
      </c>
      <c r="J330" s="12"/>
      <c r="K330" s="59"/>
      <c r="L330" s="55"/>
    </row>
    <row r="331" spans="2:12">
      <c r="B331" s="59" t="s">
        <v>5986</v>
      </c>
      <c r="C331" s="59" t="s">
        <v>203</v>
      </c>
      <c r="D331" s="59" t="s">
        <v>1721</v>
      </c>
      <c r="E331" s="59"/>
      <c r="F331" s="12"/>
      <c r="G331" s="59" t="s">
        <v>1693</v>
      </c>
      <c r="H331" s="12"/>
      <c r="I331" s="59" t="s">
        <v>5974</v>
      </c>
      <c r="J331" s="12"/>
      <c r="K331" s="59"/>
      <c r="L331" s="55"/>
    </row>
    <row r="332" spans="2:12">
      <c r="B332" s="59" t="s">
        <v>5987</v>
      </c>
      <c r="C332" s="59" t="s">
        <v>203</v>
      </c>
      <c r="D332" s="59" t="s">
        <v>1724</v>
      </c>
      <c r="E332" s="59"/>
      <c r="F332" s="12"/>
      <c r="G332" s="59" t="s">
        <v>1693</v>
      </c>
      <c r="H332" s="12"/>
      <c r="I332" s="59" t="s">
        <v>5974</v>
      </c>
      <c r="J332" s="12"/>
      <c r="K332" s="59"/>
      <c r="L332" s="55"/>
    </row>
    <row r="333" spans="2:12">
      <c r="B333" s="59" t="s">
        <v>5988</v>
      </c>
      <c r="C333" s="59" t="s">
        <v>203</v>
      </c>
      <c r="D333" s="59" t="s">
        <v>1731</v>
      </c>
      <c r="E333" s="59"/>
      <c r="F333" s="12"/>
      <c r="G333" s="59" t="s">
        <v>1693</v>
      </c>
      <c r="H333" s="12"/>
      <c r="I333" s="59" t="s">
        <v>5974</v>
      </c>
      <c r="J333" s="12"/>
      <c r="K333" s="59"/>
      <c r="L333" s="55"/>
    </row>
    <row r="334" spans="2:12">
      <c r="B334" s="59" t="s">
        <v>5989</v>
      </c>
      <c r="C334" s="59" t="s">
        <v>203</v>
      </c>
      <c r="D334" s="59" t="s">
        <v>1735</v>
      </c>
      <c r="E334" s="59"/>
      <c r="F334" s="12"/>
      <c r="G334" s="59" t="s">
        <v>1693</v>
      </c>
      <c r="H334" s="12"/>
      <c r="I334" s="59" t="s">
        <v>5974</v>
      </c>
      <c r="J334" s="12"/>
      <c r="K334" s="59"/>
      <c r="L334" s="55"/>
    </row>
    <row r="335" spans="2:12">
      <c r="B335" s="59" t="s">
        <v>5990</v>
      </c>
      <c r="C335" s="59" t="s">
        <v>229</v>
      </c>
      <c r="D335" s="59" t="s">
        <v>3442</v>
      </c>
      <c r="E335" s="59"/>
      <c r="F335" s="12"/>
      <c r="G335" s="59" t="s">
        <v>1693</v>
      </c>
      <c r="H335" s="12"/>
      <c r="I335" s="59" t="s">
        <v>5974</v>
      </c>
      <c r="J335" s="12"/>
      <c r="K335" s="59"/>
      <c r="L335" s="55"/>
    </row>
    <row r="336" spans="2:12">
      <c r="B336" s="59" t="s">
        <v>5991</v>
      </c>
      <c r="C336" s="59" t="s">
        <v>203</v>
      </c>
      <c r="D336" s="59" t="s">
        <v>5971</v>
      </c>
      <c r="E336" s="59"/>
      <c r="F336" s="12"/>
      <c r="G336" s="59" t="s">
        <v>1693</v>
      </c>
      <c r="H336" s="12"/>
      <c r="I336" s="59" t="s">
        <v>5974</v>
      </c>
      <c r="J336" s="12"/>
      <c r="K336" s="59"/>
      <c r="L336" s="55"/>
    </row>
    <row r="337" spans="2:12">
      <c r="B337" s="59" t="s">
        <v>1639</v>
      </c>
      <c r="C337" s="59" t="s">
        <v>229</v>
      </c>
      <c r="D337" s="59" t="s">
        <v>1640</v>
      </c>
      <c r="E337" s="59"/>
      <c r="F337" s="12"/>
      <c r="G337" s="59" t="s">
        <v>1693</v>
      </c>
      <c r="H337" s="12"/>
      <c r="I337" s="59" t="s">
        <v>5992</v>
      </c>
      <c r="J337" s="12"/>
      <c r="K337" s="59"/>
      <c r="L337" s="55"/>
    </row>
    <row r="338" spans="2:12">
      <c r="B338" s="59" t="s">
        <v>1643</v>
      </c>
      <c r="C338" s="59" t="s">
        <v>229</v>
      </c>
      <c r="D338" s="59" t="s">
        <v>2907</v>
      </c>
      <c r="E338" s="59"/>
      <c r="F338" s="12"/>
      <c r="G338" s="59" t="s">
        <v>1693</v>
      </c>
      <c r="H338" s="12"/>
      <c r="I338" s="59" t="s">
        <v>5992</v>
      </c>
      <c r="J338" s="12"/>
      <c r="K338" s="59"/>
      <c r="L338" s="55"/>
    </row>
    <row r="339" spans="2:12">
      <c r="B339" s="59" t="s">
        <v>5993</v>
      </c>
      <c r="C339" s="59" t="s">
        <v>229</v>
      </c>
      <c r="D339" s="59" t="s">
        <v>5994</v>
      </c>
      <c r="E339" s="59"/>
      <c r="F339" s="12"/>
      <c r="G339" s="59" t="s">
        <v>1693</v>
      </c>
      <c r="H339" s="12"/>
      <c r="I339" s="59" t="s">
        <v>5992</v>
      </c>
      <c r="J339" s="12"/>
      <c r="K339" s="59"/>
      <c r="L339" s="55"/>
    </row>
    <row r="340" spans="2:12">
      <c r="B340" s="59" t="s">
        <v>5995</v>
      </c>
      <c r="C340" s="59" t="s">
        <v>229</v>
      </c>
      <c r="D340" s="59" t="s">
        <v>5996</v>
      </c>
      <c r="E340" s="59"/>
      <c r="F340" s="12"/>
      <c r="G340" s="59" t="s">
        <v>1693</v>
      </c>
      <c r="H340" s="12"/>
      <c r="I340" s="59" t="s">
        <v>5992</v>
      </c>
      <c r="J340" s="12"/>
      <c r="K340" s="59"/>
      <c r="L340" s="55"/>
    </row>
    <row r="341" spans="2:12">
      <c r="B341" s="72" t="s">
        <v>4232</v>
      </c>
      <c r="C341" s="72" t="s">
        <v>170</v>
      </c>
      <c r="D341" s="72" t="s">
        <v>4233</v>
      </c>
      <c r="E341" s="59" t="s">
        <v>422</v>
      </c>
      <c r="F341" s="12"/>
      <c r="G341" s="72" t="s">
        <v>5997</v>
      </c>
      <c r="H341" s="12"/>
      <c r="I341" s="73"/>
      <c r="J341" s="73"/>
      <c r="K341" s="73"/>
      <c r="L341" s="74"/>
    </row>
    <row r="342" spans="2:12">
      <c r="B342" s="72" t="s">
        <v>4235</v>
      </c>
      <c r="C342" s="72" t="s">
        <v>170</v>
      </c>
      <c r="D342" s="72" t="s">
        <v>4236</v>
      </c>
      <c r="E342" s="59" t="s">
        <v>422</v>
      </c>
      <c r="F342" s="12"/>
      <c r="G342" s="72" t="s">
        <v>5998</v>
      </c>
      <c r="H342" s="12"/>
      <c r="I342" s="73"/>
      <c r="J342" s="73"/>
      <c r="K342" s="73"/>
      <c r="L342" s="74"/>
    </row>
    <row r="343" spans="2:12">
      <c r="B343" s="72" t="s">
        <v>4238</v>
      </c>
      <c r="C343" s="72" t="s">
        <v>203</v>
      </c>
      <c r="D343" s="72" t="s">
        <v>4239</v>
      </c>
      <c r="E343" s="59" t="s">
        <v>422</v>
      </c>
      <c r="F343" s="12"/>
      <c r="G343" s="72" t="s">
        <v>5999</v>
      </c>
      <c r="H343" s="12"/>
      <c r="I343" s="73"/>
      <c r="J343" s="73"/>
      <c r="K343" s="73"/>
      <c r="L343" s="74"/>
    </row>
    <row r="344" spans="2:12">
      <c r="B344" s="59" t="s">
        <v>4242</v>
      </c>
      <c r="C344" s="59" t="s">
        <v>229</v>
      </c>
      <c r="D344" s="59" t="s">
        <v>6000</v>
      </c>
      <c r="E344" s="59" t="s">
        <v>422</v>
      </c>
      <c r="F344" s="12"/>
      <c r="G344" s="72" t="s">
        <v>831</v>
      </c>
      <c r="H344" s="12"/>
      <c r="I344" s="12"/>
      <c r="J344" s="12"/>
      <c r="K344" s="12"/>
      <c r="L344" s="55"/>
    </row>
    <row r="345" spans="2:12">
      <c r="B345" s="59" t="s">
        <v>6001</v>
      </c>
      <c r="C345" s="59" t="s">
        <v>175</v>
      </c>
      <c r="D345" s="59" t="s">
        <v>240</v>
      </c>
      <c r="E345" s="12"/>
      <c r="F345" s="12"/>
      <c r="G345" s="12"/>
      <c r="H345" s="12"/>
      <c r="I345" s="12"/>
      <c r="J345" s="12"/>
      <c r="K345" s="12"/>
      <c r="L345" s="55"/>
    </row>
    <row r="346" spans="2:12">
      <c r="B346" s="59" t="s">
        <v>177</v>
      </c>
      <c r="C346" s="59" t="s">
        <v>175</v>
      </c>
      <c r="D346" s="59" t="s">
        <v>599</v>
      </c>
      <c r="E346" s="12"/>
      <c r="F346" s="12"/>
      <c r="G346" s="12"/>
      <c r="H346" s="12"/>
      <c r="I346" s="12"/>
      <c r="J346" s="12"/>
      <c r="K346" s="12"/>
      <c r="L346" s="55"/>
    </row>
  </sheetData>
  <mergeCells count="7">
    <mergeCell ref="B2:H2"/>
    <mergeCell ref="B6:H6"/>
    <mergeCell ref="B10:L10"/>
    <mergeCell ref="I52:I75"/>
    <mergeCell ref="I76:I105"/>
    <mergeCell ref="I106:I133"/>
    <mergeCell ref="I134:I171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hyperlinks>
    <hyperlink ref="B1" location="导航!A1" display="=HYPERLINK(&quot;#&quot;&amp;&quot;导航应用&quot;&amp;&quot;!B1&quot;,&quot;返回&quot;)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ySplit="5" topLeftCell="A6" activePane="bottomLeft" state="frozen"/>
      <selection/>
      <selection pane="bottomLeft" activeCell="C5" sqref="C5"/>
    </sheetView>
  </sheetViews>
  <sheetFormatPr defaultColWidth="9" defaultRowHeight="13.8"/>
  <cols>
    <col min="1" max="1" width="1.37962962962963" style="4" customWidth="1"/>
    <col min="2" max="2" width="13.5" style="4" customWidth="1"/>
    <col min="3" max="3" width="25.5" style="4" customWidth="1"/>
    <col min="4" max="4" width="30.8796296296296" style="4" customWidth="1"/>
    <col min="5" max="5" width="14.5" style="4" customWidth="1"/>
    <col min="6" max="6" width="29.25" style="4" customWidth="1"/>
    <col min="7" max="7" width="22.1296296296296" style="4" customWidth="1"/>
    <col min="8" max="8" width="34" style="4" customWidth="1"/>
    <col min="9" max="9" width="9.25" style="4" customWidth="1"/>
    <col min="10" max="10" width="21.25" style="4" customWidth="1"/>
    <col min="11" max="11" width="9.62962962962963" style="4" customWidth="1"/>
    <col min="12" max="12" width="12.6296296296296" style="5" customWidth="1"/>
    <col min="13" max="16384" width="9" style="5"/>
  </cols>
  <sheetData>
    <row r="1" s="1" customFormat="1" spans="1:14">
      <c r="A1" s="6"/>
      <c r="B1" s="7" t="str">
        <f>HYPERLINK("#"&amp;"导航应用"&amp;"!B1","返回")</f>
        <v>返回</v>
      </c>
      <c r="C1" s="6"/>
      <c r="D1" s="6"/>
      <c r="E1" s="6"/>
      <c r="F1" s="6"/>
      <c r="G1" s="6"/>
      <c r="H1" s="6"/>
      <c r="I1" s="6"/>
      <c r="J1" s="6"/>
      <c r="K1" s="6"/>
      <c r="L1" s="30"/>
      <c r="M1" s="30"/>
      <c r="N1" s="30"/>
    </row>
    <row r="2" s="1" customFormat="1" spans="1:14">
      <c r="A2" s="6"/>
      <c r="B2" s="8"/>
      <c r="C2" s="8"/>
      <c r="D2" s="8"/>
      <c r="E2" s="8"/>
      <c r="F2" s="8"/>
      <c r="G2" s="8"/>
      <c r="H2" s="8"/>
      <c r="I2" s="6"/>
      <c r="J2" s="6"/>
      <c r="K2" s="6"/>
      <c r="L2" s="30"/>
      <c r="M2" s="30"/>
      <c r="N2" s="30"/>
    </row>
    <row r="3" s="1" customFormat="1" spans="1:14">
      <c r="A3" s="6"/>
      <c r="B3" s="9" t="s">
        <v>132</v>
      </c>
      <c r="C3" s="9"/>
      <c r="D3" s="9"/>
      <c r="E3" s="9"/>
      <c r="F3" s="9"/>
      <c r="G3" s="9"/>
      <c r="H3" s="9"/>
      <c r="I3" s="6"/>
      <c r="J3" s="6"/>
      <c r="K3" s="6"/>
      <c r="L3" s="30"/>
      <c r="M3" s="30"/>
      <c r="N3" s="30"/>
    </row>
    <row r="4" s="2" customFormat="1" ht="13.2" spans="1:14">
      <c r="A4" s="6"/>
      <c r="B4" s="10" t="s">
        <v>133</v>
      </c>
      <c r="C4" s="10" t="s">
        <v>134</v>
      </c>
      <c r="D4" s="10" t="s">
        <v>135</v>
      </c>
      <c r="E4" s="10" t="s">
        <v>136</v>
      </c>
      <c r="F4" s="10" t="s">
        <v>137</v>
      </c>
      <c r="G4" s="10" t="s">
        <v>138</v>
      </c>
      <c r="H4" s="10" t="s">
        <v>139</v>
      </c>
      <c r="I4" s="6"/>
      <c r="J4" s="6"/>
      <c r="K4" s="6"/>
      <c r="L4" s="30"/>
      <c r="M4" s="30"/>
      <c r="N4" s="30"/>
    </row>
    <row r="5" s="2" customFormat="1" ht="13.2" spans="1:14">
      <c r="A5" s="11"/>
      <c r="B5" s="11" t="s">
        <v>6139</v>
      </c>
      <c r="C5" s="15" t="s">
        <v>120</v>
      </c>
      <c r="D5" s="6" t="s">
        <v>121</v>
      </c>
      <c r="E5" s="12" t="s">
        <v>1539</v>
      </c>
      <c r="F5" s="6" t="s">
        <v>6140</v>
      </c>
      <c r="G5" s="6" t="s">
        <v>6141</v>
      </c>
      <c r="H5" s="11" t="s">
        <v>6142</v>
      </c>
      <c r="I5" s="6"/>
      <c r="J5" s="6"/>
      <c r="K5" s="6"/>
      <c r="L5" s="30"/>
      <c r="M5" s="30"/>
      <c r="N5" s="6"/>
    </row>
    <row r="6" s="1" customFormat="1" spans="1:14">
      <c r="A6" s="6"/>
      <c r="B6" s="8"/>
      <c r="C6" s="8"/>
      <c r="D6" s="8"/>
      <c r="E6" s="8"/>
      <c r="F6" s="8"/>
      <c r="G6" s="8"/>
      <c r="H6" s="8"/>
      <c r="I6" s="6"/>
      <c r="J6" s="6"/>
      <c r="K6" s="6"/>
      <c r="L6" s="30"/>
      <c r="M6" s="30"/>
      <c r="N6" s="30"/>
    </row>
    <row r="7" s="1" customFormat="1" spans="1:14">
      <c r="A7" s="6"/>
      <c r="B7" s="9" t="s">
        <v>142</v>
      </c>
      <c r="C7" s="9"/>
      <c r="D7" s="9"/>
      <c r="E7" s="9"/>
      <c r="F7" s="9"/>
      <c r="G7" s="9"/>
      <c r="H7" s="9"/>
      <c r="I7" s="6"/>
      <c r="J7" s="6"/>
      <c r="K7" s="6"/>
      <c r="L7" s="6"/>
      <c r="M7" s="30"/>
      <c r="N7" s="30"/>
    </row>
    <row r="8" s="2" customFormat="1" ht="13.2" spans="1:14">
      <c r="A8" s="6"/>
      <c r="B8" s="14" t="s">
        <v>143</v>
      </c>
      <c r="C8" s="14" t="s">
        <v>144</v>
      </c>
      <c r="D8" s="14" t="s">
        <v>145</v>
      </c>
      <c r="E8" s="14" t="s">
        <v>146</v>
      </c>
      <c r="F8" s="14" t="s">
        <v>147</v>
      </c>
      <c r="G8" s="14" t="s">
        <v>13</v>
      </c>
      <c r="H8" s="14" t="s">
        <v>148</v>
      </c>
      <c r="I8" s="6"/>
      <c r="J8" s="6"/>
      <c r="K8" s="6"/>
      <c r="L8" s="6"/>
      <c r="M8" s="30"/>
      <c r="N8" s="30"/>
    </row>
    <row r="9" s="2" customFormat="1" ht="13.2" spans="1:14">
      <c r="A9" s="6"/>
      <c r="B9" s="6"/>
      <c r="C9" s="15"/>
      <c r="D9" s="15"/>
      <c r="E9" s="6"/>
      <c r="F9" s="6"/>
      <c r="G9" s="6"/>
      <c r="H9" s="16"/>
      <c r="I9" s="6"/>
      <c r="J9" s="6"/>
      <c r="K9" s="6"/>
      <c r="L9" s="6"/>
      <c r="M9" s="30"/>
      <c r="N9" s="30"/>
    </row>
    <row r="10" s="2" customFormat="1" ht="13.2" spans="1:14">
      <c r="A10" s="6"/>
      <c r="B10" s="6"/>
      <c r="C10" s="15"/>
      <c r="D10" s="15"/>
      <c r="E10" s="6"/>
      <c r="F10" s="22"/>
      <c r="G10" s="6"/>
      <c r="H10" s="16"/>
      <c r="I10" s="6"/>
      <c r="J10" s="6"/>
      <c r="K10" s="6"/>
      <c r="L10" s="6"/>
      <c r="M10" s="30"/>
      <c r="N10" s="30"/>
    </row>
    <row r="11" s="2" customFormat="1" ht="13.2" spans="1:14">
      <c r="A11" s="6"/>
      <c r="B11" s="9" t="s">
        <v>158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30"/>
      <c r="N11" s="30"/>
    </row>
    <row r="12" s="2" customFormat="1" ht="13.2" spans="1:14">
      <c r="A12" s="6"/>
      <c r="B12" s="10" t="s">
        <v>159</v>
      </c>
      <c r="C12" s="10" t="s">
        <v>160</v>
      </c>
      <c r="D12" s="10" t="s">
        <v>161</v>
      </c>
      <c r="E12" s="10" t="s">
        <v>162</v>
      </c>
      <c r="F12" s="10" t="s">
        <v>163</v>
      </c>
      <c r="G12" s="10" t="s">
        <v>164</v>
      </c>
      <c r="H12" s="10" t="s">
        <v>165</v>
      </c>
      <c r="I12" s="10" t="s">
        <v>13</v>
      </c>
      <c r="J12" s="10" t="s">
        <v>166</v>
      </c>
      <c r="K12" s="10" t="s">
        <v>167</v>
      </c>
      <c r="L12" s="10" t="s">
        <v>168</v>
      </c>
      <c r="M12" s="30"/>
      <c r="N12" s="30"/>
    </row>
    <row r="13" s="37" customFormat="1" ht="13.2" spans="1:14">
      <c r="A13" s="6"/>
      <c r="B13" s="6" t="s">
        <v>197</v>
      </c>
      <c r="C13" s="6" t="s">
        <v>175</v>
      </c>
      <c r="D13" s="6" t="s">
        <v>6143</v>
      </c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="37" customFormat="1" ht="13.2" spans="1:14">
      <c r="A14" s="6"/>
      <c r="B14" s="6" t="s">
        <v>191</v>
      </c>
      <c r="C14" s="6" t="s">
        <v>175</v>
      </c>
      <c r="D14" s="6" t="s">
        <v>192</v>
      </c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="37" customFormat="1" ht="13.2" spans="1:14">
      <c r="A15" s="6"/>
      <c r="B15" s="6" t="s">
        <v>190</v>
      </c>
      <c r="C15" s="6" t="s">
        <v>175</v>
      </c>
      <c r="D15" s="6" t="s">
        <v>189</v>
      </c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="37" customFormat="1" ht="13.2" spans="1:14">
      <c r="A16" s="6"/>
      <c r="B16" s="6" t="s">
        <v>1976</v>
      </c>
      <c r="C16" s="6" t="s">
        <v>6144</v>
      </c>
      <c r="D16" s="6" t="s">
        <v>6145</v>
      </c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="37" customFormat="1" ht="13.2" spans="1:14">
      <c r="A17" s="6"/>
      <c r="B17" s="6" t="s">
        <v>1558</v>
      </c>
      <c r="C17" s="6" t="s">
        <v>6144</v>
      </c>
      <c r="D17" s="6" t="s">
        <v>1559</v>
      </c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="37" customFormat="1" ht="13.2" spans="1:14">
      <c r="A18" s="6"/>
      <c r="B18" s="6" t="s">
        <v>6146</v>
      </c>
      <c r="C18" s="6" t="s">
        <v>175</v>
      </c>
      <c r="D18" s="6" t="s">
        <v>6147</v>
      </c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="37" customFormat="1" ht="13.2" spans="1:14">
      <c r="A19" s="6"/>
      <c r="B19" s="6" t="s">
        <v>221</v>
      </c>
      <c r="C19" s="6" t="s">
        <v>170</v>
      </c>
      <c r="D19" s="6" t="s">
        <v>6148</v>
      </c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="37" customFormat="1" ht="13.2" spans="1:14">
      <c r="A20" s="6"/>
      <c r="B20" s="6" t="s">
        <v>225</v>
      </c>
      <c r="C20" s="6" t="s">
        <v>6149</v>
      </c>
      <c r="D20" s="6" t="s">
        <v>6150</v>
      </c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="37" customFormat="1" ht="13.2" spans="1:14">
      <c r="A21" s="6"/>
      <c r="B21" s="6" t="s">
        <v>6151</v>
      </c>
      <c r="C21" s="6" t="s">
        <v>170</v>
      </c>
      <c r="D21" s="6" t="s">
        <v>6152</v>
      </c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="37" customFormat="1" ht="13.2" spans="1:14">
      <c r="A22" s="6"/>
      <c r="B22" s="6" t="s">
        <v>6153</v>
      </c>
      <c r="C22" s="6" t="s">
        <v>203</v>
      </c>
      <c r="D22" s="6" t="s">
        <v>6154</v>
      </c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="37" customFormat="1" ht="13.2" spans="1:14">
      <c r="A23" s="6"/>
      <c r="B23" s="6" t="s">
        <v>6155</v>
      </c>
      <c r="C23" s="6" t="s">
        <v>203</v>
      </c>
      <c r="D23" s="6" t="s">
        <v>6156</v>
      </c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="37" customFormat="1" ht="13.2" spans="1:14">
      <c r="A24" s="6"/>
      <c r="B24" s="6" t="s">
        <v>6157</v>
      </c>
      <c r="C24" s="6" t="s">
        <v>170</v>
      </c>
      <c r="D24" s="6" t="s">
        <v>6158</v>
      </c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="37" customFormat="1" ht="13.2" spans="1:14">
      <c r="A25" s="6"/>
      <c r="B25" s="6" t="s">
        <v>3447</v>
      </c>
      <c r="C25" s="6" t="s">
        <v>170</v>
      </c>
      <c r="D25" s="6" t="s">
        <v>6159</v>
      </c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="37" customFormat="1" ht="13.2" spans="1:14">
      <c r="A26" s="6"/>
      <c r="B26" s="6" t="s">
        <v>6160</v>
      </c>
      <c r="C26" s="6" t="s">
        <v>170</v>
      </c>
      <c r="D26" s="6" t="s">
        <v>6161</v>
      </c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="37" customFormat="1" ht="13.2" spans="1:14">
      <c r="A27" s="6"/>
      <c r="B27" s="6" t="s">
        <v>6162</v>
      </c>
      <c r="C27" s="6" t="s">
        <v>170</v>
      </c>
      <c r="D27" s="6" t="s">
        <v>6163</v>
      </c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="37" customFormat="1" ht="13.2" spans="1:14">
      <c r="A28" s="6"/>
      <c r="B28" s="6" t="s">
        <v>6164</v>
      </c>
      <c r="C28" s="6" t="s">
        <v>6144</v>
      </c>
      <c r="D28" s="6" t="s">
        <v>6165</v>
      </c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="2" customFormat="1" ht="12.95" customHeight="1" spans="1:14">
      <c r="A29" s="6"/>
      <c r="B29" s="6"/>
      <c r="C29" s="6"/>
      <c r="D29" s="6"/>
      <c r="E29" s="6"/>
      <c r="F29" s="6"/>
      <c r="G29" s="11"/>
      <c r="H29" s="6"/>
      <c r="I29" s="6"/>
      <c r="J29" s="6"/>
      <c r="K29" s="6"/>
      <c r="L29" s="6"/>
      <c r="M29" s="30"/>
      <c r="N29" s="30"/>
    </row>
    <row r="30" s="38" customFormat="1" ht="13.2" spans="1:14">
      <c r="A30" s="26"/>
      <c r="B30" s="26" t="s">
        <v>239</v>
      </c>
      <c r="C30" s="26" t="s">
        <v>6144</v>
      </c>
      <c r="D30" s="26" t="s">
        <v>240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s="38" customFormat="1" ht="13.2" spans="1:14">
      <c r="A31" s="26"/>
      <c r="B31" s="26" t="s">
        <v>177</v>
      </c>
      <c r="C31" s="26" t="s">
        <v>175</v>
      </c>
      <c r="D31" s="26" t="s">
        <v>599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</row>
    <row r="32" s="38" customFormat="1" ht="13.2" spans="1:14">
      <c r="A32" s="26"/>
      <c r="B32" s="26" t="s">
        <v>693</v>
      </c>
      <c r="C32" s="26" t="s">
        <v>6144</v>
      </c>
      <c r="D32" s="26" t="s">
        <v>1859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 s="38" customFormat="1" ht="13.2" spans="1:14">
      <c r="A33" s="26"/>
      <c r="B33" s="26" t="s">
        <v>6164</v>
      </c>
      <c r="C33" s="26" t="s">
        <v>6144</v>
      </c>
      <c r="D33" s="26" t="s">
        <v>6166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 s="39" customFormat="1" ht="13.2" spans="1:14">
      <c r="A34" s="28"/>
      <c r="B34" s="28" t="s">
        <v>696</v>
      </c>
      <c r="C34" s="28" t="s">
        <v>6144</v>
      </c>
      <c r="D34" s="28" t="s">
        <v>6167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</row>
  </sheetData>
  <mergeCells count="4">
    <mergeCell ref="B2:H2"/>
    <mergeCell ref="B3:H3"/>
    <mergeCell ref="B7:H7"/>
    <mergeCell ref="B11:L11"/>
  </mergeCells>
  <dataValidations count="1">
    <dataValidation type="list" allowBlank="1" showInputMessage="1" showErrorMessage="1" sqref="E5">
      <formula1>"quarter,hour,day,week,month,season(季度),year,维表,手动"</formula1>
    </dataValidation>
  </dataValidations>
  <pageMargins left="0.7" right="0.7" top="0.75" bottom="0.75" header="0.3" footer="0.3"/>
  <pageSetup paperSize="9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pane ySplit="5" topLeftCell="A6" activePane="bottomLeft" state="frozen"/>
      <selection/>
      <selection pane="bottomLeft" activeCell="C5" sqref="C5"/>
    </sheetView>
  </sheetViews>
  <sheetFormatPr defaultColWidth="9" defaultRowHeight="13.8"/>
  <cols>
    <col min="1" max="1" width="1.37962962962963" style="33" customWidth="1"/>
    <col min="2" max="2" width="13.3796296296296" style="33" customWidth="1"/>
    <col min="3" max="3" width="22.6296296296296" style="33" customWidth="1"/>
    <col min="4" max="4" width="35.3796296296296" style="33" customWidth="1"/>
    <col min="5" max="5" width="14.5" style="33" customWidth="1"/>
    <col min="6" max="6" width="10.3796296296296" style="33" customWidth="1"/>
    <col min="7" max="7" width="22.1296296296296" style="33" customWidth="1"/>
    <col min="8" max="8" width="14.5" style="33" customWidth="1"/>
    <col min="9" max="9" width="9.25" style="33" customWidth="1"/>
    <col min="10" max="10" width="21.25" style="33" customWidth="1"/>
    <col min="11" max="11" width="9.62962962962963" style="33" customWidth="1"/>
    <col min="12" max="12" width="12.6296296296296" style="1" customWidth="1"/>
    <col min="13" max="16384" width="9" style="1"/>
  </cols>
  <sheetData>
    <row r="1" spans="1:14">
      <c r="A1" s="6"/>
      <c r="B1" s="7" t="str">
        <f>HYPERLINK("#"&amp;"导航应用"&amp;"!B1","返回")</f>
        <v>返回</v>
      </c>
      <c r="C1" s="6"/>
      <c r="D1" s="6"/>
      <c r="E1" s="6"/>
      <c r="F1" s="6"/>
      <c r="G1" s="6"/>
      <c r="H1" s="6"/>
      <c r="I1" s="6"/>
      <c r="J1" s="6"/>
      <c r="K1" s="6"/>
      <c r="L1" s="30"/>
      <c r="M1" s="30"/>
      <c r="N1" s="30"/>
    </row>
    <row r="2" spans="1:14">
      <c r="A2" s="6"/>
      <c r="B2" s="8"/>
      <c r="C2" s="8"/>
      <c r="D2" s="8"/>
      <c r="E2" s="8"/>
      <c r="F2" s="8"/>
      <c r="G2" s="8"/>
      <c r="H2" s="8"/>
      <c r="I2" s="6"/>
      <c r="J2" s="6"/>
      <c r="K2" s="6"/>
      <c r="L2" s="30"/>
      <c r="M2" s="30"/>
      <c r="N2" s="30"/>
    </row>
    <row r="3" spans="1:14">
      <c r="A3" s="6"/>
      <c r="B3" s="9" t="s">
        <v>132</v>
      </c>
      <c r="C3" s="9"/>
      <c r="D3" s="9"/>
      <c r="E3" s="9"/>
      <c r="F3" s="9"/>
      <c r="G3" s="9"/>
      <c r="H3" s="9"/>
      <c r="I3" s="6"/>
      <c r="J3" s="6"/>
      <c r="K3" s="6"/>
      <c r="L3" s="30"/>
      <c r="M3" s="30"/>
      <c r="N3" s="30"/>
    </row>
    <row r="4" s="2" customFormat="1" ht="13.2" spans="1:14">
      <c r="A4" s="6"/>
      <c r="B4" s="10" t="s">
        <v>133</v>
      </c>
      <c r="C4" s="10" t="s">
        <v>134</v>
      </c>
      <c r="D4" s="10" t="s">
        <v>135</v>
      </c>
      <c r="E4" s="10" t="s">
        <v>136</v>
      </c>
      <c r="F4" s="10" t="s">
        <v>137</v>
      </c>
      <c r="G4" s="10" t="s">
        <v>6168</v>
      </c>
      <c r="H4" s="10" t="s">
        <v>139</v>
      </c>
      <c r="I4" s="6"/>
      <c r="J4" s="6"/>
      <c r="K4" s="6"/>
      <c r="L4" s="30"/>
      <c r="M4" s="30"/>
      <c r="N4" s="30"/>
    </row>
    <row r="5" s="2" customFormat="1" ht="13.2" spans="1:14">
      <c r="A5" s="11"/>
      <c r="B5" s="11" t="s">
        <v>6139</v>
      </c>
      <c r="C5" s="34" t="s">
        <v>124</v>
      </c>
      <c r="D5" s="6" t="s">
        <v>125</v>
      </c>
      <c r="E5" s="12" t="s">
        <v>174</v>
      </c>
      <c r="F5" s="6" t="s">
        <v>193</v>
      </c>
      <c r="G5" s="6"/>
      <c r="H5" s="11"/>
      <c r="I5" s="6"/>
      <c r="J5" s="6"/>
      <c r="K5" s="6"/>
      <c r="L5" s="30"/>
      <c r="M5" s="30"/>
      <c r="N5" s="6"/>
    </row>
    <row r="6" spans="1:14">
      <c r="A6" s="6"/>
      <c r="B6" s="8"/>
      <c r="C6" s="8"/>
      <c r="D6" s="8"/>
      <c r="E6" s="8"/>
      <c r="F6" s="8"/>
      <c r="G6" s="8"/>
      <c r="H6" s="8"/>
      <c r="I6" s="6"/>
      <c r="J6" s="6"/>
      <c r="K6" s="6"/>
      <c r="L6" s="30"/>
      <c r="M6" s="30"/>
      <c r="N6" s="30"/>
    </row>
    <row r="7" spans="1:14">
      <c r="A7" s="6"/>
      <c r="B7" s="9" t="s">
        <v>142</v>
      </c>
      <c r="C7" s="9"/>
      <c r="D7" s="9"/>
      <c r="E7" s="9"/>
      <c r="F7" s="9"/>
      <c r="G7" s="9"/>
      <c r="H7" s="9"/>
      <c r="I7" s="6"/>
      <c r="J7" s="6"/>
      <c r="K7" s="6"/>
      <c r="L7" s="6"/>
      <c r="M7" s="30"/>
      <c r="N7" s="30"/>
    </row>
    <row r="8" s="2" customFormat="1" ht="13.2" spans="1:14">
      <c r="A8" s="6"/>
      <c r="B8" s="14" t="s">
        <v>143</v>
      </c>
      <c r="C8" s="14" t="s">
        <v>144</v>
      </c>
      <c r="D8" s="14" t="s">
        <v>145</v>
      </c>
      <c r="E8" s="14" t="s">
        <v>146</v>
      </c>
      <c r="F8" s="14" t="s">
        <v>147</v>
      </c>
      <c r="G8" s="14" t="s">
        <v>13</v>
      </c>
      <c r="H8" s="14" t="s">
        <v>148</v>
      </c>
      <c r="I8" s="6"/>
      <c r="J8" s="6"/>
      <c r="K8" s="6"/>
      <c r="L8" s="6"/>
      <c r="M8" s="30"/>
      <c r="N8" s="30"/>
    </row>
    <row r="9" s="2" customFormat="1" ht="71.25" customHeight="1" spans="1:14">
      <c r="A9" s="6"/>
      <c r="B9" s="6"/>
      <c r="C9" s="15" t="s">
        <v>120</v>
      </c>
      <c r="D9" s="6" t="s">
        <v>121</v>
      </c>
      <c r="E9" s="6"/>
      <c r="F9" s="6"/>
      <c r="G9" s="11" t="s">
        <v>6169</v>
      </c>
      <c r="H9" s="35" t="s">
        <v>21</v>
      </c>
      <c r="I9" s="6"/>
      <c r="J9" s="6"/>
      <c r="K9" s="6"/>
      <c r="L9" s="6"/>
      <c r="M9" s="30"/>
      <c r="N9" s="30"/>
    </row>
    <row r="10" s="2" customFormat="1" ht="13.2" spans="1:14">
      <c r="A10" s="6"/>
      <c r="B10" s="6"/>
      <c r="C10" s="34"/>
      <c r="D10" s="6"/>
      <c r="E10" s="6"/>
      <c r="F10" s="22"/>
      <c r="G10" s="6"/>
      <c r="H10" s="35"/>
      <c r="I10" s="6"/>
      <c r="J10" s="6"/>
      <c r="K10" s="6"/>
      <c r="L10" s="6"/>
      <c r="M10" s="30"/>
      <c r="N10" s="30"/>
    </row>
    <row r="11" s="2" customFormat="1" ht="13.2" spans="1:14">
      <c r="A11" s="6"/>
      <c r="B11" s="9" t="s">
        <v>158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30"/>
      <c r="N11" s="30"/>
    </row>
    <row r="12" s="2" customFormat="1" ht="24" spans="1:14">
      <c r="A12" s="6"/>
      <c r="B12" s="10" t="s">
        <v>159</v>
      </c>
      <c r="C12" s="10" t="s">
        <v>160</v>
      </c>
      <c r="D12" s="10" t="s">
        <v>161</v>
      </c>
      <c r="E12" s="10" t="s">
        <v>162</v>
      </c>
      <c r="F12" s="10" t="s">
        <v>163</v>
      </c>
      <c r="G12" s="10" t="s">
        <v>164</v>
      </c>
      <c r="H12" s="10" t="s">
        <v>165</v>
      </c>
      <c r="I12" s="10" t="s">
        <v>13</v>
      </c>
      <c r="J12" s="10" t="s">
        <v>166</v>
      </c>
      <c r="K12" s="10" t="s">
        <v>167</v>
      </c>
      <c r="L12" s="10" t="s">
        <v>168</v>
      </c>
      <c r="M12" s="30"/>
      <c r="N12" s="30"/>
    </row>
    <row r="13" s="2" customFormat="1" ht="12.95" customHeight="1" spans="1:14">
      <c r="A13" s="6"/>
      <c r="B13" s="6" t="s">
        <v>193</v>
      </c>
      <c r="C13" s="6" t="s">
        <v>175</v>
      </c>
      <c r="D13" s="6" t="s">
        <v>6170</v>
      </c>
      <c r="E13" s="22"/>
      <c r="F13" s="22"/>
      <c r="G13" s="20" t="s">
        <v>6171</v>
      </c>
      <c r="H13" s="22"/>
      <c r="I13" s="22" t="s">
        <v>6172</v>
      </c>
      <c r="J13" s="6"/>
      <c r="K13" s="6"/>
      <c r="L13" s="6"/>
      <c r="M13" s="30"/>
      <c r="N13" s="30"/>
    </row>
    <row r="14" s="2" customFormat="1" ht="12.95" customHeight="1" spans="1:14">
      <c r="A14" s="6"/>
      <c r="B14" s="6" t="s">
        <v>190</v>
      </c>
      <c r="C14" s="6" t="s">
        <v>175</v>
      </c>
      <c r="D14" s="6" t="s">
        <v>189</v>
      </c>
      <c r="E14" s="22"/>
      <c r="F14" s="22"/>
      <c r="G14" s="22"/>
      <c r="H14" s="22"/>
      <c r="I14" s="22"/>
      <c r="J14" s="6"/>
      <c r="K14" s="6"/>
      <c r="L14" s="6"/>
      <c r="M14" s="30"/>
      <c r="N14" s="30"/>
    </row>
    <row r="15" s="2" customFormat="1" ht="12.95" customHeight="1" spans="1:14">
      <c r="A15" s="6"/>
      <c r="B15" s="6" t="s">
        <v>191</v>
      </c>
      <c r="C15" s="6" t="s">
        <v>175</v>
      </c>
      <c r="D15" s="6" t="s">
        <v>192</v>
      </c>
      <c r="E15" s="22"/>
      <c r="F15" s="22"/>
      <c r="G15" s="22"/>
      <c r="H15" s="22"/>
      <c r="I15" s="22"/>
      <c r="J15" s="6"/>
      <c r="K15" s="6"/>
      <c r="L15" s="6"/>
      <c r="M15" s="30"/>
      <c r="N15" s="30"/>
    </row>
    <row r="16" s="2" customFormat="1" ht="12.95" customHeight="1" spans="1:14">
      <c r="A16" s="6"/>
      <c r="B16" s="6" t="s">
        <v>195</v>
      </c>
      <c r="C16" s="6" t="s">
        <v>170</v>
      </c>
      <c r="D16" s="11" t="s">
        <v>196</v>
      </c>
      <c r="E16" s="22"/>
      <c r="F16" s="22"/>
      <c r="G16" s="22" t="s">
        <v>6173</v>
      </c>
      <c r="H16" s="22"/>
      <c r="I16" s="22"/>
      <c r="J16" s="6"/>
      <c r="K16" s="6"/>
      <c r="L16" s="6"/>
      <c r="M16" s="30"/>
      <c r="N16" s="30"/>
    </row>
    <row r="17" s="2" customFormat="1" ht="12.95" customHeight="1" spans="1:14">
      <c r="A17" s="6"/>
      <c r="B17" s="6" t="s">
        <v>374</v>
      </c>
      <c r="C17" s="6" t="s">
        <v>2724</v>
      </c>
      <c r="D17" s="6" t="s">
        <v>375</v>
      </c>
      <c r="E17" s="22"/>
      <c r="F17" s="22"/>
      <c r="G17" s="22"/>
      <c r="H17" s="22"/>
      <c r="I17" s="22"/>
      <c r="J17" s="6"/>
      <c r="K17" s="6"/>
      <c r="L17" s="6"/>
      <c r="M17" s="30"/>
      <c r="N17" s="30"/>
    </row>
    <row r="18" s="2" customFormat="1" ht="12.95" customHeight="1" spans="1:14">
      <c r="A18" s="6"/>
      <c r="B18" s="6" t="s">
        <v>376</v>
      </c>
      <c r="C18" s="6" t="s">
        <v>203</v>
      </c>
      <c r="D18" s="6" t="s">
        <v>377</v>
      </c>
      <c r="E18" s="22"/>
      <c r="F18" s="22"/>
      <c r="G18" s="22"/>
      <c r="H18" s="22"/>
      <c r="I18" s="22"/>
      <c r="J18" s="6"/>
      <c r="K18" s="6"/>
      <c r="L18" s="6"/>
      <c r="M18" s="30"/>
      <c r="N18" s="30"/>
    </row>
    <row r="19" s="2" customFormat="1" ht="12.95" customHeight="1" spans="1:14">
      <c r="A19" s="6"/>
      <c r="B19" s="6" t="s">
        <v>378</v>
      </c>
      <c r="C19" s="6" t="s">
        <v>203</v>
      </c>
      <c r="D19" s="6" t="s">
        <v>379</v>
      </c>
      <c r="E19" s="22"/>
      <c r="F19" s="22"/>
      <c r="G19" s="22"/>
      <c r="H19" s="22"/>
      <c r="I19" s="22"/>
      <c r="J19" s="6"/>
      <c r="K19" s="6"/>
      <c r="L19" s="6"/>
      <c r="M19" s="30"/>
      <c r="N19" s="30"/>
    </row>
    <row r="20" s="2" customFormat="1" ht="12.95" customHeight="1" spans="1:14">
      <c r="A20" s="6"/>
      <c r="B20" s="6" t="s">
        <v>6174</v>
      </c>
      <c r="C20" s="6" t="s">
        <v>175</v>
      </c>
      <c r="D20" s="6" t="s">
        <v>6175</v>
      </c>
      <c r="E20" s="22"/>
      <c r="F20" s="22"/>
      <c r="G20" s="22"/>
      <c r="H20" s="22"/>
      <c r="I20" s="22"/>
      <c r="J20" s="6"/>
      <c r="K20" s="6"/>
      <c r="L20" s="6"/>
      <c r="M20" s="30"/>
      <c r="N20" s="30"/>
    </row>
    <row r="21" s="2" customFormat="1" ht="12.95" customHeight="1" spans="1:14">
      <c r="A21" s="6"/>
      <c r="B21" s="6" t="s">
        <v>382</v>
      </c>
      <c r="C21" s="6" t="s">
        <v>2724</v>
      </c>
      <c r="D21" s="6" t="s">
        <v>383</v>
      </c>
      <c r="E21" s="22"/>
      <c r="F21" s="22"/>
      <c r="G21" s="22"/>
      <c r="H21" s="22"/>
      <c r="I21" s="22"/>
      <c r="J21" s="6"/>
      <c r="K21" s="6"/>
      <c r="L21" s="6"/>
      <c r="M21" s="30"/>
      <c r="N21" s="30"/>
    </row>
    <row r="22" s="2" customFormat="1" ht="12.95" customHeight="1" spans="1:14">
      <c r="A22" s="6"/>
      <c r="B22" s="6" t="s">
        <v>384</v>
      </c>
      <c r="C22" s="6" t="s">
        <v>203</v>
      </c>
      <c r="D22" s="6" t="s">
        <v>385</v>
      </c>
      <c r="E22" s="22"/>
      <c r="F22" s="22"/>
      <c r="G22" s="22"/>
      <c r="H22" s="22"/>
      <c r="I22" s="22"/>
      <c r="J22" s="6"/>
      <c r="K22" s="6"/>
      <c r="L22" s="6"/>
      <c r="M22" s="30"/>
      <c r="N22" s="30"/>
    </row>
    <row r="23" s="2" customFormat="1" ht="12.95" customHeight="1" spans="1:14">
      <c r="A23" s="6"/>
      <c r="B23" s="6" t="s">
        <v>386</v>
      </c>
      <c r="C23" s="6" t="s">
        <v>203</v>
      </c>
      <c r="D23" s="6" t="s">
        <v>387</v>
      </c>
      <c r="E23" s="22"/>
      <c r="F23" s="22"/>
      <c r="G23" s="22"/>
      <c r="H23" s="23"/>
      <c r="I23" s="22"/>
      <c r="J23" s="6"/>
      <c r="K23" s="6"/>
      <c r="L23" s="6"/>
      <c r="M23" s="30"/>
      <c r="N23" s="30"/>
    </row>
    <row r="24" s="36" customFormat="1" ht="12.95" customHeight="1" spans="1:14">
      <c r="A24" s="6"/>
      <c r="B24" s="6" t="s">
        <v>6176</v>
      </c>
      <c r="C24" s="6" t="s">
        <v>175</v>
      </c>
      <c r="D24" s="6" t="s">
        <v>6177</v>
      </c>
      <c r="E24" s="22"/>
      <c r="F24" s="22"/>
      <c r="G24" s="22"/>
      <c r="H24" s="23"/>
      <c r="I24" s="22"/>
      <c r="J24" s="6"/>
      <c r="K24" s="6"/>
      <c r="L24" s="6"/>
      <c r="M24" s="30"/>
      <c r="N24" s="30"/>
    </row>
    <row r="25" s="36" customFormat="1" ht="12.95" customHeight="1" spans="1:14">
      <c r="A25" s="6"/>
      <c r="B25" s="6" t="s">
        <v>6178</v>
      </c>
      <c r="C25" s="6" t="s">
        <v>170</v>
      </c>
      <c r="D25" s="6" t="s">
        <v>6179</v>
      </c>
      <c r="E25" s="22"/>
      <c r="F25" s="22"/>
      <c r="G25" s="22" t="s">
        <v>6180</v>
      </c>
      <c r="H25" s="23"/>
      <c r="I25" s="22"/>
      <c r="J25" s="6"/>
      <c r="K25" s="6"/>
      <c r="L25" s="6"/>
      <c r="M25" s="30"/>
      <c r="N25" s="30"/>
    </row>
    <row r="26" s="36" customFormat="1" ht="12.95" customHeight="1" spans="1:14">
      <c r="A26" s="6"/>
      <c r="B26" s="6" t="s">
        <v>6181</v>
      </c>
      <c r="C26" s="6" t="s">
        <v>170</v>
      </c>
      <c r="D26" s="6" t="s">
        <v>6182</v>
      </c>
      <c r="E26" s="22"/>
      <c r="F26" s="22"/>
      <c r="G26" s="22" t="s">
        <v>6183</v>
      </c>
      <c r="H26" s="23"/>
      <c r="I26" s="22"/>
      <c r="J26" s="6"/>
      <c r="K26" s="6"/>
      <c r="L26" s="6"/>
      <c r="M26" s="30"/>
      <c r="N26" s="30"/>
    </row>
    <row r="27" s="36" customFormat="1" ht="12.95" customHeight="1" spans="1:14">
      <c r="A27" s="6"/>
      <c r="B27" s="6" t="s">
        <v>6184</v>
      </c>
      <c r="C27" s="6" t="s">
        <v>175</v>
      </c>
      <c r="D27" s="6" t="s">
        <v>6185</v>
      </c>
      <c r="E27" s="22"/>
      <c r="F27" s="22"/>
      <c r="G27" s="22" t="s">
        <v>6186</v>
      </c>
      <c r="H27" s="23"/>
      <c r="I27" s="22" t="s">
        <v>6187</v>
      </c>
      <c r="J27" s="6"/>
      <c r="K27" s="6"/>
      <c r="L27" s="6"/>
      <c r="M27" s="30"/>
      <c r="N27" s="30"/>
    </row>
    <row r="28" s="36" customFormat="1" ht="12.95" customHeight="1" spans="1:14">
      <c r="A28" s="6"/>
      <c r="B28" s="6" t="s">
        <v>6188</v>
      </c>
      <c r="C28" s="6" t="s">
        <v>175</v>
      </c>
      <c r="D28" s="6" t="s">
        <v>6189</v>
      </c>
      <c r="E28" s="22"/>
      <c r="F28" s="22"/>
      <c r="G28" s="22"/>
      <c r="H28" s="23"/>
      <c r="I28" s="22" t="s">
        <v>6187</v>
      </c>
      <c r="J28" s="6"/>
      <c r="K28" s="6"/>
      <c r="L28" s="6"/>
      <c r="M28" s="30"/>
      <c r="N28" s="30"/>
    </row>
    <row r="29" s="36" customFormat="1" ht="12.95" customHeight="1" spans="1:14">
      <c r="A29" s="6"/>
      <c r="B29" s="6"/>
      <c r="C29" s="6"/>
      <c r="D29" s="6"/>
      <c r="E29" s="22"/>
      <c r="F29" s="22"/>
      <c r="G29" s="22"/>
      <c r="H29" s="23"/>
      <c r="I29" s="22"/>
      <c r="J29" s="6"/>
      <c r="K29" s="6"/>
      <c r="L29" s="6"/>
      <c r="M29" s="30"/>
      <c r="N29" s="30"/>
    </row>
    <row r="30" spans="1:14">
      <c r="A30" s="6"/>
      <c r="B30" s="26" t="s">
        <v>239</v>
      </c>
      <c r="C30" s="26" t="s">
        <v>175</v>
      </c>
      <c r="D30" s="26"/>
      <c r="E30" s="26"/>
      <c r="F30" s="26"/>
      <c r="G30" s="26"/>
      <c r="H30" s="26"/>
      <c r="I30" s="26"/>
      <c r="J30" s="26"/>
      <c r="K30" s="26"/>
      <c r="L30" s="26"/>
      <c r="M30" s="30"/>
      <c r="N30" s="30"/>
    </row>
    <row r="31" spans="1:14">
      <c r="A31" s="6"/>
      <c r="B31" s="26" t="s">
        <v>177</v>
      </c>
      <c r="C31" s="26" t="s">
        <v>175</v>
      </c>
      <c r="D31" s="26"/>
      <c r="E31" s="26"/>
      <c r="F31" s="26"/>
      <c r="G31" s="26"/>
      <c r="H31" s="26"/>
      <c r="I31" s="26"/>
      <c r="J31" s="26"/>
      <c r="K31" s="26"/>
      <c r="L31" s="26"/>
      <c r="M31" s="30"/>
      <c r="N31" s="30"/>
    </row>
  </sheetData>
  <mergeCells count="4">
    <mergeCell ref="B2:H2"/>
    <mergeCell ref="B3:H3"/>
    <mergeCell ref="B7:H7"/>
    <mergeCell ref="B11:L11"/>
  </mergeCells>
  <dataValidations count="1">
    <dataValidation type="list" allowBlank="1" showInputMessage="1" showErrorMessage="1" sqref="E5">
      <formula1>"quarter,hour,day,week,month,season(季度),year,维表,手动"</formula1>
    </dataValidation>
  </dataValidations>
  <pageMargins left="0.7" right="0.7" top="0.75" bottom="0.75" header="0.3" footer="0.3"/>
  <pageSetup paperSize="9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pane ySplit="5" topLeftCell="A6" activePane="bottomLeft" state="frozen"/>
      <selection/>
      <selection pane="bottomLeft" activeCell="C5" sqref="C5"/>
    </sheetView>
  </sheetViews>
  <sheetFormatPr defaultColWidth="9" defaultRowHeight="13.8"/>
  <cols>
    <col min="1" max="1" width="1.37962962962963" style="33" customWidth="1"/>
    <col min="2" max="2" width="14.3796296296296" style="33" customWidth="1"/>
    <col min="3" max="3" width="24.25" style="33" customWidth="1"/>
    <col min="4" max="4" width="28.8796296296296" style="33" customWidth="1"/>
    <col min="5" max="5" width="11.5" style="33" customWidth="1"/>
    <col min="6" max="6" width="24.8796296296296" style="33" customWidth="1"/>
    <col min="7" max="7" width="32.75" style="33" customWidth="1"/>
    <col min="8" max="8" width="17.3796296296296" style="33" customWidth="1"/>
    <col min="9" max="9" width="19.8796296296296" style="33" customWidth="1"/>
    <col min="10" max="10" width="21.25" style="33" customWidth="1"/>
    <col min="11" max="11" width="9.62962962962963" style="33" customWidth="1"/>
    <col min="12" max="12" width="12.6296296296296" style="1" customWidth="1"/>
    <col min="13" max="16384" width="9" style="1"/>
  </cols>
  <sheetData>
    <row r="1" spans="1:14">
      <c r="A1" s="6"/>
      <c r="B1" s="7" t="str">
        <f>HYPERLINK("#"&amp;"导航应用"&amp;"!B1","返回")</f>
        <v>返回</v>
      </c>
      <c r="C1" s="6"/>
      <c r="D1" s="6"/>
      <c r="E1" s="6"/>
      <c r="F1" s="6"/>
      <c r="G1" s="6"/>
      <c r="H1" s="6"/>
      <c r="I1" s="6"/>
      <c r="J1" s="6"/>
      <c r="K1" s="6"/>
      <c r="L1" s="30"/>
      <c r="M1" s="30"/>
      <c r="N1" s="30"/>
    </row>
    <row r="2" spans="1:14">
      <c r="A2" s="6"/>
      <c r="B2" s="8"/>
      <c r="C2" s="8"/>
      <c r="D2" s="8"/>
      <c r="E2" s="8"/>
      <c r="F2" s="8"/>
      <c r="G2" s="8"/>
      <c r="H2" s="8"/>
      <c r="I2" s="6"/>
      <c r="J2" s="6"/>
      <c r="K2" s="6"/>
      <c r="L2" s="30"/>
      <c r="M2" s="30"/>
      <c r="N2" s="30"/>
    </row>
    <row r="3" spans="1:14">
      <c r="A3" s="6"/>
      <c r="B3" s="9" t="s">
        <v>132</v>
      </c>
      <c r="C3" s="9"/>
      <c r="D3" s="9"/>
      <c r="E3" s="9"/>
      <c r="F3" s="9"/>
      <c r="G3" s="9"/>
      <c r="H3" s="9"/>
      <c r="I3" s="6"/>
      <c r="J3" s="6"/>
      <c r="K3" s="6"/>
      <c r="L3" s="30"/>
      <c r="M3" s="30"/>
      <c r="N3" s="30"/>
    </row>
    <row r="4" s="2" customFormat="1" ht="13.2" spans="1:14">
      <c r="A4" s="6"/>
      <c r="B4" s="10" t="s">
        <v>133</v>
      </c>
      <c r="C4" s="10" t="s">
        <v>134</v>
      </c>
      <c r="D4" s="10" t="s">
        <v>135</v>
      </c>
      <c r="E4" s="10" t="s">
        <v>136</v>
      </c>
      <c r="F4" s="10" t="s">
        <v>137</v>
      </c>
      <c r="G4" s="10" t="s">
        <v>6168</v>
      </c>
      <c r="H4" s="10" t="s">
        <v>139</v>
      </c>
      <c r="I4" s="6"/>
      <c r="J4" s="6"/>
      <c r="K4" s="6"/>
      <c r="L4" s="30"/>
      <c r="M4" s="30"/>
      <c r="N4" s="30"/>
    </row>
    <row r="5" s="2" customFormat="1" ht="13.2" spans="1:14">
      <c r="A5" s="11"/>
      <c r="B5" s="11" t="s">
        <v>6139</v>
      </c>
      <c r="C5" s="34" t="s">
        <v>127</v>
      </c>
      <c r="D5" s="6" t="s">
        <v>128</v>
      </c>
      <c r="E5" s="12" t="s">
        <v>174</v>
      </c>
      <c r="F5" s="34" t="s">
        <v>6140</v>
      </c>
      <c r="G5" s="6"/>
      <c r="H5" s="11" t="s">
        <v>6142</v>
      </c>
      <c r="I5" s="6"/>
      <c r="J5" s="6"/>
      <c r="K5" s="6"/>
      <c r="L5" s="30"/>
      <c r="M5" s="30"/>
      <c r="N5" s="6"/>
    </row>
    <row r="6" spans="1:14">
      <c r="A6" s="6"/>
      <c r="B6" s="8"/>
      <c r="C6" s="8"/>
      <c r="D6" s="8"/>
      <c r="E6" s="8"/>
      <c r="F6" s="8"/>
      <c r="G6" s="8"/>
      <c r="H6" s="8"/>
      <c r="I6" s="6"/>
      <c r="J6" s="6"/>
      <c r="K6" s="6"/>
      <c r="L6" s="30"/>
      <c r="M6" s="30"/>
      <c r="N6" s="30"/>
    </row>
    <row r="7" spans="1:14">
      <c r="A7" s="6"/>
      <c r="B7" s="9" t="s">
        <v>142</v>
      </c>
      <c r="C7" s="9"/>
      <c r="D7" s="9"/>
      <c r="E7" s="9"/>
      <c r="F7" s="9"/>
      <c r="G7" s="9"/>
      <c r="H7" s="9"/>
      <c r="I7" s="6"/>
      <c r="J7" s="6"/>
      <c r="K7" s="6"/>
      <c r="L7" s="6"/>
      <c r="M7" s="30"/>
      <c r="N7" s="30"/>
    </row>
    <row r="8" s="2" customFormat="1" ht="13.2" spans="1:14">
      <c r="A8" s="6"/>
      <c r="B8" s="14" t="s">
        <v>143</v>
      </c>
      <c r="C8" s="14" t="s">
        <v>144</v>
      </c>
      <c r="D8" s="14" t="s">
        <v>145</v>
      </c>
      <c r="E8" s="14" t="s">
        <v>146</v>
      </c>
      <c r="F8" s="14" t="s">
        <v>147</v>
      </c>
      <c r="G8" s="14" t="s">
        <v>13</v>
      </c>
      <c r="H8" s="14" t="s">
        <v>148</v>
      </c>
      <c r="I8" s="6"/>
      <c r="J8" s="6"/>
      <c r="K8" s="6"/>
      <c r="L8" s="6"/>
      <c r="M8" s="30"/>
      <c r="N8" s="30"/>
    </row>
    <row r="9" s="2" customFormat="1" ht="36" customHeight="1" spans="1:14">
      <c r="A9" s="6"/>
      <c r="B9" s="6"/>
      <c r="C9" s="15" t="s">
        <v>120</v>
      </c>
      <c r="D9" s="6" t="s">
        <v>121</v>
      </c>
      <c r="E9" s="6"/>
      <c r="F9" s="6"/>
      <c r="G9" s="11" t="s">
        <v>6190</v>
      </c>
      <c r="H9" s="35" t="s">
        <v>21</v>
      </c>
      <c r="I9" s="6"/>
      <c r="J9" s="6"/>
      <c r="K9" s="6"/>
      <c r="L9" s="6"/>
      <c r="M9" s="30"/>
      <c r="N9" s="30"/>
    </row>
    <row r="10" s="2" customFormat="1" ht="13.2" spans="1:14">
      <c r="A10" s="6"/>
      <c r="B10" s="9" t="s">
        <v>158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30"/>
      <c r="N10" s="30"/>
    </row>
    <row r="11" s="2" customFormat="1" ht="13.2" spans="1:14">
      <c r="A11" s="6"/>
      <c r="B11" s="10" t="s">
        <v>159</v>
      </c>
      <c r="C11" s="10" t="s">
        <v>160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165</v>
      </c>
      <c r="I11" s="10" t="s">
        <v>13</v>
      </c>
      <c r="J11" s="10" t="s">
        <v>166</v>
      </c>
      <c r="K11" s="10" t="s">
        <v>167</v>
      </c>
      <c r="L11" s="10" t="s">
        <v>168</v>
      </c>
      <c r="M11" s="30"/>
      <c r="N11" s="30"/>
    </row>
    <row r="12" spans="1:14">
      <c r="A12" s="6"/>
      <c r="B12" s="6" t="s">
        <v>190</v>
      </c>
      <c r="C12" s="6" t="s">
        <v>175</v>
      </c>
      <c r="D12" s="6" t="s">
        <v>189</v>
      </c>
      <c r="E12" s="6"/>
      <c r="F12" s="17"/>
      <c r="G12" s="6"/>
      <c r="H12" s="6"/>
      <c r="I12" s="6"/>
      <c r="J12" s="6"/>
      <c r="K12" s="6"/>
      <c r="L12" s="6"/>
      <c r="M12" s="30"/>
      <c r="N12" s="30"/>
    </row>
    <row r="13" spans="1:14">
      <c r="A13" s="6"/>
      <c r="B13" s="6" t="s">
        <v>191</v>
      </c>
      <c r="C13" s="6" t="s">
        <v>175</v>
      </c>
      <c r="D13" s="6" t="s">
        <v>192</v>
      </c>
      <c r="E13" s="6"/>
      <c r="F13" s="18"/>
      <c r="G13" s="6"/>
      <c r="H13" s="6"/>
      <c r="I13" s="6"/>
      <c r="J13" s="6"/>
      <c r="K13" s="6"/>
      <c r="L13" s="6"/>
      <c r="M13" s="30"/>
      <c r="N13" s="30"/>
    </row>
    <row r="14" spans="1:14">
      <c r="A14" s="6"/>
      <c r="B14" s="6" t="s">
        <v>193</v>
      </c>
      <c r="C14" s="6" t="s">
        <v>175</v>
      </c>
      <c r="D14" s="6" t="s">
        <v>6170</v>
      </c>
      <c r="E14" s="6"/>
      <c r="F14" s="18"/>
      <c r="G14" s="20" t="s">
        <v>6191</v>
      </c>
      <c r="H14" s="6"/>
      <c r="I14" s="6"/>
      <c r="J14" s="6"/>
      <c r="K14" s="6"/>
      <c r="L14" s="6"/>
      <c r="M14" s="30"/>
      <c r="N14" s="30"/>
    </row>
    <row r="15" spans="1:14">
      <c r="A15" s="6"/>
      <c r="B15" s="6" t="s">
        <v>195</v>
      </c>
      <c r="C15" s="6" t="s">
        <v>170</v>
      </c>
      <c r="D15" s="11" t="s">
        <v>196</v>
      </c>
      <c r="E15" s="6"/>
      <c r="F15" s="17"/>
      <c r="G15" s="6"/>
      <c r="H15" s="6"/>
      <c r="I15" s="6"/>
      <c r="J15" s="6"/>
      <c r="K15" s="6"/>
      <c r="L15" s="6"/>
      <c r="M15" s="30"/>
      <c r="N15" s="30"/>
    </row>
    <row r="16" spans="1:14">
      <c r="A16" s="6"/>
      <c r="B16" s="6" t="s">
        <v>197</v>
      </c>
      <c r="C16" s="6" t="s">
        <v>2724</v>
      </c>
      <c r="D16" s="6" t="s">
        <v>198</v>
      </c>
      <c r="E16" s="6"/>
      <c r="F16" s="17"/>
      <c r="G16" s="6"/>
      <c r="H16" s="6"/>
      <c r="I16" s="6"/>
      <c r="J16" s="6"/>
      <c r="K16" s="6"/>
      <c r="L16" s="6"/>
      <c r="M16" s="30"/>
      <c r="N16" s="30"/>
    </row>
    <row r="17" spans="1:14">
      <c r="A17" s="6"/>
      <c r="B17" s="6" t="s">
        <v>1976</v>
      </c>
      <c r="C17" s="6" t="s">
        <v>6144</v>
      </c>
      <c r="D17" s="6" t="s">
        <v>6145</v>
      </c>
      <c r="E17" s="6"/>
      <c r="F17" s="6"/>
      <c r="G17" s="6"/>
      <c r="H17" s="6"/>
      <c r="I17" s="6"/>
      <c r="J17" s="6"/>
      <c r="K17" s="6"/>
      <c r="L17" s="6"/>
      <c r="M17" s="30"/>
      <c r="N17" s="30"/>
    </row>
    <row r="18" spans="1:14">
      <c r="A18" s="6"/>
      <c r="B18" s="6" t="s">
        <v>1558</v>
      </c>
      <c r="C18" s="6" t="s">
        <v>6144</v>
      </c>
      <c r="D18" s="6" t="s">
        <v>1559</v>
      </c>
      <c r="E18" s="6"/>
      <c r="F18" s="6"/>
      <c r="G18" s="6"/>
      <c r="H18" s="6"/>
      <c r="I18" s="6"/>
      <c r="J18" s="6"/>
      <c r="K18" s="6"/>
      <c r="L18" s="6"/>
      <c r="M18" s="30"/>
      <c r="N18" s="30"/>
    </row>
    <row r="19" ht="45" customHeight="1" spans="1:14">
      <c r="A19" s="6"/>
      <c r="B19" s="6" t="s">
        <v>6146</v>
      </c>
      <c r="C19" s="6" t="s">
        <v>175</v>
      </c>
      <c r="D19" s="6" t="s">
        <v>6147</v>
      </c>
      <c r="E19" s="6"/>
      <c r="F19" s="6"/>
      <c r="G19" s="23"/>
      <c r="H19" s="6"/>
      <c r="I19" s="6"/>
      <c r="J19" s="6"/>
      <c r="K19" s="6"/>
      <c r="L19" s="6"/>
      <c r="M19" s="30"/>
      <c r="N19" s="30"/>
    </row>
    <row r="20" spans="1:14">
      <c r="A20" s="6"/>
      <c r="B20" s="6" t="s">
        <v>221</v>
      </c>
      <c r="C20" s="6" t="s">
        <v>170</v>
      </c>
      <c r="D20" s="6" t="s">
        <v>6148</v>
      </c>
      <c r="E20" s="6"/>
      <c r="F20" s="6"/>
      <c r="G20" s="23"/>
      <c r="H20" s="6"/>
      <c r="I20" s="6"/>
      <c r="J20" s="6"/>
      <c r="K20" s="6"/>
      <c r="L20" s="6"/>
      <c r="M20" s="30"/>
      <c r="N20" s="30"/>
    </row>
    <row r="21" ht="19.5" customHeight="1" spans="1:14">
      <c r="A21" s="6"/>
      <c r="B21" s="6" t="s">
        <v>225</v>
      </c>
      <c r="C21" s="6" t="s">
        <v>6149</v>
      </c>
      <c r="D21" s="6" t="s">
        <v>6150</v>
      </c>
      <c r="E21" s="6"/>
      <c r="F21" s="6"/>
      <c r="G21" s="25"/>
      <c r="H21" s="6"/>
      <c r="I21" s="6"/>
      <c r="J21" s="6"/>
      <c r="K21" s="6"/>
      <c r="L21" s="6"/>
      <c r="M21" s="30"/>
      <c r="N21" s="30"/>
    </row>
    <row r="22" ht="19.5" customHeight="1" spans="1:14">
      <c r="A22" s="6"/>
      <c r="B22" s="6" t="s">
        <v>6151</v>
      </c>
      <c r="C22" s="6" t="s">
        <v>170</v>
      </c>
      <c r="D22" s="6" t="s">
        <v>6152</v>
      </c>
      <c r="E22" s="6"/>
      <c r="F22" s="6"/>
      <c r="G22" s="25"/>
      <c r="H22" s="6"/>
      <c r="I22" s="6"/>
      <c r="J22" s="6"/>
      <c r="K22" s="6"/>
      <c r="L22" s="6"/>
      <c r="M22" s="30"/>
      <c r="N22" s="30"/>
    </row>
    <row r="23" ht="19.5" customHeight="1" spans="1:14">
      <c r="A23" s="6"/>
      <c r="B23" s="6" t="s">
        <v>6153</v>
      </c>
      <c r="C23" s="6" t="s">
        <v>203</v>
      </c>
      <c r="D23" s="6" t="s">
        <v>6154</v>
      </c>
      <c r="E23" s="6"/>
      <c r="F23" s="6"/>
      <c r="G23" s="25"/>
      <c r="H23" s="6"/>
      <c r="I23" s="6"/>
      <c r="J23" s="6"/>
      <c r="K23" s="6"/>
      <c r="L23" s="6"/>
      <c r="M23" s="30"/>
      <c r="N23" s="30"/>
    </row>
    <row r="24" ht="19.5" customHeight="1" spans="1:14">
      <c r="A24" s="6"/>
      <c r="B24" s="6" t="s">
        <v>6155</v>
      </c>
      <c r="C24" s="6" t="s">
        <v>203</v>
      </c>
      <c r="D24" s="6" t="s">
        <v>6156</v>
      </c>
      <c r="E24" s="6"/>
      <c r="F24" s="6"/>
      <c r="G24" s="25"/>
      <c r="H24" s="6"/>
      <c r="I24" s="6"/>
      <c r="J24" s="6"/>
      <c r="K24" s="6"/>
      <c r="L24" s="6"/>
      <c r="M24" s="30"/>
      <c r="N24" s="30"/>
    </row>
    <row r="25" ht="29.45" customHeight="1" spans="1:14">
      <c r="A25" s="6"/>
      <c r="B25" s="6" t="s">
        <v>6157</v>
      </c>
      <c r="C25" s="6" t="s">
        <v>170</v>
      </c>
      <c r="D25" s="6" t="s">
        <v>6158</v>
      </c>
      <c r="E25" s="6"/>
      <c r="F25" s="6"/>
      <c r="G25" s="25"/>
      <c r="H25" s="6"/>
      <c r="I25" s="6"/>
      <c r="J25" s="6"/>
      <c r="K25" s="6"/>
      <c r="L25" s="6"/>
      <c r="M25" s="30"/>
      <c r="N25" s="30"/>
    </row>
    <row r="26" ht="29.45" customHeight="1" spans="1:14">
      <c r="A26" s="6"/>
      <c r="B26" s="22" t="s">
        <v>6181</v>
      </c>
      <c r="C26" s="22" t="s">
        <v>170</v>
      </c>
      <c r="D26" s="22" t="s">
        <v>6192</v>
      </c>
      <c r="E26" s="22"/>
      <c r="F26" s="22"/>
      <c r="G26" s="23" t="s">
        <v>6193</v>
      </c>
      <c r="H26" s="6"/>
      <c r="I26" s="6"/>
      <c r="J26" s="6"/>
      <c r="K26" s="6"/>
      <c r="L26" s="6"/>
      <c r="M26" s="30"/>
      <c r="N26" s="30"/>
    </row>
    <row r="27" ht="29.45" customHeight="1" spans="1:14">
      <c r="A27" s="6"/>
      <c r="B27" s="22" t="s">
        <v>6194</v>
      </c>
      <c r="C27" s="22" t="s">
        <v>170</v>
      </c>
      <c r="D27" s="22" t="s">
        <v>6195</v>
      </c>
      <c r="E27" s="22"/>
      <c r="F27" s="22"/>
      <c r="G27" s="23" t="s">
        <v>6196</v>
      </c>
      <c r="H27" s="6"/>
      <c r="I27" s="6"/>
      <c r="J27" s="6"/>
      <c r="K27" s="6"/>
      <c r="L27" s="6"/>
      <c r="M27" s="30"/>
      <c r="N27" s="30"/>
    </row>
    <row r="28" ht="29.45" customHeight="1" spans="1:14">
      <c r="A28" s="6"/>
      <c r="B28" s="22" t="s">
        <v>6197</v>
      </c>
      <c r="C28" s="22" t="s">
        <v>170</v>
      </c>
      <c r="D28" s="22" t="s">
        <v>6198</v>
      </c>
      <c r="E28" s="22"/>
      <c r="F28" s="22"/>
      <c r="G28" s="23" t="s">
        <v>6199</v>
      </c>
      <c r="H28" s="6"/>
      <c r="I28" s="6"/>
      <c r="J28" s="6"/>
      <c r="K28" s="6"/>
      <c r="L28" s="6"/>
      <c r="M28" s="30"/>
      <c r="N28" s="30"/>
    </row>
    <row r="29" ht="29.45" customHeight="1" spans="1:14">
      <c r="A29" s="6"/>
      <c r="B29" s="22" t="s">
        <v>6200</v>
      </c>
      <c r="C29" s="22" t="s">
        <v>203</v>
      </c>
      <c r="D29" s="22" t="s">
        <v>6201</v>
      </c>
      <c r="E29" s="22"/>
      <c r="F29" s="22"/>
      <c r="G29" s="23"/>
      <c r="H29" s="6"/>
      <c r="I29" s="6"/>
      <c r="J29" s="6"/>
      <c r="K29" s="6"/>
      <c r="L29" s="6"/>
      <c r="M29" s="30"/>
      <c r="N29" s="30"/>
    </row>
    <row r="30" ht="29.45" customHeight="1" spans="1:14">
      <c r="A30" s="6"/>
      <c r="B30" s="22" t="s">
        <v>6202</v>
      </c>
      <c r="C30" s="22" t="s">
        <v>203</v>
      </c>
      <c r="D30" s="22" t="s">
        <v>6203</v>
      </c>
      <c r="E30" s="22"/>
      <c r="F30" s="22"/>
      <c r="G30" s="23"/>
      <c r="H30" s="6"/>
      <c r="I30" s="6"/>
      <c r="J30" s="6"/>
      <c r="K30" s="6"/>
      <c r="L30" s="6"/>
      <c r="M30" s="30"/>
      <c r="N30" s="30"/>
    </row>
    <row r="31" ht="29.45" customHeight="1" spans="1:14">
      <c r="A31" s="6"/>
      <c r="B31" s="22" t="s">
        <v>200</v>
      </c>
      <c r="C31" s="22" t="s">
        <v>175</v>
      </c>
      <c r="D31" s="22" t="s">
        <v>201</v>
      </c>
      <c r="E31" s="22"/>
      <c r="F31" s="22"/>
      <c r="G31" s="23" t="s">
        <v>6204</v>
      </c>
      <c r="H31" s="6"/>
      <c r="I31" s="6"/>
      <c r="J31" s="6"/>
      <c r="K31" s="6"/>
      <c r="L31" s="6"/>
      <c r="M31" s="30"/>
      <c r="N31" s="30"/>
    </row>
    <row r="32" ht="29.45" customHeight="1" spans="1:14">
      <c r="A32" s="6"/>
      <c r="B32" s="22" t="s">
        <v>202</v>
      </c>
      <c r="C32" s="22" t="s">
        <v>203</v>
      </c>
      <c r="D32" s="22" t="s">
        <v>204</v>
      </c>
      <c r="E32" s="22"/>
      <c r="F32" s="22"/>
      <c r="G32" s="23"/>
      <c r="H32" s="6"/>
      <c r="I32" s="6"/>
      <c r="J32" s="6"/>
      <c r="K32" s="6"/>
      <c r="L32" s="6"/>
      <c r="M32" s="30"/>
      <c r="N32" s="30"/>
    </row>
    <row r="33" ht="29.45" customHeight="1" spans="1:14">
      <c r="A33" s="6"/>
      <c r="B33" s="22" t="s">
        <v>205</v>
      </c>
      <c r="C33" s="22" t="s">
        <v>203</v>
      </c>
      <c r="D33" s="22" t="s">
        <v>206</v>
      </c>
      <c r="E33" s="22"/>
      <c r="F33" s="22"/>
      <c r="G33" s="23"/>
      <c r="H33" s="6"/>
      <c r="I33" s="6"/>
      <c r="J33" s="6"/>
      <c r="K33" s="6"/>
      <c r="L33" s="6"/>
      <c r="M33" s="30"/>
      <c r="N33" s="30"/>
    </row>
    <row r="34" ht="29.45" customHeight="1" spans="1:14">
      <c r="A34" s="6"/>
      <c r="B34" s="22" t="s">
        <v>207</v>
      </c>
      <c r="C34" s="22" t="s">
        <v>170</v>
      </c>
      <c r="D34" s="22" t="s">
        <v>209</v>
      </c>
      <c r="E34" s="22"/>
      <c r="F34" s="22"/>
      <c r="G34" s="23"/>
      <c r="H34" s="6"/>
      <c r="I34" s="6"/>
      <c r="J34" s="6"/>
      <c r="K34" s="6"/>
      <c r="L34" s="6"/>
      <c r="M34" s="30"/>
      <c r="N34" s="30"/>
    </row>
    <row r="35" ht="29.45" customHeight="1" spans="1:14">
      <c r="A35" s="6"/>
      <c r="B35" s="22" t="s">
        <v>6205</v>
      </c>
      <c r="C35" s="22" t="s">
        <v>175</v>
      </c>
      <c r="D35" s="22" t="s">
        <v>6206</v>
      </c>
      <c r="E35" s="22"/>
      <c r="F35" s="22"/>
      <c r="G35" s="23"/>
      <c r="H35" s="6"/>
      <c r="I35" s="6"/>
      <c r="J35" s="6"/>
      <c r="K35" s="6"/>
      <c r="L35" s="6"/>
      <c r="M35" s="30"/>
      <c r="N35" s="30"/>
    </row>
    <row r="36" ht="29.45" customHeight="1" spans="1:14">
      <c r="A36" s="6"/>
      <c r="B36" s="22" t="s">
        <v>6188</v>
      </c>
      <c r="C36" s="22" t="s">
        <v>175</v>
      </c>
      <c r="D36" s="22" t="s">
        <v>6207</v>
      </c>
      <c r="E36" s="22"/>
      <c r="F36" s="22"/>
      <c r="G36" s="23"/>
      <c r="H36" s="6"/>
      <c r="I36" s="6"/>
      <c r="J36" s="6"/>
      <c r="K36" s="6"/>
      <c r="L36" s="6"/>
      <c r="M36" s="30"/>
      <c r="N36" s="30"/>
    </row>
    <row r="37" ht="29.45" customHeight="1" spans="1:14">
      <c r="A37" s="6"/>
      <c r="B37" s="6"/>
      <c r="C37" s="6"/>
      <c r="D37" s="6"/>
      <c r="E37" s="6"/>
      <c r="F37" s="6"/>
      <c r="G37" s="25"/>
      <c r="H37" s="6"/>
      <c r="I37" s="6"/>
      <c r="J37" s="6"/>
      <c r="K37" s="6"/>
      <c r="L37" s="6"/>
      <c r="M37" s="30"/>
      <c r="N37" s="30"/>
    </row>
    <row r="38" spans="1:14">
      <c r="A38" s="6"/>
      <c r="B38" s="26" t="s">
        <v>239</v>
      </c>
      <c r="C38" s="26" t="s">
        <v>175</v>
      </c>
      <c r="D38" s="26"/>
      <c r="E38" s="26"/>
      <c r="F38" s="26"/>
      <c r="G38" s="26"/>
      <c r="H38" s="26"/>
      <c r="I38" s="26"/>
      <c r="J38" s="26"/>
      <c r="K38" s="26"/>
      <c r="L38" s="26"/>
      <c r="M38" s="30"/>
      <c r="N38" s="30"/>
    </row>
    <row r="39" spans="1:14">
      <c r="A39" s="6"/>
      <c r="B39" s="26" t="s">
        <v>177</v>
      </c>
      <c r="C39" s="26" t="s">
        <v>175</v>
      </c>
      <c r="D39" s="26"/>
      <c r="E39" s="26"/>
      <c r="F39" s="26"/>
      <c r="G39" s="26"/>
      <c r="H39" s="26"/>
      <c r="I39" s="26"/>
      <c r="J39" s="26"/>
      <c r="K39" s="26"/>
      <c r="L39" s="26"/>
      <c r="M39" s="30"/>
      <c r="N39" s="30"/>
    </row>
  </sheetData>
  <mergeCells count="4">
    <mergeCell ref="B2:H2"/>
    <mergeCell ref="B3:H3"/>
    <mergeCell ref="B7:H7"/>
    <mergeCell ref="B10:L10"/>
  </mergeCells>
  <dataValidations count="1">
    <dataValidation type="list" allowBlank="1" showInputMessage="1" showErrorMessage="1" sqref="E5">
      <formula1>"quarter,hour,day,week,month,season(季度),year,维表,手动"</formula1>
    </dataValidation>
  </dataValidations>
  <pageMargins left="0.7" right="0.7" top="0.75" bottom="0.75" header="0.3" footer="0.3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pane ySplit="5" topLeftCell="A6" activePane="bottomLeft" state="frozen"/>
      <selection/>
      <selection pane="bottomLeft" activeCell="B1" sqref="B1"/>
    </sheetView>
  </sheetViews>
  <sheetFormatPr defaultColWidth="9" defaultRowHeight="13.8"/>
  <cols>
    <col min="1" max="1" width="1.37962962962963" style="4" customWidth="1"/>
    <col min="2" max="2" width="20" style="4" customWidth="1"/>
    <col min="3" max="3" width="28" style="4" customWidth="1"/>
    <col min="4" max="4" width="28.8796296296296" style="4" customWidth="1"/>
    <col min="5" max="5" width="11.5" style="4" customWidth="1"/>
    <col min="6" max="6" width="14.3796296296296" style="4" customWidth="1"/>
    <col min="7" max="7" width="26.6296296296296" style="4" customWidth="1"/>
    <col min="8" max="8" width="17.3796296296296" style="4" customWidth="1"/>
    <col min="9" max="9" width="4.5" style="4" customWidth="1"/>
    <col min="10" max="10" width="7.5" style="4" customWidth="1"/>
    <col min="11" max="11" width="4.5" style="4" customWidth="1"/>
    <col min="12" max="12" width="7.5" style="5" customWidth="1"/>
    <col min="13" max="16384" width="9" style="5"/>
  </cols>
  <sheetData>
    <row r="1" s="1" customFormat="1" spans="1:14">
      <c r="A1" s="6"/>
      <c r="B1" s="7" t="str">
        <f>HYPERLINK("#"&amp;"导航应用"&amp;"!B1","返回")</f>
        <v>返回</v>
      </c>
      <c r="C1" s="6"/>
      <c r="D1" s="6"/>
      <c r="E1" s="6"/>
      <c r="F1" s="6"/>
      <c r="G1" s="6"/>
      <c r="H1" s="6"/>
      <c r="I1" s="6"/>
      <c r="J1" s="6"/>
      <c r="K1" s="6"/>
      <c r="L1" s="30"/>
      <c r="M1" s="30"/>
      <c r="N1" s="30"/>
    </row>
    <row r="2" s="1" customFormat="1" spans="1:14">
      <c r="A2" s="6"/>
      <c r="B2" s="8"/>
      <c r="C2" s="8"/>
      <c r="D2" s="8"/>
      <c r="E2" s="8"/>
      <c r="F2" s="8"/>
      <c r="G2" s="8"/>
      <c r="H2" s="8"/>
      <c r="I2" s="6"/>
      <c r="J2" s="6"/>
      <c r="K2" s="6"/>
      <c r="L2" s="30"/>
      <c r="M2" s="30"/>
      <c r="N2" s="30"/>
    </row>
    <row r="3" s="1" customFormat="1" spans="1:14">
      <c r="A3" s="6"/>
      <c r="B3" s="9" t="s">
        <v>132</v>
      </c>
      <c r="C3" s="9"/>
      <c r="D3" s="9"/>
      <c r="E3" s="9"/>
      <c r="F3" s="9"/>
      <c r="G3" s="9"/>
      <c r="H3" s="9"/>
      <c r="I3" s="6"/>
      <c r="J3" s="6"/>
      <c r="K3" s="6"/>
      <c r="L3" s="30"/>
      <c r="M3" s="30"/>
      <c r="N3" s="30"/>
    </row>
    <row r="4" s="2" customFormat="1" ht="13.2" spans="1:14">
      <c r="A4" s="6"/>
      <c r="B4" s="10" t="s">
        <v>133</v>
      </c>
      <c r="C4" s="10" t="s">
        <v>134</v>
      </c>
      <c r="D4" s="10" t="s">
        <v>135</v>
      </c>
      <c r="E4" s="10" t="s">
        <v>136</v>
      </c>
      <c r="F4" s="10" t="s">
        <v>137</v>
      </c>
      <c r="G4" s="10" t="s">
        <v>6168</v>
      </c>
      <c r="H4" s="10" t="s">
        <v>139</v>
      </c>
      <c r="I4" s="6"/>
      <c r="J4" s="6"/>
      <c r="K4" s="6"/>
      <c r="L4" s="30"/>
      <c r="M4" s="30"/>
      <c r="N4" s="30"/>
    </row>
    <row r="5" s="2" customFormat="1" ht="13.2" spans="1:14">
      <c r="A5" s="11"/>
      <c r="B5" s="11" t="s">
        <v>6208</v>
      </c>
      <c r="C5" s="6" t="s">
        <v>130</v>
      </c>
      <c r="D5" s="6" t="s">
        <v>150</v>
      </c>
      <c r="E5" s="12" t="s">
        <v>174</v>
      </c>
      <c r="F5" s="13" t="s">
        <v>6140</v>
      </c>
      <c r="G5" s="6"/>
      <c r="H5" s="11" t="s">
        <v>6142</v>
      </c>
      <c r="I5" s="6"/>
      <c r="J5" s="6"/>
      <c r="K5" s="6"/>
      <c r="L5" s="30"/>
      <c r="M5" s="30"/>
      <c r="N5" s="6"/>
    </row>
    <row r="6" s="1" customFormat="1" spans="1:14">
      <c r="A6" s="6"/>
      <c r="B6" s="8"/>
      <c r="C6" s="8"/>
      <c r="D6" s="8"/>
      <c r="E6" s="8"/>
      <c r="F6" s="8"/>
      <c r="G6" s="8"/>
      <c r="H6" s="8"/>
      <c r="I6" s="6"/>
      <c r="J6" s="6"/>
      <c r="K6" s="6"/>
      <c r="L6" s="30"/>
      <c r="M6" s="30"/>
      <c r="N6" s="30"/>
    </row>
    <row r="7" s="1" customFormat="1" spans="1:14">
      <c r="A7" s="6"/>
      <c r="B7" s="9" t="s">
        <v>142</v>
      </c>
      <c r="C7" s="9"/>
      <c r="D7" s="9"/>
      <c r="E7" s="9"/>
      <c r="F7" s="9"/>
      <c r="G7" s="9"/>
      <c r="H7" s="9"/>
      <c r="I7" s="6"/>
      <c r="J7" s="6"/>
      <c r="K7" s="6"/>
      <c r="L7" s="6"/>
      <c r="M7" s="30"/>
      <c r="N7" s="30"/>
    </row>
    <row r="8" s="2" customFormat="1" ht="13.2" spans="1:14">
      <c r="A8" s="6"/>
      <c r="B8" s="14" t="s">
        <v>143</v>
      </c>
      <c r="C8" s="14" t="s">
        <v>144</v>
      </c>
      <c r="D8" s="14" t="s">
        <v>145</v>
      </c>
      <c r="E8" s="14" t="s">
        <v>146</v>
      </c>
      <c r="F8" s="14" t="s">
        <v>147</v>
      </c>
      <c r="G8" s="14" t="s">
        <v>13</v>
      </c>
      <c r="H8" s="14" t="s">
        <v>148</v>
      </c>
      <c r="I8" s="6"/>
      <c r="J8" s="6"/>
      <c r="K8" s="6"/>
      <c r="L8" s="6"/>
      <c r="M8" s="30"/>
      <c r="N8" s="30"/>
    </row>
    <row r="9" s="2" customFormat="1" ht="39.6" spans="1:14">
      <c r="A9" s="6"/>
      <c r="B9" s="6"/>
      <c r="C9" s="15" t="s">
        <v>127</v>
      </c>
      <c r="D9" s="6" t="s">
        <v>128</v>
      </c>
      <c r="E9" s="6"/>
      <c r="F9" s="6"/>
      <c r="G9" s="11" t="s">
        <v>6209</v>
      </c>
      <c r="H9" s="16" t="s">
        <v>21</v>
      </c>
      <c r="I9" s="6"/>
      <c r="J9" s="6"/>
      <c r="K9" s="6"/>
      <c r="L9" s="6"/>
      <c r="M9" s="30"/>
      <c r="N9" s="30"/>
    </row>
    <row r="10" s="2" customFormat="1" ht="13.2" spans="1:14">
      <c r="A10" s="6"/>
      <c r="B10" s="9" t="s">
        <v>158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30"/>
      <c r="N10" s="30"/>
    </row>
    <row r="11" s="2" customFormat="1" ht="13.2" spans="1:14">
      <c r="A11" s="6"/>
      <c r="B11" s="10" t="s">
        <v>159</v>
      </c>
      <c r="C11" s="10" t="s">
        <v>160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165</v>
      </c>
      <c r="I11" s="10" t="s">
        <v>13</v>
      </c>
      <c r="J11" s="10" t="s">
        <v>166</v>
      </c>
      <c r="K11" s="10" t="s">
        <v>167</v>
      </c>
      <c r="L11" s="10" t="s">
        <v>168</v>
      </c>
      <c r="M11" s="30"/>
      <c r="N11" s="30"/>
    </row>
    <row r="12" s="1" customFormat="1" spans="1:14">
      <c r="A12" s="6"/>
      <c r="B12" s="6" t="s">
        <v>190</v>
      </c>
      <c r="C12" s="6" t="s">
        <v>175</v>
      </c>
      <c r="D12" s="6" t="s">
        <v>189</v>
      </c>
      <c r="E12" s="6"/>
      <c r="F12" s="17"/>
      <c r="G12" s="6"/>
      <c r="H12" s="6"/>
      <c r="I12" s="6"/>
      <c r="J12" s="6"/>
      <c r="K12" s="6"/>
      <c r="L12" s="6"/>
      <c r="M12" s="30"/>
      <c r="N12" s="30"/>
    </row>
    <row r="13" s="1" customFormat="1" spans="1:14">
      <c r="A13" s="6"/>
      <c r="B13" s="6" t="s">
        <v>191</v>
      </c>
      <c r="C13" s="6" t="s">
        <v>175</v>
      </c>
      <c r="D13" s="6" t="s">
        <v>192</v>
      </c>
      <c r="E13" s="6"/>
      <c r="F13" s="18"/>
      <c r="G13" s="6"/>
      <c r="H13" s="6"/>
      <c r="I13" s="6"/>
      <c r="J13" s="6"/>
      <c r="K13" s="6"/>
      <c r="L13" s="6"/>
      <c r="M13" s="30"/>
      <c r="N13" s="30"/>
    </row>
    <row r="14" s="1" customFormat="1" ht="20.1" customHeight="1" spans="1:14">
      <c r="A14" s="6"/>
      <c r="B14" s="6" t="s">
        <v>193</v>
      </c>
      <c r="C14" s="6" t="s">
        <v>175</v>
      </c>
      <c r="D14" s="19" t="s">
        <v>6170</v>
      </c>
      <c r="E14" s="6"/>
      <c r="F14" s="18"/>
      <c r="G14" s="20" t="s">
        <v>6171</v>
      </c>
      <c r="H14" s="6"/>
      <c r="I14" s="6"/>
      <c r="J14" s="6"/>
      <c r="K14" s="6"/>
      <c r="L14" s="6"/>
      <c r="M14" s="30"/>
      <c r="N14" s="30"/>
    </row>
    <row r="15" s="1" customFormat="1" ht="20.1" customHeight="1" spans="1:14">
      <c r="A15" s="6"/>
      <c r="B15" s="6" t="s">
        <v>195</v>
      </c>
      <c r="C15" s="6" t="s">
        <v>170</v>
      </c>
      <c r="D15" s="11" t="s">
        <v>196</v>
      </c>
      <c r="E15" s="6"/>
      <c r="F15" s="17"/>
      <c r="G15" s="6"/>
      <c r="H15" s="6"/>
      <c r="I15" s="6"/>
      <c r="J15" s="6"/>
      <c r="K15" s="6"/>
      <c r="L15" s="6"/>
      <c r="M15" s="30"/>
      <c r="N15" s="30"/>
    </row>
    <row r="16" s="1" customFormat="1" ht="20.1" customHeight="1" spans="1:14">
      <c r="A16" s="6"/>
      <c r="B16" s="6" t="s">
        <v>197</v>
      </c>
      <c r="C16" s="21" t="s">
        <v>6210</v>
      </c>
      <c r="D16" s="19" t="s">
        <v>6211</v>
      </c>
      <c r="E16" s="6"/>
      <c r="F16" s="17"/>
      <c r="G16" s="6"/>
      <c r="H16" s="6"/>
      <c r="I16" s="6"/>
      <c r="J16" s="6"/>
      <c r="K16" s="6"/>
      <c r="L16" s="6"/>
      <c r="M16" s="30"/>
      <c r="N16" s="30"/>
    </row>
    <row r="17" s="1" customFormat="1" ht="20.1" customHeight="1" spans="1:14">
      <c r="A17" s="6"/>
      <c r="B17" s="22" t="s">
        <v>200</v>
      </c>
      <c r="C17" s="22" t="s">
        <v>175</v>
      </c>
      <c r="D17" s="22" t="s">
        <v>201</v>
      </c>
      <c r="E17" s="6"/>
      <c r="F17" s="6"/>
      <c r="G17" s="6"/>
      <c r="H17" s="6"/>
      <c r="I17" s="6"/>
      <c r="J17" s="6"/>
      <c r="K17" s="6"/>
      <c r="L17" s="6"/>
      <c r="M17" s="30"/>
      <c r="N17" s="30"/>
    </row>
    <row r="18" s="1" customFormat="1" ht="20.1" customHeight="1" spans="1:14">
      <c r="A18" s="6"/>
      <c r="B18" s="22" t="s">
        <v>202</v>
      </c>
      <c r="C18" s="22" t="s">
        <v>203</v>
      </c>
      <c r="D18" s="22" t="s">
        <v>204</v>
      </c>
      <c r="E18" s="6"/>
      <c r="F18" s="6"/>
      <c r="G18" s="6"/>
      <c r="H18" s="6"/>
      <c r="I18" s="6"/>
      <c r="J18" s="6"/>
      <c r="K18" s="6"/>
      <c r="L18" s="6"/>
      <c r="M18" s="30"/>
      <c r="N18" s="30"/>
    </row>
    <row r="19" s="1" customFormat="1" ht="20.1" customHeight="1" spans="1:14">
      <c r="A19" s="6"/>
      <c r="B19" s="22" t="s">
        <v>205</v>
      </c>
      <c r="C19" s="22" t="s">
        <v>203</v>
      </c>
      <c r="D19" s="22" t="s">
        <v>206</v>
      </c>
      <c r="E19" s="6"/>
      <c r="F19" s="6"/>
      <c r="G19" s="23"/>
      <c r="H19" s="6"/>
      <c r="I19" s="6"/>
      <c r="J19" s="6"/>
      <c r="K19" s="6"/>
      <c r="L19" s="6"/>
      <c r="M19" s="30"/>
      <c r="N19" s="30"/>
    </row>
    <row r="20" s="1" customFormat="1" ht="20.1" customHeight="1" spans="1:14">
      <c r="A20" s="6"/>
      <c r="B20" s="22" t="s">
        <v>221</v>
      </c>
      <c r="C20" s="20" t="s">
        <v>6212</v>
      </c>
      <c r="D20" s="22" t="s">
        <v>221</v>
      </c>
      <c r="E20" s="6"/>
      <c r="F20" s="6"/>
      <c r="G20" s="23" t="s">
        <v>6213</v>
      </c>
      <c r="H20" s="6"/>
      <c r="I20" s="6"/>
      <c r="J20" s="6"/>
      <c r="K20" s="6"/>
      <c r="L20" s="6"/>
      <c r="M20" s="30"/>
      <c r="N20" s="30"/>
    </row>
    <row r="21" s="1" customFormat="1" ht="20.1" customHeight="1" spans="1:14">
      <c r="A21" s="6"/>
      <c r="B21" s="20" t="s">
        <v>225</v>
      </c>
      <c r="C21" s="20" t="s">
        <v>6212</v>
      </c>
      <c r="D21" s="20" t="s">
        <v>225</v>
      </c>
      <c r="E21" s="6"/>
      <c r="F21" s="6"/>
      <c r="G21" s="24" t="s">
        <v>6213</v>
      </c>
      <c r="H21" s="6"/>
      <c r="I21" s="6"/>
      <c r="J21" s="6"/>
      <c r="K21" s="6"/>
      <c r="L21" s="6"/>
      <c r="M21" s="30"/>
      <c r="N21" s="30"/>
    </row>
    <row r="22" s="1" customFormat="1" ht="20.1" customHeight="1" spans="1:14">
      <c r="A22" s="6"/>
      <c r="B22" s="6" t="s">
        <v>1976</v>
      </c>
      <c r="C22" s="21" t="s">
        <v>170</v>
      </c>
      <c r="D22" s="21" t="s">
        <v>6214</v>
      </c>
      <c r="E22" s="6"/>
      <c r="F22" s="6"/>
      <c r="G22" s="25"/>
      <c r="H22" s="6"/>
      <c r="I22" s="6"/>
      <c r="J22" s="6"/>
      <c r="K22" s="6"/>
      <c r="L22" s="6"/>
      <c r="M22" s="30"/>
      <c r="N22" s="30"/>
    </row>
    <row r="23" s="1" customFormat="1" ht="20.1" customHeight="1" spans="1:14">
      <c r="A23" s="6"/>
      <c r="B23" s="6" t="s">
        <v>1558</v>
      </c>
      <c r="C23" s="21" t="s">
        <v>170</v>
      </c>
      <c r="D23" s="21" t="s">
        <v>6215</v>
      </c>
      <c r="E23" s="6"/>
      <c r="F23" s="6"/>
      <c r="G23" s="25"/>
      <c r="H23" s="6"/>
      <c r="I23" s="6"/>
      <c r="J23" s="6"/>
      <c r="K23" s="6"/>
      <c r="L23" s="6"/>
      <c r="M23" s="30"/>
      <c r="N23" s="30"/>
    </row>
    <row r="24" s="1" customFormat="1" ht="20.1" customHeight="1" spans="1:14">
      <c r="A24" s="6"/>
      <c r="B24" s="6" t="s">
        <v>207</v>
      </c>
      <c r="C24" s="6" t="s">
        <v>175</v>
      </c>
      <c r="D24" s="6" t="s">
        <v>209</v>
      </c>
      <c r="E24" s="6"/>
      <c r="F24" s="6"/>
      <c r="G24" s="25"/>
      <c r="H24" s="6"/>
      <c r="I24" s="6"/>
      <c r="J24" s="6"/>
      <c r="K24" s="6"/>
      <c r="L24" s="6"/>
      <c r="M24" s="30"/>
      <c r="N24" s="30"/>
    </row>
    <row r="25" s="1" customFormat="1" ht="20.1" customHeight="1" spans="1:14">
      <c r="A25" s="6"/>
      <c r="B25" s="20" t="s">
        <v>6164</v>
      </c>
      <c r="C25" s="20" t="s">
        <v>170</v>
      </c>
      <c r="D25" s="20" t="s">
        <v>6166</v>
      </c>
      <c r="E25" s="6"/>
      <c r="F25" s="6"/>
      <c r="G25" s="25"/>
      <c r="H25" s="6"/>
      <c r="I25" s="6"/>
      <c r="J25" s="6"/>
      <c r="K25" s="6"/>
      <c r="L25" s="6"/>
      <c r="M25" s="30"/>
      <c r="N25" s="30"/>
    </row>
    <row r="26" s="1" customFormat="1" ht="20.1" customHeight="1" spans="1:14">
      <c r="A26" s="6"/>
      <c r="B26" s="20" t="s">
        <v>228</v>
      </c>
      <c r="C26" s="20" t="s">
        <v>170</v>
      </c>
      <c r="D26" s="20" t="s">
        <v>6216</v>
      </c>
      <c r="E26" s="6"/>
      <c r="F26" s="6"/>
      <c r="G26" s="25"/>
      <c r="H26" s="6"/>
      <c r="I26" s="6"/>
      <c r="J26" s="6"/>
      <c r="K26" s="6"/>
      <c r="L26" s="6"/>
      <c r="M26" s="30"/>
      <c r="N26" s="30"/>
    </row>
    <row r="27" s="1" customFormat="1" ht="20.1" customHeight="1" spans="1:14">
      <c r="A27" s="6"/>
      <c r="B27" s="6" t="s">
        <v>6188</v>
      </c>
      <c r="C27" s="6" t="s">
        <v>175</v>
      </c>
      <c r="D27" s="6" t="s">
        <v>6207</v>
      </c>
      <c r="E27" s="6"/>
      <c r="F27" s="6"/>
      <c r="G27" s="25"/>
      <c r="H27" s="6"/>
      <c r="I27" s="6"/>
      <c r="J27" s="6"/>
      <c r="K27" s="6"/>
      <c r="L27" s="6"/>
      <c r="M27" s="30"/>
      <c r="N27" s="30"/>
    </row>
    <row r="28" s="1" customFormat="1" ht="20.1" customHeight="1" spans="1:14">
      <c r="A28" s="6"/>
      <c r="B28" s="6"/>
      <c r="C28" s="6"/>
      <c r="D28" s="6"/>
      <c r="E28" s="6"/>
      <c r="F28" s="6"/>
      <c r="G28" s="25"/>
      <c r="H28" s="6"/>
      <c r="I28" s="6"/>
      <c r="J28" s="6"/>
      <c r="K28" s="6"/>
      <c r="L28" s="6"/>
      <c r="M28" s="30"/>
      <c r="N28" s="30"/>
    </row>
    <row r="29" s="1" customFormat="1" ht="20.1" customHeight="1" spans="1:14">
      <c r="A29" s="6"/>
      <c r="B29" s="26" t="s">
        <v>239</v>
      </c>
      <c r="C29" s="26" t="s">
        <v>175</v>
      </c>
      <c r="D29" s="26"/>
      <c r="E29" s="26"/>
      <c r="F29" s="26"/>
      <c r="G29" s="26"/>
      <c r="H29" s="26"/>
      <c r="I29" s="26"/>
      <c r="J29" s="26"/>
      <c r="K29" s="26"/>
      <c r="L29" s="26"/>
      <c r="M29" s="30"/>
      <c r="N29" s="30"/>
    </row>
    <row r="30" s="3" customFormat="1" ht="20.1" customHeight="1" spans="1:14">
      <c r="A30" s="27"/>
      <c r="B30" s="28" t="s">
        <v>177</v>
      </c>
      <c r="C30" s="28" t="s">
        <v>175</v>
      </c>
      <c r="D30" s="28"/>
      <c r="E30" s="28"/>
      <c r="F30" s="28"/>
      <c r="G30" s="28"/>
      <c r="H30" s="28"/>
      <c r="I30" s="28"/>
      <c r="J30" s="28"/>
      <c r="K30" s="28"/>
      <c r="L30" s="28"/>
      <c r="M30" s="31"/>
      <c r="N30" s="31"/>
    </row>
    <row r="31" ht="20.1" customHeight="1" spans="1:1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32"/>
      <c r="M31" s="32"/>
      <c r="N31" s="32"/>
    </row>
    <row r="32" s="4" customFormat="1" ht="20.1" customHeight="1" spans="1:1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32"/>
      <c r="M32" s="32"/>
      <c r="N32" s="32"/>
    </row>
    <row r="33" s="4" customFormat="1" ht="20.1" customHeight="1" spans="1:14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32"/>
      <c r="M33" s="32"/>
      <c r="N33" s="32"/>
    </row>
    <row r="34" s="4" customFormat="1" ht="20.1" customHeight="1" spans="1:1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32"/>
      <c r="M34" s="32"/>
      <c r="N34" s="32"/>
    </row>
    <row r="35" s="4" customFormat="1" ht="20.1" customHeight="1" spans="1:1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32"/>
      <c r="M35" s="32"/>
      <c r="N35" s="32"/>
    </row>
    <row r="36" s="4" customFormat="1" ht="20.1" customHeight="1" spans="1:14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32"/>
      <c r="M36" s="32"/>
      <c r="N36" s="32"/>
    </row>
    <row r="37" s="4" customFormat="1" ht="20.1" customHeight="1" spans="1:14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32"/>
      <c r="M37" s="32"/>
      <c r="N37" s="32"/>
    </row>
  </sheetData>
  <mergeCells count="4">
    <mergeCell ref="B2:H2"/>
    <mergeCell ref="B3:H3"/>
    <mergeCell ref="B7:H7"/>
    <mergeCell ref="B10:L10"/>
  </mergeCells>
  <dataValidations count="1">
    <dataValidation type="list" allowBlank="1" showInputMessage="1" showErrorMessage="1" sqref="E5">
      <formula1>"quarter,hour,day,week,month,season(季度),year,维表,手动"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修改记录</vt:lpstr>
      <vt:lpstr>gis图层</vt:lpstr>
      <vt:lpstr>导航应用</vt:lpstr>
      <vt:lpstr>D1</vt:lpstr>
      <vt:lpstr>D2</vt:lpstr>
      <vt:lpstr>D3</vt:lpstr>
      <vt:lpstr>D4</vt:lpstr>
      <vt:lpstr>D5</vt:lpstr>
      <vt:lpstr>D6</vt:lpstr>
      <vt:lpstr>D7</vt:lpstr>
      <vt:lpstr>D8</vt:lpstr>
      <vt:lpstr>D9</vt:lpstr>
      <vt:lpstr>D10</vt:lpstr>
      <vt:lpstr>L1</vt:lpstr>
      <vt:lpstr>L2</vt:lpstr>
      <vt:lpstr>L3</vt:lpstr>
      <vt:lpstr>L4</vt:lpstr>
      <vt:lpstr>L5</vt:lpstr>
      <vt:lpstr>L6</vt:lpstr>
      <vt:lpstr>L7</vt:lpstr>
      <vt:lpstr>L8</vt:lpstr>
      <vt:lpstr>L9</vt:lpstr>
      <vt:lpstr>L10</vt:lpstr>
      <vt:lpstr>L11</vt:lpstr>
      <vt:lpstr>L12</vt:lpstr>
      <vt:lpstr>L13</vt:lpstr>
      <vt:lpstr>L14</vt:lpstr>
      <vt:lpstr>L15</vt:lpstr>
      <vt:lpstr>L16</vt:lpstr>
      <vt:lpstr>L17</vt:lpstr>
      <vt:lpstr>L18</vt:lpstr>
      <vt:lpstr>L19</vt:lpstr>
      <vt:lpstr>L20</vt:lpstr>
      <vt:lpstr>wz1</vt:lpstr>
      <vt:lpstr>wz2</vt:lpstr>
      <vt:lpstr>wz3</vt:lpstr>
      <vt:lpstr>wz4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mingxing luo</dc:creator>
  <cp:lastModifiedBy>张玉同</cp:lastModifiedBy>
  <dcterms:created xsi:type="dcterms:W3CDTF">2024-09-09T00:56:00Z</dcterms:created>
  <dcterms:modified xsi:type="dcterms:W3CDTF">2024-09-13T06:18:39Z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D1C4422A542E4C87853B209823467CC3_12</vt:lpwstr>
  </property>
  <property fmtid="{D5CDD505-2E9C-101B-9397-08002B2CF9AE}" pid="3" name="KSOProductBuildVer">
    <vt:lpwstr>2052-12.1.0.17827</vt:lpwstr>
  </property>
</Properties>
</file>