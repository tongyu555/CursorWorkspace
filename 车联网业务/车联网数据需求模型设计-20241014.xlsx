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tabRatio="943"/>
  </bookViews>
  <sheets>
    <sheet name="导航" sheetId="3" r:id="rId1"/>
    <sheet name="0.1" sheetId="184" r:id="rId2"/>
    <sheet name="0.2" sheetId="189" r:id="rId3"/>
    <sheet name="0.3" sheetId="190" r:id="rId4"/>
    <sheet name="0.4" sheetId="185" r:id="rId5"/>
    <sheet name="0.5" sheetId="186" r:id="rId6"/>
    <sheet name="0.6" sheetId="187" r:id="rId7"/>
    <sheet name="0.7" sheetId="192" r:id="rId8"/>
    <sheet name="0.8" sheetId="193" r:id="rId9"/>
    <sheet name="1" sheetId="71" r:id="rId10"/>
    <sheet name="2" sheetId="147" r:id="rId11"/>
    <sheet name="3" sheetId="148" r:id="rId12"/>
    <sheet name="4" sheetId="149" r:id="rId13"/>
    <sheet name="5" sheetId="150" r:id="rId14"/>
    <sheet name="6" sheetId="151" r:id="rId15"/>
    <sheet name="7" sheetId="152" r:id="rId16"/>
    <sheet name="8" sheetId="153" r:id="rId17"/>
    <sheet name="9" sheetId="154" r:id="rId18"/>
    <sheet name="10" sheetId="157" r:id="rId19"/>
    <sheet name="11" sheetId="156" r:id="rId20"/>
    <sheet name="12" sheetId="158" r:id="rId21"/>
    <sheet name="13" sheetId="159" r:id="rId22"/>
    <sheet name="14" sheetId="160" r:id="rId23"/>
    <sheet name="15" sheetId="161" r:id="rId24"/>
    <sheet name="16" sheetId="162" r:id="rId25"/>
    <sheet name="17" sheetId="163" r:id="rId26"/>
    <sheet name="18" sheetId="164" r:id="rId27"/>
    <sheet name="19" sheetId="165" r:id="rId28"/>
    <sheet name="20" sheetId="166" r:id="rId29"/>
    <sheet name="21" sheetId="168" r:id="rId30"/>
    <sheet name="22" sheetId="167" r:id="rId31"/>
    <sheet name="23" sheetId="169" r:id="rId32"/>
    <sheet name="24" sheetId="170" r:id="rId33"/>
    <sheet name="25" sheetId="171" r:id="rId34"/>
    <sheet name="26" sheetId="172" r:id="rId35"/>
    <sheet name="27" sheetId="173" r:id="rId36"/>
    <sheet name="28" sheetId="174" r:id="rId37"/>
    <sheet name="29" sheetId="175" r:id="rId38"/>
    <sheet name="30" sheetId="176" r:id="rId39"/>
    <sheet name="31" sheetId="179" r:id="rId40"/>
    <sheet name="32" sheetId="180" r:id="rId41"/>
    <sheet name="33" sheetId="181" r:id="rId42"/>
    <sheet name="34" sheetId="177" r:id="rId43"/>
    <sheet name="35" sheetId="183" r:id="rId44"/>
    <sheet name="36" sheetId="182" r:id="rId45"/>
    <sheet name="37" sheetId="196" r:id="rId46"/>
    <sheet name="38" sheetId="197" r:id="rId47"/>
    <sheet name="39" sheetId="198" r:id="rId48"/>
    <sheet name="40" sheetId="199" r:id="rId49"/>
    <sheet name="41" sheetId="200" r:id="rId50"/>
    <sheet name="42" sheetId="201" r:id="rId51"/>
  </sheets>
  <externalReferences>
    <externalReference r:id="rId52"/>
  </externalReferences>
  <definedNames>
    <definedName name="_xlnm._FilterDatabase" localSheetId="0" hidden="1">导航!$A$1:$T$51</definedName>
    <definedName name="_xlnm._FilterDatabase" localSheetId="9" hidden="1">'1'!$A$15:$N$146</definedName>
    <definedName name="_xlnm._FilterDatabase" localSheetId="10" hidden="1">'2'!$A$15:$N$294</definedName>
    <definedName name="_xlnm._FilterDatabase" localSheetId="11" hidden="1">'3'!$A$15:$N$37</definedName>
    <definedName name="_xlnm._FilterDatabase" localSheetId="12" hidden="1">'4'!$A$15:$N$152</definedName>
    <definedName name="_xlnm._FilterDatabase" localSheetId="13" hidden="1">'5'!$A$15:$N$300</definedName>
    <definedName name="_xlnm._FilterDatabase" localSheetId="14" hidden="1">'6'!$A$15:$N$37</definedName>
    <definedName name="_xlnm._FilterDatabase" localSheetId="15" hidden="1">'7'!$A$15:$N$131</definedName>
    <definedName name="_xlnm._FilterDatabase" localSheetId="16" hidden="1">'8'!$A$15:$N$122</definedName>
    <definedName name="_xlnm._FilterDatabase" localSheetId="17" hidden="1">'9'!$A$15:$N$37</definedName>
    <definedName name="_xlnm._FilterDatabase" localSheetId="18" hidden="1">'10'!$A$15:$N$160</definedName>
    <definedName name="_xlnm._FilterDatabase" localSheetId="19" hidden="1">'11'!$A$15:$N$305</definedName>
    <definedName name="_xlnm._FilterDatabase" localSheetId="20" hidden="1">'12'!$A$15:$N$37</definedName>
    <definedName name="_xlnm._FilterDatabase" localSheetId="21" hidden="1">'13'!$A$15:$N$150</definedName>
    <definedName name="_xlnm._FilterDatabase" localSheetId="22" hidden="1">'14'!$A$15:$N$283</definedName>
    <definedName name="_xlnm._FilterDatabase" localSheetId="23" hidden="1">'15'!$A$15:$N$37</definedName>
    <definedName name="_xlnm._FilterDatabase" localSheetId="24" hidden="1">'16'!$A$15:$N$133</definedName>
    <definedName name="_xlnm._FilterDatabase" localSheetId="25" hidden="1">'17'!$A$15:$N$138</definedName>
    <definedName name="_xlnm._FilterDatabase" localSheetId="26" hidden="1">'18'!$A$15:$N$37</definedName>
    <definedName name="_xlnm._FilterDatabase" localSheetId="27" hidden="1">'19'!$A$16:$N$207</definedName>
    <definedName name="_xlnm._FilterDatabase" localSheetId="28" hidden="1">'20'!$A$15:$N$385</definedName>
    <definedName name="_xlnm._FilterDatabase" localSheetId="29" hidden="1">'21'!$A$15:$N$377</definedName>
    <definedName name="_xlnm._FilterDatabase" localSheetId="30" hidden="1">'22'!$A$15:$N$38</definedName>
    <definedName name="_xlnm._FilterDatabase" localSheetId="31" hidden="1">'23'!$A$16:$N$139</definedName>
    <definedName name="_xlnm._FilterDatabase" localSheetId="32" hidden="1">'24'!$A$15:$N$148</definedName>
    <definedName name="_xlnm._FilterDatabase" localSheetId="33" hidden="1">'25'!$A$15:$N$38</definedName>
    <definedName name="_xlnm._FilterDatabase" localSheetId="34" hidden="1">'26'!$A$16:$N$132</definedName>
    <definedName name="_xlnm._FilterDatabase" localSheetId="35" hidden="1">'27'!$A$15:$N$38</definedName>
    <definedName name="_xlnm._FilterDatabase" localSheetId="36" hidden="1">'28'!$A$16:$N$159</definedName>
    <definedName name="_xlnm._FilterDatabase" localSheetId="37" hidden="1">'29'!$A$15:$N$302</definedName>
    <definedName name="_xlnm._FilterDatabase" localSheetId="38" hidden="1">'30'!$A$15:$N$38</definedName>
    <definedName name="_xlnm._FilterDatabase" localSheetId="39" hidden="1">'31'!$A$13:$N$139</definedName>
    <definedName name="_xlnm._FilterDatabase" localSheetId="40" hidden="1">'32'!$A$13:$N$137</definedName>
    <definedName name="_xlnm._FilterDatabase" localSheetId="41" hidden="1">'33'!$A$13:$N$125</definedName>
    <definedName name="_xlnm._FilterDatabase" localSheetId="42" hidden="1">'34'!$A$15:$N$31</definedName>
    <definedName name="_xlnm._FilterDatabase" localSheetId="43" hidden="1">'35'!$A$13:$N$162</definedName>
    <definedName name="_xlnm._FilterDatabase" localSheetId="44" hidden="1">'36'!$A$13:$N$73</definedName>
    <definedName name="_xlnm._FilterDatabase" localSheetId="45" hidden="1">'37'!$A$16:$N$268</definedName>
    <definedName name="_xlnm._FilterDatabase" localSheetId="46" hidden="1">'38'!$A$13:$N$212</definedName>
    <definedName name="_xlnm._FilterDatabase" localSheetId="47" hidden="1">'39'!$A$14:$N$31</definedName>
    <definedName name="_xlnm._FilterDatabase" localSheetId="48" hidden="1">'40'!$A$15:$N$340</definedName>
    <definedName name="_xlnm._FilterDatabase" localSheetId="49" hidden="1">'41'!$A$13:$N$273</definedName>
    <definedName name="_xlnm._FilterDatabase" localSheetId="50" hidden="1">'42'!$A$14:$N$31</definedName>
    <definedName name="_xlnm._FilterDatabase" localSheetId="7" hidden="1">'0.7'!$A$33:$Q$177</definedName>
    <definedName name="_xlnm._FilterDatabase" localSheetId="8" hidden="1">'0.8'!$A$28:$N$219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<sst xmlns="http://schemas.openxmlformats.org/spreadsheetml/2006/main" count="25447" uniqueCount="5189">
  <si>
    <t>内部编号</t>
  </si>
  <si>
    <t>索引</t>
  </si>
  <si>
    <t>项目名称</t>
  </si>
  <si>
    <t>数据层级</t>
  </si>
  <si>
    <t>主题域</t>
  </si>
  <si>
    <t>表英文名</t>
  </si>
  <si>
    <t>表中文名</t>
  </si>
  <si>
    <t>数据描述</t>
  </si>
  <si>
    <t>汇聚维度</t>
  </si>
  <si>
    <t>数据时间粒度</t>
  </si>
  <si>
    <t>最小时间分区</t>
  </si>
  <si>
    <t>计算位置</t>
  </si>
  <si>
    <t>是否同步</t>
  </si>
  <si>
    <t>生命周期（存储周期单位：天）</t>
  </si>
  <si>
    <t>前向表</t>
  </si>
  <si>
    <t>支撑应用/系统</t>
  </si>
  <si>
    <t>新建/升级</t>
  </si>
  <si>
    <t>备注</t>
  </si>
  <si>
    <t>同步数据库</t>
  </si>
  <si>
    <t>开发责任人</t>
  </si>
  <si>
    <t>开发进度</t>
  </si>
  <si>
    <t>网络数据处理系统</t>
  </si>
  <si>
    <t>整合层</t>
  </si>
  <si>
    <t>/</t>
  </si>
  <si>
    <t>fact_lte_mro_iov_q</t>
  </si>
  <si>
    <t>电信4G车载用户MRO事实表</t>
  </si>
  <si>
    <t>详单</t>
  </si>
  <si>
    <t>15分钟</t>
  </si>
  <si>
    <t>核心</t>
  </si>
  <si>
    <t>ods_lte_mro_q</t>
  </si>
  <si>
    <t>新建</t>
  </si>
  <si>
    <t>田进</t>
  </si>
  <si>
    <t>fact_lte_mro_iov_lt_q</t>
  </si>
  <si>
    <t>联通4G车载用户MRO事实表</t>
  </si>
  <si>
    <t>ods_lte_mro_usrbackfill_lt_q</t>
  </si>
  <si>
    <t>fact_nr_mro_iov_q</t>
  </si>
  <si>
    <t>5G车载用户MRO事实表</t>
  </si>
  <si>
    <t>ods_nr_mro_northctcc</t>
  </si>
  <si>
    <t>张玉同</t>
  </si>
  <si>
    <t>已开发</t>
  </si>
  <si>
    <t>fact_45g_mr_iov_location_h</t>
  </si>
  <si>
    <t>45G 车载用户位置事实表</t>
  </si>
  <si>
    <t>fact_lte_mro_iov_q|fact_lte_mro_iov_lt_q|fact_nr_mro_iov_q</t>
  </si>
  <si>
    <t>中间层</t>
  </si>
  <si>
    <t>轨迹分析</t>
  </si>
  <si>
    <t>aggr_45gmr_user_trips_detail_d</t>
  </si>
  <si>
    <t>45G 车载用户轨迹路段详细信息天表</t>
  </si>
  <si>
    <t>45G用户出行轨迹运动时刻天表</t>
  </si>
  <si>
    <t>用户|路段|小区</t>
  </si>
  <si>
    <t>天</t>
  </si>
  <si>
    <t>fact_45gmr_location_h</t>
  </si>
  <si>
    <t>5G定制网</t>
  </si>
  <si>
    <t>靳森</t>
  </si>
  <si>
    <t>aggr_45gmr_user_trips_main_d</t>
  </si>
  <si>
    <t>45G 车载用户轨迹路段概览天表</t>
  </si>
  <si>
    <t>45G用户出行轨迹路段概览天表</t>
  </si>
  <si>
    <t>用户</t>
  </si>
  <si>
    <t>维度层</t>
  </si>
  <si>
    <t>信令分析</t>
  </si>
  <si>
    <t>cfg_s1mme_cause_code_list</t>
  </si>
  <si>
    <t>s1mme定界定位编码表</t>
  </si>
  <si>
    <t>静态配置表</t>
  </si>
  <si>
    <t>cfg_n1n2_cause_code_list</t>
  </si>
  <si>
    <t>n1n2定界定位编码表</t>
  </si>
  <si>
    <t>fact_psup_video_e2e</t>
  </si>
  <si>
    <t>4G DPI视频业务事实表</t>
  </si>
  <si>
    <t>小时</t>
  </si>
  <si>
    <t>fact_psup_video_e2e_front|lte_cm_projdata|lte_cucc_cm_projdata</t>
  </si>
  <si>
    <t>升级</t>
  </si>
  <si>
    <t>jar包任务</t>
  </si>
  <si>
    <t>数据业务感知</t>
  </si>
  <si>
    <t>aggr_4g_video_usrappcel_e2e_h</t>
  </si>
  <si>
    <t>4G DPI视频业务基础小时表</t>
  </si>
  <si>
    <t>用户|小区|app|apn</t>
  </si>
  <si>
    <t>aggr_lte_iov_video_usrappcel_h</t>
  </si>
  <si>
    <t>4G DPI视频业务用户小区app小时表</t>
  </si>
  <si>
    <t>用户|小区|app</t>
  </si>
  <si>
    <t>fact_4gdpi_http_e2e_telecom_q</t>
  </si>
  <si>
    <t>4G DPI HTTP业务事实表</t>
  </si>
  <si>
    <t>fact_psup_http_e2e_front|lte_cm_projdata|lte_cucc_cm_projdata</t>
  </si>
  <si>
    <t>aggr_4gdpi_http_base_h</t>
  </si>
  <si>
    <t>4G DPI HTTP业务基础小时表</t>
  </si>
  <si>
    <t>aggr_lte_iov_http_usrappcel_h</t>
  </si>
  <si>
    <t>4G DPI HTTP业务用户小区app小时表</t>
  </si>
  <si>
    <t>fact_4gdpi_https_e2e_telecom_h</t>
  </si>
  <si>
    <t>4G DPI HTTPS业务事实表</t>
  </si>
  <si>
    <t>前置</t>
  </si>
  <si>
    <t>ods_4gdpi_https_e2e_telecom_q|lte_cm_projdata|lte_cucc_cm_projdata</t>
  </si>
  <si>
    <t>aggr_4gdpi_https_e2e_telecom_h</t>
  </si>
  <si>
    <t>4G DPI HTTPS业务基础小时表</t>
  </si>
  <si>
    <t>是</t>
  </si>
  <si>
    <t>前置：7；核心：14</t>
  </si>
  <si>
    <t>aggr_lte_iov_https_usrappcel_h</t>
  </si>
  <si>
    <t>4G DPI HTTPS业务用户小区app小时表</t>
  </si>
  <si>
    <t>fact_5gdpi_s1uhttp_e2e_telecom_q</t>
  </si>
  <si>
    <t>5G DPI S1UHTTP业务事实表</t>
  </si>
  <si>
    <t>5G DPI S1U-HTTP业务事实表</t>
  </si>
  <si>
    <t>ods_5gdpi_s1uhttp_e2e_telecom_q|lte_cm_projdata|lte_cucc_cm_projdata</t>
  </si>
  <si>
    <t>aggr_5gdpi_s1uhttp_base_h</t>
  </si>
  <si>
    <t>5G DPI s1uhttp基础小时表</t>
  </si>
  <si>
    <t>aggr_nr_iov_s1uhttp_usrappcel_h</t>
  </si>
  <si>
    <t>5G DPI s1uhttp业务用户小区app小时表</t>
  </si>
  <si>
    <t>fact_5gdpi_s1uvideo_e2e_telecom_q</t>
  </si>
  <si>
    <t>5G DPI s1uvideo业务事实表</t>
  </si>
  <si>
    <t>5G DPI s1u-video业务事实表</t>
  </si>
  <si>
    <t>ods_5gdpi_s1uvideo_e2e_telecom_q|lte_cm_projdata|lte_cucc_cm_projdata</t>
  </si>
  <si>
    <t>aggr_5gdpi_s1uvideo_base_h</t>
  </si>
  <si>
    <t>5G DPI s1uvideo基础小时表</t>
  </si>
  <si>
    <t>aggr_nr_iov_s1uvideo_usrappcel_h</t>
  </si>
  <si>
    <t>5G DPI s1uvideo业务用户小区app小时表</t>
  </si>
  <si>
    <t>fact_5gdpi_s1uhttps_e2e_telecom_q</t>
  </si>
  <si>
    <t>5G DPI s1uhttps业务事实表</t>
  </si>
  <si>
    <t>5G DPI s1u-https业务事实表</t>
  </si>
  <si>
    <t>ods_5gdpi_s1uhttps_e2e_telecom_q|lte_cm_projdata|lte_cucc_cm_projdata</t>
  </si>
  <si>
    <t>aggr_5gdpi_s1uhttps_base_h</t>
  </si>
  <si>
    <t>5G DPI s1uhttps基础小时表</t>
  </si>
  <si>
    <t>aggr_nr_iov_s1uhttps_usrappcel_h</t>
  </si>
  <si>
    <t>5G DPI s1uhttps业务用户小区app小时表</t>
  </si>
  <si>
    <t>fact_5gdpi_video_e2e</t>
  </si>
  <si>
    <t>5G DPI视频业务事实表</t>
  </si>
  <si>
    <t>ods_5gdpi_video_e2e_telecom_q|lte_cm_projdata|lte_cucc_cm_projdata|fact_nr_cm_projdata</t>
  </si>
  <si>
    <t>aggr_5g_video_usrappcelslice_e2e_q</t>
  </si>
  <si>
    <t>5G DPI视频业务基础15分钟表</t>
  </si>
  <si>
    <t>aggr_5g_video_usrappcelslice_e2e_h</t>
  </si>
  <si>
    <t>5G DPI视频业务基础小时表</t>
  </si>
  <si>
    <t>aggr_nr_iov_video_usrappcel_h</t>
  </si>
  <si>
    <t>5G DPI视频业务用户小区app小时表</t>
  </si>
  <si>
    <t>fact_5gdpi_https_e2e_transform_q</t>
  </si>
  <si>
    <t>5G DPI https业务事实表</t>
  </si>
  <si>
    <t>ods_5gdpi_https_e2e_telecom_q|lte_cm_projdata|lte_cucc_cm_projdata|fact_nr_cm_projdata</t>
  </si>
  <si>
    <t>aggr_5gdpi_https_usrappcel_e2e_h</t>
  </si>
  <si>
    <t>5G DPI https业务基础小时表</t>
  </si>
  <si>
    <t>aggr_nr_iov_https_usrappcel_h</t>
  </si>
  <si>
    <t>5G DPI https业务用户小区app小时表</t>
  </si>
  <si>
    <t>aggr_5gdpi_other_base_h</t>
  </si>
  <si>
    <t>5G DPI other业务基础小时表</t>
  </si>
  <si>
    <t>ods_5gdpi_other_e2e_telecom_q</t>
  </si>
  <si>
    <t>aggr_nr_iov_other_usrappcel_h</t>
  </si>
  <si>
    <t>5G DPI other业务用户小区app小时表</t>
  </si>
  <si>
    <t>fact_5gdpi_http_e2e_telecom_q</t>
  </si>
  <si>
    <t>5G DPI http业务事实表</t>
  </si>
  <si>
    <t>ods_5gdpi_http_e2e_telecom_q|lte_cm_projdata|lte_cucc_cm_projdata|fact_nr_cm_projdata</t>
  </si>
  <si>
    <t>aggr_5gdpi_http_base_h</t>
  </si>
  <si>
    <t>5G DPI http业务基础小时表</t>
  </si>
  <si>
    <t>aggr_nr_iov_http_usrappcel_h</t>
  </si>
  <si>
    <t>5G DPI http业务用户小区app小时表</t>
  </si>
  <si>
    <t>覆盖分析</t>
  </si>
  <si>
    <t>aggr_lte_coverage_base_usr_q</t>
  </si>
  <si>
    <t>4G用户小区栅格覆盖分析15分钟表</t>
  </si>
  <si>
    <t>用户|小区|栅格</t>
  </si>
  <si>
    <t>fact_lte_mr</t>
  </si>
  <si>
    <t>aggr_lte_coverage_base_usr_h</t>
  </si>
  <si>
    <t>4G用户小区栅格覆盖分析小时表</t>
  </si>
  <si>
    <t>aggr_lte_mro_base_lt_h</t>
  </si>
  <si>
    <t>联通4G MRO基础小时表</t>
  </si>
  <si>
    <t>fact_lte_mro_lt_q</t>
  </si>
  <si>
    <t>aggr_lte_iov_coverage_usrcel_h</t>
  </si>
  <si>
    <t>4G用户小区覆盖分析小时表</t>
  </si>
  <si>
    <t>用户|小区</t>
  </si>
  <si>
    <t>aggr_lte_coverage_base_usr_h|aggr_lte_mro_base_lt_h|cfg_iov_usr_list</t>
  </si>
  <si>
    <t>aggr_nr_coverage_base_h</t>
  </si>
  <si>
    <t>5G用户小区栅格覆盖小时表</t>
  </si>
  <si>
    <t>5G用户小区覆盖分析小时表</t>
  </si>
  <si>
    <t>fact_nr_mr</t>
  </si>
  <si>
    <t>aggr_nr_coverage_usrcel_h</t>
  </si>
  <si>
    <t>fact_lte_s1mme_e2e_telecom_h</t>
  </si>
  <si>
    <t>S1MME接口事实表</t>
  </si>
  <si>
    <t>fact_pscp_s1mme_front|cfg_s1mme_cause code_list|lte_cm_projdata|lte_cucc_cm_projdata</t>
  </si>
  <si>
    <t>aggr_lte_s1mme_base_h</t>
  </si>
  <si>
    <t>S1MME接口指标基础小时表</t>
  </si>
  <si>
    <t>用户|小区|apn</t>
  </si>
  <si>
    <t>aggr_lte_iov_attach_usrcel_h</t>
  </si>
  <si>
    <t>4G车联网用户小区附着分析小时表</t>
  </si>
  <si>
    <t>aggr_lte_s1mme_base_h|cfg_iov_usr_list</t>
  </si>
  <si>
    <t>fact_5gdpi_n1n2_e2e_telecom_h</t>
  </si>
  <si>
    <t>SA控制面N1N2接口事实表</t>
  </si>
  <si>
    <t>ods_5gdpi_n1n2_e2e_telecom_5min|cfg_n1n2_cause code_list|fact_nr_cm_projdata</t>
  </si>
  <si>
    <t>aggr_5gdpi_n1n2_multi_e2e_telecom_h</t>
  </si>
  <si>
    <t>SA控制面N1N2接口复合维度小时表</t>
  </si>
  <si>
    <t>用户|小区|dnn</t>
  </si>
  <si>
    <t>aggr_nr_iov_attach_usrcel_h</t>
  </si>
  <si>
    <t>5G车联网用户小区附着分析小时表</t>
  </si>
  <si>
    <t>aggr_5gdpi_n1n2_multi_e2e_telecom_h|cfg_iov_usr_list</t>
  </si>
  <si>
    <t>目标表基本信息描述</t>
  </si>
  <si>
    <t>目标表英文名</t>
  </si>
  <si>
    <t>目标表中文名</t>
  </si>
  <si>
    <t>数据频度</t>
  </si>
  <si>
    <t>模型主键</t>
  </si>
  <si>
    <t>推送数据库</t>
  </si>
  <si>
    <t>根据车载的用户清单，过滤筛选4G电信MRO位置清单</t>
  </si>
  <si>
    <t>源表基本信息描述</t>
  </si>
  <si>
    <t>来源系统</t>
  </si>
  <si>
    <t>源表英文名</t>
  </si>
  <si>
    <t>源表中文名</t>
  </si>
  <si>
    <t>别名</t>
  </si>
  <si>
    <t>任务描述</t>
  </si>
  <si>
    <t>是否主表</t>
  </si>
  <si>
    <t>ods_lte_mro_usrbackfill_q</t>
  </si>
  <si>
    <t>电信4G MRO详单数据回填用户</t>
  </si>
  <si>
    <t>A</t>
  </si>
  <si>
    <t>cfg_iov_usr_list</t>
  </si>
  <si>
    <t>车联网用户清单配置表</t>
  </si>
  <si>
    <t>B</t>
  </si>
  <si>
    <t>A inner join B，关联条件：A.mdn = B.msisdn</t>
  </si>
  <si>
    <t>详细字段信息</t>
  </si>
  <si>
    <t>PDM字段英文名</t>
  </si>
  <si>
    <t>PDM字段类型</t>
  </si>
  <si>
    <t>PDM字段中文名（说明）</t>
  </si>
  <si>
    <t>源表名</t>
  </si>
  <si>
    <t>源字段英文名</t>
  </si>
  <si>
    <t>算法加工逻辑</t>
  </si>
  <si>
    <t>关联与过滤条件</t>
  </si>
  <si>
    <t>字段属性</t>
  </si>
  <si>
    <t>单位</t>
  </si>
  <si>
    <t>取值范围</t>
  </si>
  <si>
    <t>datetime</t>
  </si>
  <si>
    <t>string</t>
  </si>
  <si>
    <t>样本数据测量对象UE的样本测量时间，UTC时间格式。对MRO文件，取值为测量采样周期的整数倍，上报时间采用 UTC 时间进行计算。</t>
  </si>
  <si>
    <t>直取</t>
  </si>
  <si>
    <t>enodebid</t>
  </si>
  <si>
    <t>int</t>
  </si>
  <si>
    <t>字符串，取值为eNodeB Id。</t>
  </si>
  <si>
    <t>cellid</t>
  </si>
  <si>
    <t>标识具体的测量对象。若为小区对象，则采用CellId (8bit)表示；若为子帧对象，则采用“CellId:Earfcn:SubFrameNbr”表示；若为PRB对象，则采用“CellId:Earfcn:SubFrameNbr:PRBNbr”表示。表示测量报告样本数据时，采用主服务小区CellId或子帧对象进行标识。</t>
  </si>
  <si>
    <t>imsi</t>
  </si>
  <si>
    <t>用户IMSI串号</t>
  </si>
  <si>
    <t>mdn</t>
  </si>
  <si>
    <t>用户电话号码</t>
  </si>
  <si>
    <t>REGEXP_REPLACE(CAST(mdn AS STRING), '^86', '')</t>
  </si>
  <si>
    <t>rsrp</t>
  </si>
  <si>
    <t>smallint</t>
  </si>
  <si>
    <t>UE收到服务小区的参考信号接收功率。小区专属参考信号R0 将用于决定RSRP。如果UE能可靠地检测到小区专属参考信号R1 可用，那么可以使用R0 和R1 决定RSRP。如果 UE 使用接收分集，报告值应该不低于任一独立分集分支的相应RSRP值。取值范围0-97。</t>
  </si>
  <si>
    <t>rsrq</t>
  </si>
  <si>
    <t>tinyint</t>
  </si>
  <si>
    <t>UE收到服务小区的参考信号接收质量。取值范围0-34。</t>
  </si>
  <si>
    <t>ta</t>
  </si>
  <si>
    <t>服务小区时间提前量，指UE到服务基站的信号传播时间。</t>
  </si>
  <si>
    <t>plmn</t>
  </si>
  <si>
    <t>UE接入E-utran网络使用的PLMN号。</t>
  </si>
  <si>
    <t>mrlon</t>
  </si>
  <si>
    <t>double</t>
  </si>
  <si>
    <t>MR 经度 非AGPS数据定位回填</t>
  </si>
  <si>
    <t>mrlat</t>
  </si>
  <si>
    <t>MR 纬度 非AGPS数据定位回填</t>
  </si>
  <si>
    <t>locationtype</t>
  </si>
  <si>
    <t>定位类型</t>
  </si>
  <si>
    <t>regionid</t>
  </si>
  <si>
    <t>RegionID</t>
  </si>
  <si>
    <t>x_offset_original</t>
  </si>
  <si>
    <t>X偏移</t>
  </si>
  <si>
    <t>y_offset_original</t>
  </si>
  <si>
    <t>Y偏移</t>
  </si>
  <si>
    <t>p_provincecode</t>
  </si>
  <si>
    <t>integer</t>
  </si>
  <si>
    <t>省分区</t>
  </si>
  <si>
    <t>p_date</t>
  </si>
  <si>
    <t>天分区</t>
  </si>
  <si>
    <t>p_hour</t>
  </si>
  <si>
    <t>小时分区</t>
  </si>
  <si>
    <t>p_region</t>
  </si>
  <si>
    <t>厂家分区</t>
  </si>
  <si>
    <t>100001:中兴|100002:华为|100003:诺基亚|100004:爱立信|100005:大唐</t>
  </si>
  <si>
    <t>p_quarter</t>
  </si>
  <si>
    <t>15分钟分区</t>
  </si>
  <si>
    <t>根据车载的用户清单，过滤筛选4G联通MRO位置清单</t>
  </si>
  <si>
    <t>联通4G MRO详单数据回填用户</t>
  </si>
  <si>
    <t>A inner join B，关联条件：A.msisdn = B.msisdn</t>
  </si>
  <si>
    <t>msisdn</t>
  </si>
  <si>
    <t>REGEXP_REPLACE(CAST(msimdn AS STRING), '^86', '')</t>
  </si>
  <si>
    <t>fact_nr_mro_iov_lt_q</t>
  </si>
  <si>
    <t>根据车载的用户清单，过滤筛选5GMRO位置清单</t>
  </si>
  <si>
    <t>5G MRO详单数据回填用户</t>
  </si>
  <si>
    <t>车载用户清单表</t>
  </si>
  <si>
    <t>A inner join B，关联条件：A.mdn = B.mdn</t>
  </si>
  <si>
    <t>gnbid</t>
  </si>
  <si>
    <t>bigint</t>
  </si>
  <si>
    <t>5G基站标识</t>
  </si>
  <si>
    <t>cid or cellid</t>
  </si>
  <si>
    <t>msimdn</t>
  </si>
  <si>
    <t>nrscssrsrp</t>
  </si>
  <si>
    <t>nrscrsrq</t>
  </si>
  <si>
    <t>nrsctadv</t>
  </si>
  <si>
    <t>定位回填精度</t>
  </si>
  <si>
    <t>定位回填纬度</t>
  </si>
  <si>
    <t>合并车联网用户4G电信联通，5G位置信息,字段格式统一标准化</t>
  </si>
  <si>
    <t>hdfs</t>
  </si>
  <si>
    <t>A union all B</t>
  </si>
  <si>
    <t>C</t>
  </si>
  <si>
    <t>A union all C</t>
  </si>
  <si>
    <t>测量时间，示例：2017-07-17T00:55:000</t>
  </si>
  <si>
    <t>A|B|C</t>
  </si>
  <si>
    <t>A|B|C: datetime</t>
  </si>
  <si>
    <t>国际移动用户识别码</t>
  </si>
  <si>
    <t>A|B|C: imsi</t>
  </si>
  <si>
    <t>用户号码</t>
  </si>
  <si>
    <t>A|B|C: mdn</t>
  </si>
  <si>
    <t>基站ID</t>
  </si>
  <si>
    <t>A:enodebid
B:enodebid
C:gnodebid</t>
  </si>
  <si>
    <t>小区ID</t>
  </si>
  <si>
    <t>A|B|C:cellid</t>
  </si>
  <si>
    <t>UE 接入E-utran网络使用的PLMN</t>
  </si>
  <si>
    <t>A|B|C: PLMN</t>
  </si>
  <si>
    <t>rattype</t>
  </si>
  <si>
    <t>区别4/5G数据来源类型</t>
  </si>
  <si>
    <t>根据来源表直接赋值
A:4G
B:4G
C:5G</t>
  </si>
  <si>
    <t>服务小区Rsrp</t>
  </si>
  <si>
    <t>A|B|C: rsrp</t>
  </si>
  <si>
    <t>服务小区Rsrq</t>
  </si>
  <si>
    <t>A|B|C: rsrq</t>
  </si>
  <si>
    <t>默认TUeCmacLocation.swTaDvType1 V3.4后开启TAResult开关，
输出TUeCmacLocation.TAResult/16</t>
  </si>
  <si>
    <t>A|B|C: ta</t>
  </si>
  <si>
    <t>A|B|C: mrlon</t>
  </si>
  <si>
    <t>A|B|C: mrlat</t>
  </si>
  <si>
    <t>A|B|C: locationtype</t>
  </si>
  <si>
    <t>A|B|C: regionid</t>
  </si>
  <si>
    <t>A|B|C: x_offset_original</t>
  </si>
  <si>
    <t>A|B|C: y_offset_original</t>
  </si>
  <si>
    <t>厂商分区</t>
  </si>
  <si>
    <t>将用户出行轨迹根据停留时间进行路段拆分，并按路段关联感知指标，进行路段感知问题分析。</t>
  </si>
  <si>
    <t>FlINK每日的批处理任务：根据最近距离取值算法，关联MR经纬度和路网数据的端点</t>
  </si>
  <si>
    <t>osm_road_split_vertices_pgr</t>
  </si>
  <si>
    <t>全国路网拓扑表</t>
  </si>
  <si>
    <t>维度</t>
  </si>
  <si>
    <t>无</t>
  </si>
  <si>
    <t>segment_id</t>
  </si>
  <si>
    <t>用户路段id，例如13512123456#20240904#1</t>
  </si>
  <si>
    <t>反转(mdn)#(p_date)#segment_rn</t>
  </si>
  <si>
    <t>segment_rn</t>
  </si>
  <si>
    <t>用户行程次序，如：1,2,3</t>
  </si>
  <si>
    <t>使用动静识别算法，计算出停驻地后，对全天轨迹进行切分，然后得到出行次序</t>
  </si>
  <si>
    <t>List&lt;long&gt;</t>
  </si>
  <si>
    <t>测量时间，同一个端点有多个时间时，用$隔开</t>
  </si>
  <si>
    <t>经过该道路端点的MR的时间</t>
  </si>
  <si>
    <t>route_point_id</t>
  </si>
  <si>
    <t>匹配的道路端点id（可以应用于路径规划）</t>
  </si>
  <si>
    <t>A|B</t>
  </si>
  <si>
    <t>先使用卡尔曼滤波对运动的MR经纬度进行修正，使用聚类算法对停驻状态的MR进行修正，然后将修正后的MR拟合到最近的道路端点，取该端点的id</t>
  </si>
  <si>
    <t>route_point_lon</t>
  </si>
  <si>
    <t>道路端点经度</t>
  </si>
  <si>
    <t>&gt;=0</t>
  </si>
  <si>
    <t>route_point_lat</t>
  </si>
  <si>
    <t>道路端点维度</t>
  </si>
  <si>
    <t>道路端点纬度</t>
  </si>
  <si>
    <t>float</t>
  </si>
  <si>
    <t>route_point_id聚合后取MR的rsrp平均值</t>
  </si>
  <si>
    <t>指标</t>
  </si>
  <si>
    <t>route_point_id聚合后取MR的rsrq平均值</t>
  </si>
  <si>
    <t>基站enodebid</t>
  </si>
  <si>
    <t>基站cellid</t>
  </si>
  <si>
    <t>网络类型（4G、5G）</t>
  </si>
  <si>
    <t>mr_cnt</t>
  </si>
  <si>
    <t>mr 个数</t>
  </si>
  <si>
    <t>route_point_id聚合后统计MR个数</t>
  </si>
  <si>
    <t>etl_time</t>
  </si>
  <si>
    <t>表加工时间（示例：2017-07-17T00:55:000）</t>
  </si>
  <si>
    <t>系统加工时间</t>
  </si>
  <si>
    <t>纬度</t>
  </si>
  <si>
    <t>将用户出行轨迹根据停留时间进行路段拆分，关联拓扑路网POI名</t>
  </si>
  <si>
    <t>FLINK每日批处理任务</t>
  </si>
  <si>
    <r>
      <rPr>
        <sz val="9"/>
        <color rgb="FF000000"/>
        <rFont val="微软雅黑"/>
        <charset val="134"/>
      </rPr>
      <t>segment_id</t>
    </r>
  </si>
  <si>
    <r>
      <rPr>
        <sz val="9"/>
        <color rgb="FF000000"/>
        <rFont val="微软雅黑"/>
        <charset val="134"/>
      </rPr>
      <t>string</t>
    </r>
  </si>
  <si>
    <r>
      <rPr>
        <sz val="9"/>
        <color rgb="FF000000"/>
        <rFont val="微软雅黑"/>
        <charset val="134"/>
      </rPr>
      <t>用户路段id，例如13512123456#20240904#1</t>
    </r>
  </si>
  <si>
    <r>
      <rPr>
        <sz val="9"/>
        <color rgb="FF000000"/>
        <rFont val="微软雅黑"/>
        <charset val="134"/>
      </rPr>
      <t>mdn</t>
    </r>
  </si>
  <si>
    <r>
      <rPr>
        <sz val="9"/>
        <color rgb="FF000000"/>
        <rFont val="微软雅黑"/>
        <charset val="134"/>
      </rPr>
      <t>用户号码</t>
    </r>
  </si>
  <si>
    <r>
      <rPr>
        <sz val="9"/>
        <color rgb="FF000000"/>
        <rFont val="微软雅黑"/>
        <charset val="134"/>
      </rPr>
      <t>imsi</t>
    </r>
  </si>
  <si>
    <r>
      <rPr>
        <sz val="9"/>
        <color rgb="FF000000"/>
        <rFont val="微软雅黑"/>
        <charset val="134"/>
      </rPr>
      <t>国际移动用户识别码</t>
    </r>
  </si>
  <si>
    <r>
      <rPr>
        <sz val="9"/>
        <color rgb="FF000000"/>
        <rFont val="微软雅黑"/>
        <charset val="134"/>
      </rPr>
      <t>segment_rn</t>
    </r>
  </si>
  <si>
    <r>
      <rPr>
        <sz val="9"/>
        <color rgb="FF000000"/>
        <rFont val="微软雅黑"/>
        <charset val="134"/>
      </rPr>
      <t>int</t>
    </r>
  </si>
  <si>
    <r>
      <rPr>
        <sz val="9"/>
        <color rgb="FF000000"/>
        <rFont val="微软雅黑"/>
        <charset val="134"/>
      </rPr>
      <t>用户行程次序，如：1,2,3</t>
    </r>
  </si>
  <si>
    <r>
      <rPr>
        <sz val="9"/>
        <color rgb="FF000000"/>
        <rFont val="微软雅黑"/>
        <charset val="134"/>
      </rPr>
      <t>start_time</t>
    </r>
  </si>
  <si>
    <r>
      <rPr>
        <sz val="9"/>
        <color rgb="FF000000"/>
        <rFont val="微软雅黑"/>
        <charset val="134"/>
      </rPr>
      <t>long</t>
    </r>
  </si>
  <si>
    <r>
      <rPr>
        <sz val="9"/>
        <color rgb="FF000000"/>
        <rFont val="微软雅黑"/>
        <charset val="134"/>
      </rPr>
      <t>路段开始时间(13位)</t>
    </r>
  </si>
  <si>
    <r>
      <rPr>
        <sz val="9"/>
        <color rgb="FF000000"/>
        <rFont val="微软雅黑"/>
        <charset val="134"/>
      </rPr>
      <t>start_lon</t>
    </r>
  </si>
  <si>
    <r>
      <rPr>
        <sz val="9"/>
        <color rgb="FF000000"/>
        <rFont val="微软雅黑"/>
        <charset val="134"/>
      </rPr>
      <t>double</t>
    </r>
  </si>
  <si>
    <r>
      <rPr>
        <sz val="9"/>
        <color rgb="FF000000"/>
        <rFont val="微软雅黑"/>
        <charset val="134"/>
      </rPr>
      <t>开始经度</t>
    </r>
  </si>
  <si>
    <r>
      <rPr>
        <sz val="9"/>
        <color rgb="FF000000"/>
        <rFont val="微软雅黑"/>
        <charset val="134"/>
      </rPr>
      <t>start_lat</t>
    </r>
  </si>
  <si>
    <r>
      <rPr>
        <sz val="9"/>
        <color rgb="FF000000"/>
        <rFont val="微软雅黑"/>
        <charset val="134"/>
      </rPr>
      <t>开始纬度</t>
    </r>
  </si>
  <si>
    <r>
      <rPr>
        <sz val="9"/>
        <color rgb="FF000000"/>
        <rFont val="微软雅黑"/>
        <charset val="134"/>
      </rPr>
      <t>start_cell_key</t>
    </r>
  </si>
  <si>
    <r>
      <rPr>
        <sz val="9"/>
        <color rgb="FF000000"/>
        <rFont val="微软雅黑"/>
        <charset val="134"/>
      </rPr>
      <t>开始小区，示例12432_1</t>
    </r>
  </si>
  <si>
    <t>start_name</t>
  </si>
  <si>
    <t>路段开始地点名称</t>
  </si>
  <si>
    <r>
      <rPr>
        <sz val="9"/>
        <color rgb="FF000000"/>
        <rFont val="微软雅黑"/>
        <charset val="134"/>
      </rPr>
      <t>end_time</t>
    </r>
  </si>
  <si>
    <t>路段结束时间(13位)</t>
  </si>
  <si>
    <r>
      <rPr>
        <sz val="9"/>
        <color rgb="FF000000"/>
        <rFont val="微软雅黑"/>
        <charset val="134"/>
      </rPr>
      <t>end_lon</t>
    </r>
  </si>
  <si>
    <r>
      <rPr>
        <sz val="9"/>
        <color rgb="FF000000"/>
        <rFont val="微软雅黑"/>
        <charset val="134"/>
      </rPr>
      <t>结束经度</t>
    </r>
  </si>
  <si>
    <r>
      <rPr>
        <sz val="9"/>
        <color rgb="FF000000"/>
        <rFont val="微软雅黑"/>
        <charset val="134"/>
      </rPr>
      <t>end_lat</t>
    </r>
  </si>
  <si>
    <r>
      <rPr>
        <sz val="9"/>
        <color rgb="FF000000"/>
        <rFont val="微软雅黑"/>
        <charset val="134"/>
      </rPr>
      <t>结束纬度</t>
    </r>
  </si>
  <si>
    <r>
      <rPr>
        <sz val="9"/>
        <color rgb="FF000000"/>
        <rFont val="微软雅黑"/>
        <charset val="134"/>
      </rPr>
      <t>end_cell_key</t>
    </r>
  </si>
  <si>
    <r>
      <rPr>
        <sz val="9"/>
        <color rgb="FF000000"/>
        <rFont val="微软雅黑"/>
        <charset val="134"/>
      </rPr>
      <t>结束小区，示例12432_1</t>
    </r>
  </si>
  <si>
    <t>end_name</t>
  </si>
  <si>
    <t>路段结束地点名称</t>
  </si>
  <si>
    <r>
      <rPr>
        <sz val="9"/>
        <color rgb="FF000000"/>
        <rFont val="微软雅黑"/>
        <charset val="134"/>
      </rPr>
      <t>is_infer</t>
    </r>
  </si>
  <si>
    <r>
      <rPr>
        <sz val="9"/>
        <color rgb="FF000000"/>
        <rFont val="微软雅黑"/>
        <charset val="134"/>
      </rPr>
      <t>是否为推测路段，1是，0否</t>
    </r>
  </si>
  <si>
    <r>
      <rPr>
        <sz val="9"/>
        <rFont val="微软雅黑"/>
        <charset val="134"/>
      </rPr>
      <t>当两个相邻mr在时间上断开15分钟，且距离超过2km，则标注为1，否则为0</t>
    </r>
  </si>
  <si>
    <t>0,1</t>
  </si>
  <si>
    <r>
      <rPr>
        <sz val="9"/>
        <color rgb="FF000000"/>
        <rFont val="微软雅黑"/>
        <charset val="134"/>
      </rPr>
      <t>action_type</t>
    </r>
  </si>
  <si>
    <r>
      <rPr>
        <sz val="9"/>
        <color rgb="FF000000"/>
        <rFont val="微软雅黑"/>
        <charset val="134"/>
      </rPr>
      <t>1:移动，0：停驻</t>
    </r>
  </si>
  <si>
    <r>
      <rPr>
        <sz val="9"/>
        <rFont val="微软雅黑"/>
        <charset val="134"/>
      </rPr>
      <t>0：该行程内用户停驻在同一个点附近</t>
    </r>
  </si>
  <si>
    <r>
      <rPr>
        <sz val="9"/>
        <color rgb="FF000000"/>
        <rFont val="微软雅黑"/>
        <charset val="134"/>
      </rPr>
      <t>etl_time</t>
    </r>
  </si>
  <si>
    <r>
      <rPr>
        <sz val="9"/>
        <color rgb="FF000000"/>
        <rFont val="微软雅黑"/>
        <charset val="134"/>
      </rPr>
      <t>加工时间</t>
    </r>
  </si>
  <si>
    <t>系统的加工时间</t>
  </si>
  <si>
    <t>维表</t>
  </si>
  <si>
    <t>reason_code</t>
  </si>
  <si>
    <t>控制面原因码</t>
  </si>
  <si>
    <t>type</t>
  </si>
  <si>
    <t>分类</t>
  </si>
  <si>
    <t>content</t>
  </si>
  <si>
    <t>原因描述</t>
  </si>
  <si>
    <t>explain</t>
  </si>
  <si>
    <t xml:space="preserve">解释 </t>
  </si>
  <si>
    <t>fail_reason</t>
  </si>
  <si>
    <t>原因说明</t>
  </si>
  <si>
    <t>problem_reason</t>
  </si>
  <si>
    <t>问题原因</t>
  </si>
  <si>
    <t>request_reason</t>
  </si>
  <si>
    <t>请求原因</t>
  </si>
  <si>
    <t>problem_demarcation</t>
  </si>
  <si>
    <t>问题定界</t>
  </si>
  <si>
    <t>sub_problem_demarcation</t>
  </si>
  <si>
    <t>问题定界2</t>
  </si>
  <si>
    <t>problem_position</t>
  </si>
  <si>
    <t>问题定位</t>
  </si>
  <si>
    <t>problem_scence</t>
  </si>
  <si>
    <t>问题场景</t>
  </si>
  <si>
    <t>problem_analysis</t>
  </si>
  <si>
    <t>问题分析</t>
  </si>
  <si>
    <t>demarcation_rules</t>
  </si>
  <si>
    <t>定界规则</t>
  </si>
  <si>
    <t>normal_flag</t>
  </si>
  <si>
    <t>正常标志</t>
  </si>
  <si>
    <t>1:正常，0：异常</t>
  </si>
  <si>
    <t>drop_flag</t>
  </si>
  <si>
    <t>掉线标志</t>
  </si>
  <si>
    <t>1：掉线，0：未掉线</t>
  </si>
  <si>
    <t>remarks</t>
  </si>
  <si>
    <t>维表数据</t>
  </si>
  <si>
    <t>主键字段</t>
  </si>
  <si>
    <t>是否异常</t>
  </si>
  <si>
    <t>是否掉线</t>
  </si>
  <si>
    <t>EMM</t>
  </si>
  <si>
    <t>IMSI unknown in HLR</t>
  </si>
  <si>
    <t>用户认证失败；请用户确认SIM卡插好或号码已经开通;建议到HLR上检查一下用户属性</t>
  </si>
  <si>
    <t>HLR中未找到用户注册信息</t>
  </si>
  <si>
    <t>终端侧问题</t>
  </si>
  <si>
    <t>用户数据问题</t>
  </si>
  <si>
    <t>用户认证</t>
  </si>
  <si>
    <t>用户认证未通过</t>
  </si>
  <si>
    <t>该响应码属于终端侧问题</t>
  </si>
  <si>
    <t>Illegal MS</t>
  </si>
  <si>
    <t>用户认证失败；请用户确认SIM卡插好或使用的是正品手机;建议到HLR上检查一下用户属性</t>
  </si>
  <si>
    <t>非法用户</t>
  </si>
  <si>
    <t>IMEI not accepted</t>
  </si>
  <si>
    <t>手机串号无法识别</t>
  </si>
  <si>
    <t>用户终端问题</t>
  </si>
  <si>
    <t>Illegal ME</t>
  </si>
  <si>
    <t>非法终端</t>
  </si>
  <si>
    <t>GPRS services not allowed</t>
  </si>
  <si>
    <t>无法提供4G业务；请用户确认4G业务服务已经开通</t>
  </si>
  <si>
    <t>EPS服务未签约（4G数据业务没签约）</t>
  </si>
  <si>
    <t>附着</t>
  </si>
  <si>
    <t>EPS服务未签约</t>
  </si>
  <si>
    <t>GPRS services and non-GPRS services not allowed</t>
  </si>
  <si>
    <t>服务未开通；请用户确认已经正常开通服务</t>
  </si>
  <si>
    <t xml:space="preserve">EPS和非EPS服务未签约 </t>
  </si>
  <si>
    <t>服务未签约</t>
  </si>
  <si>
    <t>MS identity cannot be derived by the network</t>
  </si>
  <si>
    <t>用户认证失败；请用户重启手机或稍后重试</t>
  </si>
  <si>
    <t>UE身份无法识别（一般指DNS解析不到域名，获取不到目标侧信息）</t>
  </si>
  <si>
    <t>核心网</t>
  </si>
  <si>
    <t>核心网问题</t>
  </si>
  <si>
    <t>GPRS DNS问题</t>
  </si>
  <si>
    <t>用户身份无法从网络上获取</t>
  </si>
  <si>
    <t>Implicitly detached</t>
  </si>
  <si>
    <t>无线环境差，网络长时间无法联系到用户，请用户移动到其他位置重试</t>
  </si>
  <si>
    <t>隐式分离（比如长时间进入某地无信号区超过可达定时器，用户不可达了）</t>
  </si>
  <si>
    <t>无线网络</t>
  </si>
  <si>
    <t>无线侧问题</t>
  </si>
  <si>
    <t>无线环境差</t>
  </si>
  <si>
    <t>网络暂时将用户去附着</t>
  </si>
  <si>
    <t>该响应码属于无线侧问题</t>
  </si>
  <si>
    <t>PLMN not allowed</t>
  </si>
  <si>
    <t>无网络服务；请用户确认SIM卡插好或号码已经正常开通</t>
  </si>
  <si>
    <t>无网络服务</t>
  </si>
  <si>
    <t>Location Area not allowed</t>
  </si>
  <si>
    <t>无法提供网络服务；请用户确认SIM卡插好或号码已经正常开通</t>
  </si>
  <si>
    <t>位置区无法使用</t>
  </si>
  <si>
    <t>Roaming not allowed in this location area</t>
  </si>
  <si>
    <t>无法提供网络服务；请用户确认SIM卡插好或漫游功能已经开通</t>
  </si>
  <si>
    <t>在该位置区无法使用漫游功能</t>
  </si>
  <si>
    <t>GPRS services not allowed in this PLMN</t>
  </si>
  <si>
    <t>本PLMN下EPS服务未签约（比如漫游下签约限制）</t>
  </si>
  <si>
    <t>No Suitable Cells In Location Area</t>
  </si>
  <si>
    <t>LTE网络中是由于UE在HSS中未签约EPS业务</t>
  </si>
  <si>
    <t>MSC temporarily not reachable</t>
  </si>
  <si>
    <t>网络故障；暂时无法使用语音业务</t>
  </si>
  <si>
    <t>话音业务网关暂时不可达</t>
  </si>
  <si>
    <t>核心网侧问题</t>
  </si>
  <si>
    <t>MME问题</t>
  </si>
  <si>
    <t>S1MME信令分析</t>
  </si>
  <si>
    <t>MSC服务器无法连接</t>
  </si>
  <si>
    <t>该响应码属于核心网侧问题</t>
  </si>
  <si>
    <t>Network failure</t>
  </si>
  <si>
    <t>网络故障，请用户稍后重试;也可联系网管中心在交换机侧清除用户位置，用户重新登记即可</t>
  </si>
  <si>
    <t>网络失败（网络流程失败）</t>
  </si>
  <si>
    <t>MME发生网络错误</t>
  </si>
  <si>
    <t>MAC failure</t>
  </si>
  <si>
    <t>物理层失败</t>
  </si>
  <si>
    <t>MME连接失败</t>
  </si>
  <si>
    <t>Synch failure</t>
  </si>
  <si>
    <t>同步失败</t>
  </si>
  <si>
    <t>Congestion</t>
  </si>
  <si>
    <t>上网用户太多，暂时无法使用网络，请用户稍后重启</t>
  </si>
  <si>
    <t>网络拥塞（系统资源拥塞等）</t>
  </si>
  <si>
    <t>GSM authentication unacceptable</t>
  </si>
  <si>
    <t>户认证失败；请用户确认SIM卡插好或号码已经开通</t>
  </si>
  <si>
    <t>Not authorized for this CSG</t>
  </si>
  <si>
    <t>户服务请求失败；请用户确认SIM卡插好或号码已经开通</t>
  </si>
  <si>
    <t>该CSG小区未被授权</t>
  </si>
  <si>
    <t>Non-EPS authentication unacceptable</t>
  </si>
  <si>
    <t>非4G核心网认证未通过</t>
  </si>
  <si>
    <t>SMS provided via GPRS in this routing area</t>
  </si>
  <si>
    <t>在此路由区短信由GPRS提供</t>
  </si>
  <si>
    <t>正常</t>
  </si>
  <si>
    <t xml:space="preserve">Requested service option not subscribed </t>
  </si>
  <si>
    <t>户服务请求失败；请用户确认SIM卡插好或号码已经开该业务通</t>
  </si>
  <si>
    <t>请求的服务未签约（某项业务没签约，比如请求特殊业务，没签约某个APN等）</t>
  </si>
  <si>
    <t>Requested service option not authorized in this PLMN</t>
  </si>
  <si>
    <t>无法提供该业务，请用户确认已经正常开通该业务</t>
  </si>
  <si>
    <t>请求的服务在本网中未授权</t>
  </si>
  <si>
    <t>CS service temporarily not available</t>
  </si>
  <si>
    <t>网络故障， 暂时无法使用语音业务，请用户稍后重试；也可联系网管中心在交换机侧清除用户位置，用户重新登记即可</t>
  </si>
  <si>
    <t>CS域服务暂时无效</t>
  </si>
  <si>
    <t>No EPS bearer context activated</t>
  </si>
  <si>
    <t>网络故障，暂时无法使用网络，请用户稍后重试</t>
  </si>
  <si>
    <t>4G核心网承载未激活</t>
  </si>
  <si>
    <t>承载无法激活</t>
  </si>
  <si>
    <t>Severe network failure</t>
  </si>
  <si>
    <t>网络故障，请用户稍后重试；也可联系网管中心在交换机侧清除用户位置，用户重新登记即可</t>
  </si>
  <si>
    <t>严重的网络失败</t>
  </si>
  <si>
    <t>网络出现异常</t>
  </si>
  <si>
    <t>}</t>
  </si>
  <si>
    <t>包括0、48～63的cause码；正常</t>
  </si>
  <si>
    <t xml:space="preserve"> } retry upon entry into a new cell</t>
  </si>
  <si>
    <t>正在重新连接无线小区</t>
  </si>
  <si>
    <t>在新小区中重新尝试</t>
  </si>
  <si>
    <t>Semantically incorrect message</t>
  </si>
  <si>
    <t>无线环境差，请用户稍后重试或移动到其他位置重试</t>
  </si>
  <si>
    <t>语法错误</t>
  </si>
  <si>
    <t>无线小区问题</t>
  </si>
  <si>
    <t>无线环境差而引起连接协议或语法出现问题</t>
  </si>
  <si>
    <t>Invalid mandatory information</t>
  </si>
  <si>
    <t>无效命令</t>
  </si>
  <si>
    <t>Message type non-existent or not implemented</t>
  </si>
  <si>
    <t>信令消息类型未定义或不存在</t>
  </si>
  <si>
    <t>Message type not compatible with the protocol state</t>
  </si>
  <si>
    <t>消息类型与协议状态不兼容</t>
  </si>
  <si>
    <t>Information element non-existent or not implemented</t>
  </si>
  <si>
    <t>信息元不存在或未定义</t>
  </si>
  <si>
    <t>Conditional IE error</t>
  </si>
  <si>
    <t>条件型信息元错误</t>
  </si>
  <si>
    <t>Message not compatible with the protocol state</t>
  </si>
  <si>
    <t>消息与协议状态不兼容</t>
  </si>
  <si>
    <t>Invalid reply from remote peer</t>
  </si>
  <si>
    <t>用户手机问题，请用户重启手机或更换手机</t>
  </si>
  <si>
    <t>SAE-GW拒绝这次会话建立</t>
  </si>
  <si>
    <t>终端问题</t>
  </si>
  <si>
    <t>承载会话建立</t>
  </si>
  <si>
    <t>终端的问题导致承载无法建立</t>
  </si>
  <si>
    <t>Protocol error unspecified</t>
  </si>
  <si>
    <t>协议错（所有协议没定义的都归为这一类，一般主要是无线信号差导致终端无响应、鉴权无响应，安全流程无响应或者或者某些其他流程超时）</t>
  </si>
  <si>
    <t>multiple PDN connections for a given APN not allowed</t>
  </si>
  <si>
    <t>是UE在附着成功用cmnet建立PDN连接后，再次触发业务时又用cmnet建立相同的PDN连接时，SAE-GW拒绝PGW判断同一APN不能创建多个PDN连接</t>
  </si>
  <si>
    <t>ESM</t>
  </si>
  <si>
    <t>unkonwn</t>
  </si>
  <si>
    <t>未知</t>
  </si>
  <si>
    <t>其他</t>
  </si>
  <si>
    <t>Operator Determined Barring</t>
  </si>
  <si>
    <t>不提供该服务，请用户确认已经正确开通服务</t>
  </si>
  <si>
    <t>运营商禁止</t>
  </si>
  <si>
    <t>Insufficient resources</t>
  </si>
  <si>
    <t>手机终端或程序的问题，导致网络无法连接，请用户重启手机</t>
  </si>
  <si>
    <t>无足够资源，可能由于手机程序的原因多次请求激活同一个context，因此遭到GW拒绝</t>
  </si>
  <si>
    <t>PDP激活</t>
  </si>
  <si>
    <t>终端的问题导致承载建立出现问题</t>
  </si>
  <si>
    <t>Missing or unknown APN</t>
  </si>
  <si>
    <t>手机设置问题，请用户确认上网配置是否正常</t>
  </si>
  <si>
    <t>缺少或未知的APN</t>
  </si>
  <si>
    <t>Unknown PDN type</t>
  </si>
  <si>
    <t>未知的PDN类型</t>
  </si>
  <si>
    <t>User authentication failed</t>
  </si>
  <si>
    <t>用户认证失败；请用户确认SIM卡插好或号码已经开通</t>
  </si>
  <si>
    <t>用户认证失败</t>
  </si>
  <si>
    <t>Request rejected by Serving GW or PDN GW</t>
  </si>
  <si>
    <t>请求被GW拒绝</t>
  </si>
  <si>
    <t>Request rejected unspecified</t>
  </si>
  <si>
    <t>请求被拒绝，未说明原因</t>
  </si>
  <si>
    <t>Service option not supported</t>
  </si>
  <si>
    <t>服务选项不支持</t>
  </si>
  <si>
    <t>Requested service option not subscribed</t>
  </si>
  <si>
    <t>请求的服务未订购</t>
  </si>
  <si>
    <t>Service option temporarily out of order</t>
  </si>
  <si>
    <t>网络故障，网络暂时无法使用；也可联系网管中心在交换机侧清除用户位置，用户重新登记即可</t>
  </si>
  <si>
    <t>服务选项临时出现乱序</t>
  </si>
  <si>
    <t>无线环境差而引起服务选项的乱序</t>
  </si>
  <si>
    <t>PTI already in use</t>
  </si>
  <si>
    <t>PTI已被使用</t>
  </si>
  <si>
    <t>Regular deactivation</t>
  </si>
  <si>
    <t>常规去激活</t>
  </si>
  <si>
    <t>EPS QoS not accepted</t>
  </si>
  <si>
    <t>EPS的QOS未被接受</t>
  </si>
  <si>
    <t>网络失败</t>
  </si>
  <si>
    <t>SAE-GW问题</t>
  </si>
  <si>
    <t>GW的问题导致承载无法建立</t>
  </si>
  <si>
    <t>该响应码属于核心网问题</t>
  </si>
  <si>
    <t>Reactivation requested</t>
  </si>
  <si>
    <t>请求重新激活</t>
  </si>
  <si>
    <t>Semantic error in the TFT operation</t>
  </si>
  <si>
    <t>TFT操作语义错误</t>
  </si>
  <si>
    <t>Syntactical error in the TFT operation</t>
  </si>
  <si>
    <t>TFT操作语法错误</t>
  </si>
  <si>
    <t>Invalid EPS bearer identity</t>
  </si>
  <si>
    <t>无效的EPS承载识别码</t>
  </si>
  <si>
    <t>Semantic errors in packet filter(s)</t>
  </si>
  <si>
    <t>包过滤器语义错误</t>
  </si>
  <si>
    <t>Syntactical errors in packet filter(s)</t>
  </si>
  <si>
    <t>包过滤器语法错误</t>
  </si>
  <si>
    <t>Unused (see NOTE 2)</t>
  </si>
  <si>
    <t>未使用</t>
  </si>
  <si>
    <t>PTI mismatch</t>
  </si>
  <si>
    <t>PTI不匹配</t>
  </si>
  <si>
    <t>Last PDN disconnection not allowed</t>
  </si>
  <si>
    <t>无线问题，用户的数据业务失败</t>
  </si>
  <si>
    <t>上次DPN断线未被允许</t>
  </si>
  <si>
    <t>PDN type IPv4 only allowed</t>
  </si>
  <si>
    <t>PDN只允许IPV4地址类型</t>
  </si>
  <si>
    <t>网络/连接</t>
  </si>
  <si>
    <t>PDN type IPv6 only allowed</t>
  </si>
  <si>
    <t>PDN只允许IPV6地址类型</t>
  </si>
  <si>
    <t>Single address bearers only allowed</t>
  </si>
  <si>
    <t>仅允许单地址承载</t>
  </si>
  <si>
    <t>ESM information not received</t>
  </si>
  <si>
    <t>用户认证信息不完整，请用户确认是否手机信号稳定或SIM卡已经插好</t>
  </si>
  <si>
    <t>未收到ESM信息</t>
  </si>
  <si>
    <t>无线环境差而引起连用户认证出现问题</t>
  </si>
  <si>
    <t>PDN connection does not exist</t>
  </si>
  <si>
    <t>无线环境差导致用户连接丢失，请用户重试或移动到其他位置</t>
  </si>
  <si>
    <t>PDN连接不存在</t>
  </si>
  <si>
    <t>无线环境差而引起连用户数据连接出现问题</t>
  </si>
  <si>
    <t>Multiple PDN connections for a given APN not allowed</t>
  </si>
  <si>
    <t>配置问题，请用户确认手机上网配置正确</t>
  </si>
  <si>
    <t>请求的APN不允许多PDN连接</t>
  </si>
  <si>
    <t>Collision with network initiated request</t>
  </si>
  <si>
    <t>与网络初始请求冲突</t>
  </si>
  <si>
    <t>Unsupported QCI value</t>
  </si>
  <si>
    <t>不支持的QCI值</t>
  </si>
  <si>
    <t>Bearer handling not supported</t>
  </si>
  <si>
    <t>承载处理未被支持</t>
  </si>
  <si>
    <t>Maximum number of EPS bearers reached</t>
  </si>
  <si>
    <t>用户请求的承载数已到达EPS承载的最大数量</t>
  </si>
  <si>
    <t>Requested APN not supported in current RAT and PLMN combination</t>
  </si>
  <si>
    <t>当前接入类型与PLMN不支持请求访问的APN</t>
  </si>
  <si>
    <t>Invalid PTI value</t>
  </si>
  <si>
    <t>PTI值无效</t>
  </si>
  <si>
    <t>语义不正确的消息</t>
  </si>
  <si>
    <t>无效的强制性信息</t>
  </si>
  <si>
    <t>消息类型无效或不存在</t>
  </si>
  <si>
    <t>不属于已经定义的协议错误</t>
  </si>
  <si>
    <t>APN restriction value incompatible with active EPS bearer context</t>
  </si>
  <si>
    <t>APN限定值与激活的EPS承载上下文不兼容</t>
  </si>
  <si>
    <t>SAE-GW上的APN设置有问题</t>
  </si>
  <si>
    <t>s1-ap-Radio Network Layer</t>
  </si>
  <si>
    <t>unspecified</t>
  </si>
  <si>
    <t>无线环境差的问题导致用户连接网络出现问题，请用户重试或移动到其他位置</t>
  </si>
  <si>
    <t>当没有具体的原因值</t>
  </si>
  <si>
    <t>异常</t>
  </si>
  <si>
    <t>tx2relocoverall-expiry</t>
  </si>
  <si>
    <t>用户移动过程中，网络切换出现的网络故障，请用户重试</t>
  </si>
  <si>
    <t>tx2relocoverall计时器过期过期</t>
  </si>
  <si>
    <t>ENodeB问题</t>
  </si>
  <si>
    <t>切换</t>
  </si>
  <si>
    <t>ENodeB的问题导致切换出现超时</t>
  </si>
  <si>
    <t>successful-handover</t>
  </si>
  <si>
    <t>成功切换</t>
  </si>
  <si>
    <t>网络/无线</t>
  </si>
  <si>
    <t>release-due-to-eutran-generated-reason</t>
  </si>
  <si>
    <t>4G释放</t>
  </si>
  <si>
    <t>handover-cancelled</t>
  </si>
  <si>
    <t>切换取消</t>
  </si>
  <si>
    <t>partial-handover</t>
  </si>
  <si>
    <t>部分切换</t>
  </si>
  <si>
    <t>临时切换</t>
  </si>
  <si>
    <t>ho-failure-in-target-EPC-eNB-or-target-system</t>
  </si>
  <si>
    <t>切换失败</t>
  </si>
  <si>
    <t>ho-target-not-allowed</t>
  </si>
  <si>
    <t>不允许切换</t>
  </si>
  <si>
    <t>tS1relocoverall-expiry</t>
  </si>
  <si>
    <t>tS1relocoverall计时器过期</t>
  </si>
  <si>
    <t>tS1relocprep-expiry</t>
  </si>
  <si>
    <t>tS1relocprep计时器到期，取消切换准备过程</t>
  </si>
  <si>
    <t>cell-not-available</t>
  </si>
  <si>
    <t>无线小区出现问题导致的网络故障，请用户重试或移动到其他位置</t>
  </si>
  <si>
    <t>无效小区</t>
  </si>
  <si>
    <t>切换过程中出现目标小区无效问题</t>
  </si>
  <si>
    <t>unknown-targetID</t>
  </si>
  <si>
    <t>未知目标ID</t>
  </si>
  <si>
    <t>no-radio-resources-available-in-target-cell</t>
  </si>
  <si>
    <t>无线小区繁忙导致无法访问，请用户重试或移动到其他位置</t>
  </si>
  <si>
    <t>目标小区没有足够无线资源</t>
  </si>
  <si>
    <t>unknown-mme-ue-s1ap-id</t>
  </si>
  <si>
    <t>无线信号不稳定导致网络故障，请用户重试或移动到其他位置</t>
  </si>
  <si>
    <t>未知的MME-UE ID</t>
  </si>
  <si>
    <t>切换过程中出现S1AP连接无效问题</t>
  </si>
  <si>
    <t>unknown-enb-ue-s1ap-id</t>
  </si>
  <si>
    <t>未知的ENB—UE ID</t>
  </si>
  <si>
    <t>unknown-pair-ue-s1ap-id</t>
  </si>
  <si>
    <t>未知的UE-S1AP ID</t>
  </si>
  <si>
    <t>handover-desirable-for-radio-reason</t>
  </si>
  <si>
    <t>由于无线原因的切换</t>
  </si>
  <si>
    <t>time-critical-handover</t>
  </si>
  <si>
    <t>时间原因的切换</t>
  </si>
  <si>
    <t>resource-optimisation-handover</t>
  </si>
  <si>
    <t>资源优化的切换</t>
  </si>
  <si>
    <t>reduce-load-in-serving-cell</t>
  </si>
  <si>
    <t>服务小区降低负载</t>
  </si>
  <si>
    <t>user-inactivity</t>
  </si>
  <si>
    <t>用户不活跃， 释放S1 资源</t>
  </si>
  <si>
    <t>radio-connection-with-ue-lost</t>
  </si>
  <si>
    <t>与UE的无线连接不稳定</t>
  </si>
  <si>
    <t>S1-MME信令</t>
  </si>
  <si>
    <t>无线环境不好导致用户手机连接丢失</t>
  </si>
  <si>
    <t>load-balancing-tau-required</t>
  </si>
  <si>
    <t>要求基于负载均衡的TAU</t>
  </si>
  <si>
    <t>cs-fallback-triggered</t>
  </si>
  <si>
    <t>激活CSFB</t>
  </si>
  <si>
    <t>ue-not-available-for-ps-service</t>
  </si>
  <si>
    <t>终端的数据业务暂时无法使用；用户正在进行CSFB</t>
  </si>
  <si>
    <t>radio-resources-not-available</t>
  </si>
  <si>
    <t>由于无线小区繁忙引起无法联网</t>
  </si>
  <si>
    <t>没有可用无线资源</t>
  </si>
  <si>
    <t>无线资源不足导致网络无法接入</t>
  </si>
  <si>
    <t>failure-in-radio-interface-procedure</t>
  </si>
  <si>
    <t>无线接口过程失败</t>
  </si>
  <si>
    <t>无线环境不好导致无线连接失败</t>
  </si>
  <si>
    <t>invalid-qos-combination</t>
  </si>
  <si>
    <t>无效的QOS联合</t>
  </si>
  <si>
    <t>无线环境不好导致QOS协商失败</t>
  </si>
  <si>
    <t>interrat-redirection</t>
  </si>
  <si>
    <t>由于接入重定向而释放资源</t>
  </si>
  <si>
    <t>interaction-with-other-procedure</t>
  </si>
  <si>
    <t xml:space="preserve">受到其他过程干扰 </t>
  </si>
  <si>
    <t>unknown-E-RAB-ID</t>
  </si>
  <si>
    <t>未知的E_RAB ID</t>
  </si>
  <si>
    <t>multiple-E-RAB-ID-instances</t>
  </si>
  <si>
    <t>多个E_RAB实例</t>
  </si>
  <si>
    <t>encryption-and-or-integrity-protection-algorithms-not-supported</t>
  </si>
  <si>
    <t xml:space="preserve"> 手机配置问题；请用户重启手机或更换手机</t>
  </si>
  <si>
    <t>不支持加密或完整保护算法</t>
  </si>
  <si>
    <t>网络不支持该终端的加密算法</t>
  </si>
  <si>
    <t>s1-intra-system-handover-triggered</t>
  </si>
  <si>
    <t>S1内部切换激活</t>
  </si>
  <si>
    <t>s1-inter-system-handover-triggered</t>
  </si>
  <si>
    <t>S1外部切换激活</t>
  </si>
  <si>
    <t>x2-handover-triggered</t>
  </si>
  <si>
    <t>X2切换激活</t>
  </si>
  <si>
    <t>redirection-towards-1xRTT</t>
  </si>
  <si>
    <t>重定向到1xRTT</t>
  </si>
  <si>
    <t>not-supported-QCI-value</t>
  </si>
  <si>
    <t>网络不支持该终端的QCI</t>
  </si>
  <si>
    <t>invalid-CSG-Id</t>
  </si>
  <si>
    <t>无效的CSG ID</t>
  </si>
  <si>
    <t xml:space="preserve">网络无法识别用户提供的CSG ID </t>
  </si>
  <si>
    <t>s1-ap-Transport Layer</t>
  </si>
  <si>
    <t>transport-resource-unavailable</t>
  </si>
  <si>
    <t>基站没有足够的传输资源导致网络无法使用，请用户稍后再试</t>
  </si>
  <si>
    <t>传输资源无效</t>
  </si>
  <si>
    <t>ENodeB的问题导网络连接出现问题</t>
  </si>
  <si>
    <t>无线小区的资源不足，请用户稍后再试或移动到其他位置</t>
  </si>
  <si>
    <t>未详细说明，但与传输层有关；无线小区问题</t>
  </si>
  <si>
    <t>s1-ap-NAS</t>
  </si>
  <si>
    <t>normal-release</t>
  </si>
  <si>
    <t>正常释放</t>
  </si>
  <si>
    <t>网络/服务</t>
  </si>
  <si>
    <t>authentication-failure</t>
  </si>
  <si>
    <t>认证失败；请用户确认SIM卡插好或号码已经开通</t>
  </si>
  <si>
    <t>认证失败</t>
  </si>
  <si>
    <t>网络无法识别用户提供的信息</t>
  </si>
  <si>
    <t>detach</t>
  </si>
  <si>
    <t>去附着</t>
  </si>
  <si>
    <t>无线小区问题，请用户稍后再试或移动到其他位置</t>
  </si>
  <si>
    <t>未详细说明，但与NAS相关</t>
  </si>
  <si>
    <t>csg-subscription-expiry</t>
  </si>
  <si>
    <t>CSG订阅到期</t>
  </si>
  <si>
    <t>CSG订阅过期</t>
  </si>
  <si>
    <t>用户/业务</t>
  </si>
  <si>
    <t>s1-ap-Protocol</t>
  </si>
  <si>
    <t>transfer-syntax-error</t>
  </si>
  <si>
    <t>传输语法错误</t>
  </si>
  <si>
    <t>abstract-syntax-error-reject</t>
  </si>
  <si>
    <t xml:space="preserve">包含“拒绝”标识的抽象语法错误 </t>
  </si>
  <si>
    <t>abstract-syntax-error-ignore-and-notify</t>
  </si>
  <si>
    <t xml:space="preserve">包含”忽视/通知“标识的抽象语法错误 </t>
  </si>
  <si>
    <t>message-not-compatible-with-receiver-state</t>
  </si>
  <si>
    <t>消息与接收状态不兼容</t>
  </si>
  <si>
    <t>semantic-error</t>
  </si>
  <si>
    <t>语义错误</t>
  </si>
  <si>
    <t>abstract-syntax-error-falsely-constructed-message</t>
  </si>
  <si>
    <t>抽象语法错误失败构建消息</t>
  </si>
  <si>
    <t>未详细说明，但与协议层有关</t>
  </si>
  <si>
    <t>s1-ap-Misc</t>
  </si>
  <si>
    <t>control-processing-overload</t>
  </si>
  <si>
    <t>网络故障，请用户稍后重试</t>
  </si>
  <si>
    <t>控制过程过载</t>
  </si>
  <si>
    <t>MME的问题导致过载，因此用户无法访问</t>
  </si>
  <si>
    <t>not-enough-user-plane-processing-resources</t>
  </si>
  <si>
    <t>无足够的用户面处理资源</t>
  </si>
  <si>
    <t>SAE-GW无足够的资源处理用户请求</t>
  </si>
  <si>
    <t>hardware-failure</t>
  </si>
  <si>
    <t>硬件失败</t>
  </si>
  <si>
    <t>MME的硬件出现问题</t>
  </si>
  <si>
    <t>om-intervention</t>
  </si>
  <si>
    <t>OM干预</t>
  </si>
  <si>
    <t>OM对网元操作进行干预</t>
  </si>
  <si>
    <t xml:space="preserve">未详细说明，但与NSA、传输网络层、无线网络层、协议层无关 </t>
  </si>
  <si>
    <t>MME出现未知的问题</t>
  </si>
  <si>
    <t>unknown-PLMN</t>
  </si>
  <si>
    <t>无线问题，请用户稍后再试或移动到其他位置</t>
  </si>
  <si>
    <t>MME 没有识别eNB 提供的任何PLMN</t>
  </si>
  <si>
    <t>ENodeB问题导致MME无法连接</t>
  </si>
  <si>
    <t>cause_type+control_plane_code+process_class</t>
  </si>
  <si>
    <t>cause_type</t>
  </si>
  <si>
    <t>control_plane_code</t>
  </si>
  <si>
    <t>repeat_flag</t>
  </si>
  <si>
    <t>是否重复</t>
  </si>
  <si>
    <t>process_class</t>
  </si>
  <si>
    <t>流程分类</t>
  </si>
  <si>
    <t>reason_class</t>
  </si>
  <si>
    <t>原因分类</t>
  </si>
  <si>
    <t>是否正常</t>
  </si>
  <si>
    <t>5GMM</t>
  </si>
  <si>
    <t>Illegal UE</t>
  </si>
  <si>
    <t>终端</t>
  </si>
  <si>
    <t>PEI not accepted</t>
  </si>
  <si>
    <t>5GS services not allowed</t>
  </si>
  <si>
    <t>UE identity cannot be derived by the network</t>
  </si>
  <si>
    <t>Implicitly de-registered</t>
  </si>
  <si>
    <t>Tracking area not allowed</t>
  </si>
  <si>
    <t>Roaming not allowed in this tracking area</t>
  </si>
  <si>
    <t>无线</t>
  </si>
  <si>
    <t>No suitable cells in tracking area</t>
  </si>
  <si>
    <t>UE security capabilities mismatch</t>
  </si>
  <si>
    <t>Security mode rejected, unspecified</t>
  </si>
  <si>
    <t>Non-5G authentication unacceptable</t>
  </si>
  <si>
    <t>N1 mode not allowed</t>
  </si>
  <si>
    <t>Restricted service area</t>
  </si>
  <si>
    <t>Redirection to EPC required</t>
  </si>
  <si>
    <t>IAB-node operation not authorized</t>
  </si>
  <si>
    <t>LADN not available</t>
  </si>
  <si>
    <t>No network slices available</t>
  </si>
  <si>
    <t>Maximum number of PDU sessions reached</t>
  </si>
  <si>
    <t>Insufficient resources for specific slice and DNN</t>
  </si>
  <si>
    <t>Insufficient resources for specific slice</t>
  </si>
  <si>
    <t>ngKSI already in use</t>
  </si>
  <si>
    <t>Non-3GPP access to 5GCN not allowed</t>
  </si>
  <si>
    <t>Serving network not authorized</t>
  </si>
  <si>
    <t>Temporarily not authorized for this SNPN</t>
  </si>
  <si>
    <t>Permanently not authorized for this SNPN</t>
  </si>
  <si>
    <t>Not authorized for this CAG or authorized for CAG cells only</t>
  </si>
  <si>
    <t>Wireline access area not allowed</t>
  </si>
  <si>
    <t>PLMN not allowed to operate at the present UE location</t>
  </si>
  <si>
    <t>UAS services not allowed</t>
  </si>
  <si>
    <t>Disaster roaming for the determined PLMN with disaster condition not allowed</t>
  </si>
  <si>
    <t>Selected N3IWF is not compatible with the allowed NSSAI</t>
  </si>
  <si>
    <t>Selected TNGF is not compatible with the allowed NSSAI</t>
  </si>
  <si>
    <t>Payload was not forwarded</t>
  </si>
  <si>
    <t>DNN not supported or not subscribed in the slice</t>
  </si>
  <si>
    <t>Insufficient user-plane resources for the PDU session</t>
  </si>
  <si>
    <t>Onboarding services terminated</t>
  </si>
  <si>
    <t>User plane positioning not authorized</t>
  </si>
  <si>
    <t>Protocol error, unspecified</t>
  </si>
  <si>
    <t>5GSM</t>
  </si>
  <si>
    <t>Operator determined barring</t>
  </si>
  <si>
    <t>Missing or unknown DNN</t>
  </si>
  <si>
    <t>Unknown PDU session type</t>
  </si>
  <si>
    <t>User authentication or authorization failed</t>
  </si>
  <si>
    <t>Request rejected, unspecified</t>
  </si>
  <si>
    <t>5GS QoS not accepted</t>
  </si>
  <si>
    <t>Invalid PDU session identity</t>
  </si>
  <si>
    <t>Syntactical error in packet filter(s)</t>
  </si>
  <si>
    <t>Out of LADN service area</t>
  </si>
  <si>
    <t>PDU session type IPv4 only allowed</t>
  </si>
  <si>
    <t>PDU session type IPv6 only allowed</t>
  </si>
  <si>
    <t>PDU session does not exist</t>
  </si>
  <si>
    <t>PDU session type IPv4v6 only allowed</t>
  </si>
  <si>
    <t>PDU session type Unstructured only allowed</t>
  </si>
  <si>
    <t>Unsupported 5QI value</t>
  </si>
  <si>
    <t>PDU session type Ethernet only allowed</t>
  </si>
  <si>
    <t>Not supported SSC mode</t>
  </si>
  <si>
    <t>Missing or unknown DNN in a slice</t>
  </si>
  <si>
    <t>Maximum data rate per UE for user-plane integrity protection is too low</t>
  </si>
  <si>
    <t>Semantic error in the QoS operation</t>
  </si>
  <si>
    <t>Syntactical error in the QoS operation</t>
  </si>
  <si>
    <t>Invalid mapped EPS bearer identity</t>
  </si>
  <si>
    <t>NGAP</t>
  </si>
  <si>
    <t>NGAP Radio Network Layer Cause Value</t>
  </si>
  <si>
    <t>Sent for radio network layer cause when none of the specified cause values applies.</t>
  </si>
  <si>
    <t>txnrelocoverall-expiry</t>
  </si>
  <si>
    <t>The timer guarding the handover that takes place over Xn has abnormally expired.</t>
  </si>
  <si>
    <t>Successful handover.</t>
  </si>
  <si>
    <t>release-due-to-ngran-generated-reason</t>
  </si>
  <si>
    <t>Release is initiated due to NG-RAN generated reason.</t>
  </si>
  <si>
    <t>release-due-to-5gc-generated-reason</t>
  </si>
  <si>
    <t>Release is initiated due to 5GC generated reason.</t>
  </si>
  <si>
    <t>The reason for the action is cancellation of Handover.</t>
  </si>
  <si>
    <t>Provides a reason for the handover cancellation. The HANDOVER COMMAND message from AMF contained PDU Session Resource to Release List IE or QoS flow to Release List and the source NG-RAN node estimated service continuity for the UE would be better by not proceeding with handover towards this particular target NG-RAN node.</t>
  </si>
  <si>
    <t>ho-failure-in-target-5GC-ngran-node-or-target-system</t>
  </si>
  <si>
    <t>The handover failed due to a failure in target 5GC/NG-RAN node or target system.</t>
  </si>
  <si>
    <t>Handover to the indicated target cell is not allowed for the UE in question.</t>
  </si>
  <si>
    <t>tngrelocoverall-expiry</t>
  </si>
  <si>
    <t>The reason for the action is expiry of timer TNGRELOCoverall.</t>
  </si>
  <si>
    <t>tngrelocprep-expiry</t>
  </si>
  <si>
    <t>Handover Preparation procedure is cancelled when timer TNGRELOCprep expires.</t>
  </si>
  <si>
    <t>The concerned cell is not available.</t>
  </si>
  <si>
    <t>Handover rejected because the target ID is not known to the AMF.</t>
  </si>
  <si>
    <t>Load on target cell is too high.</t>
  </si>
  <si>
    <t>unknown-local-UE-NGAP-ID</t>
  </si>
  <si>
    <t>The action failed because the receiving node does not recognise the local UE NGAP ID.</t>
  </si>
  <si>
    <t>inconsistent-remote-UE-NGAP-ID</t>
  </si>
  <si>
    <t>The action failed because the receiving node considers that the received remote UE NGAP ID is inconsistent.</t>
  </si>
  <si>
    <t>The reason for requesting handover is radio related.</t>
  </si>
  <si>
    <t>Handover is requested for time critical reason i.e., this cause value is reserved to represent all critical cases where the connection is likely to be dropped if handover is not performed.</t>
  </si>
  <si>
    <t>The reason for requesting handover is to improve the load distribution with the neighbour cells.</t>
  </si>
  <si>
    <t>Load on serving cell needs to be reduced. When applied to handover preparation, it indicates the handover is triggered due to load balancing.</t>
  </si>
  <si>
    <t>The action is requested due to user inactivity on all PDU sessions, e.g., NG is requested to be released in order to optimise the radio resources.</t>
  </si>
  <si>
    <t>The action is requested due to losing the radio connection to the UE.</t>
  </si>
  <si>
    <t>No requested radio resources are available.</t>
  </si>
  <si>
    <t>The action was failed because of invalid QoS combination.</t>
  </si>
  <si>
    <t>Radio interface procedure has failed.</t>
  </si>
  <si>
    <t>The action is due to an ongoing interaction with another procedure.</t>
  </si>
  <si>
    <t>unknown-PDU-session-ID</t>
  </si>
  <si>
    <t>The action failed because the PDU Session ID is unknown in the NG-RAN node.</t>
  </si>
  <si>
    <t>unkown-qos-flow-ID</t>
  </si>
  <si>
    <t>The action failed because the QoS Flow ID is unknown in the NG-RAN node.</t>
  </si>
  <si>
    <t>multiple-PDU-session-ID-instances</t>
  </si>
  <si>
    <t>The action failed because multiple instance of the same PDU Session had been provided to/from the NG-RAN node.</t>
  </si>
  <si>
    <t>multiple-qos-flow-ID-instances</t>
  </si>
  <si>
    <t>The action failed because multiple instances of the same QoS flow had been provided to the NG-RAN node.</t>
  </si>
  <si>
    <t>The NG-RAN node is unable to support any of the encryption and/or integrity protection algorithms supported by the UE.</t>
  </si>
  <si>
    <t>ng-intra-system-handover-triggered</t>
  </si>
  <si>
    <t>The action is due to a NG intra-system handover that has been triggered.</t>
  </si>
  <si>
    <t>ng-inter-system-handover-triggered</t>
  </si>
  <si>
    <t>The action is due to a NG inter-system handover that has been triggered.</t>
  </si>
  <si>
    <t>xn-handover-triggered</t>
  </si>
  <si>
    <t>The action is due to an Xn handover that has been triggered.</t>
  </si>
  <si>
    <t>not-supported-5QI-value</t>
  </si>
  <si>
    <t>The QoS flow setup failed because the requested 5QI is not supported.</t>
  </si>
  <si>
    <t>ue-context-transfer</t>
  </si>
  <si>
    <t>The action is due to a UE resumes from the NG-RAN node different from the one which sent the UE into RRC_INACTIVE state.</t>
  </si>
  <si>
    <t>ims-voice-eps-fallback-or-rat-fallback-triggered</t>
  </si>
  <si>
    <t>The setup of QoS flow is failed due to EPS fallback or RAT fallback for IMS voice using handover or redirection.</t>
  </si>
  <si>
    <t>up-integrity-protection-not-possible</t>
  </si>
  <si>
    <t>The PDU session cannot be accepted according to the required user plane integrity protection policy.</t>
  </si>
  <si>
    <t>up-confidentiality-protection-not-possible</t>
  </si>
  <si>
    <t>The PDU session cannot be accepted according to the required user plane confidentiality protection policy.</t>
  </si>
  <si>
    <t>slice-not-supported</t>
  </si>
  <si>
    <t>Slice(s) not supported.</t>
  </si>
  <si>
    <t>ue-in-rrc-inactive-state-not-reachable</t>
  </si>
  <si>
    <t>The action is requested due to RAN paging failure.</t>
  </si>
  <si>
    <t>redirection</t>
  </si>
  <si>
    <t>The release is requested due to inter-system redirection or intra-system redirection.</t>
  </si>
  <si>
    <t>resources-not-available-for-the-slice</t>
  </si>
  <si>
    <t>The requested resources are not available for the slice(s).</t>
  </si>
  <si>
    <t>ue-max-integrity-protected-data-rate-reason</t>
  </si>
  <si>
    <t>The request is not accepted in order to comply with the maximum data rate for integrity protection supported by the UE.</t>
  </si>
  <si>
    <t>release-due-to-cn-detected-mobility</t>
  </si>
  <si>
    <t>The context release is requested by the AMF because the UE is already served by another CN node (same or different system), or another NG interface of the same CN node.</t>
  </si>
  <si>
    <t>NGAP Transport Layer Cause Value</t>
  </si>
  <si>
    <t>The action failed due to a temporary failure of the N26 interface.</t>
  </si>
  <si>
    <t>Release is initiated due to pre-emption.</t>
  </si>
  <si>
    <t>NGAP NAS Cause Value</t>
  </si>
  <si>
    <t>The action failed because multiple areas of interest are set with the same Location Reporting Reference ID.</t>
  </si>
  <si>
    <t>The redundant user plane resources indicated by RSN are not available.</t>
  </si>
  <si>
    <t>deregister</t>
  </si>
  <si>
    <t>Access was denied for NPN reasons.</t>
  </si>
  <si>
    <t>Access was denied because the cell is a non-CAG cell and UE is only allowed to access CAG cells.</t>
  </si>
  <si>
    <t>NGAP Protocol Cause Value</t>
  </si>
  <si>
    <t>The required transport resources are not available.</t>
  </si>
  <si>
    <t>Sent when none of the above cause values applies but still the cause is Transport Network Layer related.</t>
  </si>
  <si>
    <t>The release is normal.</t>
  </si>
  <si>
    <t>The action is due to authentication failure.</t>
  </si>
  <si>
    <t>The action is due to deregister.</t>
  </si>
  <si>
    <t>Sent when none of the above cause values applies but still the cause is NAS related.</t>
  </si>
  <si>
    <t>The received message included a transfer syntax error.</t>
  </si>
  <si>
    <t>NGAP Misc Cause Value</t>
  </si>
  <si>
    <t>The received message included an abstract syntax error and the concerning criticality indicated "reject".</t>
  </si>
  <si>
    <t>The received message included an abstract syntax error and the concerning criticality indicated "ignore and notify".</t>
  </si>
  <si>
    <t>The received message was not compatible with the receiver state.</t>
  </si>
  <si>
    <t>The received message included a semantic error.</t>
  </si>
  <si>
    <t>The received message contained IEs or IE groups in wrong order or with too many occurrences.</t>
  </si>
  <si>
    <t>Sent when none of the above cause values applies but still the cause is Protocol related.</t>
  </si>
  <si>
    <t>SMS</t>
  </si>
  <si>
    <t>SMS CP Cause</t>
  </si>
  <si>
    <t>Control processing overload.</t>
  </si>
  <si>
    <t>Not enough resources are available related to user plane processing.</t>
  </si>
  <si>
    <t>Invalid Transaction Identifier value</t>
  </si>
  <si>
    <t>Action related to hardware failure.</t>
  </si>
  <si>
    <t>The action is due to O&amp;M intervention.</t>
  </si>
  <si>
    <t>The AMF does not identify any PLMN provided by the NG-RAN node.</t>
  </si>
  <si>
    <t>Sent when none of the above cause values applies and the cause is not related to any of the categories Radio Network Layer, Transport Network Layer, NAS or Protocol.</t>
  </si>
  <si>
    <t>Message not compatible with the short message protocol state</t>
  </si>
  <si>
    <t>SMS RP Cause</t>
  </si>
  <si>
    <t>Unassigned (unallocated) number</t>
  </si>
  <si>
    <t>Call barred</t>
  </si>
  <si>
    <t>Reserved</t>
  </si>
  <si>
    <t>Short message transfer rejected</t>
  </si>
  <si>
    <t>Destination out of order</t>
  </si>
  <si>
    <t>Unidentified subscriber</t>
  </si>
  <si>
    <t>Facility rejected</t>
  </si>
  <si>
    <t>Unknown subscriber</t>
  </si>
  <si>
    <t>Network out of order</t>
  </si>
  <si>
    <t>Temporary failure</t>
  </si>
  <si>
    <t>Resources unavailable, unspecified</t>
  </si>
  <si>
    <t>Requested facility not subscribed</t>
  </si>
  <si>
    <t>Requested facility not implemented</t>
  </si>
  <si>
    <t>Invalid short message transfer reference value</t>
  </si>
  <si>
    <t>Message not compatible with short message protocol state</t>
  </si>
  <si>
    <t>Interworking, unspecified</t>
  </si>
  <si>
    <t>hour</t>
  </si>
  <si>
    <t>fact_psup_video_e2e_front</t>
  </si>
  <si>
    <t>4G DPI视频业务明细表</t>
  </si>
  <si>
    <t>lte_cm_projdata</t>
  </si>
  <si>
    <t>4G电信工参</t>
  </si>
  <si>
    <t>先将B表与B1表合并，若存在相同cellkey，则保留B表数据；</t>
  </si>
  <si>
    <t>lte_cucc_cm_projdata</t>
  </si>
  <si>
    <t>4G联通工参</t>
  </si>
  <si>
    <t>B1</t>
  </si>
  <si>
    <t>local_city</t>
  </si>
  <si>
    <t>所在市编码</t>
  </si>
  <si>
    <t>B|B1</t>
  </si>
  <si>
    <t>B：citycode
B1：citycode</t>
  </si>
  <si>
    <t>算法升级</t>
  </si>
  <si>
    <t>local_province</t>
  </si>
  <si>
    <t>所在省编码</t>
  </si>
  <si>
    <t>owner_province</t>
  </si>
  <si>
    <t>归属省编码</t>
  </si>
  <si>
    <t>owner_city</t>
  </si>
  <si>
    <t>归属市编码</t>
  </si>
  <si>
    <t>roaming_type</t>
  </si>
  <si>
    <t>漫游类型，对应dim_roamingtype的roamtypeid</t>
  </si>
  <si>
    <t>xdr_id</t>
  </si>
  <si>
    <t>XDR ID，话单标识</t>
  </si>
  <si>
    <t>rat</t>
  </si>
  <si>
    <t>无线接入类型</t>
  </si>
  <si>
    <t>业务过程用户IMSI号码</t>
  </si>
  <si>
    <t>imei</t>
  </si>
  <si>
    <t>业务过程用户终端IMEI号码</t>
  </si>
  <si>
    <t>业务过程用户MSISDN号码</t>
  </si>
  <si>
    <t>dest_ip</t>
  </si>
  <si>
    <t>目标网元地址，对于Gn口，填写GGSN的用户面IP地址；对于S1-U口，填写SGW的用户面IP地址</t>
  </si>
  <si>
    <t>source_ip</t>
  </si>
  <si>
    <t>源网元地址，对于Gn口，填写SGSN的用户面IP地址；对于S1-U口，填写eNB用户面IP地址</t>
  </si>
  <si>
    <t>dest_port</t>
  </si>
  <si>
    <t>源网元端口，对于Gn口，填写GGSN的端口；对于S1-U口，填写SGW端口</t>
  </si>
  <si>
    <t>source_port</t>
  </si>
  <si>
    <t>目标网元端口，对于Gn口，填写SGSN的端口；对于S1-U口，填写eNB端口</t>
  </si>
  <si>
    <t>area</t>
  </si>
  <si>
    <t>区域</t>
  </si>
  <si>
    <t>B：districtcode
B1：districtcode</t>
  </si>
  <si>
    <t>cell</t>
  </si>
  <si>
    <t>小区</t>
  </si>
  <si>
    <t>apn</t>
  </si>
  <si>
    <t>start_time</t>
  </si>
  <si>
    <t>timestamp</t>
  </si>
  <si>
    <t>开始时间</t>
  </si>
  <si>
    <t>end_time</t>
  </si>
  <si>
    <t>结束时间</t>
  </si>
  <si>
    <t>protocol_id</t>
  </si>
  <si>
    <t>协议编码，集团规定的协议识别分类，参加《中国移动数据流量DPI识别能力规范》中的“DPI设备协议识别能力要求”</t>
  </si>
  <si>
    <t>service_id</t>
  </si>
  <si>
    <t>业务大类编码</t>
  </si>
  <si>
    <t>subservice_id</t>
  </si>
  <si>
    <t>业务小类编码</t>
  </si>
  <si>
    <t>app_content</t>
  </si>
  <si>
    <t>业务内容编码，应用小类的内容细分，如微信文本、微信语音等。</t>
  </si>
  <si>
    <t>app_status</t>
  </si>
  <si>
    <t>会话状态编码</t>
  </si>
  <si>
    <t>l4protocol_id</t>
  </si>
  <si>
    <t>四层协议编码</t>
  </si>
  <si>
    <t>ul_traffic</t>
  </si>
  <si>
    <t>上行流量</t>
  </si>
  <si>
    <t>dl_traffic</t>
  </si>
  <si>
    <t>下行流量</t>
  </si>
  <si>
    <t>ul_pkt</t>
  </si>
  <si>
    <t>上行包数</t>
  </si>
  <si>
    <t>dl_pkt</t>
  </si>
  <si>
    <t>下行包数</t>
  </si>
  <si>
    <t>ul_disorder_pkt</t>
  </si>
  <si>
    <t>上行乱序包数</t>
  </si>
  <si>
    <t>dl_disorder_pkt</t>
  </si>
  <si>
    <t>下行乱序包数</t>
  </si>
  <si>
    <t>ul_retrans_pkt</t>
  </si>
  <si>
    <t>上行重传包数</t>
  </si>
  <si>
    <t>dl_retrans_pkt</t>
  </si>
  <si>
    <t>下行重传包数</t>
  </si>
  <si>
    <t>tcp_resp_delay</t>
  </si>
  <si>
    <t>TCP建链响应时延</t>
  </si>
  <si>
    <t>tcp_ack_delay</t>
  </si>
  <si>
    <t>TCP建链确认时延</t>
  </si>
  <si>
    <t>first_req_delay</t>
  </si>
  <si>
    <t>第一事务请求时延</t>
  </si>
  <si>
    <t>first_resp_delay</t>
  </si>
  <si>
    <t>第一事务响应时延</t>
  </si>
  <si>
    <t>syn_cnt</t>
  </si>
  <si>
    <t>SYN计数</t>
  </si>
  <si>
    <t>tcp_status</t>
  </si>
  <si>
    <t>TCP连接状态</t>
  </si>
  <si>
    <t>session_end</t>
  </si>
  <si>
    <t>会话结束标示</t>
  </si>
  <si>
    <t>synack_cnt</t>
  </si>
  <si>
    <t>SYNACK计数</t>
  </si>
  <si>
    <t>ack_cnt</t>
  </si>
  <si>
    <t>ACK计数</t>
  </si>
  <si>
    <t>synack_status</t>
  </si>
  <si>
    <t>TCP1/2步握手连接状态</t>
  </si>
  <si>
    <t>ack_status</t>
  </si>
  <si>
    <t>TCP2/3步握手连接状态</t>
  </si>
  <si>
    <t>repetition</t>
  </si>
  <si>
    <t>重复统计</t>
  </si>
  <si>
    <t>enb_id</t>
  </si>
  <si>
    <t>guti_group_id</t>
  </si>
  <si>
    <t>GUTI中的MME组编号</t>
  </si>
  <si>
    <t>guti_mme_code</t>
  </si>
  <si>
    <t>GUTI中的MME编号</t>
  </si>
  <si>
    <t>mme_s1ap_id</t>
  </si>
  <si>
    <t>MME分配的S1AP ID</t>
  </si>
  <si>
    <t>enb_s1ap_id</t>
  </si>
  <si>
    <t>ENodeB分配的S1AP ID</t>
  </si>
  <si>
    <t>report_time</t>
  </si>
  <si>
    <t>报告时间</t>
  </si>
  <si>
    <t>hops</t>
  </si>
  <si>
    <t>跳数</t>
  </si>
  <si>
    <t>req_time</t>
  </si>
  <si>
    <t>视频请求消息的TCP/UDP流开始时间，UTC时间</t>
  </si>
  <si>
    <t>resource_name</t>
  </si>
  <si>
    <t>URL中携带的视频资源名称</t>
  </si>
  <si>
    <t>streaming_rate</t>
  </si>
  <si>
    <t>视频文件的码率。若播放中间变速，记录第一个码速</t>
  </si>
  <si>
    <t>play_success</t>
  </si>
  <si>
    <t>定义参见《LTE信令监测及互联网KQI指标规范》</t>
  </si>
  <si>
    <t>first_play_time</t>
  </si>
  <si>
    <t>视频文件开始播放的时间，使用UTC时间</t>
  </si>
  <si>
    <t>pause_cnt</t>
  </si>
  <si>
    <t>播放过程中的卡顿次数</t>
  </si>
  <si>
    <t>buffer_duration</t>
  </si>
  <si>
    <t>初始缓冲时长（单位ms）</t>
  </si>
  <si>
    <t>download_octet</t>
  </si>
  <si>
    <t>视频下载数据量（单位字节）</t>
  </si>
  <si>
    <t>download_duration</t>
  </si>
  <si>
    <t>视频下载时间（单位ms）</t>
  </si>
  <si>
    <t>file_type</t>
  </si>
  <si>
    <t>流媒体类型</t>
  </si>
  <si>
    <t>pause_duration</t>
  </si>
  <si>
    <t>视频播放卡顿时长（单位ms）</t>
  </si>
  <si>
    <t>dns_start_time</t>
  </si>
  <si>
    <t>DNS查询开始时间</t>
  </si>
  <si>
    <t>dns_end_time</t>
  </si>
  <si>
    <t>DNS查询结束时间</t>
  </si>
  <si>
    <t>dns_resp_delay</t>
  </si>
  <si>
    <t>DNS查询时延</t>
  </si>
  <si>
    <t>dns2tcp_delay</t>
  </si>
  <si>
    <t>DNS到TCP建链的时延</t>
  </si>
  <si>
    <t>duration</t>
  </si>
  <si>
    <t>持续时长</t>
  </si>
  <si>
    <t>user_ip</t>
  </si>
  <si>
    <t>用户侧IP</t>
  </si>
  <si>
    <t>server_ip</t>
  </si>
  <si>
    <t>服务器IP</t>
  </si>
  <si>
    <t>tacid</t>
  </si>
  <si>
    <t>取串号前8位</t>
  </si>
  <si>
    <t>vendor</t>
  </si>
  <si>
    <t>制造商(终端品牌)标识</t>
  </si>
  <si>
    <t>model</t>
  </si>
  <si>
    <t>终端型号标识</t>
  </si>
  <si>
    <t>server_carrier</t>
  </si>
  <si>
    <t>SP服务器归属运营商</t>
  </si>
  <si>
    <t>server_country</t>
  </si>
  <si>
    <t>SP服务器归属国家名称</t>
  </si>
  <si>
    <t>server_province</t>
  </si>
  <si>
    <t>SP服务器归属省份名称</t>
  </si>
  <si>
    <t>server_city</t>
  </si>
  <si>
    <t>SP服务器归属地市名称</t>
  </si>
  <si>
    <t>longitude</t>
  </si>
  <si>
    <t>经度</t>
  </si>
  <si>
    <t>latitude</t>
  </si>
  <si>
    <t>栅格区域坐标（适合于所有尺寸）</t>
  </si>
  <si>
    <t>x_offset</t>
  </si>
  <si>
    <t>栅格坐标x轴偏移（全量mr类栅格尺寸，默认100）</t>
  </si>
  <si>
    <t>y_offset</t>
  </si>
  <si>
    <t>栅格坐标y轴偏移（全量mr类栅格尺寸，默认100）</t>
  </si>
  <si>
    <t>setuprsrp</t>
  </si>
  <si>
    <t>接入rsrp</t>
  </si>
  <si>
    <t>setupenb</t>
  </si>
  <si>
    <t>接入基站</t>
  </si>
  <si>
    <t>honumber</t>
  </si>
  <si>
    <t>切换次数总和</t>
  </si>
  <si>
    <t>ulrb</t>
  </si>
  <si>
    <t>上行平均RB个数</t>
  </si>
  <si>
    <t>dlrb</t>
  </si>
  <si>
    <t>下行平均RB个数</t>
  </si>
  <si>
    <t>setupulbler</t>
  </si>
  <si>
    <t>接入上行BLER</t>
  </si>
  <si>
    <t>sum(case when ta&gt;=0 then ta else null end)</t>
  </si>
  <si>
    <t>新增字段</t>
  </si>
  <si>
    <t>setupdlbler</t>
  </si>
  <si>
    <t>接入下行BLER</t>
  </si>
  <si>
    <t>count(case when ta&gt;=0 then 1 else null end)</t>
  </si>
  <si>
    <t>setupulsinr</t>
  </si>
  <si>
    <t>接入上行SINR</t>
  </si>
  <si>
    <t>sum(case when ta&gt;=0 then ta else null end)/count(case when ta&gt;=0 then 1 else null end)</t>
  </si>
  <si>
    <t>setupdlmcs</t>
  </si>
  <si>
    <t>接入下行SINR</t>
  </si>
  <si>
    <t>relaseulbler</t>
  </si>
  <si>
    <t>释放上行BLER</t>
  </si>
  <si>
    <t>relasedlber</t>
  </si>
  <si>
    <t>释放下行BLER</t>
  </si>
  <si>
    <t>releaseservrsrp</t>
  </si>
  <si>
    <t>释放RSRP</t>
  </si>
  <si>
    <t>relasesinr</t>
  </si>
  <si>
    <t>释放SINR</t>
  </si>
  <si>
    <t>relasedlmcs</t>
  </si>
  <si>
    <t>释放下行MCS</t>
  </si>
  <si>
    <t>firsthoulbler</t>
  </si>
  <si>
    <t>第一次切换上行BLER</t>
  </si>
  <si>
    <t>firsthodlber</t>
  </si>
  <si>
    <t>第一次切换下行BLER</t>
  </si>
  <si>
    <t>sum(case when ta&gt;=6 and ta&lt;9 then 1 else 0 end)</t>
  </si>
  <si>
    <t>firsthoservingcellrsrp</t>
  </si>
  <si>
    <t>第一次切换源RSRP</t>
  </si>
  <si>
    <t>sum(case when ta&gt;=12 and ta&lt;15 then 1 else 0 end)</t>
  </si>
  <si>
    <t>firsthodstrsrp</t>
  </si>
  <si>
    <t>第一次切换目标RSRP</t>
  </si>
  <si>
    <t>sum(case when ta&gt;=15 and ta&lt;20 then 1 else 0 end)</t>
  </si>
  <si>
    <t>firsthoulsinr</t>
  </si>
  <si>
    <t>第一次切换上行SINR</t>
  </si>
  <si>
    <t>firsthoulmcs</t>
  </si>
  <si>
    <t>第一次切换上行MCS</t>
  </si>
  <si>
    <t>sum(case when ta&gt;=20 then 1 else 0 end)</t>
  </si>
  <si>
    <t>lasthoulbler</t>
  </si>
  <si>
    <t>最后一次切换上行BLER</t>
  </si>
  <si>
    <t>lasthodlber</t>
  </si>
  <si>
    <t>最后一次切换下行BLER</t>
  </si>
  <si>
    <t>lastservingcellrsrp</t>
  </si>
  <si>
    <t>最后一次切换源RSRP</t>
  </si>
  <si>
    <t>lasthodstrsrp</t>
  </si>
  <si>
    <t>最后一次切换目标RSRP</t>
  </si>
  <si>
    <t>lasthoulsinr</t>
  </si>
  <si>
    <t>最后一次切换上行SINR</t>
  </si>
  <si>
    <t>lasthoulmcs</t>
  </si>
  <si>
    <t>最后一次切换上行MCS</t>
  </si>
  <si>
    <t>ul_rtt</t>
  </si>
  <si>
    <t>上行RTT</t>
  </si>
  <si>
    <t>dl_rtt</t>
  </si>
  <si>
    <t>下行RTT</t>
  </si>
  <si>
    <t>agpsmr_hour</t>
  </si>
  <si>
    <t>一个小时内AGPS MR的样本数量</t>
  </si>
  <si>
    <t>regionid_20</t>
  </si>
  <si>
    <t>RegionID20</t>
  </si>
  <si>
    <t>x_offset_20</t>
  </si>
  <si>
    <t>栅格坐标x轴偏移（apgs类栅格尺寸，默认20*20）</t>
  </si>
  <si>
    <t>y_offset_20</t>
  </si>
  <si>
    <t>栅格坐标y轴偏移（apgs类栅格尺寸，默认20*20）</t>
  </si>
  <si>
    <t>cachedvideosize</t>
  </si>
  <si>
    <t>缓冲段视频大小</t>
  </si>
  <si>
    <t>cachedvideoduration</t>
  </si>
  <si>
    <t>缓冲段视频下载时长</t>
  </si>
  <si>
    <t>videocachethroughput</t>
  </si>
  <si>
    <t>视频缓冲段下载速率。算法见《中国电信2017年移动互联网业务感知质量评价细则》</t>
  </si>
  <si>
    <t>tcpsetupresponsedelay</t>
  </si>
  <si>
    <t>TCP建链响应时延（ms）</t>
  </si>
  <si>
    <t>tcpsetupackdelay</t>
  </si>
  <si>
    <t>TCP建链确认时延（ms）</t>
  </si>
  <si>
    <t>videobitrate</t>
  </si>
  <si>
    <t>视频码率</t>
  </si>
  <si>
    <t>videosize</t>
  </si>
  <si>
    <t>视频文件大小</t>
  </si>
  <si>
    <t>videoplayhaltcount</t>
  </si>
  <si>
    <t>视频播放卡顿次数</t>
  </si>
  <si>
    <t>host</t>
  </si>
  <si>
    <t>sourceip</t>
  </si>
  <si>
    <t>用户访问外部网络时使用的IPv4或IPv6地址</t>
  </si>
  <si>
    <t>sourceip_type</t>
  </si>
  <si>
    <t>访问IP地址类型</t>
  </si>
  <si>
    <t>ulipfragpacks</t>
  </si>
  <si>
    <t>UL_IP_FRAG_PACKETS,以内层IP包的分片为准</t>
  </si>
  <si>
    <t>dlipfragpacks</t>
  </si>
  <si>
    <t>DL_IP_FRAG_PACKETS,以内层IP包的分片为准</t>
  </si>
  <si>
    <t>is_abnormal</t>
  </si>
  <si>
    <t>是否质差话单</t>
  </si>
  <si>
    <t>case when tcpsetupresponsedelay&gt;= 100 or tcpsetupackdelay&gt;=100  or ultcpreorderingpacket/outputpacket&gt;=0.05 or dltcpreorderingpacket/inputpacket&gt;=0.05 or ultcp_retranspacket/outputpacket&gt;=0.1 or dltcp_retranspacket/inputpacket&gt;=0.1  then 1 else 0 end</t>
  </si>
  <si>
    <t>reportdate</t>
  </si>
  <si>
    <t>reporthour</t>
  </si>
  <si>
    <t>clttime</t>
  </si>
  <si>
    <t>上报时间</t>
  </si>
  <si>
    <t>interface</t>
  </si>
  <si>
    <t>接口类型：1、S1-U，4、S11，6、S5/S8，100、N3</t>
  </si>
  <si>
    <t>visitedplmnid</t>
  </si>
  <si>
    <t>拜访网络标识</t>
  </si>
  <si>
    <t>tai</t>
  </si>
  <si>
    <t>跟踪区标识</t>
  </si>
  <si>
    <t>nodebid</t>
  </si>
  <si>
    <t>4G eNodeBID/5G gNBID</t>
  </si>
  <si>
    <t>imsi_supi</t>
  </si>
  <si>
    <t>永久用户标识，永久用户标识。4G 填写用户IMSI。</t>
  </si>
  <si>
    <t>终端类型标识</t>
  </si>
  <si>
    <t>servicetype</t>
  </si>
  <si>
    <t>业务应用分类ID</t>
  </si>
  <si>
    <t>修改字段类型</t>
  </si>
  <si>
    <t>province</t>
  </si>
  <si>
    <t>省</t>
  </si>
  <si>
    <t>city</t>
  </si>
  <si>
    <t>市</t>
  </si>
  <si>
    <t>拜访地区县</t>
  </si>
  <si>
    <t>time_start_to_end_sum</t>
  </si>
  <si>
    <t>业务流总体时间</t>
  </si>
  <si>
    <t>duration_sum</t>
  </si>
  <si>
    <t>持续时间，单位毫秒，根据业务流开始和结束统计得出的时间</t>
  </si>
  <si>
    <t>outputoctets_sum</t>
  </si>
  <si>
    <t>上行流量(byte)</t>
  </si>
  <si>
    <t>inputoctets_sum</t>
  </si>
  <si>
    <t>下行流量(byte)</t>
  </si>
  <si>
    <t>inputpacket_sum</t>
  </si>
  <si>
    <t>发给用户的业务数据包数量</t>
  </si>
  <si>
    <t>outputpacket_sum</t>
  </si>
  <si>
    <t>用户发出的业务数据包数量</t>
  </si>
  <si>
    <t>timeusage_sum</t>
  </si>
  <si>
    <t>实际产生流量的时长，单位为毫秒。</t>
  </si>
  <si>
    <t>ultcpreorderingpacket_sum</t>
  </si>
  <si>
    <t>上行TCP乱序报文数，L4协议，非TCP传输时，此字段填0</t>
  </si>
  <si>
    <t>dltcpreorderingpacket_sum</t>
  </si>
  <si>
    <t>下行TCP乱序报文数，非TCP传输时，此字段填0</t>
  </si>
  <si>
    <t>ultcp_retranspacket_sum</t>
  </si>
  <si>
    <t>上行TCP重传报文数，非TCP传输时，此字段填0</t>
  </si>
  <si>
    <t>dltcp_retranspacket_sum</t>
  </si>
  <si>
    <t>下行TCP重传报文数，非TCP传输时，此字段填0</t>
  </si>
  <si>
    <t>tcpsetupresponsedelay_sum</t>
  </si>
  <si>
    <t>tcpsetupackdelay_sum</t>
  </si>
  <si>
    <t>tcpsetupdelay_sum</t>
  </si>
  <si>
    <t>TCP建立时延(ms)_求和</t>
  </si>
  <si>
    <t>delay_setup_firsttransaction_sum</t>
  </si>
  <si>
    <t>TCP建链成功到第一条事务请求的时延（ms）</t>
  </si>
  <si>
    <t>delay_firsttransaction_firstrespackt_sum</t>
  </si>
  <si>
    <t>第一条事务请求到其第一个响应包时延（ms）</t>
  </si>
  <si>
    <t>tcpsynnumber_sum</t>
  </si>
  <si>
    <t>TCP建链尝试次数</t>
  </si>
  <si>
    <t>tcpconnectsuccnumber_sum</t>
  </si>
  <si>
    <t>TCP连接成功次数</t>
  </si>
  <si>
    <t>ulipfragpacks_sum</t>
  </si>
  <si>
    <t>UL_IP_FRAG_PACKETS</t>
  </si>
  <si>
    <t>dlipfragpacks_sum</t>
  </si>
  <si>
    <t>DL_IP_FRAG_PACKETS</t>
  </si>
  <si>
    <t>ul_data_transduration_sum</t>
  </si>
  <si>
    <t>TCP上行数传时长，单位为毫秒</t>
  </si>
  <si>
    <t>dl_datatransduration_sum</t>
  </si>
  <si>
    <t>TCP下行数传时长，单位为毫秒</t>
  </si>
  <si>
    <t>ul_packet_number_stg1_sum</t>
  </si>
  <si>
    <t>UDP上行包大小个数：包大小 &lt; 15 Byte</t>
  </si>
  <si>
    <t>ul_packet_number_stg2_sum</t>
  </si>
  <si>
    <t>UDP上行包大小个数：15Byte&lt; 包大小 &lt; 36 Byte</t>
  </si>
  <si>
    <t>ul_packet_number_stg3_sum</t>
  </si>
  <si>
    <t>UDP上行包大小个数：36Byte&lt;= 包大小&lt;= 56Byte</t>
  </si>
  <si>
    <t>ul_packet_number_stg4_sum</t>
  </si>
  <si>
    <t>UDP上行包大小个数：包大小 &gt; 56 Byte</t>
  </si>
  <si>
    <t>dl_packet_number_stg1_sum</t>
  </si>
  <si>
    <t>UDP下行包大小个数：包大小 &lt; 15 Byte</t>
  </si>
  <si>
    <t>dl_packet_number_stg2_sum</t>
  </si>
  <si>
    <t>UDP下行包大小个数：15Byte&lt; 包大小 &lt; 36 Byte</t>
  </si>
  <si>
    <t>dl_packet_number_stg3_sum</t>
  </si>
  <si>
    <t>UDP下行包大小个数：36Byte&lt;=包大小&lt;= 56Byte</t>
  </si>
  <si>
    <t>dl_packet_number_stg4_sum</t>
  </si>
  <si>
    <t>UDP下行包大小个数：包大小 &gt; 56 Byte</t>
  </si>
  <si>
    <t>ul_average_packet_size_sum</t>
  </si>
  <si>
    <t>UDP上行平均包大小</t>
  </si>
  <si>
    <t>dl_average_packet_size_sum</t>
  </si>
  <si>
    <t>UDP下行平均包大小</t>
  </si>
  <si>
    <t>ul_average_interval_sum</t>
  </si>
  <si>
    <t>UDP上行平均包间隔</t>
  </si>
  <si>
    <t>dl_average_interval_sum</t>
  </si>
  <si>
    <t>UDP下行平均包间隔</t>
  </si>
  <si>
    <t>ul_average_jitter_sum</t>
  </si>
  <si>
    <t>UDP上行平均包间隔抖动</t>
  </si>
  <si>
    <t>dl_average_jitter_sum</t>
  </si>
  <si>
    <t>UDP下行平均包间隔抖动</t>
  </si>
  <si>
    <t>vuflux</t>
  </si>
  <si>
    <t>用于计算流速的上行流量(byte)</t>
  </si>
  <si>
    <t>vdflux</t>
  </si>
  <si>
    <t>用于计算流速的下行流量(byte)</t>
  </si>
  <si>
    <t>vtimeusage</t>
  </si>
  <si>
    <t>用于计算流速的实际产生流量的时长，单位为毫秒。</t>
  </si>
  <si>
    <t>vdtimeusage</t>
  </si>
  <si>
    <t>用于计算流速的实际产生下行流量的时长，单位为毫秒。</t>
  </si>
  <si>
    <t>vutimeusage</t>
  </si>
  <si>
    <t>用于计算流速的实际产生上行流量的时长，单位为毫秒。</t>
  </si>
  <si>
    <t>videoplayrequestcount</t>
  </si>
  <si>
    <t>视频播放请求次数</t>
  </si>
  <si>
    <t>videoplaysuccesscount</t>
  </si>
  <si>
    <t>视频播放成功次数</t>
  </si>
  <si>
    <t>videoplayfailurecount</t>
  </si>
  <si>
    <t>视频播放失败次数</t>
  </si>
  <si>
    <t>videoplaynohaltcount</t>
  </si>
  <si>
    <t>视频播放0卡顿的次数</t>
  </si>
  <si>
    <t>connectioncount</t>
  </si>
  <si>
    <t>总流数</t>
  </si>
  <si>
    <t>videoplaytime_sum</t>
  </si>
  <si>
    <t>视频播放总时长</t>
  </si>
  <si>
    <t>videoplaytime_without_halt_sum</t>
  </si>
  <si>
    <t>视频播放时长，不含卡顿时长，单位毫秒</t>
  </si>
  <si>
    <t>videoplaywaittime_sum</t>
  </si>
  <si>
    <t>视频播放等待时长，单位毫秒</t>
  </si>
  <si>
    <t>videorecovertime_sum</t>
  </si>
  <si>
    <t>视频卡顿时长，单位毫秒</t>
  </si>
  <si>
    <t>videothroughput</t>
  </si>
  <si>
    <t>视频下载速率</t>
  </si>
  <si>
    <t>视频缓冲段下载速率。算法见《中国电信移动互联网业务感知质量评价细则》</t>
  </si>
  <si>
    <t>totalvideosize</t>
  </si>
  <si>
    <t>视频质量，即视频平均码率，单位Kbps</t>
  </si>
  <si>
    <t>cachedvideoduration_sum</t>
  </si>
  <si>
    <t>video_resolution_level</t>
  </si>
  <si>
    <t>视频清晰度，取值范围100~500，分值越高越清晰</t>
  </si>
  <si>
    <t>video_fluency_level</t>
  </si>
  <si>
    <t>视频流畅度，取值100~500，分值越高越流畅</t>
  </si>
  <si>
    <t>videoplaysuccessratio</t>
  </si>
  <si>
    <t>视频播放成功率(*10000)</t>
  </si>
  <si>
    <t>kqi_videoplayhaltcountpermin</t>
  </si>
  <si>
    <t>视频播放卡顿频次，单位次/分钟</t>
  </si>
  <si>
    <t>kqi_videorecovertimeratio</t>
  </si>
  <si>
    <t>视频卡顿时长占比，单位百分比</t>
  </si>
  <si>
    <t>videoplaywaittimeratio</t>
  </si>
  <si>
    <t>视频播放等待时长占比</t>
  </si>
  <si>
    <t>cachedvideodurationratio</t>
  </si>
  <si>
    <t>缓冲段视频下载时长占比</t>
  </si>
  <si>
    <t>times_excellentdownlink</t>
  </si>
  <si>
    <t>视频下载速率优秀次数</t>
  </si>
  <si>
    <t>times_inferiordownlink</t>
  </si>
  <si>
    <t>视频下载速率劣质次数</t>
  </si>
  <si>
    <t>times_welldownlink</t>
  </si>
  <si>
    <t>视频下载速率良好次数</t>
  </si>
  <si>
    <t>times_excellentstallfrequ</t>
  </si>
  <si>
    <t>卡顿频次优秀次数</t>
  </si>
  <si>
    <t>times_inferiorstallfrequ</t>
  </si>
  <si>
    <t>卡顿频次质差次数</t>
  </si>
  <si>
    <t>times_wellstallfrequ</t>
  </si>
  <si>
    <t>卡顿频次良好次数</t>
  </si>
  <si>
    <t>throughput</t>
  </si>
  <si>
    <t>下载速率_根据IP报文统计</t>
  </si>
  <si>
    <t>throughput_seg_1</t>
  </si>
  <si>
    <t>下载速率_根据IP报文统计_seg_1</t>
  </si>
  <si>
    <t>throughput_seg_2</t>
  </si>
  <si>
    <t>下载速率_根据IP报文统计_seg_2</t>
  </si>
  <si>
    <t>throughput_seg_3</t>
  </si>
  <si>
    <t>下载速率_根据IP报文统计_seg_3</t>
  </si>
  <si>
    <t>throughput_seg_4</t>
  </si>
  <si>
    <t>下载速率_根据IP报文统计_seg_4</t>
  </si>
  <si>
    <t>throughput_seg_5</t>
  </si>
  <si>
    <t>下载速率_根据IP报文统计_seg_5</t>
  </si>
  <si>
    <t>tcpsetupresponsedelay_avg</t>
  </si>
  <si>
    <t>TCP建链响应时延_avg</t>
  </si>
  <si>
    <t>tcpsetupresponsedelay_seg_1</t>
  </si>
  <si>
    <t>TCP建链响应时延_seg_1</t>
  </si>
  <si>
    <t>tcpsetupresponsedelay_seg_2</t>
  </si>
  <si>
    <t>TCP建链响应时延_seg_2</t>
  </si>
  <si>
    <t>tcpsetupresponsedelay_seg_3</t>
  </si>
  <si>
    <t>TCP建链响应时延_seg_3</t>
  </si>
  <si>
    <t>tcpsetupresponsedelay_seg_4</t>
  </si>
  <si>
    <t>TCP建链响应时延_seg_4</t>
  </si>
  <si>
    <t>tcpsetupresponsedelay_seg_5</t>
  </si>
  <si>
    <t>TCP建链响应时延_seg_5</t>
  </si>
  <si>
    <t>tcpsetupackdelay_avg</t>
  </si>
  <si>
    <t>TCP建链确认时延_avg</t>
  </si>
  <si>
    <t>tcpsetupackdelay_seg_1</t>
  </si>
  <si>
    <t>TCP建链确认时延_seg_1</t>
  </si>
  <si>
    <t>tcpsetupackdelay_seg_2</t>
  </si>
  <si>
    <t>TCP建链确认时延_seg_2</t>
  </si>
  <si>
    <t>tcpsetupackdelay_seg_3</t>
  </si>
  <si>
    <t>TCP建链确认时延_seg_3</t>
  </si>
  <si>
    <t>tcpsetupackdelay_seg_4</t>
  </si>
  <si>
    <t>TCP建链确认时延_seg_4</t>
  </si>
  <si>
    <t>tcpsetupackdelay_seg_5</t>
  </si>
  <si>
    <t>TCP建链确认时延_seg_5</t>
  </si>
  <si>
    <t>tcpsetupdelay_avg</t>
  </si>
  <si>
    <t>TCP建立时延(ms)_avg</t>
  </si>
  <si>
    <t>tcpsetupdelay_seg_1</t>
  </si>
  <si>
    <t>TCP建立时延(ms)_seg_1</t>
  </si>
  <si>
    <t>tcpsetupdelay_seg_2</t>
  </si>
  <si>
    <t>TCP建立时延(ms)_seg_2</t>
  </si>
  <si>
    <t>tcpsetupdelay_seg_3</t>
  </si>
  <si>
    <t>TCP建立时延(ms)_seg_3</t>
  </si>
  <si>
    <t>tcpsetupdelay_seg_4</t>
  </si>
  <si>
    <t>TCP建立时延(ms)_seg_4</t>
  </si>
  <si>
    <t>tcpsetupdelay_seg_5</t>
  </si>
  <si>
    <t>TCP建立时延(ms)_seg_5</t>
  </si>
  <si>
    <t>delay_setup_firsttransaction_avg</t>
  </si>
  <si>
    <t>TCP建链成功到第一条事务请求的时延_avg（ms）</t>
  </si>
  <si>
    <t>delay_setup_firsttransaction_seg_1</t>
  </si>
  <si>
    <t>TCP建链成功到第一条事务请求的时延_seg_1</t>
  </si>
  <si>
    <t>delay_setup_firsttransaction_seg_2</t>
  </si>
  <si>
    <t>TCP建链成功到第一条事务请求的时延_seg_2</t>
  </si>
  <si>
    <t>delay_setup_firsttransaction_seg_3</t>
  </si>
  <si>
    <t>TCP建链成功到第一条事务请求的时延_seg_3</t>
  </si>
  <si>
    <t>delay_setup_firsttransaction_seg_4</t>
  </si>
  <si>
    <t>TCP建链成功到第一条事务请求的时延_seg_4</t>
  </si>
  <si>
    <t>delay_setup_firsttransaction_seg_5</t>
  </si>
  <si>
    <t>TCP建链成功到第一条事务请求的时延_seg_5</t>
  </si>
  <si>
    <t>delay_firsttransaction_firstrespackt_avg</t>
  </si>
  <si>
    <t>第一条事务请求到其第一个响应包时延_avg（ms）</t>
  </si>
  <si>
    <t>delay_firsttransaction_firstrespackt_seg_1</t>
  </si>
  <si>
    <t>第一条事务请求到其第一个响应包时延_seg_1</t>
  </si>
  <si>
    <t>delay_firsttransaction_firstrespackt_seg_2</t>
  </si>
  <si>
    <t>第一条事务请求到其第一个响应包时延_seg_2</t>
  </si>
  <si>
    <t>delay_firsttransaction_firstrespackt_seg_3</t>
  </si>
  <si>
    <t>第一条事务请求到其第一个响应包时延_seg_3</t>
  </si>
  <si>
    <t>delay_firsttransaction_firstrespackt_seg_4</t>
  </si>
  <si>
    <t>第一条事务请求到其第一个响应包时延_seg_4</t>
  </si>
  <si>
    <t>delay_firsttransaction_firstrespackt_seg_5</t>
  </si>
  <si>
    <t>第一条事务请求到其第一个响应包时延_seg_5</t>
  </si>
  <si>
    <t>tcpsynnumber_avg</t>
  </si>
  <si>
    <t>TCP建链尝试次数_avg</t>
  </si>
  <si>
    <t>tcpsynnumber_seg_1</t>
  </si>
  <si>
    <t>TCP建链尝试次数_seg_1</t>
  </si>
  <si>
    <t>tcpsynnumber_seg_2</t>
  </si>
  <si>
    <t>TCP建链尝试次数_seg_2</t>
  </si>
  <si>
    <t>tcpsynnumber_seg_3</t>
  </si>
  <si>
    <t>TCP建链尝试次数_seg_3</t>
  </si>
  <si>
    <t>tcpsynnumber_seg_4</t>
  </si>
  <si>
    <t>TCP建链尝试次数_seg_4</t>
  </si>
  <si>
    <t>tcpsynnumber_seg_5</t>
  </si>
  <si>
    <t>TCP建链尝试次数_seg_5</t>
  </si>
  <si>
    <t>ul_average_interval_avg</t>
  </si>
  <si>
    <t>UDP上行平均包间隔_avg</t>
  </si>
  <si>
    <t>ul_average_interval_seg_1</t>
  </si>
  <si>
    <t>UDP上行平均包间隔_seg_1</t>
  </si>
  <si>
    <t>ul_average_interval_seg_2</t>
  </si>
  <si>
    <t>UDP上行平均包间隔_seg_2</t>
  </si>
  <si>
    <t>ul_average_interval_seg_3</t>
  </si>
  <si>
    <t>UDP上行平均包间隔_seg_3</t>
  </si>
  <si>
    <t>ul_average_interval_seg_4</t>
  </si>
  <si>
    <t>UDP上行平均包间隔_seg_4</t>
  </si>
  <si>
    <t>ul_average_interval_seg_5</t>
  </si>
  <si>
    <t>UDP上行平均包间隔_seg_5</t>
  </si>
  <si>
    <t>dl_average_interval_avg</t>
  </si>
  <si>
    <t>UDP下行平均包间隔_avg</t>
  </si>
  <si>
    <t>dl_average_interval_seg_1</t>
  </si>
  <si>
    <t>UDP下行平均包间隔_seg_1</t>
  </si>
  <si>
    <t>dl_average_interval_seg_2</t>
  </si>
  <si>
    <t>UDP下行平均包间隔_seg_2</t>
  </si>
  <si>
    <t>dl_average_interval_seg_3</t>
  </si>
  <si>
    <t>UDP下行平均包间隔_seg_3</t>
  </si>
  <si>
    <t>dl_average_interval_seg_4</t>
  </si>
  <si>
    <t>UDP下行平均包间隔_seg_4</t>
  </si>
  <si>
    <t>dl_average_interval_seg_5</t>
  </si>
  <si>
    <t>UDP下行平均包间隔_seg_5</t>
  </si>
  <si>
    <t>ul_average_jitter_avg</t>
  </si>
  <si>
    <t>UDP上行平均包间隔抖动_avg</t>
  </si>
  <si>
    <t>ul_average_jitter_seg_1</t>
  </si>
  <si>
    <t>UDP上行平均包间隔抖动_seg_1</t>
  </si>
  <si>
    <t>ul_average_jitter_seg_2</t>
  </si>
  <si>
    <t>UDP上行平均包间隔抖动_seg_2</t>
  </si>
  <si>
    <t>ul_average_jitter_seg_3</t>
  </si>
  <si>
    <t>UDP上行平均包间隔抖动_seg_3</t>
  </si>
  <si>
    <t>ul_average_jitter_seg_4</t>
  </si>
  <si>
    <t>UDP上行平均包间隔抖动_seg_4</t>
  </si>
  <si>
    <t>ul_average_jitter_seg_5</t>
  </si>
  <si>
    <t>UDP上行平均包间隔抖动_seg_5</t>
  </si>
  <si>
    <t>dl_average_jitter_avg</t>
  </si>
  <si>
    <t>UDP下行平均包间隔抖动_avg</t>
  </si>
  <si>
    <t>dl_average_jitter_seg_1</t>
  </si>
  <si>
    <t>UDP下行平均包间隔抖动_seg_1</t>
  </si>
  <si>
    <t>dl_average_jitter_seg_2</t>
  </si>
  <si>
    <t>UDP下行平均包间隔抖动_seg_2</t>
  </si>
  <si>
    <t>dl_average_jitter_seg_3</t>
  </si>
  <si>
    <t>UDP下行平均包间隔抖动_seg_3</t>
  </si>
  <si>
    <t>dl_average_jitter_seg_4</t>
  </si>
  <si>
    <t>UDP下行平均包间隔抖动_seg_4</t>
  </si>
  <si>
    <t>dl_average_jitter_seg_5</t>
  </si>
  <si>
    <t>UDP下行平均包间隔抖动_seg_5</t>
  </si>
  <si>
    <t>videoplayhaltcount_avg</t>
  </si>
  <si>
    <t>视频播放卡顿次数_avg</t>
  </si>
  <si>
    <t>videoplayhaltcount_seg_1</t>
  </si>
  <si>
    <t>视频播放卡顿次数_seg_1</t>
  </si>
  <si>
    <t>videoplayhaltcount_seg_2</t>
  </si>
  <si>
    <t>视频播放卡顿次数_seg_2</t>
  </si>
  <si>
    <t>videoplayhaltcount_seg_3</t>
  </si>
  <si>
    <t>视频播放卡顿次数_seg_3</t>
  </si>
  <si>
    <t>videoplayhaltcount_seg_4</t>
  </si>
  <si>
    <t>视频播放卡顿次数_seg_4</t>
  </si>
  <si>
    <t>videoplayhaltcount_seg_5</t>
  </si>
  <si>
    <t>视频播放卡顿次数_seg_5</t>
  </si>
  <si>
    <t>videoplaywaittime_avg</t>
  </si>
  <si>
    <t>视频播放等待时长_avg，单位毫秒</t>
  </si>
  <si>
    <t>videoplaywaittime_seg_1</t>
  </si>
  <si>
    <t>视频播放等待时长_seg_1</t>
  </si>
  <si>
    <t>videoplaywaittime_seg_2</t>
  </si>
  <si>
    <t>视频播放等待时长_seg_2</t>
  </si>
  <si>
    <t>videoplaywaittime_seg_3</t>
  </si>
  <si>
    <t>视频播放等待时长_seg_3</t>
  </si>
  <si>
    <t>videoplaywaittime_seg_4</t>
  </si>
  <si>
    <t>视频播放等待时长_seg_4</t>
  </si>
  <si>
    <t>videoplaywaittime_seg_5</t>
  </si>
  <si>
    <t>视频播放等待时长_seg_5</t>
  </si>
  <si>
    <t>videorecovertime_avg</t>
  </si>
  <si>
    <t>视频卡顿时长_avg，单位毫秒</t>
  </si>
  <si>
    <t>videorecovertime_seg_1</t>
  </si>
  <si>
    <t>视频卡顿时长_seg_1</t>
  </si>
  <si>
    <t>videorecovertime_seg_2</t>
  </si>
  <si>
    <t>视频卡顿时长_seg_2</t>
  </si>
  <si>
    <t>videorecovertime_seg_3</t>
  </si>
  <si>
    <t>视频卡顿时长_seg_3</t>
  </si>
  <si>
    <t>videorecovertime_seg_4</t>
  </si>
  <si>
    <t>视频卡顿时长_seg_4</t>
  </si>
  <si>
    <t>videorecovertime_seg_5</t>
  </si>
  <si>
    <t>视频卡顿时长_seg_5</t>
  </si>
  <si>
    <t>videothroughput_avg</t>
  </si>
  <si>
    <t>视频下载速率_avg</t>
  </si>
  <si>
    <t>videothroughput_seg_1</t>
  </si>
  <si>
    <t>视频下载速率_根据IP报文统计_seg_1</t>
  </si>
  <si>
    <t>videothroughput_seg_2</t>
  </si>
  <si>
    <t>视频下载速率_根据IP报文统计_seg_2</t>
  </si>
  <si>
    <t>videothroughput_seg_3</t>
  </si>
  <si>
    <t>视频下载速率_根据IP报文统计_seg_3</t>
  </si>
  <si>
    <t>videothroughput_seg_4</t>
  </si>
  <si>
    <t>视频下载速率_根据IP报文统计_seg_4</t>
  </si>
  <si>
    <t>videothroughput_seg_5</t>
  </si>
  <si>
    <t>视频下载速率_根据IP报文统计_seg_5</t>
  </si>
  <si>
    <t>videocachethroughput_avg</t>
  </si>
  <si>
    <t>视频缓冲段下载速率_avg。算法见《中国电信移动互联网业务感知质量评价细则》</t>
  </si>
  <si>
    <t>videocachethroughput_seg_1</t>
  </si>
  <si>
    <t>视频缓冲段下载速率_根据IP报文统计_seg_1</t>
  </si>
  <si>
    <t>videocachethroughput_seg_2</t>
  </si>
  <si>
    <t>视频缓冲段下载速率_根据IP报文统计_seg_2</t>
  </si>
  <si>
    <t>videocachethroughput_seg_3</t>
  </si>
  <si>
    <t>视频缓冲段下载速率_根据IP报文统计_seg_3</t>
  </si>
  <si>
    <t>videocachethroughput_seg_4</t>
  </si>
  <si>
    <t>视频缓冲段下载速率_根据IP报文统计_seg_4</t>
  </si>
  <si>
    <t>videocachethroughput_seg_5</t>
  </si>
  <si>
    <t>视频缓冲段下载速率_根据IP报文统计_seg_5</t>
  </si>
  <si>
    <t>videobitrate_avg</t>
  </si>
  <si>
    <t>视频质量_avg，即视频平均码率，单位Kbps</t>
  </si>
  <si>
    <t>videobitrate_seg_1</t>
  </si>
  <si>
    <t>视频质量_seg_1</t>
  </si>
  <si>
    <t>videobitrate_seg_2</t>
  </si>
  <si>
    <t>视频质量_seg_2</t>
  </si>
  <si>
    <t>videobitrate_seg_3</t>
  </si>
  <si>
    <t>视频质量_seg_3</t>
  </si>
  <si>
    <t>videobitrate_seg_4</t>
  </si>
  <si>
    <t>视频质量_seg_4</t>
  </si>
  <si>
    <t>videobitrate_seg_5</t>
  </si>
  <si>
    <t>视频质量_seg_5</t>
  </si>
  <si>
    <t>cachedvideoduration_avg</t>
  </si>
  <si>
    <t>缓冲段视频下载时长_avg</t>
  </si>
  <si>
    <t>cachedvideoduration_seg_1</t>
  </si>
  <si>
    <t>缓冲段视频下载时长_seg_1</t>
  </si>
  <si>
    <t>cachedvideoduration_seg_2</t>
  </si>
  <si>
    <t>缓冲段视频下载时长_seg_2</t>
  </si>
  <si>
    <t>cachedvideoduration_seg_3</t>
  </si>
  <si>
    <t>缓冲段视频下载时长_seg_3</t>
  </si>
  <si>
    <t>cachedvideoduration_seg_4</t>
  </si>
  <si>
    <t>缓冲段视频下载时长_seg_4</t>
  </si>
  <si>
    <t>cachedvideoduration_seg_5</t>
  </si>
  <si>
    <t>缓冲段视频下载时长_seg_5</t>
  </si>
  <si>
    <t>video_resolution_level_avg</t>
  </si>
  <si>
    <t>视频清晰度_avg，取值范围100~500，分值越高越清晰</t>
  </si>
  <si>
    <t>video_resolution_level_seg_1</t>
  </si>
  <si>
    <t>视频清晰度_seg_1</t>
  </si>
  <si>
    <t>video_resolution_level_seg_2</t>
  </si>
  <si>
    <t>视频清晰度_seg_2</t>
  </si>
  <si>
    <t>video_resolution_level_seg_3</t>
  </si>
  <si>
    <t>视频清晰度_seg_3</t>
  </si>
  <si>
    <t>video_resolution_level_seg_4</t>
  </si>
  <si>
    <t>视频清晰度_seg_4</t>
  </si>
  <si>
    <t>video_resolution_level_seg_5</t>
  </si>
  <si>
    <t>视频清晰度_seg_5</t>
  </si>
  <si>
    <t>video_fluency_level_avg</t>
  </si>
  <si>
    <t>视频流畅度_avg，取值100~500，分值越高越流畅</t>
  </si>
  <si>
    <t>video_fluency_level_seg_1</t>
  </si>
  <si>
    <t>视频流畅度_seg_1</t>
  </si>
  <si>
    <t>video_fluency_level_seg_2</t>
  </si>
  <si>
    <t>视频流畅度_seg_2</t>
  </si>
  <si>
    <t>video_fluency_level_seg_3</t>
  </si>
  <si>
    <t>视频流畅度_seg_3</t>
  </si>
  <si>
    <t>video_fluency_level_seg_4</t>
  </si>
  <si>
    <t>视频流畅度_seg_4</t>
  </si>
  <si>
    <t>video_fluency_level_seg_5</t>
  </si>
  <si>
    <t>视频流畅度_seg_5</t>
  </si>
  <si>
    <t>reserved_index_1</t>
  </si>
  <si>
    <t>预留指标1</t>
  </si>
  <si>
    <t>reserved_index_1_seg_1</t>
  </si>
  <si>
    <t>预留指标1_分段_1</t>
  </si>
  <si>
    <t>reserved_index_1_seg_2</t>
  </si>
  <si>
    <t>预留指标1_分段_2</t>
  </si>
  <si>
    <t>reserved_index_1_seg_3</t>
  </si>
  <si>
    <t>预留指标1_分段_3</t>
  </si>
  <si>
    <t>reserved_index_1_seg_4</t>
  </si>
  <si>
    <t>预留指标1_分段_4</t>
  </si>
  <si>
    <t>reserved_index_1_seg_5</t>
  </si>
  <si>
    <t>预留指标1_分段_5</t>
  </si>
  <si>
    <t>reserved_index_2</t>
  </si>
  <si>
    <t>预留指标2</t>
  </si>
  <si>
    <t>reserved_index_2_seg_1</t>
  </si>
  <si>
    <t>预留指标2_分段_1</t>
  </si>
  <si>
    <t>reserved_index_2_seg_2</t>
  </si>
  <si>
    <t>预留指标2_分段_2</t>
  </si>
  <si>
    <t>reserved_index_2_seg_3</t>
  </si>
  <si>
    <t>预留指标2_分段_3</t>
  </si>
  <si>
    <t>reserved_index_2_seg_4</t>
  </si>
  <si>
    <t>预留指标2_分段_4</t>
  </si>
  <si>
    <t>reserved_index_2_seg_5</t>
  </si>
  <si>
    <t>预留指标2_分段_5</t>
  </si>
  <si>
    <t>reserved_index_3</t>
  </si>
  <si>
    <t>预留指标3</t>
  </si>
  <si>
    <t>reserved_index_3_seg_1</t>
  </si>
  <si>
    <t>预留指标3_分段_1</t>
  </si>
  <si>
    <t>reserved_index_3_seg_2</t>
  </si>
  <si>
    <t>预留指标3_分段_2</t>
  </si>
  <si>
    <t>reserved_index_3_seg_3</t>
  </si>
  <si>
    <t>预留指标3_分段_3</t>
  </si>
  <si>
    <t>reserved_index_3_seg_4</t>
  </si>
  <si>
    <t>预留指标3_分段_4</t>
  </si>
  <si>
    <t>reserved_index_3_seg_5</t>
  </si>
  <si>
    <t>预留指标3_分段_5</t>
  </si>
  <si>
    <t>reserved_index_4</t>
  </si>
  <si>
    <t>预留指标4</t>
  </si>
  <si>
    <t>reserved_index_4_seg_1</t>
  </si>
  <si>
    <t>预留指标4_分段_1</t>
  </si>
  <si>
    <t>reserved_index_4_seg_2</t>
  </si>
  <si>
    <t>预留指标4_分段_2</t>
  </si>
  <si>
    <t>reserved_index_4_seg_3</t>
  </si>
  <si>
    <t>预留指标4_分段_3</t>
  </si>
  <si>
    <t>reserved_index_4_seg_4</t>
  </si>
  <si>
    <t>预留指标4_分段_4</t>
  </si>
  <si>
    <t>reserved_index_4_seg_5</t>
  </si>
  <si>
    <t>预留指标4_分段_5</t>
  </si>
  <si>
    <t>reserved_index_5</t>
  </si>
  <si>
    <t>预留指标5</t>
  </si>
  <si>
    <t>reserved_index_5_seg_1</t>
  </si>
  <si>
    <t>预留指标5_分段_1</t>
  </si>
  <si>
    <t>reserved_index_5_seg_2</t>
  </si>
  <si>
    <t>预留指标5_分段_2</t>
  </si>
  <si>
    <t>reserved_index_5_seg_3</t>
  </si>
  <si>
    <t>预留指标5_分段_3</t>
  </si>
  <si>
    <t>reserved_index_5_seg_4</t>
  </si>
  <si>
    <t>预留指标5_分段_4</t>
  </si>
  <si>
    <t>reserved_index_5_seg_5</t>
  </si>
  <si>
    <t>预留指标5_分段_5</t>
  </si>
  <si>
    <t>videothroughput_req_cnt</t>
  </si>
  <si>
    <t>视频下载次数</t>
  </si>
  <si>
    <t>videothroughput_sum_total</t>
  </si>
  <si>
    <t>视频下载速率算数求和</t>
  </si>
  <si>
    <t>video_throughput_avg</t>
  </si>
  <si>
    <t>videobit_code_good_cnt</t>
  </si>
  <si>
    <t>速率码率比优良次数</t>
  </si>
  <si>
    <t>videobit_code_sum_total</t>
  </si>
  <si>
    <t>速率码率总次数</t>
  </si>
  <si>
    <t>videobit_code_good_rate</t>
  </si>
  <si>
    <t>速率码率优良率</t>
  </si>
  <si>
    <t>kqi_halttimes_cnt</t>
  </si>
  <si>
    <t>视频卡顿率分母</t>
  </si>
  <si>
    <t>kqi_halttimes_sum</t>
  </si>
  <si>
    <t>视频卡顿率分子</t>
  </si>
  <si>
    <t>kqi_halttimes_avg</t>
  </si>
  <si>
    <t>视频卡顿率</t>
  </si>
  <si>
    <t>cachedvideo_req_cnt</t>
  </si>
  <si>
    <t>初始缓冲请求次数</t>
  </si>
  <si>
    <t>cachedvideo_suc_cnt</t>
  </si>
  <si>
    <t>初始缓冲成功次数</t>
  </si>
  <si>
    <t>初始缓冲总时长(ms)</t>
  </si>
  <si>
    <t>videoplayhaltservcount</t>
  </si>
  <si>
    <t>发生卡顿业务次数</t>
  </si>
  <si>
    <t>videoservcount</t>
  </si>
  <si>
    <t>具备卡顿业务次数</t>
  </si>
  <si>
    <t>videosize_above500</t>
  </si>
  <si>
    <t>视频流文件大小（内容&gt;=500KB）</t>
  </si>
  <si>
    <t>videoduration_above500</t>
  </si>
  <si>
    <t>视频流下载时长(ms)（内容&gt;=500KB）</t>
  </si>
  <si>
    <t>videosize_sum</t>
  </si>
  <si>
    <t>tcpconnfail_sum</t>
  </si>
  <si>
    <t>TCP连接失败次数</t>
  </si>
  <si>
    <t>tcpconnreq_sum</t>
  </si>
  <si>
    <t>上行TCP建立请求次数</t>
  </si>
  <si>
    <t>tcpconnulsuc_sum</t>
  </si>
  <si>
    <t>上行TCP建立成功次数</t>
  </si>
  <si>
    <t>tcpconndlsuc_sum</t>
  </si>
  <si>
    <t>下行TCP建立成功次数</t>
  </si>
  <si>
    <t>tcpsetupresponsedelay_cnt</t>
  </si>
  <si>
    <t>TCP建链响应次数</t>
  </si>
  <si>
    <t>tcpsetupackdelay_cnt</t>
  </si>
  <si>
    <t>TCP建链确认次数</t>
  </si>
  <si>
    <t>delay_setup_firsttransaction_cnt_sum</t>
  </si>
  <si>
    <t>TCP事务首次请求次数</t>
  </si>
  <si>
    <t>delay_firsttransaction_firstrespackt_cnt_sum</t>
  </si>
  <si>
    <t>TCP事务首次响应次数</t>
  </si>
  <si>
    <t>inputoctets_above500_sum</t>
  </si>
  <si>
    <t>大包业务下行流量(&gt;=500KB)</t>
  </si>
  <si>
    <t>videocachethroughput_above500_cnt</t>
  </si>
  <si>
    <t>视频下载速率条数(videosize&gt;=500KB)</t>
  </si>
  <si>
    <t>videocachethroughput_above500_sum</t>
  </si>
  <si>
    <t>视频下载总速率(Kbps)(videosize&gt;=500KB)</t>
  </si>
  <si>
    <t>videoplaytime_to_videobitrate</t>
  </si>
  <si>
    <t>视频播放时长</t>
  </si>
  <si>
    <t>xdr_suc_cnt</t>
  </si>
  <si>
    <t>xdr成功条数</t>
  </si>
  <si>
    <t>home_province</t>
  </si>
  <si>
    <t>归属省</t>
  </si>
  <si>
    <t>sgwip</t>
  </si>
  <si>
    <t>enbip</t>
  </si>
  <si>
    <t>videotype</t>
  </si>
  <si>
    <t>用户IP类型</t>
  </si>
  <si>
    <t>abnormal_cnt</t>
  </si>
  <si>
    <t>质差话单数量</t>
  </si>
  <si>
    <t>sum(is_abnormal)</t>
  </si>
  <si>
    <t>min_starttime</t>
  </si>
  <si>
    <t>最小开始时间</t>
  </si>
  <si>
    <t>min(start_time)</t>
  </si>
  <si>
    <t>max_endtime</t>
  </si>
  <si>
    <t>最大结束时间</t>
  </si>
  <si>
    <t>max(end_time)</t>
  </si>
  <si>
    <t>日期，分区字段</t>
  </si>
  <si>
    <t>cfg_dpi_servicetype</t>
  </si>
  <si>
    <t>DPI业务码表</t>
  </si>
  <si>
    <t>A left join B，关联条件：A.servicetype = B.servicetype</t>
  </si>
  <si>
    <t>A inner join C，关联条件：A.msisdn = C.msisdn</t>
  </si>
  <si>
    <t>day</t>
  </si>
  <si>
    <t>日期</t>
  </si>
  <si>
    <t>provincecode</t>
  </si>
  <si>
    <t>省编码</t>
  </si>
  <si>
    <t>citycode</t>
  </si>
  <si>
    <t>市编码</t>
  </si>
  <si>
    <t>districtcode</t>
  </si>
  <si>
    <t>区县编码</t>
  </si>
  <si>
    <t>cellkey</t>
  </si>
  <si>
    <t>小区唯一标识："小区基站号"_"小区编号"</t>
  </si>
  <si>
    <t>concat_ws("_",nodebid,cellid)</t>
  </si>
  <si>
    <t>终端识别码</t>
  </si>
  <si>
    <t>app_type</t>
  </si>
  <si>
    <t>业务应用大类</t>
  </si>
  <si>
    <t>substr(servicetype,1,2)</t>
  </si>
  <si>
    <t>app_name</t>
  </si>
  <si>
    <t>业务名称</t>
  </si>
  <si>
    <t>servicetype_name</t>
  </si>
  <si>
    <t>min(min_starttime)</t>
  </si>
  <si>
    <t>max(max_endtime)</t>
  </si>
  <si>
    <t>total_cnt</t>
  </si>
  <si>
    <t>总话单数</t>
  </si>
  <si>
    <t>sum(videoplayrequestcount)</t>
  </si>
  <si>
    <t>总质差话单数</t>
  </si>
  <si>
    <t>sum(abnormal_cnt)</t>
  </si>
  <si>
    <t>abnormal_rate</t>
  </si>
  <si>
    <t>总质差话单占比</t>
  </si>
  <si>
    <t>sum(abnormal_cnt)/sum(videoplayrequestcount)</t>
  </si>
  <si>
    <t>[0,1]</t>
  </si>
  <si>
    <t>业务时长(ms)</t>
  </si>
  <si>
    <t>sum(duration_sum)</t>
  </si>
  <si>
    <t>ms</t>
  </si>
  <si>
    <t>flux</t>
  </si>
  <si>
    <t>业务流量(byte)</t>
  </si>
  <si>
    <t>sum(outputoctets_sum+inputoctets_sum)</t>
  </si>
  <si>
    <t>byte</t>
  </si>
  <si>
    <t>quarter</t>
  </si>
  <si>
    <t>fact_psup_http_e2e_front</t>
  </si>
  <si>
    <t>4G DPI HTTP业务明细表</t>
  </si>
  <si>
    <t>cfg_health_code_domain_name</t>
  </si>
  <si>
    <t>接口类型1：s1-u；6、S5/S8；7：s2a</t>
  </si>
  <si>
    <t>用户imsi</t>
  </si>
  <si>
    <t>终端imei</t>
  </si>
  <si>
    <t>IMEI TAC</t>
  </si>
  <si>
    <t>拜访网络标志</t>
  </si>
  <si>
    <t>漫入用户的归属地省份</t>
  </si>
  <si>
    <t>1：UTRAN接入；6：EUTRAN接入</t>
  </si>
  <si>
    <t>eNodeBid</t>
  </si>
  <si>
    <t>小区cellkey</t>
  </si>
  <si>
    <t>网络接入标志</t>
  </si>
  <si>
    <t>destinationip</t>
  </si>
  <si>
    <t>用户访问的目标IPv4或者IPv6的地址</t>
  </si>
  <si>
    <t>用户访问外部网络时使用的IPv4或者IPv6的地址</t>
  </si>
  <si>
    <t>用户访问外部网络时使用的IP类型（IPv4/IPv6）</t>
  </si>
  <si>
    <t>SGW的IPv4或者IPv6的地址</t>
  </si>
  <si>
    <t>mmeip</t>
  </si>
  <si>
    <t>MME的IPv4或者IPv6的地址</t>
  </si>
  <si>
    <t>pgwip</t>
  </si>
  <si>
    <t>PGW的IPv4或者IPv6的地址</t>
  </si>
  <si>
    <t>appserverip</t>
  </si>
  <si>
    <t>AppServerIP</t>
  </si>
  <si>
    <t>protocolid</t>
  </si>
  <si>
    <t>协议类型</t>
  </si>
  <si>
    <t>mainservicetype</t>
  </si>
  <si>
    <t>MainServiceType</t>
  </si>
  <si>
    <t>业务应用</t>
  </si>
  <si>
    <t>ENB的IPv4或IPv6地址</t>
  </si>
  <si>
    <t>l4protocol</t>
  </si>
  <si>
    <t>L4protocal</t>
  </si>
  <si>
    <t>starttime</t>
  </si>
  <si>
    <t>业务流开始时间</t>
  </si>
  <si>
    <t>endtime</t>
  </si>
  <si>
    <t>业务流结束时间</t>
  </si>
  <si>
    <t>持续时间</t>
  </si>
  <si>
    <t>inputoctets</t>
  </si>
  <si>
    <t>发给用户的业务字节数</t>
  </si>
  <si>
    <t>outputoctets</t>
  </si>
  <si>
    <t>用户发出的业务字节数</t>
  </si>
  <si>
    <t>inputpacket</t>
  </si>
  <si>
    <t>outputpacket</t>
  </si>
  <si>
    <t>ultcpreorderingpacket</t>
  </si>
  <si>
    <t>上行TCP乱序报文数</t>
  </si>
  <si>
    <t>dltcpreorderingpacket</t>
  </si>
  <si>
    <t>下行TCP乱序报文数</t>
  </si>
  <si>
    <t>ultcp_retranspacket</t>
  </si>
  <si>
    <t>上行TCP重传报文数</t>
  </si>
  <si>
    <t>dltcp_retranspacket</t>
  </si>
  <si>
    <t>下行TCP重传报文数</t>
  </si>
  <si>
    <t>pdnconnectionid</t>
  </si>
  <si>
    <t>PDN连接的ID标志号</t>
  </si>
  <si>
    <t>mme_ue_s1ap_id</t>
  </si>
  <si>
    <t>MME分配的S1APID</t>
  </si>
  <si>
    <t>enb_ue_s1ap_id</t>
  </si>
  <si>
    <t>ENodeB分配的S1APID</t>
  </si>
  <si>
    <t>mme_group_id</t>
  </si>
  <si>
    <t>MMEGroupID</t>
  </si>
  <si>
    <t>mme_code</t>
  </si>
  <si>
    <t>MMECode</t>
  </si>
  <si>
    <t>windowsize</t>
  </si>
  <si>
    <t>窗口大小</t>
  </si>
  <si>
    <t>msssize</t>
  </si>
  <si>
    <t>MSS大小</t>
  </si>
  <si>
    <t>tcpsynnumber</t>
  </si>
  <si>
    <t>tcpconnectstate</t>
  </si>
  <si>
    <t>TCP连接状态指示</t>
  </si>
  <si>
    <t>sessionstopflag</t>
  </si>
  <si>
    <t>会话是否结束标志</t>
  </si>
  <si>
    <t>bearer_qci</t>
  </si>
  <si>
    <t>承载的QCI，取值范围从1到9</t>
  </si>
  <si>
    <t>bearerid</t>
  </si>
  <si>
    <t>承载标识号</t>
  </si>
  <si>
    <t>recordclosecause</t>
  </si>
  <si>
    <t>记录关闭原因</t>
  </si>
  <si>
    <t>ue_ambr_ul</t>
  </si>
  <si>
    <t>上行UEAMBR</t>
  </si>
  <si>
    <t>ue_ambr_dl</t>
  </si>
  <si>
    <t>下行UEAMBR</t>
  </si>
  <si>
    <t>apn_ambr_ul</t>
  </si>
  <si>
    <t>上行APNAMBR</t>
  </si>
  <si>
    <t>apn_ambr_dl</t>
  </si>
  <si>
    <t>下行APNAMBR</t>
  </si>
  <si>
    <t>useragent</t>
  </si>
  <si>
    <t>UserAgent信息</t>
  </si>
  <si>
    <t>destinationurl</t>
  </si>
  <si>
    <t>用户访问的目标网站的URL</t>
  </si>
  <si>
    <t>domainname</t>
  </si>
  <si>
    <t>外部网站的域名</t>
  </si>
  <si>
    <t>主机名</t>
  </si>
  <si>
    <t>contentlen</t>
  </si>
  <si>
    <t>内容大小</t>
  </si>
  <si>
    <t>contenttype</t>
  </si>
  <si>
    <t>内容类型</t>
  </si>
  <si>
    <t>iflink</t>
  </si>
  <si>
    <t>是否是链接访问，0=否，1=是</t>
  </si>
  <si>
    <t>referer</t>
  </si>
  <si>
    <t>链接源信息</t>
  </si>
  <si>
    <t>httpaction</t>
  </si>
  <si>
    <t>HTTP操作类型（5:Post,6:GET)</t>
  </si>
  <si>
    <t>httpstatus</t>
  </si>
  <si>
    <t>HTTP状态码</t>
  </si>
  <si>
    <t>respdelay</t>
  </si>
  <si>
    <t>响应时延，单位毫秒</t>
  </si>
  <si>
    <t>behaviortarget</t>
  </si>
  <si>
    <t>目标行为，0：会话是用户主动点击的页面；1：站点目标而产生的页面。</t>
  </si>
  <si>
    <t>syntime</t>
  </si>
  <si>
    <t>SYN时间戳</t>
  </si>
  <si>
    <t>synacktime</t>
  </si>
  <si>
    <t>SYNACK时间戳</t>
  </si>
  <si>
    <t>acktime</t>
  </si>
  <si>
    <t>ACK时间戳</t>
  </si>
  <si>
    <t>actiontime</t>
  </si>
  <si>
    <t>首个HTTP请求的时间戳</t>
  </si>
  <si>
    <t>firstpackettime</t>
  </si>
  <si>
    <t>第一个数据响应包的时间戳</t>
  </si>
  <si>
    <t>pageopentime</t>
  </si>
  <si>
    <t>首页打开的时间戳</t>
  </si>
  <si>
    <t>lastpacktime</t>
  </si>
  <si>
    <t>最后一个数据包时间戳</t>
  </si>
  <si>
    <t>pagevolume</t>
  </si>
  <si>
    <t>首页数据大小</t>
  </si>
  <si>
    <t>httpversion</t>
  </si>
  <si>
    <t>HTTP版本</t>
  </si>
  <si>
    <t>firstresptime</t>
  </si>
  <si>
    <t>第一个HTTP响应包时间戳</t>
  </si>
  <si>
    <t>lastacktime</t>
  </si>
  <si>
    <t>最后一个ACK确认包的时间戳</t>
  </si>
  <si>
    <t>cookie</t>
  </si>
  <si>
    <t>协议中CookieCookieCookieCookie字段</t>
  </si>
  <si>
    <t>wtpfailtype</t>
  </si>
  <si>
    <t>Wtp中断类型</t>
  </si>
  <si>
    <t>wtpfailcause</t>
  </si>
  <si>
    <t>wtp中断原因</t>
  </si>
  <si>
    <t>title</t>
  </si>
  <si>
    <t>网站名称</t>
  </si>
  <si>
    <t>key_word</t>
  </si>
  <si>
    <t>网站关键字</t>
  </si>
  <si>
    <t>webbrowser</t>
  </si>
  <si>
    <t>浏览工具</t>
  </si>
  <si>
    <t>dnsflowid</t>
  </si>
  <si>
    <t>HTTP流与DNS流的关联ID</t>
  </si>
  <si>
    <t>httpresponse</t>
  </si>
  <si>
    <t>HTTP200响应码及消息头部分</t>
  </si>
  <si>
    <t>transactions</t>
  </si>
  <si>
    <t>同一个流中的事务计数</t>
  </si>
  <si>
    <t>MR经度</t>
  </si>
  <si>
    <t>MR纬度</t>
  </si>
  <si>
    <t>栅格ID</t>
  </si>
  <si>
    <t>栅格X偏移</t>
  </si>
  <si>
    <t>栅格Y偏移</t>
  </si>
  <si>
    <t>城市编码</t>
  </si>
  <si>
    <t>升级算法</t>
  </si>
  <si>
    <t>省名称</t>
  </si>
  <si>
    <t>B：province
B1：province_name</t>
  </si>
  <si>
    <t>城市名称</t>
  </si>
  <si>
    <t>B：city
B1：city_name</t>
  </si>
  <si>
    <t>district</t>
  </si>
  <si>
    <t>区县名称</t>
  </si>
  <si>
    <t>B：district
B1：district_name</t>
  </si>
  <si>
    <t>cell_lon</t>
  </si>
  <si>
    <t>小区经度</t>
  </si>
  <si>
    <t>B：celllon
B1：cell_lon</t>
  </si>
  <si>
    <t>cell_lat</t>
  </si>
  <si>
    <t>小区纬度</t>
  </si>
  <si>
    <t>B：celllat
B1：cell_lat</t>
  </si>
  <si>
    <t>firstfinacktime</t>
  </si>
  <si>
    <t>第一个TCPFinAck包时间戳</t>
  </si>
  <si>
    <t>dnsquerytime</t>
  </si>
  <si>
    <t>DNS关联流的请求时间戳</t>
  </si>
  <si>
    <t>dnsresponsetime</t>
  </si>
  <si>
    <t>DNS关联流的应答时间戳</t>
  </si>
  <si>
    <t>firstscreenfintime</t>
  </si>
  <si>
    <t>首屏完成时间戳</t>
  </si>
  <si>
    <t>http_req_cnt</t>
  </si>
  <si>
    <t>http请求次数</t>
  </si>
  <si>
    <t>http_succ_cnt</t>
  </si>
  <si>
    <t>http请求成功次数</t>
  </si>
  <si>
    <t>http_no_response_cnt</t>
  </si>
  <si>
    <t>http无响应次数</t>
  </si>
  <si>
    <t>dnsquerydelay</t>
  </si>
  <si>
    <t>delay_syntime_dnsresponsetime</t>
  </si>
  <si>
    <t>DNS建立完成到TCP握手时延</t>
  </si>
  <si>
    <t>tcpsetupdelay</t>
  </si>
  <si>
    <t>TCP建立时延</t>
  </si>
  <si>
    <t>delay_setup_firsttransaction</t>
  </si>
  <si>
    <t>delay_firsttransaction_firstrespackt</t>
  </si>
  <si>
    <t>httpwebrspdelay</t>
  </si>
  <si>
    <t>网页首包时延，也叫网页响应时延</t>
  </si>
  <si>
    <t>httpwebdspdelay</t>
  </si>
  <si>
    <t>网页显示时延，也叫网页完整打开时延</t>
  </si>
  <si>
    <t>httpwebscreendelay</t>
  </si>
  <si>
    <t>网页首屏时延</t>
  </si>
  <si>
    <t>httpwebopendelay</t>
  </si>
  <si>
    <t>页面打开时延</t>
  </si>
  <si>
    <t>delay_acktime_actiontime</t>
  </si>
  <si>
    <t>TCP建立完成到首个HTTP请求的时延</t>
  </si>
  <si>
    <t>delay_actiontime_firstpackettime</t>
  </si>
  <si>
    <t>首个HTTP请求到第一个数据响应包的时延</t>
  </si>
  <si>
    <t>delay_actiontime_firstresptime</t>
  </si>
  <si>
    <t>首个HTTP请求到第一个HTTP数据响应包的时延</t>
  </si>
  <si>
    <t>delay_lastpacktime_dnsortcp</t>
  </si>
  <si>
    <t>DNS请求/TCP请求到最后一个数据包的时延</t>
  </si>
  <si>
    <t>delay_firstresptime_lastpacktime</t>
  </si>
  <si>
    <t>第一个HTTP响应包到最后一个数据包的时延</t>
  </si>
  <si>
    <t>delay_firstpackettime_pageopentime</t>
  </si>
  <si>
    <t>第一个数据响应包到首页打开的时延</t>
  </si>
  <si>
    <t>delay_firstpackettime_lastpacktime</t>
  </si>
  <si>
    <t>第一个数据响应包到最后一个数据包的时延</t>
  </si>
  <si>
    <t>delay_lastpacktime_lastacktime</t>
  </si>
  <si>
    <t>最后一个数据包到最后一个ACK的时延</t>
  </si>
  <si>
    <t>delay_firstfinacktime_lastacktime</t>
  </si>
  <si>
    <t>最后一个ACK到首次挥手的时延</t>
  </si>
  <si>
    <t>http_throughput_size</t>
  </si>
  <si>
    <t>HTTP下载文件大小（Kbit）</t>
  </si>
  <si>
    <t>http_throughput_duartion</t>
  </si>
  <si>
    <t>HTTP下载时长（s）</t>
  </si>
  <si>
    <t>http_throughput</t>
  </si>
  <si>
    <t>HTTP下载速率</t>
  </si>
  <si>
    <t>perception_type</t>
  </si>
  <si>
    <t>话单类型</t>
  </si>
  <si>
    <t>business_type</t>
  </si>
  <si>
    <t>业务类型（im、web、game、other）</t>
  </si>
  <si>
    <t>上报时间，具体到天</t>
  </si>
  <si>
    <t>记录所在的小时</t>
  </si>
  <si>
    <t>记录所在的刻钟</t>
  </si>
  <si>
    <t>拜访地省份</t>
  </si>
  <si>
    <t>拜访地地市</t>
  </si>
  <si>
    <t>MS International PSTN/ISDN Number (ISDN)</t>
  </si>
  <si>
    <t>SGWIP</t>
  </si>
  <si>
    <t>MMEIP</t>
  </si>
  <si>
    <t>PGWIP</t>
  </si>
  <si>
    <t>网络接入标识</t>
  </si>
  <si>
    <t>Bearer_QCI</t>
  </si>
  <si>
    <t>outputoctets_above500_sum</t>
  </si>
  <si>
    <t>上行流量(byte)-大于500KB</t>
  </si>
  <si>
    <t>outputoctets_above500_cnt_sum</t>
  </si>
  <si>
    <t>上行大包条数(&gt;=500KB)</t>
  </si>
  <si>
    <t>outputoctets_above500_highdelay_sum</t>
  </si>
  <si>
    <t>上行大包高时延条数（&gt;100ms）</t>
  </si>
  <si>
    <t>下行流量(byte)-大于500KB</t>
  </si>
  <si>
    <t>inputoctets_above500_cnt_sum</t>
  </si>
  <si>
    <t>下行大包条数(&gt;=500KB)</t>
  </si>
  <si>
    <t>inputoctets_above500_highdelay_sum</t>
  </si>
  <si>
    <t>下行大包高时延条数（&gt;100ms）</t>
  </si>
  <si>
    <t>ultcpretranspacket_sum</t>
  </si>
  <si>
    <t>dltcpretranspacket_sum</t>
  </si>
  <si>
    <t>dnsqueryreqcount</t>
  </si>
  <si>
    <t>DNS查询请求次数</t>
  </si>
  <si>
    <t>dnsqueryrspcount</t>
  </si>
  <si>
    <t>DNS查询响应次数</t>
  </si>
  <si>
    <t>httpwebreqcount</t>
  </si>
  <si>
    <t>Http请求次数</t>
  </si>
  <si>
    <t>httpwebrspcount</t>
  </si>
  <si>
    <t>Http请求成功次数</t>
  </si>
  <si>
    <t>http_no_response_cnt_sum</t>
  </si>
  <si>
    <t>httpwebrsprate</t>
  </si>
  <si>
    <t>网页响应成功率(%)</t>
  </si>
  <si>
    <t>httpstatus_1xx</t>
  </si>
  <si>
    <t>Http状态1xx次数</t>
  </si>
  <si>
    <t>httpstatus_2xx</t>
  </si>
  <si>
    <t>Http状态2xx次数</t>
  </si>
  <si>
    <t>httpstatus_3xx</t>
  </si>
  <si>
    <t>Http状态3xx次数</t>
  </si>
  <si>
    <t>httpstatus_4xx</t>
  </si>
  <si>
    <t>Http状态4xx次数</t>
  </si>
  <si>
    <t>httpstatus_5xx</t>
  </si>
  <si>
    <t>Http状态5xx次数</t>
  </si>
  <si>
    <t>http_throughput_size_sum</t>
  </si>
  <si>
    <t>http_throughput_duartion_sum</t>
  </si>
  <si>
    <t>下载速率_根据IP报文统计_seg_1，统计下载速率在seg_1中的次数</t>
  </si>
  <si>
    <t>TCP建链响应时延_sum</t>
  </si>
  <si>
    <t>TCP建链确认时延_sum</t>
  </si>
  <si>
    <t>TCP建立时延(ms)_sum</t>
  </si>
  <si>
    <t>TCP建链成功到第一条事务请求的时延_sum（ms）</t>
  </si>
  <si>
    <t>第一条事务请求到其第一个响应包时延_sum（ms）</t>
  </si>
  <si>
    <t>dnsquerydelay_sum</t>
  </si>
  <si>
    <t>DNS查询时延_sum</t>
  </si>
  <si>
    <t>dnsquerydelay_avg</t>
  </si>
  <si>
    <t>DNS查询时延_avg</t>
  </si>
  <si>
    <t>dnsquerydelay_seg_1</t>
  </si>
  <si>
    <t>DNS查询时延_seg_1</t>
  </si>
  <si>
    <t>dnsquerydelay_seg_2</t>
  </si>
  <si>
    <t>DNS查询时延_seg_2</t>
  </si>
  <si>
    <t>dnsquerydelay_seg_3</t>
  </si>
  <si>
    <t>DNS查询时延_seg_3</t>
  </si>
  <si>
    <t>dnsquerydelay_seg_4</t>
  </si>
  <si>
    <t>DNS查询时延_seg_4</t>
  </si>
  <si>
    <t>dnsquerydelay_seg_5</t>
  </si>
  <si>
    <t>DNS查询时延_seg_5</t>
  </si>
  <si>
    <t>delay_syntime_dnsresponsetime_sum</t>
  </si>
  <si>
    <t>DNS到TCP建链的时延_sum</t>
  </si>
  <si>
    <t>delay_syntime_dnsresponsetime_avg</t>
  </si>
  <si>
    <t>DNS到TCP建链的时延_avg</t>
  </si>
  <si>
    <t>delay_syntime_dnsresponsetime_seg_1</t>
  </si>
  <si>
    <t>DNS到TCP建链的时延_seg_1</t>
  </si>
  <si>
    <t>delay_syntime_dnsresponsetime_seg_2</t>
  </si>
  <si>
    <t>DNS到TCP建链的时延_seg_2</t>
  </si>
  <si>
    <t>delay_syntime_dnsresponsetime_seg_3</t>
  </si>
  <si>
    <t>DNS到TCP建链的时延_seg_3</t>
  </si>
  <si>
    <t>delay_syntime_dnsresponsetime_seg_4</t>
  </si>
  <si>
    <t>DNS到TCP建链的时延_seg_4</t>
  </si>
  <si>
    <t>delay_syntime_dnsresponsetime_seg_5</t>
  </si>
  <si>
    <t>DNS到TCP建链的时延_seg_5</t>
  </si>
  <si>
    <t>httpwebrspdelay_sum</t>
  </si>
  <si>
    <t>网页响应(首包)时延_sum(ms)</t>
  </si>
  <si>
    <t>httpwebrspdelay_avg</t>
  </si>
  <si>
    <t>网页响应(首包)时延_avg(ms)</t>
  </si>
  <si>
    <t>httpwebrspdelay_seg_1</t>
  </si>
  <si>
    <t>网页响应(首包)时延_seg_1</t>
  </si>
  <si>
    <t>httpwebrspdelay_seg_2</t>
  </si>
  <si>
    <t>网页响应(首包)时延_seg_2</t>
  </si>
  <si>
    <t>httpwebrspdelay_seg_3</t>
  </si>
  <si>
    <t>网页响应(首包)时延_seg_3</t>
  </si>
  <si>
    <t>httpwebrspdelay_seg_4</t>
  </si>
  <si>
    <t>网页响应(首包)时延_seg_4</t>
  </si>
  <si>
    <t>httpwebrspdelay_seg_5</t>
  </si>
  <si>
    <t>网页响应(首包)时延_seg_5</t>
  </si>
  <si>
    <t>httpwebopendelay_sum</t>
  </si>
  <si>
    <t>页面打开时延_sum(ms)</t>
  </si>
  <si>
    <t>httpwebopendelay_avg</t>
  </si>
  <si>
    <t>页面打开时延_avg(ms)</t>
  </si>
  <si>
    <t>httpwebopendelay_seg_1</t>
  </si>
  <si>
    <t>页面打开时延_seg_1</t>
  </si>
  <si>
    <t>httpwebopendelay_seg_2</t>
  </si>
  <si>
    <t>页面打开时延_seg_2</t>
  </si>
  <si>
    <t>httpwebopendelay_seg_3</t>
  </si>
  <si>
    <t>页面打开时延_seg_3</t>
  </si>
  <si>
    <t>httpwebopendelay_seg_4</t>
  </si>
  <si>
    <t>页面打开时延_seg_4</t>
  </si>
  <si>
    <t>httpwebopendelay_seg_5</t>
  </si>
  <si>
    <t>页面打开时延_seg_5</t>
  </si>
  <si>
    <t>httpwebdspdelay_sum</t>
  </si>
  <si>
    <t>网页显示(打开)时长_sum(ms)</t>
  </si>
  <si>
    <t>httpwebdspdelay_avg</t>
  </si>
  <si>
    <t>网页显示(打开)时长_avg(ms)</t>
  </si>
  <si>
    <t>httpwebdspdelay_seg_1</t>
  </si>
  <si>
    <t>网页显示(打开)时长_seg_1</t>
  </si>
  <si>
    <t>httpwebdspdelay_seg_2</t>
  </si>
  <si>
    <t>网页显示(打开)时长_seg_2</t>
  </si>
  <si>
    <t>httpwebdspdelay_seg_3</t>
  </si>
  <si>
    <t>网页显示(打开)时长_seg_3</t>
  </si>
  <si>
    <t>httpwebdspdelay_seg_4</t>
  </si>
  <si>
    <t>网页显示(打开)时长_seg_4</t>
  </si>
  <si>
    <t>httpwebdspdelay_seg_5</t>
  </si>
  <si>
    <t>网页显示(打开)时长_seg_5</t>
  </si>
  <si>
    <t>httpwebscreencnt_sum</t>
  </si>
  <si>
    <t>网页首屏完成次数_sum</t>
  </si>
  <si>
    <t>httpwebscreendelay_sum</t>
  </si>
  <si>
    <t>网页首屏时延_sum(ms)</t>
  </si>
  <si>
    <t>httpwebscreendelay_avg</t>
  </si>
  <si>
    <t>网页首屏时延_avg(ms)</t>
  </si>
  <si>
    <t>httpwebscreendelay_seg_1</t>
  </si>
  <si>
    <t>网页首屏时延_seg_1</t>
  </si>
  <si>
    <t>httpwebscreendelay_seg_2</t>
  </si>
  <si>
    <t>网页首屏时延_seg_2</t>
  </si>
  <si>
    <t>httpwebscreendelay_seg_3</t>
  </si>
  <si>
    <t>网页首屏时延_seg_3</t>
  </si>
  <si>
    <t>httpwebscreendelay_seg_4</t>
  </si>
  <si>
    <t>网页首屏时延_seg_4</t>
  </si>
  <si>
    <t>httpwebscreendelay_seg_5</t>
  </si>
  <si>
    <t>网页首屏时延_seg_5</t>
  </si>
  <si>
    <t>delay_acktime_actiontime_sum</t>
  </si>
  <si>
    <t>TCP建链成功到首个HTTP请求的时延_sum（ms）</t>
  </si>
  <si>
    <t>delay_acktime_actiontime_avg</t>
  </si>
  <si>
    <t>TCP建链成功到首个HTTP请求的时延_avg（ms）</t>
  </si>
  <si>
    <t>delay_acktime_actiontime_seg_1</t>
  </si>
  <si>
    <t>TCP建链成功到首个HTTP请求的时延_seg_1</t>
  </si>
  <si>
    <t>delay_acktime_actiontime_seg_2</t>
  </si>
  <si>
    <t>TCP建链成功到首个HTTP请求的时延_seg_2</t>
  </si>
  <si>
    <t>delay_acktime_actiontime_seg_3</t>
  </si>
  <si>
    <t>TCP建链成功到首个HTTP请求的时延_seg_3</t>
  </si>
  <si>
    <t>delay_acktime_actiontime_seg_4</t>
  </si>
  <si>
    <t>TCP建链成功到首个HTTP请求的时延_seg_4</t>
  </si>
  <si>
    <t>delay_acktime_actiontime_seg_5</t>
  </si>
  <si>
    <t>TCP建链成功到首个HTTP请求的时延_seg_5</t>
  </si>
  <si>
    <t>delay_actiontime_firstpackettime_sum</t>
  </si>
  <si>
    <t>首个HTTP请求到第一个数据响应包的时延_sum（ms）</t>
  </si>
  <si>
    <t>delay_actiontime_firstpackettime_avg</t>
  </si>
  <si>
    <t>首个HTTP请求到第一个数据响应包的时延_avg（ms）</t>
  </si>
  <si>
    <t>delay_actiontime_firstpackettime_seg_1</t>
  </si>
  <si>
    <t>首个HTTP请求到第一个数据响应包的时延_seg_1</t>
  </si>
  <si>
    <t>delay_actiontime_firstpackettime_seg_2</t>
  </si>
  <si>
    <t>首个HTTP请求到第一个数据响应包的时延_seg_2</t>
  </si>
  <si>
    <t>delay_actiontime_firstpackettime_seg_3</t>
  </si>
  <si>
    <t>首个HTTP请求到第一个数据响应包的时延_seg_3</t>
  </si>
  <si>
    <t>delay_actiontime_firstpackettime_seg_4</t>
  </si>
  <si>
    <t>首个HTTP请求到第一个数据响应包的时延_seg_4</t>
  </si>
  <si>
    <t>delay_actiontime_firstpackettime_seg_5</t>
  </si>
  <si>
    <t>首个HTTP请求到第一个数据响应包的时延_seg_5</t>
  </si>
  <si>
    <t>delay_actiontime_firstresptime_sum</t>
  </si>
  <si>
    <t>首个HTTP请求到第一个HTTP响应包的时延_sum（ms）</t>
  </si>
  <si>
    <t>delay_actiontime_firstresptime_avg</t>
  </si>
  <si>
    <t>首个HTTP请求到第一个HTTP响应包的时延_avg（ms）</t>
  </si>
  <si>
    <t>delay_actiontime_firstresptime_seg_1</t>
  </si>
  <si>
    <t>首个HTTP请求到第一个HTTP响应包的时延_seg_1</t>
  </si>
  <si>
    <t>delay_actiontime_firstresptime_seg_2</t>
  </si>
  <si>
    <t>首个HTTP请求到第一个HTTP响应包的时延_seg_2</t>
  </si>
  <si>
    <t>delay_actiontime_firstresptime_seg_3</t>
  </si>
  <si>
    <t>首个HTTP请求到第一个HTTP响应包的时延_seg_3</t>
  </si>
  <si>
    <t>delay_actiontime_firstresptime_seg_4</t>
  </si>
  <si>
    <t>首个HTTP请求到第一个HTTP响应包的时延_seg_4</t>
  </si>
  <si>
    <t>delay_actiontime_firstresptime_seg_5</t>
  </si>
  <si>
    <t>首个HTTP请求到第一个HTTP响应包的时延_seg_5</t>
  </si>
  <si>
    <t>delay_lastpacktime_dnsortcp_sum</t>
  </si>
  <si>
    <t>首个HTTP请求到最后一个数据包的时延_sum</t>
  </si>
  <si>
    <t>delay_lastpacktime_dnsortcp_avg</t>
  </si>
  <si>
    <t>首个HTTP请求到最后一个数据包的时延_avg</t>
  </si>
  <si>
    <t>delay_lastpacktime_dnsortcp_seg_1</t>
  </si>
  <si>
    <t>首个HTTP请求到最后一个数据包的时延_seg_1</t>
  </si>
  <si>
    <t>delay_lastpacktime_dnsortcp_seg_2</t>
  </si>
  <si>
    <t>首个HTTP请求到最后一个数据包的时延_seg_2</t>
  </si>
  <si>
    <t>delay_lastpacktime_dnsortcp_seg_3</t>
  </si>
  <si>
    <t>首个HTTP请求到最后一个数据包的时延_seg_3</t>
  </si>
  <si>
    <t>delay_lastpacktime_dnsortcp_seg_4</t>
  </si>
  <si>
    <t>首个HTTP请求到最后一个数据包的时延_seg_4</t>
  </si>
  <si>
    <t>delay_lastpacktime_dnsortcp_seg_5</t>
  </si>
  <si>
    <t>首个HTTP请求到最后一个数据包的时延_seg_5</t>
  </si>
  <si>
    <t>delay_firstresptime_lastpacktime_sum</t>
  </si>
  <si>
    <t>第一个HTTP响应包到最后一个数据包时延_sum</t>
  </si>
  <si>
    <t>delay_firstresptime_lastpacktime_avg</t>
  </si>
  <si>
    <t>第一个HTTP响应包到最后一个数据包时延_avg</t>
  </si>
  <si>
    <t>delay_firstresptime_lastpacktime_seg_1</t>
  </si>
  <si>
    <t>第一个HTTP响应包到最后一个数据包时延_seg_1</t>
  </si>
  <si>
    <t>delay_firstresptime_lastpacktime_seg_2</t>
  </si>
  <si>
    <t>第一个HTTP响应包到最后一个数据包时延_seg_2</t>
  </si>
  <si>
    <t>delay_firstresptime_lastpacktime_seg_3</t>
  </si>
  <si>
    <t>第一个HTTP响应包到最后一个数据包时延_seg_3</t>
  </si>
  <si>
    <t>delay_firstresptime_lastpacktime_seg_4</t>
  </si>
  <si>
    <t>第一个HTTP响应包到最后一个数据包时延_seg_4</t>
  </si>
  <si>
    <t>delay_firstresptime_lastpacktime_seg_5</t>
  </si>
  <si>
    <t>第一个HTTP响应包到最后一个数据包时延_seg_5</t>
  </si>
  <si>
    <t>delay_firstpackettime_pageopentime_sum</t>
  </si>
  <si>
    <t>第一个数据响应包到首页打开的时延_sum（ms）</t>
  </si>
  <si>
    <t>delay_firstpackettime_pageopentime_avg</t>
  </si>
  <si>
    <t>第一个数据响应包到首页打开的时延_avg（ms）</t>
  </si>
  <si>
    <t>delay_firstpackettime_pageopentime_seg_1</t>
  </si>
  <si>
    <t>第一个数据响应包到首页打开的时延_seg_1</t>
  </si>
  <si>
    <t>delay_firstpackettime_pageopentime_seg_2</t>
  </si>
  <si>
    <t>第一个数据响应包到首页打开的时延_seg_2</t>
  </si>
  <si>
    <t>delay_firstpackettime_pageopentime_seg_3</t>
  </si>
  <si>
    <t>第一个数据响应包到首页打开的时延_seg_3</t>
  </si>
  <si>
    <t>delay_firstpackettime_pageopentime_seg_4</t>
  </si>
  <si>
    <t>第一个数据响应包到首页打开的时延_seg_4</t>
  </si>
  <si>
    <t>delay_firstpackettime_pageopentime_seg_5</t>
  </si>
  <si>
    <t>第一个数据响应包到首页打开的时延_seg_5</t>
  </si>
  <si>
    <t>delay_firstpackettime_lastpacktime_sum</t>
  </si>
  <si>
    <t>第一个数据响应包到最后一个数据包的时延_sum</t>
  </si>
  <si>
    <t>delay_firstpackettime_lastpacktime_avg</t>
  </si>
  <si>
    <t>第一个数据响应包到最后一个数据包的时延_avg</t>
  </si>
  <si>
    <t>delay_firstpackettime_lastpacktime_seg_1</t>
  </si>
  <si>
    <t>第一个数据响应包到最后一个数据包的时延_seg_1</t>
  </si>
  <si>
    <t>delay_firstpackettime_lastpacktime_seg_2</t>
  </si>
  <si>
    <t>第一个数据响应包到最后一个数据包的时延_seg_2</t>
  </si>
  <si>
    <t>delay_firstpackettime_lastpacktime_seg_3</t>
  </si>
  <si>
    <t>第一个数据响应包到最后一个数据包的时延_seg_3</t>
  </si>
  <si>
    <t>delay_firstpackettime_lastpacktime_seg_4</t>
  </si>
  <si>
    <t>第一个数据响应包到最后一个数据包的时延_seg_4</t>
  </si>
  <si>
    <t>delay_firstpackettime_lastpacktime_seg_5</t>
  </si>
  <si>
    <t>第一个数据响应包到最后一个数据包的时延_seg_5</t>
  </si>
  <si>
    <t>delay_lastpacktime_lastacktime_sum</t>
  </si>
  <si>
    <t>最后一个数据包到最后一个ACK的时延_sum</t>
  </si>
  <si>
    <t>delay_lastpacktime_lastacktime_avg</t>
  </si>
  <si>
    <t>最后一个数据包到最后一个ACK的时延_avg</t>
  </si>
  <si>
    <t>delay_lastpacktime_lastacktime_seg_1</t>
  </si>
  <si>
    <t>最后一个数据包到最后一个ACK的时延_seg_1</t>
  </si>
  <si>
    <t>delay_lastpacktime_lastacktime_seg_2</t>
  </si>
  <si>
    <t>最后一个数据包到最后一个ACK的时延_seg_2</t>
  </si>
  <si>
    <t>delay_lastpacktime_lastacktime_seg_3</t>
  </si>
  <si>
    <t>最后一个数据包到最后一个ACK的时延_seg_3</t>
  </si>
  <si>
    <t>delay_lastpacktime_lastacktime_seg_4</t>
  </si>
  <si>
    <t>最后一个数据包到最后一个ACK的时延_seg_4</t>
  </si>
  <si>
    <t>delay_lastpacktime_lastacktime_seg_5</t>
  </si>
  <si>
    <t>最后一个数据包到最后一个ACK的时延_seg_5</t>
  </si>
  <si>
    <t>delay_firstfinacktime_lastacktime_sum</t>
  </si>
  <si>
    <t>最后一个ACK到首次挥手的时延_sum</t>
  </si>
  <si>
    <t>delay_firstfinacktime_lastacktime_avg</t>
  </si>
  <si>
    <t>最后一个ACK到首次挥手的时延_avg</t>
  </si>
  <si>
    <t>delay_firstfinacktime_lastacktime_seg_1</t>
  </si>
  <si>
    <t>最后一个ACK到首次挥手的时延_seg_1</t>
  </si>
  <si>
    <t>delay_firstfinacktime_lastacktime_seg_2</t>
  </si>
  <si>
    <t>最后一个ACK到首次挥手的时延_seg_2</t>
  </si>
  <si>
    <t>delay_firstfinacktime_lastacktime_seg_3</t>
  </si>
  <si>
    <t>最后一个ACK到首次挥手的时延_seg_3</t>
  </si>
  <si>
    <t>delay_firstfinacktime_lastacktime_seg_4</t>
  </si>
  <si>
    <t>最后一个ACK到首次挥手的时延_seg_4</t>
  </si>
  <si>
    <t>delay_firstfinacktime_lastacktime_seg_5</t>
  </si>
  <si>
    <t>最后一个ACK到首次挥手的时延_seg_5</t>
  </si>
  <si>
    <t>respdelay_sum</t>
  </si>
  <si>
    <t>响应时延_sum</t>
  </si>
  <si>
    <t>respdelay_avg</t>
  </si>
  <si>
    <t>响应时延_avg</t>
  </si>
  <si>
    <t>respdelay_seg_1</t>
  </si>
  <si>
    <t>响应时延_seg_1</t>
  </si>
  <si>
    <t>respdelay_seg_2</t>
  </si>
  <si>
    <t>响应时延_seg_2</t>
  </si>
  <si>
    <t>respdelay_seg_3</t>
  </si>
  <si>
    <t>响应时延_seg_3</t>
  </si>
  <si>
    <t>respdelay_seg_4</t>
  </si>
  <si>
    <t>响应时延_seg_4</t>
  </si>
  <si>
    <t>respdelay_seg_5</t>
  </si>
  <si>
    <t>响应时延_seg_5</t>
  </si>
  <si>
    <t>tcpreorderingpacketratio</t>
  </si>
  <si>
    <t>TCP乱序占比</t>
  </si>
  <si>
    <t>tcpreorderingpacketratio_seg_1</t>
  </si>
  <si>
    <t>TCP乱序占比_seg_1</t>
  </si>
  <si>
    <t>tcpreorderingpacketratio_seg_2</t>
  </si>
  <si>
    <t>TCP乱序占比_seg_2</t>
  </si>
  <si>
    <t>tcpreorderingpacketratio_seg_3</t>
  </si>
  <si>
    <t>TCP乱序占比_seg_3</t>
  </si>
  <si>
    <t>tcpreorderingpacketratio_seg_4</t>
  </si>
  <si>
    <t>TCP乱序占比_seg_4</t>
  </si>
  <si>
    <t>tcpreorderingpacketratio_seg_5</t>
  </si>
  <si>
    <t>TCP乱序占比_seg_5</t>
  </si>
  <si>
    <t>ultcpreorderingpacketratio</t>
  </si>
  <si>
    <t>上行TCP乱序占比</t>
  </si>
  <si>
    <t>ultcpreorderingpacketratio_seg_1</t>
  </si>
  <si>
    <t>上行TCP乱序占比_seg_1</t>
  </si>
  <si>
    <t>ultcpreorderingpacketratio_seg_2</t>
  </si>
  <si>
    <t>上行TCP乱序占比_seg_2</t>
  </si>
  <si>
    <t>ultcpreorderingpacketratio_seg_3</t>
  </si>
  <si>
    <t>上行TCP乱序占比_seg_3</t>
  </si>
  <si>
    <t>ultcpreorderingpacketratio_seg_4</t>
  </si>
  <si>
    <t>上行TCP乱序占比_seg_4</t>
  </si>
  <si>
    <t>ultcpreorderingpacketratio_seg_5</t>
  </si>
  <si>
    <t>上行TCP乱序占比_seg_5</t>
  </si>
  <si>
    <t>dltcpreorderingpacketratio</t>
  </si>
  <si>
    <t>下行TCP乱序占比</t>
  </si>
  <si>
    <t>dltcpreorderingpacketratio_seg_1</t>
  </si>
  <si>
    <t>下行TCP乱序占比_seg_1</t>
  </si>
  <si>
    <t>dltcpreorderingpacketratio_seg_2</t>
  </si>
  <si>
    <t>下行TCP乱序占比_seg_2</t>
  </si>
  <si>
    <t>dltcpreorderingpacketratio_seg_3</t>
  </si>
  <si>
    <t>下行TCP乱序占比_seg_3</t>
  </si>
  <si>
    <t>dltcpreorderingpacketratio_seg_4</t>
  </si>
  <si>
    <t>下行TCP乱序占比_seg_4</t>
  </si>
  <si>
    <t>dltcpreorderingpacketratio_seg_5</t>
  </si>
  <si>
    <t>下行TCP乱序占比_seg_5</t>
  </si>
  <si>
    <t>tcp_retranspacketratio</t>
  </si>
  <si>
    <t>TCP重传占比</t>
  </si>
  <si>
    <t>tcp_retranspacketratio_seg_1</t>
  </si>
  <si>
    <t>TCP重传占比_seg_1</t>
  </si>
  <si>
    <t>tcp_retranspacketratio_seg_2</t>
  </si>
  <si>
    <t>TCP重传占比_seg_2</t>
  </si>
  <si>
    <t>tcp_retranspacketratio_seg_3</t>
  </si>
  <si>
    <t>TCP重传占比_seg_3</t>
  </si>
  <si>
    <t>tcp_retranspacketratio_seg_4</t>
  </si>
  <si>
    <t>TCP重传占比_seg_4</t>
  </si>
  <si>
    <t>tcp_retranspacketratio_seg_5</t>
  </si>
  <si>
    <t>TCP重传占比_seg_5</t>
  </si>
  <si>
    <t>ultcp_retranspacketratio</t>
  </si>
  <si>
    <t>上行TCP重传占比</t>
  </si>
  <si>
    <t>ultcp_retranspacketratio_seg_1</t>
  </si>
  <si>
    <t>上行TCP重传占比_seg_1</t>
  </si>
  <si>
    <t>ultcp_retranspacketratio_seg_2</t>
  </si>
  <si>
    <t>上行TCP重传占比_seg_2</t>
  </si>
  <si>
    <t>ultcp_retranspacketratio_seg_3</t>
  </si>
  <si>
    <t>上行TCP重传占比_seg_3</t>
  </si>
  <si>
    <t>ultcp_retranspacketratio_seg_4</t>
  </si>
  <si>
    <t>上行TCP重传占比_seg_4</t>
  </si>
  <si>
    <t>ultcp_retranspacketratio_seg_5</t>
  </si>
  <si>
    <t>上行TCP重传占比_seg_5</t>
  </si>
  <si>
    <t>dltcp_retranspacketratio</t>
  </si>
  <si>
    <t>下行TCP重传占比</t>
  </si>
  <si>
    <t>dltcp_retranspacketratio_seg_1</t>
  </si>
  <si>
    <t>下行TCP重传占比_seg_1</t>
  </si>
  <si>
    <t>dltcp_retranspacketratio_seg_2</t>
  </si>
  <si>
    <t>下行TCP重传占比_seg_2</t>
  </si>
  <si>
    <t>dltcp_retranspacketratio_seg_3</t>
  </si>
  <si>
    <t>下行TCP重传占比_seg_3</t>
  </si>
  <si>
    <t>dltcp_retranspacketratio_seg_4</t>
  </si>
  <si>
    <t>下行TCP重传占比_seg_4</t>
  </si>
  <si>
    <t>dltcp_retranspacketratio_seg_5</t>
  </si>
  <si>
    <t>下行TCP重传占比_seg_5</t>
  </si>
  <si>
    <t>http_throughput_under500_duartion</t>
  </si>
  <si>
    <t>小页面显示总时长（内容&lt;500KB）</t>
  </si>
  <si>
    <t>http_throughput_under500_suc_cnt</t>
  </si>
  <si>
    <t>小页面显示成功次数（内容&lt;500KB）</t>
  </si>
  <si>
    <t>http_throughput_above500_duartion_sum</t>
  </si>
  <si>
    <t>HTTP下载时长（s）（内容&gt;=500KB）</t>
  </si>
  <si>
    <t>times_excellentrspdelay</t>
  </si>
  <si>
    <t>首屏时延优秀次数</t>
  </si>
  <si>
    <t>times_inferiorrspdelay</t>
  </si>
  <si>
    <t>首屏时延质差次数</t>
  </si>
  <si>
    <t>times_wellrspdelay</t>
  </si>
  <si>
    <t>首屏时延良好次数</t>
  </si>
  <si>
    <t>times_excellentcmpltdelay</t>
  </si>
  <si>
    <t>打开时延优秀次数</t>
  </si>
  <si>
    <t>times_inferiorcmpltdelay</t>
  </si>
  <si>
    <t>打开时延质差次数</t>
  </si>
  <si>
    <t>times_wellcmpltdelay</t>
  </si>
  <si>
    <t>打开时延良好次数</t>
  </si>
  <si>
    <t>times_excellentsentrate</t>
  </si>
  <si>
    <t>消息发送成功次数</t>
  </si>
  <si>
    <t>times_inferiorsentrate</t>
  </si>
  <si>
    <t>消息发送失败次数</t>
  </si>
  <si>
    <t>times_excellentgamedelay</t>
  </si>
  <si>
    <t>游戏交互时延优秀次数</t>
  </si>
  <si>
    <t>times_inferiorgamedelay</t>
  </si>
  <si>
    <t>游戏交互时延劣质次数</t>
  </si>
  <si>
    <t>times_wellgamedelay</t>
  </si>
  <si>
    <t>游戏交互时延良好次数</t>
  </si>
  <si>
    <t>xdr_suc_cnt_sum</t>
  </si>
  <si>
    <t>min(starttime)</t>
  </si>
  <si>
    <t>max(endtime)</t>
  </si>
  <si>
    <t>sum(httpwebreqcount)</t>
  </si>
  <si>
    <t>sum(abnormal_cnt)/sum(httpwebreqcount)</t>
  </si>
  <si>
    <t>ods_4gdpi_https_e2e_telecom_q</t>
  </si>
  <si>
    <t>4G DPI HTTPS业务明细表</t>
  </si>
  <si>
    <t>接口类型：
1、S1-U
4、S11
6、S5/S8
7、S2a
13、Gn/Gp
14、L2TP（3/4G LAC--LNS）</t>
  </si>
  <si>
    <t>日期，具体到天</t>
  </si>
  <si>
    <t>参见3GPP TS 23.003，2.2章节</t>
  </si>
  <si>
    <t>MSISDN</t>
  </si>
  <si>
    <t>终端IMEI/IMEISV。保持信令抽取的原样，无需进行IMEI和IMEISV间的转化。在eHRPD场景下，使用MEID填充。</t>
  </si>
  <si>
    <t>User-Name，参见[RFC 2865].</t>
  </si>
  <si>
    <t>Destination，标准协议字段</t>
  </si>
  <si>
    <t>destinationport</t>
  </si>
  <si>
    <t>Destination Port，标准协议字段</t>
  </si>
  <si>
    <t>Source，标准协议字段</t>
  </si>
  <si>
    <t>sourceport</t>
  </si>
  <si>
    <t>Source Port，标准协议字段</t>
  </si>
  <si>
    <t>SGW在GTP-U上的IP地址</t>
  </si>
  <si>
    <t>MME在GTP-C上的IP地址</t>
  </si>
  <si>
    <t>用户在GTP-U和PMIPv6会话时使用的PGW IP地址。如[RFC 2002]定义</t>
  </si>
  <si>
    <t>ecgi</t>
  </si>
  <si>
    <t>输出为” MCC-MNC-ECI”格式，每段均要求按照Integer类型输出。如：460-11-123456</t>
  </si>
  <si>
    <t>输出为” MCC-MNC-TAC”格式，每段均要求按照Integer类型输出。如：460-11-65535</t>
  </si>
  <si>
    <t>MCC+MNC</t>
  </si>
  <si>
    <t>RAT类型：取各接口码流中携带的值，DPI设备不做修改。如果接入类型为5G NR，将RAT值改写为10。</t>
  </si>
  <si>
    <t>根据端口号和协议特征等分析得出</t>
  </si>
  <si>
    <t>根据端口号和协议特征等分析得出，按照业务大类（两位）+业务小类（四位）+业务细分（两位）固定8位长度的方式填写，业务的大类、小类及细分类别填写遵照《中国电信统一DPI主要业务识别列表》</t>
  </si>
  <si>
    <t>网络数据流监控统计得出</t>
  </si>
  <si>
    <t>根据业务流开始和结束统计得出的时间</t>
  </si>
  <si>
    <t>根据IP报文统计得出</t>
  </si>
  <si>
    <t>DPI设备自动生成，以session开始的时间戳为ID号，同一个用户中的该ID相同表明是同一次PDN连接中的不同记录，格式为yyyymmddhhmmss（24小时制）</t>
  </si>
  <si>
    <t>GTP-C消息和GTP-U中获取，并进行匹配</t>
  </si>
  <si>
    <t>bearerqos</t>
  </si>
  <si>
    <t>从GTP-C消息中获取BearerID对应的QoS</t>
  </si>
  <si>
    <t>DPI设备自动生成，数字编号（0：session释放；1：业务应用结束；2：业务应用等待超时；3：用户位置（TAI）变化；4：用户接入方式变化）</t>
  </si>
  <si>
    <t>sgwport</t>
  </si>
  <si>
    <t>对于S1-U口，填写SGW端口</t>
  </si>
  <si>
    <t>enbport</t>
  </si>
  <si>
    <t>对于S1-U口，填写eNB端口</t>
  </si>
  <si>
    <t>enbgtp_teid</t>
  </si>
  <si>
    <t>对于S1-U口，填写该业务对应承载的eNB侧GTP-TEID</t>
  </si>
  <si>
    <t>sgwgtp_teid</t>
  </si>
  <si>
    <t>对于S1-U口，填写该业务对应承载的SGW侧GTP-TEID</t>
  </si>
  <si>
    <t>pgwport</t>
  </si>
  <si>
    <t>MME Group ID和MME Code一起唯一确定一个MME</t>
  </si>
  <si>
    <t>enbid</t>
  </si>
  <si>
    <t>用户的归属地省份，枚举定义参见附录G。
对国际漫入用户时，该字段填写用户归属运营商PLMN。</t>
  </si>
  <si>
    <t>userip</t>
  </si>
  <si>
    <t>终端用户的IPv4或IPv6地址。</t>
  </si>
  <si>
    <t>userport</t>
  </si>
  <si>
    <t>用户的四层端口号</t>
  </si>
  <si>
    <t>L4协议类型：
0：TCP
1：UDP</t>
  </si>
  <si>
    <t>访问服务器的IPv4或IPv6地址，如无则填全F</t>
  </si>
  <si>
    <t>appserver_port</t>
  </si>
  <si>
    <t>访问的服务器的端口</t>
  </si>
  <si>
    <t>上行TCP乱序报文数
L4协议非TCP传输时，此字段填0</t>
  </si>
  <si>
    <t>下行TCP乱序报文数
非TCP传输时，此字段填0</t>
  </si>
  <si>
    <t>上行TCP重传报文数
非TCP传输时，此字段填0</t>
  </si>
  <si>
    <t>下行TCP重传报文数
非TCP传输时，此字段填0</t>
  </si>
  <si>
    <t>TCP建链响应时延（ms）
非TCP传输时，此字段填0</t>
  </si>
  <si>
    <t>TCP建链确认时延（ms）
非TCP传输时，此字段填0</t>
  </si>
  <si>
    <t>以内层IP包的分片为准</t>
  </si>
  <si>
    <t>TCP建链成功到第一条事务请求的时延（ms）
没有事务的时候可以不填写，此时填0</t>
  </si>
  <si>
    <t>第一条事务请求到其第一个响应包时延（ms）
没有事务的时候可以不填写，此时填0</t>
  </si>
  <si>
    <t>窗口大小，TCP 建链协商后的窗口
非TCP传输时，此字段填0</t>
  </si>
  <si>
    <t>MSS尺寸，TCP层的最大分段大小
非TCP传输时，此字段填0</t>
  </si>
  <si>
    <t>TCP SYN的次数，一次TCP流多次SYN的数值，此值至少为1；非TCP传输时，此字段填0</t>
  </si>
  <si>
    <t>TCP连接状态指示
0：成功；1：失败</t>
  </si>
  <si>
    <t>1：结束；2：未结束</t>
  </si>
  <si>
    <t>上行UE AMBR，单位：Kbps</t>
  </si>
  <si>
    <t>下行UE AMBR，单位：Kbps</t>
  </si>
  <si>
    <t>上行APN AMBR，单位：Kbps</t>
  </si>
  <si>
    <t>下行APN AMBR，单位：Kbps</t>
  </si>
  <si>
    <t>当前业务流所属承载的QCI。</t>
  </si>
  <si>
    <t>用户访问的目标网站的URL。</t>
  </si>
  <si>
    <t>第一个TCP FinAck包时间戳</t>
  </si>
  <si>
    <t>DNS关联流的请求时间戳。无关联流，此字段填写0</t>
  </si>
  <si>
    <t>DNS关联流的应答时间戳。无关联流，此字段填写0</t>
  </si>
  <si>
    <t>HTTP流与DNS流的关联ID。无关联流时，此字段填写0</t>
  </si>
  <si>
    <t>首屏完成时间戳，默认值0。算法见《中国电信移动互联网业务感知质量评价细则》</t>
  </si>
  <si>
    <t>sslhandshakestarttime</t>
  </si>
  <si>
    <t>SSL握手开始时间戳</t>
  </si>
  <si>
    <t>sslhandshakeendtime</t>
  </si>
  <si>
    <t>SSL握手结束时间戳</t>
  </si>
  <si>
    <t>tacid，取imei前8位</t>
  </si>
  <si>
    <t>拜访地省份编码</t>
  </si>
  <si>
    <t>拜访地地市编码</t>
  </si>
  <si>
    <t>拜访地区县编码</t>
  </si>
  <si>
    <t>首个HTTPs请求到第一个数据响应包的时延</t>
  </si>
  <si>
    <t>首个HTTPs请求到第一个HTTPs数据响应包的时延</t>
  </si>
  <si>
    <t>第一个HTTPs响应包到最后一个数据包的时延</t>
  </si>
  <si>
    <t>HTTPs下载速率</t>
  </si>
  <si>
    <t>ul_or_dl</t>
  </si>
  <si>
    <t>是否是用户发给服务器的数据</t>
  </si>
  <si>
    <t>sslhandshakereqcount</t>
  </si>
  <si>
    <t>SSL握手请求次数</t>
  </si>
  <si>
    <t>sslhandshakefailurecount</t>
  </si>
  <si>
    <t>SSL握手失败次数</t>
  </si>
  <si>
    <t>eNodeBID</t>
  </si>
  <si>
    <t>永久用户标识</t>
  </si>
  <si>
    <t>手机号码</t>
  </si>
  <si>
    <t>用户访问的目标IPv4或IPv6地址</t>
  </si>
  <si>
    <t>归属省份</t>
  </si>
  <si>
    <t>process_num</t>
  </si>
  <si>
    <t>业务发生次数</t>
  </si>
  <si>
    <t>大包业务上行流量(&gt;=500KB)</t>
  </si>
  <si>
    <t>outputoctets_above500_highdelay_cnt</t>
  </si>
  <si>
    <t>inputoctets_above500_highdelay_cnt</t>
  </si>
  <si>
    <t>firstscreenfin_cnt_sum</t>
  </si>
  <si>
    <t>网页首屏完成次数</t>
  </si>
  <si>
    <t>firstscreenfindelay_sum</t>
  </si>
  <si>
    <t>网页首屏总时延(ms)</t>
  </si>
  <si>
    <t>APN</t>
  </si>
  <si>
    <t>sum(process_num)</t>
  </si>
  <si>
    <t>sum(abnormal_cnt)/sum(process_num)</t>
  </si>
  <si>
    <t>ods_5gdpi_s1uhttp_e2e_telecom_q</t>
  </si>
  <si>
    <t>5G DPI S1U-HTTP业务明细表</t>
  </si>
  <si>
    <t>接口</t>
  </si>
  <si>
    <t>supi</t>
  </si>
  <si>
    <t>pei</t>
  </si>
  <si>
    <t>永久设备标识</t>
  </si>
  <si>
    <t>dnn_apn</t>
  </si>
  <si>
    <t>用户访问的目标端口号</t>
  </si>
  <si>
    <t>用户访问外部网络时使用的端口号</t>
  </si>
  <si>
    <t>upfip</t>
  </si>
  <si>
    <t>UPF的IPv4或IPv6地址</t>
  </si>
  <si>
    <t>ncgi_ecgi</t>
  </si>
  <si>
    <t>NCGI：NR 小区全局标识符，MCC+MNC+NRCELLID；</t>
  </si>
  <si>
    <t>用户所接入的网络类型</t>
  </si>
  <si>
    <t>协议类型，参见附录J</t>
  </si>
  <si>
    <t>业务流开始时间，格式为YYYYMMDDhhmmss（24小时制），如果开启中间记录模式，每条记录都填写相同的开始时间。</t>
  </si>
  <si>
    <t>业务流结束时间，格式为YYYYMMDDhhmmss（24小时制），如果开启中间记录模式，只在最后一条记录填写结束时间。</t>
  </si>
  <si>
    <t>持续时间，单位毫秒</t>
  </si>
  <si>
    <t>pduconnectionid</t>
  </si>
  <si>
    <t>PDU连接的ID标识号</t>
  </si>
  <si>
    <t>gnbip</t>
  </si>
  <si>
    <t>gNB的IPv4或IPv6地址</t>
  </si>
  <si>
    <t>gnbgtp_teid</t>
  </si>
  <si>
    <t>填写该业务对应承载的gNB侧GTP-TEID</t>
  </si>
  <si>
    <t>upfgtp_teid</t>
  </si>
  <si>
    <t>填写该业务对应承载的UPF侧GTP-TEID</t>
  </si>
  <si>
    <t>L4 protocol</t>
  </si>
  <si>
    <t>nssai_sst</t>
  </si>
  <si>
    <t>Slice Service Type (SST)</t>
  </si>
  <si>
    <t>nssai_sd</t>
  </si>
  <si>
    <t>Slice Differentiator（SD）</t>
  </si>
  <si>
    <t>ul_session_ambr</t>
  </si>
  <si>
    <t>dl_session_ambr</t>
  </si>
  <si>
    <t>5qi</t>
  </si>
  <si>
    <t>userfirsttcpwindow</t>
  </si>
  <si>
    <t>用户侧初始有效TCP窗口大小</t>
  </si>
  <si>
    <t>serverfirsttcpwindow</t>
  </si>
  <si>
    <t>服务器侧初始有效TCP窗口大小</t>
  </si>
  <si>
    <t>userlasttcpwindow</t>
  </si>
  <si>
    <t>用户侧结束有效TCP窗口大小</t>
  </si>
  <si>
    <t>serverlasttcpwindow</t>
  </si>
  <si>
    <t>服务器侧结束有效TCP窗口大小</t>
  </si>
  <si>
    <t>usermintcpwindow</t>
  </si>
  <si>
    <t>用户侧最小有效TCP窗口大小</t>
  </si>
  <si>
    <t>servermintcpwindow</t>
  </si>
  <si>
    <t>服务器侧最小有效TCP窗口大小</t>
  </si>
  <si>
    <t>usermaxtcpwindow</t>
  </si>
  <si>
    <t>用户侧最大有效TCP窗口大小</t>
  </si>
  <si>
    <t>servermaxtcpwindow</t>
  </si>
  <si>
    <t>服务器侧最大有效TCP窗口大小</t>
  </si>
  <si>
    <t>ul_data_transduration</t>
  </si>
  <si>
    <t>dl_datatransduration</t>
  </si>
  <si>
    <t>ul_packet_number_stg1</t>
  </si>
  <si>
    <t>ul_packet_number_stg2</t>
  </si>
  <si>
    <t>ul_packet_number_stg3</t>
  </si>
  <si>
    <t>ul_packet_number_stg4</t>
  </si>
  <si>
    <t>dl_packet_number_stg1</t>
  </si>
  <si>
    <t>dl_packet_number_stg2</t>
  </si>
  <si>
    <t>dl_packet_number_stg3</t>
  </si>
  <si>
    <t>dl_packet_number_stg4</t>
  </si>
  <si>
    <t>ul_average_packet_size</t>
  </si>
  <si>
    <t>dl_average_packet_size</t>
  </si>
  <si>
    <t>ul_average_interval</t>
  </si>
  <si>
    <t>dl_average_interval</t>
  </si>
  <si>
    <t>ul_average_jitter</t>
  </si>
  <si>
    <t>dl_average_jitter</t>
  </si>
  <si>
    <t>user_agent</t>
  </si>
  <si>
    <t>User Agent信息</t>
  </si>
  <si>
    <t>destination_url</t>
  </si>
  <si>
    <t>domain_name</t>
  </si>
  <si>
    <t>content_len</t>
  </si>
  <si>
    <t>content_type</t>
  </si>
  <si>
    <t>if_link</t>
  </si>
  <si>
    <t>HTTP操作类型（1-CONNECT,2-HEAD,3-PUT,4-DELETE,5-POST,6-GET,7-TRACE,8-OPTIONS,9-PATCH,10-MOVE,11-COPY,12-LINK,13-UNLINK,14-WRAPPED,15-其它）</t>
  </si>
  <si>
    <t>HTTP状态码，请参照附录A.1 HTTPSTATUS表</t>
  </si>
  <si>
    <t>resp_delay</t>
  </si>
  <si>
    <t>behavior_target</t>
  </si>
  <si>
    <t>action_time</t>
  </si>
  <si>
    <t>first_packet_time</t>
  </si>
  <si>
    <t>http_version</t>
  </si>
  <si>
    <t>first_resptime</t>
  </si>
  <si>
    <t>last_acktime</t>
  </si>
  <si>
    <t>flow_id</t>
  </si>
  <si>
    <t>事务所属的流ID</t>
  </si>
  <si>
    <t>transaction_order</t>
  </si>
  <si>
    <t>事务编号</t>
  </si>
  <si>
    <t>web_browser</t>
  </si>
  <si>
    <t>浏览工具，参考附录F</t>
  </si>
  <si>
    <t>first_fin_ack_time</t>
  </si>
  <si>
    <t>dnsquery_time</t>
  </si>
  <si>
    <t>dnsresponse_time</t>
  </si>
  <si>
    <t>dnsflow_id</t>
  </si>
  <si>
    <t>first_screen_fin_time</t>
  </si>
  <si>
    <t>cellname</t>
  </si>
  <si>
    <t>小区名称</t>
  </si>
  <si>
    <t>B：cellname
B1：cell_name</t>
  </si>
  <si>
    <t>tacid，取PEI前8位</t>
  </si>
  <si>
    <t>http_complete_cnt</t>
  </si>
  <si>
    <t>http请求完成次数</t>
  </si>
  <si>
    <t>delay_syntime_dnsresponse_time</t>
  </si>
  <si>
    <t>abnormal</t>
  </si>
  <si>
    <t>时刻</t>
  </si>
  <si>
    <t>感知话单类型</t>
  </si>
  <si>
    <t>ul_above500_throughput_low_cnt</t>
  </si>
  <si>
    <t>上行大包低速率条数(&lt;1M)</t>
  </si>
  <si>
    <t>dl_above500_throughput_low_cnt</t>
  </si>
  <si>
    <t>下行大包低速率条数(&lt;1M)</t>
  </si>
  <si>
    <t>dl_above500_throughput_inferior_cnt</t>
  </si>
  <si>
    <t>下行大包低速率条数(&lt;3M)</t>
  </si>
  <si>
    <t>ul_data_transduration_cnt</t>
  </si>
  <si>
    <t>TCP上行数传时长条数</t>
  </si>
  <si>
    <t>dl_data_transduration_cnt</t>
  </si>
  <si>
    <t>TCP下行数传时长条数</t>
  </si>
  <si>
    <t>outputoctets_above500_duration_sum</t>
  </si>
  <si>
    <t>大包上行时间持续总时长(&gt;=500KB)</t>
  </si>
  <si>
    <t>inputoctets_above500_duration_sum</t>
  </si>
  <si>
    <t>大包下行时间持续总时长(&gt;=500KB)</t>
  </si>
  <si>
    <t>ul_average_packet_size_avg</t>
  </si>
  <si>
    <t>dl_average_packet_size_avg</t>
  </si>
  <si>
    <t>DNS查询响应次数，无法准确定义</t>
  </si>
  <si>
    <t>httpwebdspcount</t>
  </si>
  <si>
    <t>5G DPI s1uvideo事实表</t>
  </si>
  <si>
    <t>ods_5gdpi_s1uvideo_e2e_telecom_q</t>
  </si>
  <si>
    <t>5G DPI S1UVIDEO业务明细表</t>
  </si>
  <si>
    <t>ncgi</t>
  </si>
  <si>
    <t>videoplaysuccess</t>
  </si>
  <si>
    <t>videoplaywaittime</t>
  </si>
  <si>
    <t>videorecovertime</t>
  </si>
  <si>
    <t>firstdatapkgtime</t>
  </si>
  <si>
    <t>lastdatapkgtime</t>
  </si>
  <si>
    <t>video_resolution</t>
  </si>
  <si>
    <t>video_resolution_level_total</t>
  </si>
  <si>
    <t>video_resolution_level_cnt</t>
  </si>
  <si>
    <t>video_fluency_level_total</t>
  </si>
  <si>
    <t>video_fluency_level_cnt</t>
  </si>
  <si>
    <t>videoplaytime_without_halt</t>
  </si>
  <si>
    <t>videoplayhaltcountpermin</t>
  </si>
  <si>
    <t>videorecovertimeratio</t>
  </si>
  <si>
    <t>videobitrate_total</t>
  </si>
  <si>
    <t>videobitrate_cnt</t>
  </si>
  <si>
    <t>videothroughput_bitrate_ratio_total</t>
  </si>
  <si>
    <t>videothroughput_bitrate_ratio_cnt</t>
  </si>
  <si>
    <t>videothroughput_bitrate_ratio</t>
  </si>
  <si>
    <t>videothroughput_total</t>
  </si>
  <si>
    <t>videothroughput_cnt</t>
  </si>
  <si>
    <t>videocachethroughput_total</t>
  </si>
  <si>
    <t>videocachethroughput_cnt</t>
  </si>
  <si>
    <t>videoplayhaltratio_total</t>
  </si>
  <si>
    <t>videoplayhaltratio_cnt</t>
  </si>
  <si>
    <t>videoplayhaltratio_total_custom</t>
  </si>
  <si>
    <t>videoplayhaltratio_cnt_custom</t>
  </si>
  <si>
    <t>cachethroughput_bitrate_ratio_numerator_custom</t>
  </si>
  <si>
    <t>cachethroughput_bitrate_ratio_denominator_custom</t>
  </si>
  <si>
    <t>网络切片选择辅助信息（切片/服务类型）。若有多个切片，以“,”分隔。</t>
  </si>
  <si>
    <t>网络切片选择辅助信息（切片差分器）。若有多个切片，以“,”分隔。</t>
  </si>
  <si>
    <t>视频分辨率</t>
  </si>
  <si>
    <t>视频文件格式</t>
  </si>
  <si>
    <t>拜访地省份名称</t>
  </si>
  <si>
    <t>拜访地地市名称</t>
  </si>
  <si>
    <t>拜访地区县名称</t>
  </si>
  <si>
    <t>业务类型</t>
  </si>
  <si>
    <t>每次业务流数</t>
  </si>
  <si>
    <t>视频缓存下载速率算数求和</t>
  </si>
  <si>
    <t>视频缓存下载次数</t>
  </si>
  <si>
    <t>视频码率总和</t>
  </si>
  <si>
    <t>视频码率次数</t>
  </si>
  <si>
    <t>视频清晰度总和</t>
  </si>
  <si>
    <t>视频清晰度次数</t>
  </si>
  <si>
    <t>视频流畅度总和</t>
  </si>
  <si>
    <t>视频流畅度次数</t>
  </si>
  <si>
    <t>视频播放成功率</t>
  </si>
  <si>
    <t>视频卡顿率_分子</t>
  </si>
  <si>
    <t>视频卡顿率_分母</t>
  </si>
  <si>
    <t>视频卡顿率_分子_客户自定义</t>
  </si>
  <si>
    <t>视频卡顿率_分母_客户自定义</t>
  </si>
  <si>
    <t>dl_datatransduration_cnt</t>
  </si>
  <si>
    <t>delay_setup_firsttransaction_cnt</t>
  </si>
  <si>
    <t>TCP建链成功到第一条事务请求的次数</t>
  </si>
  <si>
    <t>delay_firsttransaction_firstrespackt_cnt</t>
  </si>
  <si>
    <t>第一条事务请求到其第一个响应包次数</t>
  </si>
  <si>
    <t>cachethroughput_bitrate_goodratio</t>
  </si>
  <si>
    <t>throughput_total</t>
  </si>
  <si>
    <t>http下载速率_总速率</t>
  </si>
  <si>
    <t>http下载速率_根据IP报文统计_avg</t>
  </si>
  <si>
    <t>http下载速率_根据IP报文统计_seg_1</t>
  </si>
  <si>
    <t>http下载速率_根据IP报文统计_seg_2</t>
  </si>
  <si>
    <t>http下载速率_根据IP报文统计_seg_3</t>
  </si>
  <si>
    <t>http下载速率_根据IP报文统计_seg_4</t>
  </si>
  <si>
    <t>http下载速率_根据IP报文统计_seg_5</t>
  </si>
  <si>
    <t>videoplayhaltcountpermin_avg</t>
  </si>
  <si>
    <t>视频播放卡顿频次_avg</t>
  </si>
  <si>
    <t>videoplayhaltcountpermin_seg_1</t>
  </si>
  <si>
    <t>视频播放卡顿频次_seg_1</t>
  </si>
  <si>
    <t>videoplayhaltcountpermin_seg_2</t>
  </si>
  <si>
    <t>视频播放卡顿频次_seg_2</t>
  </si>
  <si>
    <t>videoplayhaltcountpermin_seg_3</t>
  </si>
  <si>
    <t>视频播放卡顿频次_seg_3</t>
  </si>
  <si>
    <t>videoplayhaltcountpermin_seg_4</t>
  </si>
  <si>
    <t>视频播放卡顿频次_seg_4</t>
  </si>
  <si>
    <t>videoplayhaltcountpermin_seg_5</t>
  </si>
  <si>
    <t>视频播放卡顿频次_seg_5</t>
  </si>
  <si>
    <t>5G DPI s1uhttps事实表</t>
  </si>
  <si>
    <t>ods_5gdpi_s1uhttps_e2e_telecom_q</t>
  </si>
  <si>
    <t>5G DPI s1uhttps业务明细表</t>
  </si>
  <si>
    <t>dl_data_transduration</t>
  </si>
  <si>
    <t>sslhandshake_start_time</t>
  </si>
  <si>
    <t>sslhandshake_end_time</t>
  </si>
  <si>
    <t>sum_hand_shake_delay</t>
  </si>
  <si>
    <t>加密握手总时延，单位毫秒</t>
  </si>
  <si>
    <t>first_hand_shake_fail_code</t>
  </si>
  <si>
    <t>首次加密握手失败原因码，记录首次握手失败流程中最后一个握手消息的ID。</t>
  </si>
  <si>
    <t>delay_SYNtime_DNSResponseTime</t>
  </si>
  <si>
    <t>delay_FirstFinAckTime_lastacktime</t>
  </si>
  <si>
    <t>https_throughput_size</t>
  </si>
  <si>
    <t>https_throughput_duartion</t>
  </si>
  <si>
    <t>城市</t>
  </si>
  <si>
    <t>区县</t>
  </si>
  <si>
    <t>dl_data_transduration_sum</t>
  </si>
  <si>
    <t>outputoctets_above500_cnt</t>
  </si>
  <si>
    <t>ul_above500_highdelay_cnt</t>
  </si>
  <si>
    <t>inputoctets_above500_cnt</t>
  </si>
  <si>
    <t>dl_above500_highdelay_cnt</t>
  </si>
  <si>
    <t>firstscreenfin_cnt</t>
  </si>
  <si>
    <t>ods_5gdpi_video_e2e_telecom_q</t>
  </si>
  <si>
    <t>5G DPI视频业务明细表</t>
  </si>
  <si>
    <t>fact_nr_cm_projdata</t>
  </si>
  <si>
    <t>5G工参</t>
  </si>
  <si>
    <r>
      <t>A表</t>
    </r>
    <r>
      <rPr>
        <sz val="9"/>
        <color rgb="FFC00000"/>
        <rFont val="微软雅黑"/>
        <charset val="134"/>
      </rPr>
      <t>interface=100</t>
    </r>
    <r>
      <rPr>
        <sz val="9"/>
        <color theme="1"/>
        <rFont val="微软雅黑"/>
        <charset val="134"/>
      </rPr>
      <t>，A关联B表，回填省市区编码</t>
    </r>
  </si>
  <si>
    <r>
      <t>先将C表与C1表合并，若存在相同cellkey，则保留C表数据；A表</t>
    </r>
    <r>
      <rPr>
        <sz val="9"/>
        <color rgb="FFC00000"/>
        <rFont val="微软雅黑"/>
        <charset val="134"/>
      </rPr>
      <t>interface=1</t>
    </r>
    <r>
      <rPr>
        <sz val="9"/>
        <color theme="1"/>
        <rFont val="微软雅黑"/>
        <charset val="134"/>
      </rPr>
      <t>，A关联C表，回填省市区编码</t>
    </r>
  </si>
  <si>
    <t>C1</t>
  </si>
  <si>
    <t>视频成功播放的标识</t>
  </si>
  <si>
    <t>视频播放等待时长</t>
  </si>
  <si>
    <t>视频卡顿时长</t>
  </si>
  <si>
    <t>视频下行第一个有效数据包时间戳</t>
  </si>
  <si>
    <t>视频下行最后一个有效数据包时间戳</t>
  </si>
  <si>
    <t>用户访问的目标视频网站的URL。</t>
  </si>
  <si>
    <t>B|C|C1</t>
  </si>
  <si>
    <t>B：citycode
C：citycode
C1：citycode</t>
  </si>
  <si>
    <t>B：districtcode
C：districtcode
C1：districtcode</t>
  </si>
  <si>
    <t>time_start_to_end</t>
  </si>
  <si>
    <t>视频播放卡顿频次，单位次/分钟，该值扩大了10000倍</t>
  </si>
  <si>
    <t>视频卡顿时长占比，单位百分比，该值扩大了10000倍</t>
  </si>
  <si>
    <t>视频播放等待时长占比，该值扩大了10000倍</t>
  </si>
  <si>
    <t>缓冲段视频下载时长占比，该值扩大了10000倍</t>
  </si>
  <si>
    <t>terminal_vendor</t>
  </si>
  <si>
    <t>终端品牌</t>
  </si>
  <si>
    <t>terminal_model</t>
  </si>
  <si>
    <t>终端型号</t>
  </si>
  <si>
    <t>SP服务器归属国家</t>
  </si>
  <si>
    <t>SP服务器归属省份</t>
  </si>
  <si>
    <t>SP服务器归属地市</t>
  </si>
  <si>
    <t>与无线关联的MR个数</t>
  </si>
  <si>
    <t>weakrsrpmr_cnt</t>
  </si>
  <si>
    <t>与无线关联到的MR中，RSRP差的MR个数</t>
  </si>
  <si>
    <t>weakrsrqmr_cnt</t>
  </si>
  <si>
    <t>与无线关联到的MR中，RSRQ差的MR个数</t>
  </si>
  <si>
    <t>weaksinrmr_cnt</t>
  </si>
  <si>
    <t>与无线关联到的MR中，SINR差的MR个数</t>
  </si>
  <si>
    <t>overlapmr_cnt</t>
  </si>
  <si>
    <t>与无线关联到的MR中，重叠覆盖的MR个数</t>
  </si>
  <si>
    <t>overshootmr_cnt</t>
  </si>
  <si>
    <t>与无线关联到的MR中，过覆盖的MR个数</t>
  </si>
  <si>
    <t>mod3mr_cnt</t>
  </si>
  <si>
    <t>与无线关联到的MR中，MOD3干扰的MR个数</t>
  </si>
  <si>
    <t>compgoodcovermr_cnt</t>
  </si>
  <si>
    <t>与无线关联到的MR中，综合覆盖好的MR个数</t>
  </si>
  <si>
    <t>start_regionid</t>
  </si>
  <si>
    <t>距StartTime最近的regionid</t>
  </si>
  <si>
    <t>start_x_offset_original</t>
  </si>
  <si>
    <t>距StartTime最近的x_offset_original</t>
  </si>
  <si>
    <t>start_y_offset_original</t>
  </si>
  <si>
    <t>距StartTime最近的y_offset_original</t>
  </si>
  <si>
    <t>start_x_offset_20</t>
  </si>
  <si>
    <t>距StartTime最近的x_offset_20</t>
  </si>
  <si>
    <t>start_y_offset_20</t>
  </si>
  <si>
    <t>距StartTime最近的y_offset_20</t>
  </si>
  <si>
    <t>start_locationtype</t>
  </si>
  <si>
    <t>距StartTime最近的locationtype</t>
  </si>
  <si>
    <t>start_positionmark</t>
  </si>
  <si>
    <t>距StartTime最近的positionmark</t>
  </si>
  <si>
    <t>start_rsrp</t>
  </si>
  <si>
    <t>距StartTime最近的nrscssrsrp</t>
  </si>
  <si>
    <t>start_rsrq</t>
  </si>
  <si>
    <t>距StartTime最近的nrscssrsrq</t>
  </si>
  <si>
    <t>start_sinr</t>
  </si>
  <si>
    <t>距StartTime最近的nrscsssinr</t>
  </si>
  <si>
    <t>start_ta</t>
  </si>
  <si>
    <t>距StartTime最近的NRScTadv</t>
  </si>
  <si>
    <t>start_phr</t>
  </si>
  <si>
    <t>距StartTime最近的phr</t>
  </si>
  <si>
    <t>start_ulsinr</t>
  </si>
  <si>
    <t>距StartTime最近的ulsinr</t>
  </si>
  <si>
    <t>start_isweakrsrpmr</t>
  </si>
  <si>
    <t>start_isweakrsrqmr</t>
  </si>
  <si>
    <t>start_isweaksinrmr</t>
  </si>
  <si>
    <t>start_isoverlapmr</t>
  </si>
  <si>
    <t>start_isovershootmr</t>
  </si>
  <si>
    <t>start_ismod3mr</t>
  </si>
  <si>
    <t>start_iscompgoodcovermr</t>
  </si>
  <si>
    <t>end_regionid</t>
  </si>
  <si>
    <t>距EndTime最近的regionid</t>
  </si>
  <si>
    <t>end_x_offset_original</t>
  </si>
  <si>
    <t>距EndTime最近的x_offset_original</t>
  </si>
  <si>
    <t>end_y_offset_original</t>
  </si>
  <si>
    <t>距EndTime最近的y_offset_original</t>
  </si>
  <si>
    <t>end_x_offset_original_20</t>
  </si>
  <si>
    <t>距EndTime最近的x_offset_20</t>
  </si>
  <si>
    <t>end_y_offset_original_20</t>
  </si>
  <si>
    <t>距EndTime最近的y_offset_20</t>
  </si>
  <si>
    <t>end_locationtype</t>
  </si>
  <si>
    <t>距EndTime最近的locationtype</t>
  </si>
  <si>
    <t>end_positionmark</t>
  </si>
  <si>
    <t>距EndTime最近的positionmark</t>
  </si>
  <si>
    <t>end_rsrp</t>
  </si>
  <si>
    <t>距EndTime最近的nrscssrsrp</t>
  </si>
  <si>
    <t>end_rsrq</t>
  </si>
  <si>
    <t>距EndTime最近的nrscssrsrq</t>
  </si>
  <si>
    <t>end_sinr</t>
  </si>
  <si>
    <t>距EndTime最近的nrscsssinr</t>
  </si>
  <si>
    <t>end_ta</t>
  </si>
  <si>
    <t>距EndTime最近的NRScTadv</t>
  </si>
  <si>
    <t>end_phr</t>
  </si>
  <si>
    <t>距endTime最近的phr</t>
  </si>
  <si>
    <t>end_ulsinr</t>
  </si>
  <si>
    <t>距endTime最近的ulsinr</t>
  </si>
  <si>
    <t>end_isweakrsrpmr</t>
  </si>
  <si>
    <t>end_isweakrsrqmr</t>
  </si>
  <si>
    <t>end_isweaksinrmr</t>
  </si>
  <si>
    <t>end_isoverlapmr</t>
  </si>
  <si>
    <t>end_isovershootmr</t>
  </si>
  <si>
    <t>end_ismod3mr</t>
  </si>
  <si>
    <t>end_iscompgoodcovermr</t>
  </si>
  <si>
    <t>avg_srsrp</t>
  </si>
  <si>
    <t>RSRP均值</t>
  </si>
  <si>
    <t>avg_rsrq</t>
  </si>
  <si>
    <t>RSRQ均值</t>
  </si>
  <si>
    <t>avg_ssinr</t>
  </si>
  <si>
    <t>SINR均值</t>
  </si>
  <si>
    <t>avg_ta</t>
  </si>
  <si>
    <t>TA均值</t>
  </si>
  <si>
    <t>avg_phr</t>
  </si>
  <si>
    <t>phr均值</t>
  </si>
  <si>
    <t>avg_ulsinr</t>
  </si>
  <si>
    <t>ulsinr均值</t>
  </si>
  <si>
    <t>srsrp_seg_1</t>
  </si>
  <si>
    <t>RSRP_seg_1</t>
  </si>
  <si>
    <t>srsrp_seg_2</t>
  </si>
  <si>
    <t>RSRP_seg_2</t>
  </si>
  <si>
    <t>srsrp_seg_3</t>
  </si>
  <si>
    <t>RSRP_seg_3</t>
  </si>
  <si>
    <t>srsrp_seg_4</t>
  </si>
  <si>
    <t>RSRP_seg_4</t>
  </si>
  <si>
    <t>srsrp_seg_5</t>
  </si>
  <si>
    <t>RSRP_seg_5</t>
  </si>
  <si>
    <t>srsrp_seg_6</t>
  </si>
  <si>
    <t>RSRP_seg_6</t>
  </si>
  <si>
    <t>srsrp_seg_7</t>
  </si>
  <si>
    <t>RSRP_seg_7</t>
  </si>
  <si>
    <t>srsrp_seg_8</t>
  </si>
  <si>
    <t>RSRP_seg_8</t>
  </si>
  <si>
    <t>srsrp_seg_9</t>
  </si>
  <si>
    <t>RSRP_seg_9</t>
  </si>
  <si>
    <t>srsrp_seg_10</t>
  </si>
  <si>
    <t>RSRP_seg_10</t>
  </si>
  <si>
    <t>ssinr_seg_1</t>
  </si>
  <si>
    <t>ssinr_seg_2</t>
  </si>
  <si>
    <t>ssinr_seg_3</t>
  </si>
  <si>
    <t>ssinr_seg_4</t>
  </si>
  <si>
    <t>ssinr_seg_5</t>
  </si>
  <si>
    <t>ssinr_seg_6</t>
  </si>
  <si>
    <t>ssinr_seg_7</t>
  </si>
  <si>
    <t>ssinr_seg_8</t>
  </si>
  <si>
    <t>ssinr_seg_9</t>
  </si>
  <si>
    <t>ssinr_seg_10</t>
  </si>
  <si>
    <t>http_https</t>
  </si>
  <si>
    <t>是HTTP业务还是HTTPS业务</t>
  </si>
  <si>
    <t>业务大类</t>
  </si>
  <si>
    <t>VideoPlaySuccess</t>
  </si>
  <si>
    <t>上行RTT时延</t>
  </si>
  <si>
    <t>下行RTT时延</t>
  </si>
  <si>
    <t>cachedvideo_req_cnt_sum</t>
  </si>
  <si>
    <t>cachedvideo_suc_cnt_sum</t>
  </si>
  <si>
    <t>videoplayhaltservcount_sum</t>
  </si>
  <si>
    <t>videoservcount_sum</t>
  </si>
  <si>
    <t>videosize_above500_sum</t>
  </si>
  <si>
    <t>videoduration_above500_sum</t>
  </si>
  <si>
    <t>tcpsetupresponsedelay_cnt_sum</t>
  </si>
  <si>
    <t>tcpsetupackdelay_cnt_sum</t>
  </si>
  <si>
    <t>ul_data_transduration_cnt_sum</t>
  </si>
  <si>
    <t>dl_datatransduration_cnt_sum</t>
  </si>
  <si>
    <t>videocachethroughput_above500_cnt_sum</t>
  </si>
  <si>
    <t>videoplaytime_to_videobitrate_sum</t>
  </si>
  <si>
    <t>接口类型</t>
  </si>
  <si>
    <t>ods_5gdpi_https_e2e_telecom_q</t>
  </si>
  <si>
    <t>5G DPI https业务明细表</t>
  </si>
  <si>
    <t>A表interface=100，A关联B表，回填省市区编码</t>
  </si>
  <si>
    <t>先将C表与C1表合并，若存在相同cellkey，则保留C表数据；A表interface=1，A关联C表，回填省市区编码</t>
  </si>
  <si>
    <t>delay_sslhandshakestart_end</t>
  </si>
  <si>
    <t>SSL握手时延</t>
  </si>
  <si>
    <t>aggr_5g_https_usrappcelslice_e2e_h</t>
  </si>
  <si>
    <t>5G DPI other业务明细表</t>
  </si>
  <si>
    <t>B：province
C：province
C1：province_name</t>
  </si>
  <si>
    <t>B：city
C：city
C1：city_name</t>
  </si>
  <si>
    <t>B：district
C：district
C1：district_name</t>
  </si>
  <si>
    <t>process_cnt</t>
  </si>
  <si>
    <t>TCP建链尝试次数_sum</t>
  </si>
  <si>
    <t>tcpsynsuc_sum</t>
  </si>
  <si>
    <t>TCP建链成功次数_sum</t>
  </si>
  <si>
    <t>sum(case when tcpsetupresponsedelay&gt;= 100 or tcpsetupackdelay&gt;=100  or ultcpreorderingpacket/outputpacket&gt;=0.05 or dltcpreorderingpacket/inputpacket&gt;=0.05 or ultcp_retranspacket/outputpacket&gt;=0.1 or dltcp_retranspacket/inputpacket&gt;=0.1  then 1 else 0 end)</t>
  </si>
  <si>
    <t>sum(process_cnt)</t>
  </si>
  <si>
    <t>sum(abnormal_cnt)/sum(process_cnt)</t>
  </si>
  <si>
    <t>ods_5gdpi_http_e2e_telecom_q</t>
  </si>
  <si>
    <t>5G DPI http业务明细表</t>
  </si>
  <si>
    <t>4G电信MR事实表</t>
  </si>
  <si>
    <t>dlearfcn</t>
  </si>
  <si>
    <t>下行频点</t>
  </si>
  <si>
    <t>rattypeid</t>
  </si>
  <si>
    <t>频点所属制式：6:LTEFDD 7:LTETDD 8:NB-IOT 14:IP-Integrate 255:Plat</t>
  </si>
  <si>
    <t>栅格编码</t>
  </si>
  <si>
    <t>栅格坐标x轴偏移</t>
  </si>
  <si>
    <t>栅格坐标y轴偏移</t>
  </si>
  <si>
    <t>period_totalmrcount</t>
  </si>
  <si>
    <t>周期性MR数目</t>
  </si>
  <si>
    <t>totalrsrp</t>
  </si>
  <si>
    <t>RSRP总值</t>
  </si>
  <si>
    <t>avgrsrp</t>
  </si>
  <si>
    <t>RSRP平均值</t>
  </si>
  <si>
    <t>rsrpcount</t>
  </si>
  <si>
    <t>RSRP有效数目</t>
  </si>
  <si>
    <t>rsrp_level1mrcount</t>
  </si>
  <si>
    <t>RSRP在[-75,+∞）范围内的MR数目</t>
  </si>
  <si>
    <t>rsrp_level2mrcount</t>
  </si>
  <si>
    <t>RSRP在[-85,-75）范围内的MR数目</t>
  </si>
  <si>
    <t>rsrp_level3mrcount</t>
  </si>
  <si>
    <t>RSRP在[-95,-85）范围内的MR数目</t>
  </si>
  <si>
    <t>rsrp_level4mrcount</t>
  </si>
  <si>
    <t>RSRP在[-100,-95）范围内的MR数目</t>
  </si>
  <si>
    <t>rsrp_level5mrcount</t>
  </si>
  <si>
    <t>RSRP在[-105,-100）范围内的MR数目</t>
  </si>
  <si>
    <t>rsrp_level6mrcount</t>
  </si>
  <si>
    <t>RSRP在[-115,-105）范围内的MR数目</t>
  </si>
  <si>
    <t>rsrp_level7mrcount</t>
  </si>
  <si>
    <t>RSRP在（-∞,-115）范围内的MR数目</t>
  </si>
  <si>
    <t>rsrpgoodcount</t>
  </si>
  <si>
    <t>RSRP优良数目(&gt;=-105)</t>
  </si>
  <si>
    <t>rsrpgoodratio</t>
  </si>
  <si>
    <t>RSRP优良比(&gt;=-105)</t>
  </si>
  <si>
    <t>totaldlsinr</t>
  </si>
  <si>
    <t>ULSINR总值</t>
  </si>
  <si>
    <t>avgdlsinr</t>
  </si>
  <si>
    <t>ULSINR平均值</t>
  </si>
  <si>
    <t>dlsinrcount</t>
  </si>
  <si>
    <t>ULSINR有效的MR数目</t>
  </si>
  <si>
    <t>dlsinr_level1mrcount</t>
  </si>
  <si>
    <t>ULSINR在[20;+∞)范围内的MR数目</t>
  </si>
  <si>
    <t>dlsinr_level2mrcount</t>
  </si>
  <si>
    <t>ULSINR在[15;20)范围内的MR数目</t>
  </si>
  <si>
    <t>dlsinr_level3mrcount</t>
  </si>
  <si>
    <t>ULSINR在[10;15)范围内的MR数目</t>
  </si>
  <si>
    <t>dlsinr_level4mrcount</t>
  </si>
  <si>
    <t>ULSINR在[5;10)范围内的MR数目</t>
  </si>
  <si>
    <t>dlsinr_level5mrcount</t>
  </si>
  <si>
    <t>ULSINR在[0;5)范围内的MR数目</t>
  </si>
  <si>
    <t>dlsinr_level6mrcount</t>
  </si>
  <si>
    <t>ULSINR在[-3;0)范围内的MR数目</t>
  </si>
  <si>
    <t>dlsinr_level7mrcount</t>
  </si>
  <si>
    <t>ULSINR在(-∞;-3)范围内的MR数目</t>
  </si>
  <si>
    <t>dlsinrgoodcount</t>
  </si>
  <si>
    <t>ULSINR优良数(&gt;=0)</t>
  </si>
  <si>
    <t>dlsinrgoodratio</t>
  </si>
  <si>
    <t>ULSINR优良比(&gt;=0)</t>
  </si>
  <si>
    <t>totalidlersrp</t>
  </si>
  <si>
    <t>avgidlersrp</t>
  </si>
  <si>
    <t>idlersrpcount</t>
  </si>
  <si>
    <t>RSRP有效的MR数目</t>
  </si>
  <si>
    <t>idlersrp_level1mrcount</t>
  </si>
  <si>
    <t>RSRP在[-75;+∞)范围内的MR数目</t>
  </si>
  <si>
    <t>idlersrp_level2mrcount</t>
  </si>
  <si>
    <t>RSRP在[-85;-75)范围内的MR数目</t>
  </si>
  <si>
    <t>idlersrp_level3mrcount</t>
  </si>
  <si>
    <t>RSRP在[-95;-85)范围内的MR数目</t>
  </si>
  <si>
    <t>idlersrp_level4mrcount</t>
  </si>
  <si>
    <t>RSRP在[-100;-95)范围内的MR数目</t>
  </si>
  <si>
    <t>idlersrp_level5mrcount</t>
  </si>
  <si>
    <t>RSRP在[-105;-100)范围内的MR数目</t>
  </si>
  <si>
    <t>idlersrp_level6mrcount</t>
  </si>
  <si>
    <t>RSRP在[-115;-105)范围内的MR数目</t>
  </si>
  <si>
    <t>idlersrp_level7mrcount</t>
  </si>
  <si>
    <t>RSRP在(-∞;-115)范围内的MR数目</t>
  </si>
  <si>
    <t>idlersrpgoodcount</t>
  </si>
  <si>
    <t>idlersrpgoodratio</t>
  </si>
  <si>
    <t>mod3interfer_totalrsrp</t>
  </si>
  <si>
    <t>Mod3干扰RSRP总值</t>
  </si>
  <si>
    <t>mod3interfer_mrcount</t>
  </si>
  <si>
    <t>Mod3干扰MR数目</t>
  </si>
  <si>
    <t>mod3interfer_avgrsrp</t>
  </si>
  <si>
    <t>Mod3干扰RSRP平均值</t>
  </si>
  <si>
    <t>mod3interfer_mrratio</t>
  </si>
  <si>
    <t>Mod3干扰MR数目占周期性MR数目比例</t>
  </si>
  <si>
    <t>weakcover_totalrsrp</t>
  </si>
  <si>
    <t>弱覆盖RSRP总值</t>
  </si>
  <si>
    <t>weakcover_mrcount</t>
  </si>
  <si>
    <t>弱覆盖MR数目</t>
  </si>
  <si>
    <t>weakcover_avgrsrp</t>
  </si>
  <si>
    <t>弱覆盖RSRP平均值</t>
  </si>
  <si>
    <t>weakcover_mrratio</t>
  </si>
  <si>
    <t>弱覆盖MR率</t>
  </si>
  <si>
    <t>overlap_totalrsrp</t>
  </si>
  <si>
    <t>重叠覆盖RSRP总值</t>
  </si>
  <si>
    <t>overlap_mrcount</t>
  </si>
  <si>
    <t>重叠覆盖MR数目</t>
  </si>
  <si>
    <t>overlap_avgrsrp</t>
  </si>
  <si>
    <t>重叠覆盖RSRP平均值</t>
  </si>
  <si>
    <t>overlap_mrratio</t>
  </si>
  <si>
    <t>重叠覆盖MR率</t>
  </si>
  <si>
    <t>overshoot_totalrsrp</t>
  </si>
  <si>
    <t>过覆盖RSRP总值</t>
  </si>
  <si>
    <t>overshoot_mrcount</t>
  </si>
  <si>
    <t>过覆盖MR数目</t>
  </si>
  <si>
    <t>overshoot_avgrsrp</t>
  </si>
  <si>
    <t>过覆盖RSRP平均值</t>
  </si>
  <si>
    <t>overshoot_mrratio</t>
  </si>
  <si>
    <t>过覆盖MR率</t>
  </si>
  <si>
    <t>celmr_totaldis</t>
  </si>
  <si>
    <t>服务小区和MR之间的距离总值</t>
  </si>
  <si>
    <t>celmr_discount</t>
  </si>
  <si>
    <t>服务小区和MR之间距离有效的MR数目</t>
  </si>
  <si>
    <t>celmr_avgdis</t>
  </si>
  <si>
    <t>服务小区和MR之间的距离平均值</t>
  </si>
  <si>
    <t>rsrpcoveragecount</t>
  </si>
  <si>
    <t>RSRP优良数目(&gt;=-110)</t>
  </si>
  <si>
    <t>rsrqcount</t>
  </si>
  <si>
    <t>RSRQ有效数目</t>
  </si>
  <si>
    <t>rsrq_level1mrcount</t>
  </si>
  <si>
    <t>RSRQ在[-4,-3]范围内的MR数目</t>
  </si>
  <si>
    <t>rsrq_level2mrcount</t>
  </si>
  <si>
    <t>RSRQ在[-7,-4)范围内的MR数目</t>
  </si>
  <si>
    <t>rsrq_level3mrcount</t>
  </si>
  <si>
    <t>RSRQ在[-10,-7)范围内的MR数目</t>
  </si>
  <si>
    <t>rsrq_level4mrcount</t>
  </si>
  <si>
    <t>RSRQ在[-13,-10)范围内的MR数目</t>
  </si>
  <si>
    <t>rsrq_level5mrcount</t>
  </si>
  <si>
    <t>RSRQ在[-16,-13)范围内的MR数目</t>
  </si>
  <si>
    <t>rsrq_level6mrcount</t>
  </si>
  <si>
    <t>RSRQ在[-19,-16)范围内的MR数目</t>
  </si>
  <si>
    <t>rsrq_level7mrcount</t>
  </si>
  <si>
    <t>RSRQ在[-20,-19)范围内的MR数目</t>
  </si>
  <si>
    <t>phrcount</t>
  </si>
  <si>
    <t>PHR有效的MR数目</t>
  </si>
  <si>
    <t>phr_level1mrcount</t>
  </si>
  <si>
    <t>PHR在[30;40]范围内的MR数目</t>
  </si>
  <si>
    <t>phr_level2mrcount</t>
  </si>
  <si>
    <t>PHR在[20;30)范围内的MR数目</t>
  </si>
  <si>
    <t>phr_level3mrcount</t>
  </si>
  <si>
    <t>PHR在[10;20)范围内的MR数目</t>
  </si>
  <si>
    <t>phr_level4mrcount</t>
  </si>
  <si>
    <t>PHR在[0;10)范围内的MR数目</t>
  </si>
  <si>
    <t>phr_level5mrcount</t>
  </si>
  <si>
    <t>PHR在[-5;0)范围内的MR数目</t>
  </si>
  <si>
    <t>phr_level6mrcount</t>
  </si>
  <si>
    <t>PHR在[-10;-5)范围内的MR数目</t>
  </si>
  <si>
    <t>phr_level7mrcount</t>
  </si>
  <si>
    <t>PHR在[-23;-10)范围内的MR数目</t>
  </si>
  <si>
    <t>ulsinrcount</t>
  </si>
  <si>
    <t>ulsinr_level1mrcount</t>
  </si>
  <si>
    <t>ulsinr_level2mrcount</t>
  </si>
  <si>
    <t>ulsinr_level3mrcount</t>
  </si>
  <si>
    <t>ulsinr_level4mrcount</t>
  </si>
  <si>
    <t>ulsinr_level5mrcount</t>
  </si>
  <si>
    <t>ulsinr_level6mrcount</t>
  </si>
  <si>
    <t>ulsinr_level7mrcount</t>
  </si>
  <si>
    <t>txpowercount</t>
  </si>
  <si>
    <t>TxPower有效的MR数目</t>
  </si>
  <si>
    <t>txpower_level1mrcount</t>
  </si>
  <si>
    <t>TxPower在(-∞; 0]范围内的MR数目</t>
  </si>
  <si>
    <t>txpower_level2mrcount</t>
  </si>
  <si>
    <t>TxPower在[0; 3)范围内的MR数目</t>
  </si>
  <si>
    <t>txpower_level3mrcount</t>
  </si>
  <si>
    <t>TxPower在[3;10)范围内的MR数目</t>
  </si>
  <si>
    <t>txpower_level4mrcount</t>
  </si>
  <si>
    <t>TxPower在[10;13)范围内的MR数目</t>
  </si>
  <si>
    <t>txpower_level5mrcount</t>
  </si>
  <si>
    <t>TxPower在[13;16)范围内的MR数目</t>
  </si>
  <si>
    <t>txpower_level6mrcount</t>
  </si>
  <si>
    <t>TxPower在[16;20)范围内的MR数目</t>
  </si>
  <si>
    <t>txpower_level7mrcount</t>
  </si>
  <si>
    <t>TxPower在[20;+∞)范围内的MR数目</t>
  </si>
  <si>
    <t>cqicount</t>
  </si>
  <si>
    <t>CQI有效的MR数目</t>
  </si>
  <si>
    <t>cqi_level1mrcount</t>
  </si>
  <si>
    <t>CQI在[10;+∞)范围内的MR数目</t>
  </si>
  <si>
    <t>cqi_level2mrcount</t>
  </si>
  <si>
    <t>CQI在[9;10)范围内的MR数目</t>
  </si>
  <si>
    <t>cqi_level3mrcount</t>
  </si>
  <si>
    <t>CQI在[8;9)范围内的MR数目</t>
  </si>
  <si>
    <t>cqi_level4mrcount</t>
  </si>
  <si>
    <t>CQI在[6;8)范围内的MR数目</t>
  </si>
  <si>
    <t>cqi_level5mrcount</t>
  </si>
  <si>
    <t>CQI在[3;6)范围内的MR数目</t>
  </si>
  <si>
    <t>cqi_level6mrcount</t>
  </si>
  <si>
    <t>CQI在[1;3)范围内的MR数目</t>
  </si>
  <si>
    <t>cqi_level7mrcount</t>
  </si>
  <si>
    <t>CQI在[0;1)范围内的MR数目</t>
  </si>
  <si>
    <t>tacount</t>
  </si>
  <si>
    <t>TA有效的MR数目</t>
  </si>
  <si>
    <t>ta_level1mrcount</t>
  </si>
  <si>
    <t>TA在[0;3)范围内的MR数目</t>
  </si>
  <si>
    <t>ta_level2mrcount</t>
  </si>
  <si>
    <t>TA在[3;6)范围内的MR数目</t>
  </si>
  <si>
    <t>ta_level3mrcount</t>
  </si>
  <si>
    <t>TA在[6;9)范围内的MR数目</t>
  </si>
  <si>
    <t>ta_level4mrcount</t>
  </si>
  <si>
    <t>TA在[9;12)范围内的MR数目</t>
  </si>
  <si>
    <t>ta_level5mrcount</t>
  </si>
  <si>
    <t>TA在[12;15)范围内的MR数目</t>
  </si>
  <si>
    <t>ta_level6mrcount</t>
  </si>
  <si>
    <t>TA在[15;19)范围内的MR数目</t>
  </si>
  <si>
    <t>ta_level7mrcount</t>
  </si>
  <si>
    <t>TA在[19;+∞)范围内的MR数目</t>
  </si>
  <si>
    <t>rsrp_level8mrcount</t>
  </si>
  <si>
    <t>RSRP小于-110的MR数目</t>
  </si>
  <si>
    <t>cqi_level8mrcount</t>
  </si>
  <si>
    <t>CQI在[7,15]的MR数目</t>
  </si>
  <si>
    <t>用户imei号</t>
  </si>
  <si>
    <t>最小开始时间(时间戳)</t>
  </si>
  <si>
    <t>min(meastime)</t>
  </si>
  <si>
    <t>&gt;0</t>
  </si>
  <si>
    <t>最大结束时间(时间戳)</t>
  </si>
  <si>
    <t>max(meastime)</t>
  </si>
  <si>
    <t>联通4G MRO事实表</t>
  </si>
  <si>
    <t>用户接入网络plmn</t>
  </si>
  <si>
    <t>小区唯一标识</t>
  </si>
  <si>
    <t>下行频点号</t>
  </si>
  <si>
    <t>pci</t>
  </si>
  <si>
    <t>物理小区标识</t>
  </si>
  <si>
    <t>栅格坐标x轴偏移20*20尺寸</t>
  </si>
  <si>
    <t>栅格坐标y轴偏移20*20尺寸</t>
  </si>
  <si>
    <t>stand_province_id</t>
  </si>
  <si>
    <t>行政区省编码</t>
  </si>
  <si>
    <t>stand_province</t>
  </si>
  <si>
    <t>行政区省名称</t>
  </si>
  <si>
    <t>stand_city_id</t>
  </si>
  <si>
    <t>行政区城市编码</t>
  </si>
  <si>
    <t>stand_city</t>
  </si>
  <si>
    <t>行政区城市名称</t>
  </si>
  <si>
    <t>stand_county_id</t>
  </si>
  <si>
    <t>行政区区县编码</t>
  </si>
  <si>
    <t>stand_county</t>
  </si>
  <si>
    <t>行政区区县名称</t>
  </si>
  <si>
    <t>IMSI</t>
  </si>
  <si>
    <t>电话号码</t>
  </si>
  <si>
    <t>终端业务过程用户终端IMEI号码</t>
  </si>
  <si>
    <t>Mod3干扰MR占比</t>
  </si>
  <si>
    <t>RSRP在[-75,-43]范围内的MR数目</t>
  </si>
  <si>
    <t>RSRP在[-80,-75)范围内的MR数目</t>
  </si>
  <si>
    <t>RSRP在[-85,-80)范围内的MR数目</t>
  </si>
  <si>
    <t>RSRP在[-90,-85)范围内的MR数目</t>
  </si>
  <si>
    <t>RSRP在[-95,-90)范围内的MR数目</t>
  </si>
  <si>
    <t>RSRP在[-100,-95)范围内的MR数目</t>
  </si>
  <si>
    <t>RSRP在[-105,-100)范围内的MR数目</t>
  </si>
  <si>
    <t>RSRP在[-110,-105)范围内的MR数目</t>
  </si>
  <si>
    <t>rsrp_level9mrcount</t>
  </si>
  <si>
    <t>RSRP在[-112,-110)范围内的MR数目</t>
  </si>
  <si>
    <t>rsrp_level10mrcount</t>
  </si>
  <si>
    <t>RSRP在[-115,-112]范围内的MR数目</t>
  </si>
  <si>
    <t>rsrp_level11mrcount</t>
  </si>
  <si>
    <t>RSRP在[-120,-115)范围内的MR数目</t>
  </si>
  <si>
    <t>rsrp_level12mrcount</t>
  </si>
  <si>
    <t>RSRP在[-140,-120)范围内的MR数目</t>
  </si>
  <si>
    <t>RSRP优良数目（&gt;=-105）</t>
  </si>
  <si>
    <t>RSRP优良比</t>
  </si>
  <si>
    <t>totalrsrq</t>
  </si>
  <si>
    <t>RSRQ总值</t>
  </si>
  <si>
    <t>avgrsrq</t>
  </si>
  <si>
    <t>RSRQ平均值</t>
  </si>
  <si>
    <t>RSRQ在[-4,+∞）范围内的MR数目</t>
  </si>
  <si>
    <t>RSRQ在[-7,-4）范围内的MR数目</t>
  </si>
  <si>
    <t>RSRQ在[-10,-7）范围内的MR数目</t>
  </si>
  <si>
    <t>RSRQ在[-13.5,-10）范围内的MR数目</t>
  </si>
  <si>
    <t>RSRQ在[-17,-13.5）范围内的MR数目</t>
  </si>
  <si>
    <t>RSRQ在[-20,-17）范围内的MR数目</t>
  </si>
  <si>
    <t>RSRQ在（-∞,-20） 范围内的MR数目</t>
  </si>
  <si>
    <t>rsrqgoodcount</t>
  </si>
  <si>
    <t>RSRQ优良数目（&gt;=-13.5）</t>
  </si>
  <si>
    <t>rsrqgoodratio</t>
  </si>
  <si>
    <t>RSRQ优良比</t>
  </si>
  <si>
    <t>totalulsinr</t>
  </si>
  <si>
    <t>avgulsinr</t>
  </si>
  <si>
    <t>ulsinrgoodcount</t>
  </si>
  <si>
    <t>ULSINR优良数（&gt;=0）</t>
  </si>
  <si>
    <t>ulsinrgoodratio</t>
  </si>
  <si>
    <t>ULSINR优良比</t>
  </si>
  <si>
    <t>totalphr</t>
  </si>
  <si>
    <t>PHR总值</t>
  </si>
  <si>
    <t>avgphr</t>
  </si>
  <si>
    <t>PHR平均值</t>
  </si>
  <si>
    <t>PHR在[30;+∞)范围内的MR数目</t>
  </si>
  <si>
    <t>PHR在(-∞;-10)范围内的MR数目</t>
  </si>
  <si>
    <t>phrgoodcount</t>
  </si>
  <si>
    <t>PHR优良数（&gt;=0）</t>
  </si>
  <si>
    <t>phrgoodratio</t>
  </si>
  <si>
    <t>PHR优良比</t>
  </si>
  <si>
    <t>15分钟刻度</t>
  </si>
  <si>
    <t>earfcngroupname</t>
  </si>
  <si>
    <t>根据频点进行分组的名称。取值"CMCC"、"CUCC"、"CTC1.8G/2.1G"。 
"CMCC"表示移动频点：38400,37900,38098,38950,40540,40738,41140； 
"CUCC"表示联通频点:1650,450； 
"CTC1.8G/2.1G"表示电信频点:1825,75,100,1850</t>
  </si>
  <si>
    <t>bad_mr_count</t>
  </si>
  <si>
    <t>质差MR采样点数量</t>
  </si>
  <si>
    <t>totalta</t>
  </si>
  <si>
    <t>TA总值</t>
  </si>
  <si>
    <t>avgta</t>
  </si>
  <si>
    <t>TA平均值</t>
  </si>
  <si>
    <t>TA在[0,3)范围内的MR数目</t>
  </si>
  <si>
    <t>TA在[3,6)范围内的MR数目</t>
  </si>
  <si>
    <t>TA在[6,9)范围内的MR数目</t>
  </si>
  <si>
    <t>TA在[9,12)范围内的MR数目</t>
  </si>
  <si>
    <t>TA在[12,15)范围内的MR数目</t>
  </si>
  <si>
    <t>TA在[15,20)范围内的MR数目</t>
  </si>
  <si>
    <t>TA在[20,+∞)范围内的MR数目</t>
  </si>
  <si>
    <t>data_source</t>
  </si>
  <si>
    <t>数据类型标识，根据数据来源打标。
电信承建：0
联通承建：1</t>
  </si>
  <si>
    <t>4G车联网用户小区覆盖分析小时表</t>
  </si>
  <si>
    <t>过滤条件：msisdn is not null</t>
  </si>
  <si>
    <t>A1</t>
  </si>
  <si>
    <t>A表与A1表先通过用户小区汇聚出所需指标后；A union all A1，再 inner join B，关联条件：A.msisdn = B.msisdn</t>
  </si>
  <si>
    <t>A|A1</t>
  </si>
  <si>
    <t>rsrp_avg</t>
  </si>
  <si>
    <t>平均rsrp</t>
  </si>
  <si>
    <t>sum(totalrsrp)/sum(rsrpcount)</t>
  </si>
  <si>
    <t>[-140,-43]</t>
  </si>
  <si>
    <t>rsrp_cnt</t>
  </si>
  <si>
    <t>rsrp总采样点数</t>
  </si>
  <si>
    <t>sum(rsrpcount)</t>
  </si>
  <si>
    <t>weakcover_cnt</t>
  </si>
  <si>
    <t>弱覆盖采样点总数</t>
  </si>
  <si>
    <t>A：sum(rsrp_level8mrcount)
A1：sum(rsrp_level9mrcount+rsrp_level10mrcount+rsrp_level11mrcount+rsrp_level12mrcount)</t>
  </si>
  <si>
    <t>overlap_cnt</t>
  </si>
  <si>
    <t>重叠覆盖采样点总数</t>
  </si>
  <si>
    <t>sum(overlap_mrcount)</t>
  </si>
  <si>
    <t>overshoot_cnt</t>
  </si>
  <si>
    <t>过覆盖采样点总数</t>
  </si>
  <si>
    <t>sum(overshoot_mrcount)</t>
  </si>
  <si>
    <t>mod3interfer_cnt</t>
  </si>
  <si>
    <t>MOD3干扰采样点总数</t>
  </si>
  <si>
    <t>sum(mod3interfer_mrcount)</t>
  </si>
  <si>
    <t>5G MR事实表</t>
  </si>
  <si>
    <t>格式为"yyyy-MM-dd"的日期</t>
  </si>
  <si>
    <t>小时，0~23</t>
  </si>
  <si>
    <t>ssbeamid</t>
  </si>
  <si>
    <t>NR 服务小区的 SSB 波束号</t>
  </si>
  <si>
    <t>arfcn</t>
  </si>
  <si>
    <t>频点</t>
  </si>
  <si>
    <t>PLMN</t>
  </si>
  <si>
    <t>厂家</t>
  </si>
  <si>
    <t>设备标识</t>
  </si>
  <si>
    <t>s_nssai_sst</t>
  </si>
  <si>
    <t>网络切片选择辅助信息（切片/服务类型）</t>
  </si>
  <si>
    <t>s_nssai_sd</t>
  </si>
  <si>
    <t>网络切片选择辅助信息（切片差分器）</t>
  </si>
  <si>
    <t>频点所属制式</t>
  </si>
  <si>
    <t>positionmark</t>
  </si>
  <si>
    <t>室内外位置区分结果，0：室内，1：室外，2:未知</t>
  </si>
  <si>
    <t>totalmrlon</t>
  </si>
  <si>
    <t>MR经度总值</t>
  </si>
  <si>
    <t>totalmrlat</t>
  </si>
  <si>
    <t>MR纬度总值</t>
  </si>
  <si>
    <t>center_lon</t>
  </si>
  <si>
    <t>栅格中心经度</t>
  </si>
  <si>
    <t>center_lat</t>
  </si>
  <si>
    <t>栅格中心纬度</t>
  </si>
  <si>
    <t>validlonlat_totalmrcount</t>
  </si>
  <si>
    <t>经纬度有效的MR数目</t>
  </si>
  <si>
    <t>小区MR总距离</t>
  </si>
  <si>
    <t>小区MR有效距离计数</t>
  </si>
  <si>
    <t>小区MR平均距离</t>
  </si>
  <si>
    <t>MRO_MR计数</t>
  </si>
  <si>
    <t>mdt_totalmrcount</t>
  </si>
  <si>
    <t>MDT_MR计数</t>
  </si>
  <si>
    <t>event_totalmrcount</t>
  </si>
  <si>
    <t>MRE_MR计数</t>
  </si>
  <si>
    <t>ssrsrpcount</t>
  </si>
  <si>
    <t>SS-RSRP计数</t>
  </si>
  <si>
    <t>totalssrsrp</t>
  </si>
  <si>
    <t>总SS-RSRP值</t>
  </si>
  <si>
    <t>avgssrsrp</t>
  </si>
  <si>
    <t>平均SS-RSRP值</t>
  </si>
  <si>
    <t>ssrsrp_level1mrcount</t>
  </si>
  <si>
    <t>SS-RSRP在(-∞;-115)范围内的MR数目</t>
  </si>
  <si>
    <t>ssrsrp_level2mrcount</t>
  </si>
  <si>
    <t>SS-RSRP在[-115;-110)范围内的MR数目</t>
  </si>
  <si>
    <t>ssrsrp_level3mrcount</t>
  </si>
  <si>
    <t>SS-RSRP在[-110;-105)范围内的MR数目</t>
  </si>
  <si>
    <t>ssrsrp_level4mrcount</t>
  </si>
  <si>
    <t>SS-RSRP在[-105;-100)范围内的MR数目</t>
  </si>
  <si>
    <t>ssrsrp_level5mrcount</t>
  </si>
  <si>
    <t>SS-RSRP在[-100;-95)范围内的MR数目</t>
  </si>
  <si>
    <t>ssrsrp_level6mrcount</t>
  </si>
  <si>
    <t>SS-RSRP在[-95;-90)范围内的MR数目</t>
  </si>
  <si>
    <t>ssrsrp_level7mrcount</t>
  </si>
  <si>
    <t>SS-RSRP在[-90;-85)范围内的MR数目</t>
  </si>
  <si>
    <t>ssrsrp_level8mrcount</t>
  </si>
  <si>
    <t>SS-RSRP在[-85;-80)范围内的MR数目</t>
  </si>
  <si>
    <t>ssrsrp_level9mrcount</t>
  </si>
  <si>
    <t>SS-RSRP在[-80;-75)范围内的MR数目</t>
  </si>
  <si>
    <t>ssrsrp_level10mrcount</t>
  </si>
  <si>
    <t>SS-RSRP在[-75;-70)范围内的MR数目</t>
  </si>
  <si>
    <t>ssrsrp_level11mrcount</t>
  </si>
  <si>
    <t>SS-RSRP在[-70;-65)范围内的MR数目</t>
  </si>
  <si>
    <t>ssrsrp_level12mrcount</t>
  </si>
  <si>
    <t>SS-RSRP在[-65;+∞)范围内的MR数目</t>
  </si>
  <si>
    <t>ssrsrpgoodcount</t>
  </si>
  <si>
    <t>SS-RSRP优良数</t>
  </si>
  <si>
    <t>ssrsrpgoodratio</t>
  </si>
  <si>
    <t>SS-RSRP优良比例</t>
  </si>
  <si>
    <t>ssrsrqcount</t>
  </si>
  <si>
    <t>SS-RSRQ计数</t>
  </si>
  <si>
    <t>totalssrsrq</t>
  </si>
  <si>
    <t>总SS-RSRQ值</t>
  </si>
  <si>
    <t>avgssrsrq</t>
  </si>
  <si>
    <t>平均SS-RSRQ值</t>
  </si>
  <si>
    <t>ssrsrq_level1mrcount</t>
  </si>
  <si>
    <t>SS-RSRQ在(-∞;-20)范围内的MR数目</t>
  </si>
  <si>
    <t>ssrsrq_level2mrcount</t>
  </si>
  <si>
    <t>SS-RSRQ在[-20;-17)范围内的MR数目</t>
  </si>
  <si>
    <t>ssrsrq_level3mrcount</t>
  </si>
  <si>
    <t>SS-RSRQ在[-17;-13.5)范围内的MR数目</t>
  </si>
  <si>
    <t>ssrsrq_level4mrcount</t>
  </si>
  <si>
    <t>SS-RSRQ在[-13.5;-10)范围内的MR数目</t>
  </si>
  <si>
    <t>ssrsrq_level5mrcount</t>
  </si>
  <si>
    <t>SS-RSRQ在[-10;-7)范围内的MR数目</t>
  </si>
  <si>
    <t>ssrsrq_level6mrcount</t>
  </si>
  <si>
    <t>SS-RSRQ在[-7;-4)范围内的MR数目</t>
  </si>
  <si>
    <t>ssrsrq_level7mrcount</t>
  </si>
  <si>
    <t>SS-RSRQ在[-4;-1)范围内的MR数目</t>
  </si>
  <si>
    <t>ssrsrq_level8mrcount</t>
  </si>
  <si>
    <t>SS-RSRQ在[-1;2)范围内的MR数目</t>
  </si>
  <si>
    <t>ssrsrq_level9mrcount</t>
  </si>
  <si>
    <t>SS-RSRQ在[2;5)范围内的MR数目</t>
  </si>
  <si>
    <t>ssrsrq_level10mrcount</t>
  </si>
  <si>
    <t>SS-RSRQ在[5;8)范围内的MR数目</t>
  </si>
  <si>
    <t>ssrsrq_level11mrcount</t>
  </si>
  <si>
    <t>SS-RSRQ在[8;11)范围内的MR数目</t>
  </si>
  <si>
    <t>ssrsrq_level12mrcount</t>
  </si>
  <si>
    <t>SS-RSRQ在[11;+∞)范围内的MR数目</t>
  </si>
  <si>
    <t>ssrsrqgoodcount</t>
  </si>
  <si>
    <t>SS-RSRQ优良数</t>
  </si>
  <si>
    <t>ssrsrqgoodratio</t>
  </si>
  <si>
    <t>SS-RSRQ优良比例</t>
  </si>
  <si>
    <t>sssinrcount</t>
  </si>
  <si>
    <t>SS-SINR计数</t>
  </si>
  <si>
    <t>totalsssinr</t>
  </si>
  <si>
    <t>总SS-SINR值</t>
  </si>
  <si>
    <t>avgsssinr</t>
  </si>
  <si>
    <t>平均SS-SINR值</t>
  </si>
  <si>
    <t>sssinr_level1mrcount</t>
  </si>
  <si>
    <t>SS-SINR在(-∞;-15)范围内的MR数目</t>
  </si>
  <si>
    <t>sssinr_level2mrcount</t>
  </si>
  <si>
    <t>SS-SINR在[-15;-10)范围内的MR数目</t>
  </si>
  <si>
    <t>sssinr_level3mrcount</t>
  </si>
  <si>
    <t>SS-SINR在[-10;-7)范围内的MR数目</t>
  </si>
  <si>
    <t>sssinr_level4mrcount</t>
  </si>
  <si>
    <t>SS-SINR在[-7;-2)范围内的MR数目</t>
  </si>
  <si>
    <t>sssinr_level5mrcount</t>
  </si>
  <si>
    <t>SS-SINR在[-2;3)范围内的MR数目</t>
  </si>
  <si>
    <t>sssinr_level6mrcount</t>
  </si>
  <si>
    <t>SS-SINR在[3;8)范围内的MR数目</t>
  </si>
  <si>
    <t>sssinr_level7mrcount</t>
  </si>
  <si>
    <t>SS-SINR在[8;13)范围内的MR数目</t>
  </si>
  <si>
    <t>sssinr_level8mrcount</t>
  </si>
  <si>
    <t>SS-SINR在[13;18)范围内的MR数目</t>
  </si>
  <si>
    <t>sssinr_level9mrcount</t>
  </si>
  <si>
    <t>SS-SINR在[18;23)范围内的MR数目</t>
  </si>
  <si>
    <t>sssinr_level10mrcount</t>
  </si>
  <si>
    <t>SS-SINR在[23;28)范围内的MR数目</t>
  </si>
  <si>
    <t>sssinr_level11mrcount</t>
  </si>
  <si>
    <t>SS-SINR在[28;33)范围内的MR数目</t>
  </si>
  <si>
    <t>sssinr_level12mrcount</t>
  </si>
  <si>
    <t>SS-SINR在[33;+∞)范围内的MR数目</t>
  </si>
  <si>
    <t>sssinrgoodcount</t>
  </si>
  <si>
    <t>SS-SINR优良数</t>
  </si>
  <si>
    <t>sssinrgoodratio</t>
  </si>
  <si>
    <t>SS-SINR优良比例</t>
  </si>
  <si>
    <t>weakcover_totalssrsrp</t>
  </si>
  <si>
    <t>弱覆盖MR总SS-RSRP值</t>
  </si>
  <si>
    <t>弱覆盖MR总数</t>
  </si>
  <si>
    <t>weakcover_avgssrsrp</t>
  </si>
  <si>
    <t>弱覆盖MR平均SS-RSRP值</t>
  </si>
  <si>
    <t>弱覆盖MR比例</t>
  </si>
  <si>
    <t>overlap_totalssrsrp</t>
  </si>
  <si>
    <t>重叠覆盖MR总SS-RSRP值</t>
  </si>
  <si>
    <t>重叠覆盖MR总数</t>
  </si>
  <si>
    <t>overlap_avgssrsrp</t>
  </si>
  <si>
    <t>重叠覆盖MR平均SS-RSRP值</t>
  </si>
  <si>
    <t>重叠覆盖MR比例</t>
  </si>
  <si>
    <t>overshoot_totalssrsrp</t>
  </si>
  <si>
    <t>过覆盖MR总SS-RSRP值</t>
  </si>
  <si>
    <t>过覆盖MR总数</t>
  </si>
  <si>
    <t>overshoot_avgssrsrp</t>
  </si>
  <si>
    <t>过覆盖MR平均SS-RSRP值</t>
  </si>
  <si>
    <t>过覆盖MR比例</t>
  </si>
  <si>
    <t>compgoodcovernum</t>
  </si>
  <si>
    <t>综合良好覆盖MR数</t>
  </si>
  <si>
    <t>tadv_0_78</t>
  </si>
  <si>
    <t>距离在[0~78]米内的采样点个数</t>
  </si>
  <si>
    <t>tadv_78_156</t>
  </si>
  <si>
    <t>距离在  (78~156]米内的采样点个数</t>
  </si>
  <si>
    <t>tadv_156_234</t>
  </si>
  <si>
    <t>距离在  (156~234]米内的采样点个数</t>
  </si>
  <si>
    <t>tadv_234_312</t>
  </si>
  <si>
    <t>距离在  (234~312]米内的采样点个数</t>
  </si>
  <si>
    <t>tadv_312_390</t>
  </si>
  <si>
    <t>距离在  (312~390]米内的采样点个数</t>
  </si>
  <si>
    <t>tadv_390_468</t>
  </si>
  <si>
    <t>距离在  (390~468]米内的采样点个数</t>
  </si>
  <si>
    <t>tadv_468_546</t>
  </si>
  <si>
    <t>距离在  (468~546]米内的采样点个数</t>
  </si>
  <si>
    <t>tadv_546_624</t>
  </si>
  <si>
    <t>距离在  (546~624]米内的采样点个数</t>
  </si>
  <si>
    <t>tadv_624_702</t>
  </si>
  <si>
    <t>距离在  (624~702]米内的采样点个数</t>
  </si>
  <si>
    <t>tadv_702_780</t>
  </si>
  <si>
    <t>距离在  (702~780]米内的采样点个数</t>
  </si>
  <si>
    <t>tadv_780_858</t>
  </si>
  <si>
    <t>距离在  (780~858]米内的采样点个数</t>
  </si>
  <si>
    <t>tadv_858_936</t>
  </si>
  <si>
    <t>距离在  (858~936]米内的采样点个数</t>
  </si>
  <si>
    <t>tadv_936_1170</t>
  </si>
  <si>
    <t>距离在  (936~1170]米内的采样点个数</t>
  </si>
  <si>
    <t>tadv_1170_1404</t>
  </si>
  <si>
    <t>距离在  (1170~1404]米内的采样点个数</t>
  </si>
  <si>
    <t>tadv_1404_1638</t>
  </si>
  <si>
    <t>距离在  (1404~1638]米内的采样点个数</t>
  </si>
  <si>
    <t>tadv_1638_1872</t>
  </si>
  <si>
    <t>距离在  (1638~1872]米内的采样点个数</t>
  </si>
  <si>
    <t>tadv_1872_2106</t>
  </si>
  <si>
    <t>距离在  (1872~2106]米内的采样点个数</t>
  </si>
  <si>
    <t>tadv_2106_2886</t>
  </si>
  <si>
    <t>距离在  (2106~2886]米内的采样点个数</t>
  </si>
  <si>
    <t>tadv_2886_3666</t>
  </si>
  <si>
    <t>距离在  (2886~3666]米内的采样点个数</t>
  </si>
  <si>
    <t>tadv_3666_4446</t>
  </si>
  <si>
    <t>距离在  (3666~4446]米内的采样点个数</t>
  </si>
  <si>
    <t>tadv_4446_9984</t>
  </si>
  <si>
    <t>距离在  (4446~9984]米内的采样点个数</t>
  </si>
  <si>
    <t>tadv_up_9984</t>
  </si>
  <si>
    <t>距离在＞9984米内的采样点个数</t>
  </si>
  <si>
    <t>rsrp95_sinrf3</t>
  </si>
  <si>
    <t>rsrp≥-95且SINR≥-3的采样点个数</t>
  </si>
  <si>
    <t>rsrp95_sinr0</t>
  </si>
  <si>
    <t>rsrp≥-95且SINR≥0的采样点个数</t>
  </si>
  <si>
    <t>rsrp95_sinr3</t>
  </si>
  <si>
    <t>rsrp≥-95且SINR≥3的采样点个数</t>
  </si>
  <si>
    <t>rsrp95_sinr10</t>
  </si>
  <si>
    <t>rsrp≥-95且SINR≥10的采样点个数</t>
  </si>
  <si>
    <t>rsrp100_sinrf3</t>
  </si>
  <si>
    <t>rsrp≥-100且SINR≥-3的采样点个数</t>
  </si>
  <si>
    <t>rsrp100_sinr0</t>
  </si>
  <si>
    <t>rsrp≥-100且SINR≥0的采样点个数</t>
  </si>
  <si>
    <t>rsrp100_sinr3</t>
  </si>
  <si>
    <t>rsrp≥-100且SINR≥3的采样点个数</t>
  </si>
  <si>
    <t>rsrp105_sinrf3</t>
  </si>
  <si>
    <t>rsrp≥-105且SINR≥-3的采样点个数</t>
  </si>
  <si>
    <t>rsrp105_sinr0</t>
  </si>
  <si>
    <t>rsrp≥-105且SINR≥0的采样点个数</t>
  </si>
  <si>
    <t>rsrp105_sinr3</t>
  </si>
  <si>
    <t>rsrp≥-105且SINR≥3的采样点个数</t>
  </si>
  <si>
    <t>rsrp110_sinrf3</t>
  </si>
  <si>
    <t>rsrp≥-110且SINR≥-3的采样点个数</t>
  </si>
  <si>
    <t>rsrp110_sinr0</t>
  </si>
  <si>
    <t>rsrp≥-110且SINR≥0的采样点个数</t>
  </si>
  <si>
    <t>rsrp110_sinr3</t>
  </si>
  <si>
    <t>rsrp≥-110且SINR≥3的采样点个数</t>
  </si>
  <si>
    <t>validrsrp_sinr_totalmrcount</t>
  </si>
  <si>
    <t>rsrq且SINR有效采样点个数</t>
  </si>
  <si>
    <t>数据源类型,0:电信独享 1：电信共享 2：联通共享</t>
  </si>
  <si>
    <t>left_up_lon</t>
  </si>
  <si>
    <t>栅格左上角经度</t>
  </si>
  <si>
    <t>left_up_lat</t>
  </si>
  <si>
    <t>栅格左上角维度</t>
  </si>
  <si>
    <t>right_down_lon</t>
  </si>
  <si>
    <t>栅格右下角经度</t>
  </si>
  <si>
    <t>right_down_lat</t>
  </si>
  <si>
    <t>栅格右下角维度</t>
  </si>
  <si>
    <t>mod30interfer_avgrsrp</t>
  </si>
  <si>
    <t>MOD30平均RSRP</t>
  </si>
  <si>
    <t>mod30interfer_mrcount</t>
  </si>
  <si>
    <t>MOD30采样点数量</t>
  </si>
  <si>
    <t>mod30interfer_mrratio</t>
  </si>
  <si>
    <t>MOD30采样点占比</t>
  </si>
  <si>
    <t>mod30interfer_totalrsrp</t>
  </si>
  <si>
    <t>MOD30总RSRP</t>
  </si>
  <si>
    <t>totaltadv</t>
  </si>
  <si>
    <t>总TA值</t>
  </si>
  <si>
    <t>tadvcount</t>
  </si>
  <si>
    <t>TA采样点数量</t>
  </si>
  <si>
    <t>小时段</t>
  </si>
  <si>
    <t>NR 服务基站ID</t>
  </si>
  <si>
    <t>split(cellkey,"_")[0]</t>
  </si>
  <si>
    <t>NR 服务小区ID</t>
  </si>
  <si>
    <t>split(cellkey,"_")[1]</t>
  </si>
  <si>
    <t>sum(ssrsrp_level1mrcount)</t>
  </si>
  <si>
    <t>sum(ssrsrp_level2mrcount)</t>
  </si>
  <si>
    <t>sum(ssrsrp_level3mrcount)</t>
  </si>
  <si>
    <t>sum(ssrsrp_level4mrcount)</t>
  </si>
  <si>
    <t>sum(ssrsrp_level5mrcount)</t>
  </si>
  <si>
    <t>sum(ssrsrp_level6mrcount)</t>
  </si>
  <si>
    <t>sum(ssrsrp_level7mrcount)</t>
  </si>
  <si>
    <t>sum(ssrsrp_level8mrcount)</t>
  </si>
  <si>
    <t>sum(ssrsrp_level9mrcount)</t>
  </si>
  <si>
    <t>sum(ssrsrp_level10mrcount)</t>
  </si>
  <si>
    <t>sum(ssrsrp_level11mrcount)</t>
  </si>
  <si>
    <t>sum(ssrsrp_level12mrcount)</t>
  </si>
  <si>
    <t>sum(ssrsrpcount)</t>
  </si>
  <si>
    <t>sum(totalssrsrp)</t>
  </si>
  <si>
    <t>sum(totalssrsrp)/sum(ssrsrpcount)</t>
  </si>
  <si>
    <t>sum(ssrsrq_level1mrcount)</t>
  </si>
  <si>
    <t>sum(ssrsrq_level2mrcount)</t>
  </si>
  <si>
    <t>sum(ssrsrq_level3mrcount)</t>
  </si>
  <si>
    <t>sum(ssrsrq_level4mrcount)</t>
  </si>
  <si>
    <t>sum(ssrsrq_level5mrcount)</t>
  </si>
  <si>
    <t>sum(ssrsrq_level6mrcount)</t>
  </si>
  <si>
    <t>sum(ssrsrq_level7mrcount)</t>
  </si>
  <si>
    <t>sum(ssrsrq_level8mrcount)</t>
  </si>
  <si>
    <t>sum(ssrsrq_level9mrcount)</t>
  </si>
  <si>
    <t>sum(ssrsrq_level10mrcount)</t>
  </si>
  <si>
    <t>sum(ssrsrq_level11mrcount)</t>
  </si>
  <si>
    <t>sum(ssrsrq_level12mrcount)</t>
  </si>
  <si>
    <t>sum(ssrsrqcount)</t>
  </si>
  <si>
    <t>sum(totalssrsrq)</t>
  </si>
  <si>
    <t>sum(totalssrsrq)/sum(ssrsrqcount)</t>
  </si>
  <si>
    <t>sum(sssinr_level1mrcount)</t>
  </si>
  <si>
    <t>sum(sssinr_level2mrcount)</t>
  </si>
  <si>
    <t>sum(sssinr_level3mrcount)</t>
  </si>
  <si>
    <t>sum(sssinr_level4mrcount)</t>
  </si>
  <si>
    <t>sum(sssinr_level5mrcount)</t>
  </si>
  <si>
    <t>sum(sssinr_level6mrcount)</t>
  </si>
  <si>
    <t>sum(sssinr_level7mrcount)</t>
  </si>
  <si>
    <t>sum(sssinr_level8mrcount)</t>
  </si>
  <si>
    <t>sum(sssinr_level9mrcount)</t>
  </si>
  <si>
    <t>sum(sssinr_level10mrcount)</t>
  </si>
  <si>
    <t>sum(sssinr_level11mrcount)</t>
  </si>
  <si>
    <t>sum(sssinr_level12mrcount)</t>
  </si>
  <si>
    <t>sum(sssinrcount)</t>
  </si>
  <si>
    <t>sum(totalsssinr)</t>
  </si>
  <si>
    <t>sum(totalsssinr)/sum(sssinrcount)</t>
  </si>
  <si>
    <t>sum(mod30interfer_mrcount)</t>
  </si>
  <si>
    <t>fact_pscp_s1mme_front</t>
  </si>
  <si>
    <t>4G S1MME贴源详单表</t>
  </si>
  <si>
    <t>cfg_s1mme_cause code_list</t>
  </si>
  <si>
    <t>15分钟，刻度；取值0/1/2/3</t>
  </si>
  <si>
    <t>解析服务器内唯一的XDR编号</t>
  </si>
  <si>
    <t>用户imei</t>
  </si>
  <si>
    <t>用户msisdn</t>
  </si>
  <si>
    <t>接入类型</t>
  </si>
  <si>
    <t>procedure_type</t>
  </si>
  <si>
    <t>消息流程</t>
  </si>
  <si>
    <t>procedure_starttime</t>
  </si>
  <si>
    <t>业务流程开始时间，UTC时间，从1970/1/1 00:00:00开始到当前的毫秒数。</t>
  </si>
  <si>
    <t>procedure_endtime</t>
  </si>
  <si>
    <t>业务流程结束时间，UTC时间，从1970/1/1 00:00:00开始到当前的毫秒数。</t>
  </si>
  <si>
    <t>procedure_status</t>
  </si>
  <si>
    <t>流程状态:0：成功； 1：失败； 255：超时</t>
  </si>
  <si>
    <t>request_cause</t>
  </si>
  <si>
    <t>请求消息中所包含的Cause值类型</t>
  </si>
  <si>
    <t>failure_cause</t>
  </si>
  <si>
    <t>流程失败响应消息中的Cause值</t>
  </si>
  <si>
    <t>keyword</t>
  </si>
  <si>
    <t>辅助流程类型的关键参数信息</t>
  </si>
  <si>
    <t>mme_ue_s1apid</t>
  </si>
  <si>
    <t>MME UE S1AP ID</t>
  </si>
  <si>
    <t>guti</t>
  </si>
  <si>
    <t>用户全球唯一临时标识 ，全部字段转为10进制</t>
  </si>
  <si>
    <t>target_id</t>
  </si>
  <si>
    <t>解析Target Target Target Target ID ，
如果是Target eNB-ID 则上报 S1 切出 话单中有效</t>
  </si>
  <si>
    <t>user_ipv4</t>
  </si>
  <si>
    <t>终端用户的 IP v4地址 ，如无则填全F</t>
  </si>
  <si>
    <t>user_ipv6</t>
  </si>
  <si>
    <t>终端用户的IP v6 地址，如无则填全 F</t>
  </si>
  <si>
    <t>machine_ip_add_type</t>
  </si>
  <si>
    <t>设备IP地址类型：0x01：IPV4 0x02:IPV6</t>
  </si>
  <si>
    <t>mmeipadd</t>
  </si>
  <si>
    <t>MME信令面IP地址</t>
  </si>
  <si>
    <t>enbipadd</t>
  </si>
  <si>
    <t>eNB信令面或用户面IP地址</t>
  </si>
  <si>
    <t>mmeport</t>
  </si>
  <si>
    <t>MME或SGW端口</t>
  </si>
  <si>
    <t>ENODEB端口</t>
  </si>
  <si>
    <t>TAI</t>
  </si>
  <si>
    <t>UE所在小区的ECGI</t>
  </si>
  <si>
    <t>other_tac</t>
  </si>
  <si>
    <t>对端小区的TAC，只在切换过程填写</t>
  </si>
  <si>
    <t>other_eci</t>
  </si>
  <si>
    <t>对端小区的ECI，只在切换过程填写</t>
  </si>
  <si>
    <t>old_mme_group_id</t>
  </si>
  <si>
    <t>原MME组标识，UE的GUTI发生变化时填写否则全F</t>
  </si>
  <si>
    <t>old_mme_code</t>
  </si>
  <si>
    <t>原MME号，UE的GUTI发生变化时填写否则全F</t>
  </si>
  <si>
    <t>old_m_tmsi</t>
  </si>
  <si>
    <t>UE的原M-TMSI，UE的GUTI发生变化时填写否则全F</t>
  </si>
  <si>
    <t>mmegroupid</t>
  </si>
  <si>
    <t>当前MME组标识</t>
  </si>
  <si>
    <t>mmecode</t>
  </si>
  <si>
    <t>当前MME号</t>
  </si>
  <si>
    <t>m_tmsi</t>
  </si>
  <si>
    <t>当前M-TMSI</t>
  </si>
  <si>
    <t>tmsi</t>
  </si>
  <si>
    <t>2G/3G系统为UE分配的TMSI，针对联合Attach及TAU过程填写，如无则填全F</t>
  </si>
  <si>
    <t>enb_ues1apid</t>
  </si>
  <si>
    <t>eNODEB UE S1AP ID</t>
  </si>
  <si>
    <t>eNodeB ID</t>
  </si>
  <si>
    <t>Cell ID</t>
  </si>
  <si>
    <t>ciot_support</t>
  </si>
  <si>
    <t>bit0:S1-U Support bit1:CP-Support bit2:UP-Support</t>
  </si>
  <si>
    <t>psm_status</t>
  </si>
  <si>
    <t>省电模式状态</t>
  </si>
  <si>
    <t>t3324</t>
  </si>
  <si>
    <t>进入PSM模式定时器</t>
  </si>
  <si>
    <t>t3412_ext</t>
  </si>
  <si>
    <t>TAU周期请求定时器(PSM)</t>
  </si>
  <si>
    <t>nbdatamode</t>
  </si>
  <si>
    <t>nbippdntype</t>
  </si>
  <si>
    <t>nbcelevel</t>
  </si>
  <si>
    <t>msgflag</t>
  </si>
  <si>
    <t>信息标识</t>
  </si>
  <si>
    <t>request_cause_group</t>
  </si>
  <si>
    <t>流程的请求消息中所包含的Cause分组</t>
  </si>
  <si>
    <t>failure_cause_group</t>
  </si>
  <si>
    <t>流程失败响应消息中的Cause分组</t>
  </si>
  <si>
    <t>keyword_1</t>
  </si>
  <si>
    <t>关键值1</t>
  </si>
  <si>
    <t>keyword_2</t>
  </si>
  <si>
    <t>关键值2</t>
  </si>
  <si>
    <t>keyword_3</t>
  </si>
  <si>
    <t>关键值3</t>
  </si>
  <si>
    <t>keyword_4</t>
  </si>
  <si>
    <t>关键值4</t>
  </si>
  <si>
    <t>bearer_1_request_cause_group</t>
  </si>
  <si>
    <t>承载1操作请求消息中的cause分组</t>
  </si>
  <si>
    <t>bearer_1_request_cause_specific</t>
  </si>
  <si>
    <t>承载1操作请求消息中的cause分值</t>
  </si>
  <si>
    <t>bearer_1_failure_cause_group</t>
  </si>
  <si>
    <t>承载操作失败消息中的cause分组</t>
  </si>
  <si>
    <t>bearer_1_failure_cause_specific</t>
  </si>
  <si>
    <t>承载操作失败消息中的cause分值</t>
  </si>
  <si>
    <t>csfb_indication</t>
  </si>
  <si>
    <t>CSFB指示</t>
  </si>
  <si>
    <t>ue_centric</t>
  </si>
  <si>
    <t>UE中心</t>
  </si>
  <si>
    <t>ue_srvcc_support</t>
  </si>
  <si>
    <t>UE SRVCC支持能力</t>
  </si>
  <si>
    <t>vops_option</t>
  </si>
  <si>
    <t>csfb_response</t>
  </si>
  <si>
    <t>ue_dcnr</t>
  </si>
  <si>
    <t>gnb_ip_addr</t>
  </si>
  <si>
    <t>基站IP地址</t>
  </si>
  <si>
    <t>nr_restriction</t>
  </si>
  <si>
    <t>lte_band_list</t>
  </si>
  <si>
    <t>nr_band_list</t>
  </si>
  <si>
    <t>nr_band_combination</t>
  </si>
  <si>
    <t>eps_bearer_number</t>
  </si>
  <si>
    <t>整数值N</t>
  </si>
  <si>
    <t>n1_mode</t>
  </si>
  <si>
    <t>当终端 SA 开关已打开，则 N1 MODE=1；当终端未打开 SA 开关，则 N1 MODE=0</t>
  </si>
  <si>
    <t>bearer_id</t>
  </si>
  <si>
    <t>承载的EPS bearer ID取值范围从 0到 15</t>
  </si>
  <si>
    <t>bearer_type</t>
  </si>
  <si>
    <t>承载的类型： 1.default bearer 2.dedicated bearer</t>
  </si>
  <si>
    <t>承载的QCI，取值范围从 1到 9</t>
  </si>
  <si>
    <t>bearerstatus</t>
  </si>
  <si>
    <t>承载的操作结果：1.建立成功2.建立失败3.修改成功
4.修改失败5.释放成功6.释放失败</t>
  </si>
  <si>
    <t>enb_gtp_teid</t>
  </si>
  <si>
    <t>承载对应的eNB侧GTP-TEID</t>
  </si>
  <si>
    <t>sgw_gtp_teid</t>
  </si>
  <si>
    <t>承载对应SGW侧GTP-TEID</t>
  </si>
  <si>
    <t>bearer_request_cause</t>
  </si>
  <si>
    <t>承载操作请求消息中的cause值</t>
  </si>
  <si>
    <t>bearerfailure_cause</t>
  </si>
  <si>
    <t>承载操作失败消息中的cause值</t>
  </si>
  <si>
    <t>imei_tac</t>
  </si>
  <si>
    <t>终端TAC信息</t>
  </si>
  <si>
    <t>地市编码</t>
  </si>
  <si>
    <t>地市名称</t>
  </si>
  <si>
    <t>B：districtcode
B1：</t>
  </si>
  <si>
    <t>enodebname</t>
  </si>
  <si>
    <t>eNodeB名称</t>
  </si>
  <si>
    <t>B：enodebname
B1：enodeb_name</t>
  </si>
  <si>
    <t>cell名称</t>
  </si>
  <si>
    <t>attach_request</t>
  </si>
  <si>
    <t>网络附着请求次数</t>
  </si>
  <si>
    <t>attach_success</t>
  </si>
  <si>
    <t>网络附着成功次数</t>
  </si>
  <si>
    <t>attach_fail</t>
  </si>
  <si>
    <t>网络附着失败次数</t>
  </si>
  <si>
    <t>attach_timeout</t>
  </si>
  <si>
    <t>网络附着超时次数</t>
  </si>
  <si>
    <t>attach_delay</t>
  </si>
  <si>
    <t>网络附着时延</t>
  </si>
  <si>
    <t>eps_attach_request</t>
  </si>
  <si>
    <t>EPS附着请求次数</t>
  </si>
  <si>
    <t>eps_attach_success</t>
  </si>
  <si>
    <t>EPS附着成功次数</t>
  </si>
  <si>
    <t>eps_attach_fail</t>
  </si>
  <si>
    <t>EPS附着失败次数</t>
  </si>
  <si>
    <t>eps_attach_timeout</t>
  </si>
  <si>
    <t>EPS附着超时次数</t>
  </si>
  <si>
    <t>eps_attach_delay</t>
  </si>
  <si>
    <t>EPS附着时延</t>
  </si>
  <si>
    <t>eps_attach_usrfail</t>
  </si>
  <si>
    <t>EPS附着用户原因失败次数</t>
  </si>
  <si>
    <t>eps_emergency_attach_request</t>
  </si>
  <si>
    <t>EPS紧急附着请求次数</t>
  </si>
  <si>
    <t>eps_emergency_attach_success</t>
  </si>
  <si>
    <t>EPS紧急附着成功次数</t>
  </si>
  <si>
    <t>eps_emergency_attach_fail</t>
  </si>
  <si>
    <t>EPS紧急附着失败次数</t>
  </si>
  <si>
    <t>eps_emergency_attach_timeout</t>
  </si>
  <si>
    <t>EPS紧急附着超时次数</t>
  </si>
  <si>
    <t>eps_emergency_attach_delay</t>
  </si>
  <si>
    <t>EPS紧急附着时延</t>
  </si>
  <si>
    <t>eps_emergency_attach_usrfail</t>
  </si>
  <si>
    <t>EPS紧急附着用户原因失败次数</t>
  </si>
  <si>
    <t>service_request</t>
  </si>
  <si>
    <t>业务请求尝试次数</t>
  </si>
  <si>
    <t>service_success</t>
  </si>
  <si>
    <t>业务请求成功次数</t>
  </si>
  <si>
    <t>service_fail</t>
  </si>
  <si>
    <t>业务请求失败次数</t>
  </si>
  <si>
    <t>service_timeout</t>
  </si>
  <si>
    <t>业务请求超时次数</t>
  </si>
  <si>
    <t>service_delay</t>
  </si>
  <si>
    <t>业务请求时延</t>
  </si>
  <si>
    <t>service_usrfail</t>
  </si>
  <si>
    <t>业务请求用户原因失败次数</t>
  </si>
  <si>
    <t>paging_request</t>
  </si>
  <si>
    <t>寻呼尝试次数</t>
  </si>
  <si>
    <t>paging_success</t>
  </si>
  <si>
    <t>寻呼成功次数</t>
  </si>
  <si>
    <t>paging_fail</t>
  </si>
  <si>
    <t>寻呼失败次数</t>
  </si>
  <si>
    <t>paging_timeout</t>
  </si>
  <si>
    <t>寻呼超时次数</t>
  </si>
  <si>
    <t>paging_delay</t>
  </si>
  <si>
    <t>寻呼时延</t>
  </si>
  <si>
    <t>tau_request</t>
  </si>
  <si>
    <t>位置区更新请求次数</t>
  </si>
  <si>
    <t>tau_success</t>
  </si>
  <si>
    <t>位置区更新成功次数</t>
  </si>
  <si>
    <t>tau_fail</t>
  </si>
  <si>
    <t>位置区更新失败次数</t>
  </si>
  <si>
    <t>tau_timeout</t>
  </si>
  <si>
    <t>位置区更新超时次数</t>
  </si>
  <si>
    <t>tau_delay</t>
  </si>
  <si>
    <t>位置区更新时延</t>
  </si>
  <si>
    <t>tau_usrfail</t>
  </si>
  <si>
    <t>位置区更新用户原因失败次数</t>
  </si>
  <si>
    <t>eps_tau_request</t>
  </si>
  <si>
    <t>EPS更新尝试次数</t>
  </si>
  <si>
    <t>eps_tau_success</t>
  </si>
  <si>
    <t>EPS更新成功次数</t>
  </si>
  <si>
    <t>eps_tau_fail</t>
  </si>
  <si>
    <t>EPS更新失败次数</t>
  </si>
  <si>
    <t>eps_tau_timeout</t>
  </si>
  <si>
    <t>EPS更新超时次数</t>
  </si>
  <si>
    <t>eps_tau_delay</t>
  </si>
  <si>
    <t>EPS更新时延</t>
  </si>
  <si>
    <t>eps_tau_usrfail</t>
  </si>
  <si>
    <t>EPS更新用户原因失败次数</t>
  </si>
  <si>
    <t>periodic_tau_request</t>
  </si>
  <si>
    <t>周期更新尝试次数</t>
  </si>
  <si>
    <t>periodic_tau_success</t>
  </si>
  <si>
    <t>周期更新成功次数</t>
  </si>
  <si>
    <t>periodic_tau_fail</t>
  </si>
  <si>
    <t>周期更新失败次数</t>
  </si>
  <si>
    <t>periodic_tau_timeout</t>
  </si>
  <si>
    <t>周期更新超时次数</t>
  </si>
  <si>
    <t>periodic_tau_delay</t>
  </si>
  <si>
    <t>周期更新时延</t>
  </si>
  <si>
    <t>periodic_tau_usrfail</t>
  </si>
  <si>
    <t>周期更新用户原因失败次数</t>
  </si>
  <si>
    <t>detach_request</t>
  </si>
  <si>
    <t>去附着请求次数</t>
  </si>
  <si>
    <t>detach_success</t>
  </si>
  <si>
    <t>去附着成功次数</t>
  </si>
  <si>
    <t>detach_fail</t>
  </si>
  <si>
    <t>去附着失败次数</t>
  </si>
  <si>
    <t>detach_timeout</t>
  </si>
  <si>
    <t>去附着超时次数</t>
  </si>
  <si>
    <t>detach_delay</t>
  </si>
  <si>
    <t>去附着时延</t>
  </si>
  <si>
    <t>ue_detach_request</t>
  </si>
  <si>
    <t>ue去附着请求次数</t>
  </si>
  <si>
    <t>ue_detach_success</t>
  </si>
  <si>
    <t>ue去附着成功次数</t>
  </si>
  <si>
    <t>ue_detach_fail</t>
  </si>
  <si>
    <t>ue去附着失败次数</t>
  </si>
  <si>
    <t>ue_detach_timeout</t>
  </si>
  <si>
    <t>ue去附着超时次数</t>
  </si>
  <si>
    <t>ue_detach_delay</t>
  </si>
  <si>
    <t>ue去附着时延</t>
  </si>
  <si>
    <t>net_detach_request</t>
  </si>
  <si>
    <t>网络去附着请求次数</t>
  </si>
  <si>
    <t>net_detach_success</t>
  </si>
  <si>
    <t>网络去附着成功次数</t>
  </si>
  <si>
    <t>net_detach_fail</t>
  </si>
  <si>
    <t>网络去附着失败次数</t>
  </si>
  <si>
    <t>net_detach_timeout</t>
  </si>
  <si>
    <t>网络去附着超时次数</t>
  </si>
  <si>
    <t>net_detach_delay</t>
  </si>
  <si>
    <t>网络去附着时延</t>
  </si>
  <si>
    <t>pdn_connectivity_request</t>
  </si>
  <si>
    <t>PDN连接建立请求次数</t>
  </si>
  <si>
    <t>pdn_connectivity_success</t>
  </si>
  <si>
    <t>PDN连接建立成功次数</t>
  </si>
  <si>
    <t>pdn_connectivity_fail</t>
  </si>
  <si>
    <t>PDN连接建立失败次数</t>
  </si>
  <si>
    <t>pdn_connectivity_timeout</t>
  </si>
  <si>
    <t>PDN连接建立超时次数</t>
  </si>
  <si>
    <t>pdn_connectivity_delay</t>
  </si>
  <si>
    <t>PDN连接建立时延</t>
  </si>
  <si>
    <t>pdn_connectivity_usrfail</t>
  </si>
  <si>
    <t>PDN连接建立用户原因失败次数</t>
  </si>
  <si>
    <t>eps_bearer_resource_allocation_request</t>
  </si>
  <si>
    <t>承载资源申请请求次数</t>
  </si>
  <si>
    <t>eps_bearer_resource_allocation_success</t>
  </si>
  <si>
    <t>承载资源申请成功次数</t>
  </si>
  <si>
    <t>eps_bearer_resource_allocation_fail</t>
  </si>
  <si>
    <t>承载资源申请失败次数</t>
  </si>
  <si>
    <t>eps_bearer_resource_allocation_timeout</t>
  </si>
  <si>
    <t>承载资源申请超时次数</t>
  </si>
  <si>
    <t>eps_bearer_resource_allocation_delay</t>
  </si>
  <si>
    <t>承载资源申请时延</t>
  </si>
  <si>
    <t>dedicated_bearer_context_activation_request</t>
  </si>
  <si>
    <t>专有承载激活尝试次数</t>
  </si>
  <si>
    <t>dedicated_bearer_context_activation_success</t>
  </si>
  <si>
    <t>专有承载激活成功次数</t>
  </si>
  <si>
    <t>dedicated_bearer_context_activation_fail</t>
  </si>
  <si>
    <t>专有承载激活失败次数</t>
  </si>
  <si>
    <t>dedicated_bearer_context_activation_timeout</t>
  </si>
  <si>
    <t>专有承载激活超时次数</t>
  </si>
  <si>
    <t>dedicated_bearer_context_activation_delay</t>
  </si>
  <si>
    <t>专有承载激活时延</t>
  </si>
  <si>
    <t>x2_ho_request</t>
  </si>
  <si>
    <t>x2切换请求次数</t>
  </si>
  <si>
    <t>x2_ho_success</t>
  </si>
  <si>
    <t>x2切换成功数</t>
  </si>
  <si>
    <t>x2_ho_fail</t>
  </si>
  <si>
    <t>x2切换失败数</t>
  </si>
  <si>
    <t>x2_ho_timeout</t>
  </si>
  <si>
    <t>x2切换超时数</t>
  </si>
  <si>
    <t>x2_ho_delay</t>
  </si>
  <si>
    <t>x2切换时延</t>
  </si>
  <si>
    <t>s1_ho_out_request</t>
  </si>
  <si>
    <t>s1切换出请求次数</t>
  </si>
  <si>
    <t>s1_ho_out_success</t>
  </si>
  <si>
    <t>s1切换出成功数</t>
  </si>
  <si>
    <t>s1_ho_out_fail</t>
  </si>
  <si>
    <t>s1切换出失败数</t>
  </si>
  <si>
    <t>s1_ho_out_timeout</t>
  </si>
  <si>
    <t>s1切换出超时数</t>
  </si>
  <si>
    <t>s1_ho_out_delay</t>
  </si>
  <si>
    <t>s1切换出时延</t>
  </si>
  <si>
    <t>s1_ho_in_request</t>
  </si>
  <si>
    <t>s1切换入请求次数</t>
  </si>
  <si>
    <t>s1_ho_in_success</t>
  </si>
  <si>
    <t>s1切换入成功次数</t>
  </si>
  <si>
    <t>s1_ho_in_fail</t>
  </si>
  <si>
    <t>s1切换入失败次数</t>
  </si>
  <si>
    <t>s1_ho_in_timeout</t>
  </si>
  <si>
    <t>s1切换入超时次数</t>
  </si>
  <si>
    <t>s1_ho_in_delay</t>
  </si>
  <si>
    <t>s1切换入时延</t>
  </si>
  <si>
    <t>s1_ho_cancel_request</t>
  </si>
  <si>
    <t>s1切换取消请求次数</t>
  </si>
  <si>
    <t>s1_ho_cancel_success</t>
  </si>
  <si>
    <t>s1切换取消成功次数</t>
  </si>
  <si>
    <t>s1_ho_cancel_fail</t>
  </si>
  <si>
    <t>s1切换取消失败次数</t>
  </si>
  <si>
    <t>s1_ho_cancel_timeout</t>
  </si>
  <si>
    <t>s1切换取消超时次数</t>
  </si>
  <si>
    <t>s1_ho_cancel_delay</t>
  </si>
  <si>
    <t>s1切换取消时延</t>
  </si>
  <si>
    <t>initial_context_setup_request</t>
  </si>
  <si>
    <t>Initial_context_setup请求次数</t>
  </si>
  <si>
    <t>initial_context_setup_success</t>
  </si>
  <si>
    <t>Initial_context_setup成功次数</t>
  </si>
  <si>
    <t>initial_context_setup_fail</t>
  </si>
  <si>
    <t>Initial_context_setup失败次数</t>
  </si>
  <si>
    <t>initial_context_setup_timeout</t>
  </si>
  <si>
    <t>Initial_context_setup超时次数</t>
  </si>
  <si>
    <t>initial_context_setup_delay</t>
  </si>
  <si>
    <t>Initial_context_setup时延</t>
  </si>
  <si>
    <t>ue_context_release_request</t>
  </si>
  <si>
    <t>UE上下文释放请求次数</t>
  </si>
  <si>
    <t>ue_context_release_success</t>
  </si>
  <si>
    <t>UE上下文释放成功次数</t>
  </si>
  <si>
    <t>ue_context_release_fail</t>
  </si>
  <si>
    <t>UE上下文释放失败次数</t>
  </si>
  <si>
    <t>ue_context_release_timeout</t>
  </si>
  <si>
    <t>UE上下文释放超时次数</t>
  </si>
  <si>
    <t>ue_context_release_delay</t>
  </si>
  <si>
    <t>UE上下文释放时延</t>
  </si>
  <si>
    <t>inter_redirect_request</t>
  </si>
  <si>
    <t>系统间重定向请求次数</t>
  </si>
  <si>
    <t>inter_redirect_success</t>
  </si>
  <si>
    <t>系统间重定向成功次数</t>
  </si>
  <si>
    <t>inter_redirect_fail</t>
  </si>
  <si>
    <t>系统间重定向失败次数</t>
  </si>
  <si>
    <t>inter_redirect_timeout</t>
  </si>
  <si>
    <t>系统间重定向超时次数</t>
  </si>
  <si>
    <t>inter_redirect_delay</t>
  </si>
  <si>
    <t>系统间重定向时延</t>
  </si>
  <si>
    <t>identity_acquisition_request</t>
  </si>
  <si>
    <t>身份获取请求次数</t>
  </si>
  <si>
    <t>identity_acquisition_success</t>
  </si>
  <si>
    <t>身份获取成功次数</t>
  </si>
  <si>
    <t>identity_acquisition_fail</t>
  </si>
  <si>
    <t>身份获取失败次数</t>
  </si>
  <si>
    <t>identity_acquisition_timeout</t>
  </si>
  <si>
    <t>身份获取超时次数</t>
  </si>
  <si>
    <t>identity_acquisition_delay</t>
  </si>
  <si>
    <t>身份获取时延</t>
  </si>
  <si>
    <t>authentication_request</t>
  </si>
  <si>
    <t>鉴权请求次数</t>
  </si>
  <si>
    <t>authentication_success</t>
  </si>
  <si>
    <t>鉴权成功次数</t>
  </si>
  <si>
    <t>authentication_fail</t>
  </si>
  <si>
    <t>鉴权失败次数</t>
  </si>
  <si>
    <t>authentication_timeout</t>
  </si>
  <si>
    <t>鉴权超时次数</t>
  </si>
  <si>
    <t>authentication_delay</t>
  </si>
  <si>
    <t>鉴权时延</t>
  </si>
  <si>
    <t>security_activation_request</t>
  </si>
  <si>
    <t>安全激活请求次数</t>
  </si>
  <si>
    <t>security_activation_success</t>
  </si>
  <si>
    <t>安全激活成功次数</t>
  </si>
  <si>
    <t>security_activation_fail</t>
  </si>
  <si>
    <t>安全激活失败次数</t>
  </si>
  <si>
    <t>security_activation_timeout</t>
  </si>
  <si>
    <t>安全激活超时次数</t>
  </si>
  <si>
    <t>security_activation_delay</t>
  </si>
  <si>
    <t>安全激活时延</t>
  </si>
  <si>
    <t>sms_request</t>
  </si>
  <si>
    <t>SMS业务请求次数</t>
  </si>
  <si>
    <t>sms_success</t>
  </si>
  <si>
    <t>SMS业务成功次数</t>
  </si>
  <si>
    <t>sms_fail</t>
  </si>
  <si>
    <t>SMS业务失败次数</t>
  </si>
  <si>
    <t>sms_timeout</t>
  </si>
  <si>
    <t>SMS业务超时次数</t>
  </si>
  <si>
    <t>sms_delay</t>
  </si>
  <si>
    <t>SMS业务时延</t>
  </si>
  <si>
    <t>erab_setup_request</t>
  </si>
  <si>
    <t>e-rab建立请求次数</t>
  </si>
  <si>
    <t>erab_setup_success</t>
  </si>
  <si>
    <t>e-rab建立成功次数</t>
  </si>
  <si>
    <t>erab_setup_fail</t>
  </si>
  <si>
    <t>e-rab建立失败次数</t>
  </si>
  <si>
    <t>erab_setup_timeout</t>
  </si>
  <si>
    <t>e-rab建立超时次数</t>
  </si>
  <si>
    <t>erab_setup_delay</t>
  </si>
  <si>
    <t>e-rab建立时延</t>
  </si>
  <si>
    <t>erab_modify_request</t>
  </si>
  <si>
    <t>e-rab修改请求次数</t>
  </si>
  <si>
    <t>erab_modify_success</t>
  </si>
  <si>
    <t>e-rab修改成功次数</t>
  </si>
  <si>
    <t>erab_modify_fail</t>
  </si>
  <si>
    <t>e-rab修改失败次数</t>
  </si>
  <si>
    <t>erab_modify_timeout</t>
  </si>
  <si>
    <t>e-rab修改超时次数</t>
  </si>
  <si>
    <t>erab_modify_delay</t>
  </si>
  <si>
    <t>e-rab修改时延</t>
  </si>
  <si>
    <t>default_bearer_context_activation_request</t>
  </si>
  <si>
    <t>默认承载激活尝试次数</t>
  </si>
  <si>
    <t>default_bearer_context_activation_success</t>
  </si>
  <si>
    <t>默认承载激活成功次数</t>
  </si>
  <si>
    <t>default_bearer_context_activation_fail</t>
  </si>
  <si>
    <t>默认承载激活失败次数</t>
  </si>
  <si>
    <t>default_bearer_context_activation_timeout</t>
  </si>
  <si>
    <t>默认承载激活超时次数</t>
  </si>
  <si>
    <t>default_bearer_context_activation_delay</t>
  </si>
  <si>
    <t>默认承载激活时延</t>
  </si>
  <si>
    <t>cpservice_request</t>
  </si>
  <si>
    <t>控制面业务请求次数</t>
  </si>
  <si>
    <t>cpservice_success</t>
  </si>
  <si>
    <t>控制面业务成功次数</t>
  </si>
  <si>
    <t>cpservice_fail</t>
  </si>
  <si>
    <t>控制面业务失败次数</t>
  </si>
  <si>
    <t>cpservice_timeout</t>
  </si>
  <si>
    <t>控制面业务超时次数</t>
  </si>
  <si>
    <t>cpservice_delay</t>
  </si>
  <si>
    <t>控制面业务时延</t>
  </si>
  <si>
    <t>nsa_request</t>
  </si>
  <si>
    <t>NSA请求次数</t>
  </si>
  <si>
    <t>nsa_success</t>
  </si>
  <si>
    <t>NSA成功次数</t>
  </si>
  <si>
    <t>nsa_fail</t>
  </si>
  <si>
    <t>NSA失败次数</t>
  </si>
  <si>
    <t>nsa_timeout</t>
  </si>
  <si>
    <t>NSA超时次数</t>
  </si>
  <si>
    <t>nsa_delay</t>
  </si>
  <si>
    <t>NSA时延</t>
  </si>
  <si>
    <t>s1_ho_intra_out_request</t>
  </si>
  <si>
    <t>系统内s1切换出请求次数</t>
  </si>
  <si>
    <t>s1_ho_intra_out_success</t>
  </si>
  <si>
    <t>系统内s1切换出成功数</t>
  </si>
  <si>
    <t>s1_ho_intra_out_fail</t>
  </si>
  <si>
    <t>系统内s1切换出失败数</t>
  </si>
  <si>
    <t>s1_ho_intra_out_timeout</t>
  </si>
  <si>
    <t>系统内s1切换出超时数</t>
  </si>
  <si>
    <t>s1_ho_intra_out_delay</t>
  </si>
  <si>
    <t>系统内s1切换出时延</t>
  </si>
  <si>
    <t>normal_release</t>
  </si>
  <si>
    <t>正常释放次数</t>
  </si>
  <si>
    <t>case when procedure_type= 20 and procedure_status=1 and  nvl(failure_cause,request_cause) in ('16777236','16777728') then 1 else 0 end</t>
  </si>
  <si>
    <t>abnor_release</t>
  </si>
  <si>
    <t>异常释放次数</t>
  </si>
  <si>
    <t>A|C</t>
  </si>
  <si>
    <t>通过nvl(failure_cause,request_cause)与码表字段reason_code关联，取码表中对应的drop_flag=1对应的编码，能关联上则置为1，关联不上则置为0</t>
  </si>
  <si>
    <t>eNodeB id</t>
  </si>
  <si>
    <t>cell id</t>
  </si>
  <si>
    <t>用户IMSI（字符串格式）</t>
  </si>
  <si>
    <t>终端IMEI（字符串格式）</t>
  </si>
  <si>
    <t>用户号码（字符串格式）</t>
  </si>
  <si>
    <t xml:space="preserve">接口类型为S1-MME时，填写MME信令面IP地址；
IPv4：4字节； IPv6：16字节。
</t>
  </si>
  <si>
    <t xml:space="preserve">根据接口类型为S1-MME或S1-U，填写eNodeB信令面或用户面IP地址：
Ipv4：4字节；Ipv6：16字节
</t>
  </si>
  <si>
    <t>attach_request_sum</t>
  </si>
  <si>
    <t>attach_success_sum</t>
  </si>
  <si>
    <t>attach_fail_sum</t>
  </si>
  <si>
    <t>attach_timeout_sum</t>
  </si>
  <si>
    <t>attach_delay_avg</t>
  </si>
  <si>
    <t>网络附着平均时延</t>
  </si>
  <si>
    <t>eps_attach_request_sum</t>
  </si>
  <si>
    <t>eps_attach_success_sum</t>
  </si>
  <si>
    <t>eps_attach_fail_sum</t>
  </si>
  <si>
    <t>eps_attach_timeout_sum</t>
  </si>
  <si>
    <t>eps_attach_delay_avg</t>
  </si>
  <si>
    <t>EPS附着平均时延</t>
  </si>
  <si>
    <t>eps_attach_usrfail_sum</t>
  </si>
  <si>
    <t>eps_emergency_attach_request_sum</t>
  </si>
  <si>
    <t>eps_emergency_attach_success_sum</t>
  </si>
  <si>
    <t>eps_emergency_attach_fail_sum</t>
  </si>
  <si>
    <t>eps_emergency_attach_timeout_sum</t>
  </si>
  <si>
    <t>eps_emergency_attach_delay_avg</t>
  </si>
  <si>
    <t>EPS紧急附着平均时延</t>
  </si>
  <si>
    <t>eps_emergency_attach_usrfail_sum</t>
  </si>
  <si>
    <t>service_request_sum</t>
  </si>
  <si>
    <t>service_success_sum</t>
  </si>
  <si>
    <t>service_fail_sum</t>
  </si>
  <si>
    <t>service_timeout_sum</t>
  </si>
  <si>
    <t>service_delay_avg</t>
  </si>
  <si>
    <t>业务请求平均时延</t>
  </si>
  <si>
    <t>service_usrfail_sum</t>
  </si>
  <si>
    <t>paging_request_sum</t>
  </si>
  <si>
    <t>paging_success_sum</t>
  </si>
  <si>
    <t>paging_fail_sum</t>
  </si>
  <si>
    <t>paging_timeout_sum</t>
  </si>
  <si>
    <t>paging_delay_avg</t>
  </si>
  <si>
    <t>寻呼平均时延</t>
  </si>
  <si>
    <t>tau_request_sum</t>
  </si>
  <si>
    <t>tau_success_sum</t>
  </si>
  <si>
    <t>tau_fail_sum</t>
  </si>
  <si>
    <t>tau_timeout_sum</t>
  </si>
  <si>
    <t>tau_delay_avg</t>
  </si>
  <si>
    <t>位置区更新平均时延</t>
  </si>
  <si>
    <t>tau_usrfail_sum</t>
  </si>
  <si>
    <t>eps_tau_request_sum</t>
  </si>
  <si>
    <t>eps_tau_success_sum</t>
  </si>
  <si>
    <t>eps_tau_fail_sum</t>
  </si>
  <si>
    <t>eps_tau_timeout_sum</t>
  </si>
  <si>
    <t>eps_tau_delay_avg</t>
  </si>
  <si>
    <t>EPS更新平均时延</t>
  </si>
  <si>
    <t>eps_tau_usrfail_sum</t>
  </si>
  <si>
    <t>periodic_tau_request_sum</t>
  </si>
  <si>
    <t>periodic_tau_success_sum</t>
  </si>
  <si>
    <t>periodic_tau_fail_sum</t>
  </si>
  <si>
    <t>periodic_tau_timeout_sum</t>
  </si>
  <si>
    <t>periodic_tau_delay_avg</t>
  </si>
  <si>
    <t>周期更新平均时延</t>
  </si>
  <si>
    <t>periodic_tau_usrfail_sum</t>
  </si>
  <si>
    <t>detach_request_sum</t>
  </si>
  <si>
    <t>detach_success_sum</t>
  </si>
  <si>
    <t>detach_fail_sum</t>
  </si>
  <si>
    <t>detach_timeout_sum</t>
  </si>
  <si>
    <t>detach_delay_avg</t>
  </si>
  <si>
    <t>去附着平均时延</t>
  </si>
  <si>
    <t>ue_detach_request_sum</t>
  </si>
  <si>
    <t>ue_detach_success_sum</t>
  </si>
  <si>
    <t>ue_detach_fail_sum</t>
  </si>
  <si>
    <t>ue_detach_timeout_sum</t>
  </si>
  <si>
    <t>ue_detach_delay_avg</t>
  </si>
  <si>
    <t>ue去附着平均时延</t>
  </si>
  <si>
    <t>net_detach_request_sum</t>
  </si>
  <si>
    <t>net_detach_success_sum</t>
  </si>
  <si>
    <t>net_detach_fail_sum</t>
  </si>
  <si>
    <t>net_detach_timeout_sum</t>
  </si>
  <si>
    <t>net_detach_delay_avg</t>
  </si>
  <si>
    <t>网络去附着平均时延</t>
  </si>
  <si>
    <t>pdn_connectivity_request_sum</t>
  </si>
  <si>
    <t>pdn_connectivity_success_sum</t>
  </si>
  <si>
    <t>pdn_connectivity_fail_sum</t>
  </si>
  <si>
    <t>pdn_connectivity_timeout_sum</t>
  </si>
  <si>
    <t>pdn_connectivity_delay_avg</t>
  </si>
  <si>
    <t>PDN连接建立平均时延</t>
  </si>
  <si>
    <t>pdn_connectivity_usrfail_sum</t>
  </si>
  <si>
    <t>eps_bearer_resource_allocation_request_sum</t>
  </si>
  <si>
    <t>eps_bearer_resource_allocation_success_sum</t>
  </si>
  <si>
    <t>eps_bearer_resource_allocation_fail_sum</t>
  </si>
  <si>
    <t>eps_bearer_resource_allocation_timeout_sum</t>
  </si>
  <si>
    <t>eps_bearer_resource_allocation_delay_avg</t>
  </si>
  <si>
    <t>承载资源申请平均时延</t>
  </si>
  <si>
    <t>dedicated_bearer_context_activation_request_sum</t>
  </si>
  <si>
    <t>dedicated_bearer_context_activation_success_sum</t>
  </si>
  <si>
    <t>dedicated_bearer_context_activation_fail_sum</t>
  </si>
  <si>
    <t>dedicated_bearer_context_activation_timeout_sum</t>
  </si>
  <si>
    <t>dedicated_bearer_context_activation_delay_avg</t>
  </si>
  <si>
    <t>专有承载激活平均时延</t>
  </si>
  <si>
    <t>x2_ho_request_sum</t>
  </si>
  <si>
    <t>x2_ho_success_sum</t>
  </si>
  <si>
    <t>x2_ho_fail_sum</t>
  </si>
  <si>
    <t>x2_ho_timeout_sum</t>
  </si>
  <si>
    <t>x2_ho_delay_avg</t>
  </si>
  <si>
    <t>x2切换平均时延</t>
  </si>
  <si>
    <t>s1_ho_out_request_sum</t>
  </si>
  <si>
    <t>s1_ho_out_success_sum</t>
  </si>
  <si>
    <t>s1_ho_out_fail_sum</t>
  </si>
  <si>
    <t>s1_ho_out_timeout_sum</t>
  </si>
  <si>
    <t>s1_ho_out_delay_avg</t>
  </si>
  <si>
    <t>s1切换出平均时延</t>
  </si>
  <si>
    <t>s1_ho_in_request_sum</t>
  </si>
  <si>
    <t>s1_ho_in_success_sum</t>
  </si>
  <si>
    <t>s1_ho_in_fail_sum</t>
  </si>
  <si>
    <t>s1_ho_in_timeout_sum</t>
  </si>
  <si>
    <t>s1_ho_in_delay_avg</t>
  </si>
  <si>
    <t>s1切换入平均时延</t>
  </si>
  <si>
    <t>s1_ho_cancel_request_sum</t>
  </si>
  <si>
    <t>s1_ho_cancel_success_sum</t>
  </si>
  <si>
    <t>s1_ho_cancel_fail_sum</t>
  </si>
  <si>
    <t>s1_ho_cancel_timeout_sum</t>
  </si>
  <si>
    <t>s1_ho_cancel_delay_avg</t>
  </si>
  <si>
    <t>s1切换取消平均时延</t>
  </si>
  <si>
    <t>initial_context_setup_request_sum</t>
  </si>
  <si>
    <t>initial_context_setup_success_sum</t>
  </si>
  <si>
    <t>initial_context_setup_fail_sum</t>
  </si>
  <si>
    <t>initial_context_setup_timeout_sum</t>
  </si>
  <si>
    <t>initial_context_setup_delay_avg</t>
  </si>
  <si>
    <t>Initial_context_setup平均时延</t>
  </si>
  <si>
    <t>ue_context_release_request_sum</t>
  </si>
  <si>
    <t>ue_context_release_success_sum</t>
  </si>
  <si>
    <t>ue_context_release_fail_sum</t>
  </si>
  <si>
    <t>ue_context_release_timeout_sum</t>
  </si>
  <si>
    <t>ue_context_release_delay_avg</t>
  </si>
  <si>
    <t>UE上下文释放平均时延</t>
  </si>
  <si>
    <t>inter_redirect_request_sum</t>
  </si>
  <si>
    <t>inter_redirect_success_sum</t>
  </si>
  <si>
    <t>inter_redirect_fail_sum</t>
  </si>
  <si>
    <t>inter_redirect_timeout_sum</t>
  </si>
  <si>
    <t>inter_redirect_delay_avg</t>
  </si>
  <si>
    <t>系统间重定向平均时延</t>
  </si>
  <si>
    <t>identity_acquisition_request_sum</t>
  </si>
  <si>
    <t>identity_acquisition_success_sum</t>
  </si>
  <si>
    <t>identity_acquisition_fail_sum</t>
  </si>
  <si>
    <t>identity_acquisition_timeout_sum</t>
  </si>
  <si>
    <t>identity_acquisition_delay_avg</t>
  </si>
  <si>
    <t>身份获取平均时延</t>
  </si>
  <si>
    <t>authentication_request_sum</t>
  </si>
  <si>
    <t>authentication_success_sum</t>
  </si>
  <si>
    <t>authentication_fail_sum</t>
  </si>
  <si>
    <t>authentication_timeout_sum</t>
  </si>
  <si>
    <t>authentication_delay_avg</t>
  </si>
  <si>
    <t>鉴权平均时延</t>
  </si>
  <si>
    <t>security_activation_request_sum</t>
  </si>
  <si>
    <t>security_activation_success_sum</t>
  </si>
  <si>
    <t>security_activation_fail_sum</t>
  </si>
  <si>
    <t>security_activation_timeout_sum</t>
  </si>
  <si>
    <t>security_activation_delay_avg</t>
  </si>
  <si>
    <t>安全激活平均时延</t>
  </si>
  <si>
    <t>sms_request_sum</t>
  </si>
  <si>
    <t>sms_success_sum</t>
  </si>
  <si>
    <t>sms_fail_sum</t>
  </si>
  <si>
    <t>sms_timeout_sum</t>
  </si>
  <si>
    <t>sms_delay_avg</t>
  </si>
  <si>
    <t>SMS业务平均时延</t>
  </si>
  <si>
    <t>erab_setup_request_sum</t>
  </si>
  <si>
    <t>erab_setup_success_sum</t>
  </si>
  <si>
    <t>erab_setup_fail_sum</t>
  </si>
  <si>
    <t>erab_setup_timeout_sum</t>
  </si>
  <si>
    <t>erab_setup_delay_avg</t>
  </si>
  <si>
    <t>e-rab建立平均时延</t>
  </si>
  <si>
    <t>erab_modify_request_sum</t>
  </si>
  <si>
    <t>erab_modify_success_sum</t>
  </si>
  <si>
    <t>erab_modify_fail_sum</t>
  </si>
  <si>
    <t>erab_modify_timeout_sum</t>
  </si>
  <si>
    <t>erab_modify_delay_avg</t>
  </si>
  <si>
    <t>e-rab修改平均时延</t>
  </si>
  <si>
    <t>default_bearer_context_activation_request_sum</t>
  </si>
  <si>
    <t>default_bearer_context_activation_success_sum</t>
  </si>
  <si>
    <t>default_bearer_context_activation_fail_sum</t>
  </si>
  <si>
    <t>default_bearer_context_activation_timeout_sum</t>
  </si>
  <si>
    <t>default_bearer_context_activation_delay_avg</t>
  </si>
  <si>
    <t>默认承载激活平均时延</t>
  </si>
  <si>
    <t>cpservice_request_sum</t>
  </si>
  <si>
    <t>cpservice_success_sum</t>
  </si>
  <si>
    <t>cpservice_fail_sum</t>
  </si>
  <si>
    <t>cpservice_timeout_sum</t>
  </si>
  <si>
    <t>cpservice_delay_avg</t>
  </si>
  <si>
    <t>控制面业务平均时延</t>
  </si>
  <si>
    <t>nsa_request_sum</t>
  </si>
  <si>
    <t>nsa_success_sum</t>
  </si>
  <si>
    <t>nsa_fail_sum</t>
  </si>
  <si>
    <t>nsa_timeout_sum</t>
  </si>
  <si>
    <t>nsa_delay_avg</t>
  </si>
  <si>
    <t>NSA平均时延</t>
  </si>
  <si>
    <t>s1_ho_intra_out_request_sum</t>
  </si>
  <si>
    <t>s1_ho_intra_out_success_sum</t>
  </si>
  <si>
    <t>s1_ho_intra_out_fail_sum</t>
  </si>
  <si>
    <t>s1_ho_intra_out_timeout_sum</t>
  </si>
  <si>
    <t>s1_ho_intra_out_delay_avg</t>
  </si>
  <si>
    <t>系统内s1切换出平均时延</t>
  </si>
  <si>
    <t>s1mme_cnt</t>
  </si>
  <si>
    <t>s1mme信令总条数</t>
  </si>
  <si>
    <t>s1mme_success_cnt</t>
  </si>
  <si>
    <t>s1mme信令成功条数</t>
  </si>
  <si>
    <t>s1mme_fail_cnt</t>
  </si>
  <si>
    <t>s1mme信令失败条数</t>
  </si>
  <si>
    <t>s1mme_timeout_cnt</t>
  </si>
  <si>
    <t>s1mme信令超时条数</t>
  </si>
  <si>
    <t>normal_release_cnt</t>
  </si>
  <si>
    <t>sum(normal_release)</t>
  </si>
  <si>
    <t>abnor_release_cnt</t>
  </si>
  <si>
    <t>sum(abnor_release)</t>
  </si>
  <si>
    <t>min(procedure_starttime)</t>
  </si>
  <si>
    <t>max(procedure_endtime)</t>
  </si>
  <si>
    <t>attach_req</t>
  </si>
  <si>
    <t>attach请求次数</t>
  </si>
  <si>
    <t>sum(attach_request_sum)</t>
  </si>
  <si>
    <t>attach_suc</t>
  </si>
  <si>
    <t>attach成功次数</t>
  </si>
  <si>
    <t>sum(attach_success_sum)</t>
  </si>
  <si>
    <t>attach_suc_rate</t>
  </si>
  <si>
    <t>attach成功率</t>
  </si>
  <si>
    <t>sum(attach_success_sum)/sum(attach_request_sum)</t>
  </si>
  <si>
    <t>ho_req_cnt</t>
  </si>
  <si>
    <t>切换请求次数</t>
  </si>
  <si>
    <t>sum(x2_ho_request_sum+s1_ho_out_request_sum)</t>
  </si>
  <si>
    <t>ho_succ_cnt</t>
  </si>
  <si>
    <t>切换成功次数</t>
  </si>
  <si>
    <t>sum(x2_ho_success_sum+s1_ho_out_success_sum)</t>
  </si>
  <si>
    <t>sum(normal_release_cnt)</t>
  </si>
  <si>
    <t>掉线次数(异常释放次数）</t>
  </si>
  <si>
    <t>sum(abnor_release_cnt)</t>
  </si>
  <si>
    <t>ods_5gdpi_n1n2_e2e_telecom_5min</t>
  </si>
  <si>
    <t>5G N1N2贴源详单表</t>
  </si>
  <si>
    <t>5G电联工参</t>
  </si>
  <si>
    <t xml:space="preserve">必填字段。接口类型：
1：S1-U
2：S1-MME
3：S6a
4：S11
6：S5-C
14：L2TP
16：Gm信令面
28：Gm接口VoLTE会话xDR（Gm Session xDR）
29：Gm接口VoLTE切片xDR（Gm Slice xDR）
31：S1-U接口VoLTE切片xDR（S1-U Slice xDR）
35：Radius
50：N1N2
51：N4
52：N5
53：N7
54：N8
55：N10
56：N11
57：N12
58：N14
59：N15
66：N16
60：N22
61：N26
62：N40
63：N13
100：User Plane（5G SA指N3接口）
</t>
  </si>
  <si>
    <t>必填字段。采集解析服务器内唯一的xDR编号。一个信令流程或业务传输过程生成一个xDR ID。对于信令面xDR，一个xDR ID可能对应同一信令流程中的多条原始消息记录。</t>
  </si>
  <si>
    <t>永久用户标识。4G 填写用户IMSI。</t>
  </si>
  <si>
    <t>永久设备标识。4G填写IMEI/IMEISV。保持信令抽取的原样，无需进行IMEI和IMEISV间的转化。</t>
  </si>
  <si>
    <t>用户号码。</t>
  </si>
  <si>
    <t>RAT类型：取各接口码流中携带的值。如果接入类型为5G NR，将RAT值改写为10。</t>
  </si>
  <si>
    <t>用户的归属地省份，枚举定义参见附录G。对国际漫入用户时，该字段填写用户归属运营商PLMN。</t>
  </si>
  <si>
    <t xml:space="preserve"> 流程类型编码，具体取值如下：
0： Registration
1： De-registration
2： Service Request
3： UE Configuration Update
4： SMS
30： PDU Session Establishment
31： PDU Session Modification
32： PDU Session Release
60： N2 HO Out
61： N2 HO In
62： N2 HO Cancel
63： Xn HO
64： UE Context Release
73： UE Capability Info Indication
74： UE Radio Capability Check
75： Trace Start
76： Deactivate Trace
77： Cell traffic Trace
78： NG Reset
79： Error indication
80： NG Setup
81： RAN Configuration Update
82： AMF Configuration Update
83： Overload Start
84： Overload Stop</t>
  </si>
  <si>
    <t>procedure_start_time</t>
  </si>
  <si>
    <t>procedure_end_time</t>
  </si>
  <si>
    <t xml:space="preserve">流程状态
1：成功；
2：失败；
3：超时
</t>
  </si>
  <si>
    <t>request_cause_type</t>
  </si>
  <si>
    <t>标识流程请求消息中cause字段所对应的Cause Group。
失败原因类型，对于5G NAS流程：
1：5GMM
2：5GSM
对于NGAP流程：
1：Radio Network Layer
2：Transport Layer
3：NAS
4：Protocol
5：Misc
对于SMS流程：
1：CP Cause
2：RP Cause</t>
  </si>
  <si>
    <t>流程的请求消息中所包含的Cause值：
针对De-registration流程，填写De-registration Request消息中的Cause值；
针对PDU Session Modification流程，填写PDU Session Modification Request/PDU Session Modification Command消息中的Cause值；
针对PDU Session Release流程，填写PDU SessionRelease Request/PDU Session Release Command消息中的Cause值；
针对N2 Handover Out流程，填写HANDOVER REQUIRED消息中的Cause值；
针对N2 Handover In流程，填写HANDOVER REQUEST消息中的Cause值；
针对N2 Handover Cancel流程，填写HANDOVER CANCEL消息中的Cause值；
针对UE Context Release流程，填写UE Context Release Request或UE Context Release Command消息中的Cause值。
详见5.3.2.2.15</t>
  </si>
  <si>
    <t>failure_cause_type</t>
  </si>
  <si>
    <t>标识流程失败响应消息中cause字段所对应的Cause Group。
失败原因类型，对于5G NAS流程：
1：5GMM
2：5GSM
对于NGAP流程：
1：Radio Network Layer
2：Transport Layer
3：NAS
4：Protocol
5：Misc
对于SMS流程：
1：CP Cause
2：RP Cause</t>
  </si>
  <si>
    <t>流程失败响应消息中的值。
CauseValue，规范参见：
&gt; 5GMM具体CauseValue取值参见3GPP 24.501第9.11.3.2节Table 9.11.3.2.1；
&gt; 5GSM具体CauseValue取值参见3GPP 24.501第9.11.4.2节Table 9.11.4.2.1；
&gt; NGAP具体CauseValue取值参见3GPP 38.413第9.3.1.2节；
详见5.3.2.2.16</t>
  </si>
  <si>
    <t>辅助流程类型的关键参数信息，具体取值方式参见算法</t>
  </si>
  <si>
    <t>amf_ue_ngap_id</t>
  </si>
  <si>
    <t>AMF UE NGAP ID</t>
  </si>
  <si>
    <t>ran_ue_ngap_id</t>
  </si>
  <si>
    <t>RAN UE NGAP ID</t>
  </si>
  <si>
    <t>suci</t>
  </si>
  <si>
    <t>Subscription Concealed Identifier，参见3GPP 24.501 第9.11.3.4节，填写整个SUCI的ASCII形式</t>
  </si>
  <si>
    <t>设备IP地址类型
0x01：IPv4
0x02：IPv6</t>
  </si>
  <si>
    <t>amf_ip_add</t>
  </si>
  <si>
    <t>AMF信令面的IP地址；</t>
  </si>
  <si>
    <t>gnb_ip_add</t>
  </si>
  <si>
    <t>gNodeB信令面的IP地址；</t>
  </si>
  <si>
    <t>amf_port</t>
  </si>
  <si>
    <t>AMF IP地址对应的端口号；</t>
  </si>
  <si>
    <t>gnb_port</t>
  </si>
  <si>
    <t>gNodeBIP地址对应的端口号；</t>
  </si>
  <si>
    <t>old_amf_region_id</t>
  </si>
  <si>
    <t>原AMF区域标识，UE的5G-GUTI发生改变时填写</t>
  </si>
  <si>
    <t>old_amf_set_id</t>
  </si>
  <si>
    <t>原AMF集号，UE的5G-GUTI发生改变时填写</t>
  </si>
  <si>
    <t>old_amf_pointer</t>
  </si>
  <si>
    <t>原AMF号，UE的5G-GUTI发生改变时填写</t>
  </si>
  <si>
    <t>old_5g_tmsi</t>
  </si>
  <si>
    <t>UE的原5G-TMSI，UE的5G-GUTI发生改变时填写</t>
  </si>
  <si>
    <t>amf_region_id</t>
  </si>
  <si>
    <t>当前AMF区域标识</t>
  </si>
  <si>
    <t>amf_set_id</t>
  </si>
  <si>
    <t>当前AMF集合标识</t>
  </si>
  <si>
    <t>amf_pointer</t>
  </si>
  <si>
    <t>当前连接的AMF标识</t>
  </si>
  <si>
    <t>5g_tmsi</t>
  </si>
  <si>
    <t>UE当前的5G-TMSI</t>
  </si>
  <si>
    <t>other_location_type</t>
  </si>
  <si>
    <t>针对切换过程，填写对端位置类型
1：NR（nrLocation）
2：E-UTRAN（eutraLocation）
3：N3IWF（n3gaLocation）</t>
  </si>
  <si>
    <t>针对切换过程，填写对端TAC</t>
  </si>
  <si>
    <t>other_cell_id</t>
  </si>
  <si>
    <t>针对切换过程，填写对端Cell ID</t>
  </si>
  <si>
    <t>paging_tac_number</t>
  </si>
  <si>
    <t>寻呼TAC个数（5G仅支持TMSI寻呼）</t>
  </si>
  <si>
    <t>auth_type</t>
  </si>
  <si>
    <t>Primary Authentication鉴权类型：
1：5G-AKA，无EAP消息，有5G AV
2：EAP-AKA'，EAP Method Type = 50；
3：EAP-TLS，EAP Method Type = 13；</t>
  </si>
  <si>
    <t>selected_nas_ciphering_algorithm</t>
  </si>
  <si>
    <t>Security mode command消息中Selected NAS security algorithms IE的octet2 bit8-5取值，参考24.501 9.11.3.34节</t>
  </si>
  <si>
    <t>registration_result</t>
  </si>
  <si>
    <t>标识REGISTRATION ACCEPT消息中Registration result value的取值参见3GPP 24.501第9.11.3.6节</t>
  </si>
  <si>
    <t>de_registration_direction</t>
  </si>
  <si>
    <t>触发方式：
1：流程由UE发起
2：流程由网络侧发起</t>
  </si>
  <si>
    <t>auth_failure_direction</t>
  </si>
  <si>
    <t>5G AKA鉴权失败时，失败类型：
1：UE鉴权失败，收到Authentication failure
2：网络鉴权失败，收到Authentication reject</t>
  </si>
  <si>
    <t>selected_nas_integrity_protection_algorithm</t>
  </si>
  <si>
    <t>Security mode command消息中Selected NAS security algorithms IE的octet2 bit4-1取值，参考24.501 9.11.3.34节</t>
  </si>
  <si>
    <t>ues_usage_setting</t>
  </si>
  <si>
    <t>标识REGISTRATION REQUEST消息中“UE's usage setting”IE中“UE's usage setting”信息，取值：
0：voice centric
1：data centric
取值参见3GPP 24.501 第9.11.3.55节</t>
  </si>
  <si>
    <t>re_registration_flag</t>
  </si>
  <si>
    <t>填充De-registration type中Bit3的值，取值参考24.501 9.11.3.20</t>
  </si>
  <si>
    <t>s1_mode_support</t>
  </si>
  <si>
    <t>S1支持能力，5GMM capability--&gt;S1 mode，取值参考 24.501 9.11.3.1</t>
  </si>
  <si>
    <t>ims_vops</t>
  </si>
  <si>
    <t>5GS network feature support --&gt;IMS VoPS，取值参考24.501 9.11.3.5</t>
  </si>
  <si>
    <t>iwk_n26</t>
  </si>
  <si>
    <t>5GS network feature support --&gt;IWK N26，取值参考24.501 9.11.3.5</t>
  </si>
  <si>
    <t>mulit_homed_ipv6_support</t>
  </si>
  <si>
    <t>PDU session是否支持Mulit-homed Ipv6
请求消息中5GSM capability的octet3 bit2”，取值参考24.501 9.11.4.1
PDU Session Establishment和PDU session modification过程填写</t>
  </si>
  <si>
    <t>上行聚合最大比特率，kbps</t>
  </si>
  <si>
    <t>下行聚合最大比特率，kbps</t>
  </si>
  <si>
    <t>location_type</t>
  </si>
  <si>
    <t>tac</t>
  </si>
  <si>
    <t>流程结束时，UE当前所在的TAC</t>
  </si>
  <si>
    <t>ci</t>
  </si>
  <si>
    <t>流程结束时，UE所在的NR Cell ID/E-UTRAN Cell ID</t>
  </si>
  <si>
    <t>first_fail_trans_prot</t>
  </si>
  <si>
    <t>N1/N2接口信令流程中第一个失败的事务的协议层：
0：NGAP
1：5GSM
2：5GMM
如Registration流程中，发生鉴权失败，则填充鉴权失败的信息。</t>
  </si>
  <si>
    <t>first_fail_trans</t>
  </si>
  <si>
    <t>流程类型，具体取值参见附录K，由采集层填充</t>
  </si>
  <si>
    <t>first_fail_direction</t>
  </si>
  <si>
    <t>N1/N2接口信令流程中第一个失败的事务方向。
1：失败事务由AN发起
2：失败事务由AMF发起</t>
  </si>
  <si>
    <t>first_fail_cause_type</t>
  </si>
  <si>
    <t>标识流程失败响应消息中cause字段所对应的Cause Group。
失败原因类型，对于5G NAS流程：
1：5GMM
2：5GSM
对于NGAP流程：
1：Radio Network Layer
2：Transport Layer
3：NAS
4：Protocol
5：Misc</t>
  </si>
  <si>
    <t>first_fail_cause</t>
  </si>
  <si>
    <t>信令流程中第一个失败的事务原因码，即信令流程失败的直接原因，从失败消息的Cause信元中获取</t>
  </si>
  <si>
    <t>e2e_first_fail_trans_prot</t>
  </si>
  <si>
    <t>全流程第一拆线事务的协议，由合成层实现多接口关联后填写。
0：NGAP，标识第一拆线事务为N1/N2接口事务；
1：HTTP2，标识第一拆线事务为服务化接口事务。</t>
  </si>
  <si>
    <t>e2e_first_fail_trans</t>
  </si>
  <si>
    <t>全流程第一拆线事务类型，由合成层实现多接口关联后填写。
如E2E first fail trans prot字段为0：NGAP，则填充First fail trans；
如E2E first fail trans prot字段为1：HTTP2，则填充服务化接口单据中的Procedure Type字段。</t>
  </si>
  <si>
    <t>e2e_first_fail_cause_type</t>
  </si>
  <si>
    <t>全流程第一拆线事务失败原因的类型，由合成层实现多接口关联后填写。
N1/N2事务，填充first fail cause type字段值
服务化接口，填充对应单据的status code字段值</t>
  </si>
  <si>
    <t>e2e_first_fail_cause</t>
  </si>
  <si>
    <t xml:space="preserve">全流程第一拆线事务失败原因码，从失败的事务中获取，由合成层实现多接口关联后填写。
N1/N2事务，填充first fail cause字段值
服务化接口，填充对应单据的failure cause字段值。
</t>
  </si>
  <si>
    <t>pdu_session_number</t>
  </si>
  <si>
    <t>必填字段。整数值N，指示后续跟随的PDU Session信息的个数，每个PDU Session信息与一个会话相对应，其中包括以下多个字段： PDU Session ID，PDU Session Dnn，PDU Session 1 DNN type，操作结果，该PDU Session对应的用户面UPF侧及gNB侧的IP以及GTP-TEID。如果该信令过程不涉及对任何承载的操作，则该字段取值为0，此时该字段之后PDU Session信息的个数为0</t>
  </si>
  <si>
    <t>pdu_session_id</t>
  </si>
  <si>
    <t>第1个PDU Session Identity</t>
  </si>
  <si>
    <t>pdu_session_req_type</t>
  </si>
  <si>
    <t>第1个请求消息中的Request Type：
1：initial request
2：existing PDU session
3：initial emergency request
4：existing emergency PDU session
5：modification request
取值参见3GPP TS 24.501第9.11.3.47节</t>
  </si>
  <si>
    <t>pdu_session_type</t>
  </si>
  <si>
    <t>第1个应答消息中的PDU Session Type，取值:
1：IPv4
2：IPv6
3：IPv4v6
4：Unstructured
5：Ethernet</t>
  </si>
  <si>
    <t>pdu_session_dnn</t>
  </si>
  <si>
    <t>第1个Date Network Name,取值参考23.003 9.1节</t>
  </si>
  <si>
    <t>pdu_session_dnn_type</t>
  </si>
  <si>
    <t>第1个PDU Session连接类型，根据PDU SESSION ESTABLISHMENT ACCEPT消息中的DNN判断:
1：普通数据业务（含ctnet等）
2：VoLTE业务（含ims）
3：物联网业务（暂不识别，后面补充）
4：彩信业务（含ctwap）
254：未知其它业务</t>
  </si>
  <si>
    <t>pdu_session_direction</t>
  </si>
  <si>
    <t>第1个触发方式：
1：流程由UE发起
2：流程由AMF发起
PDU Session Modification流程填写</t>
  </si>
  <si>
    <t>pdu_sessionuser_ipv4</t>
  </si>
  <si>
    <t>pdusession_user_ipv6</t>
  </si>
  <si>
    <t>pdu_session_always_on_pdu_session_indication</t>
  </si>
  <si>
    <t>第1个永远在线PDU Session标识，Always-on PDU session indication：
0：Always-on PDU session not allowed
1：Always-on PDU session required
0xFF：无此信元
取值参考24.501 9.11.4.3章节</t>
  </si>
  <si>
    <t>pdu_session_req_ssc_mode</t>
  </si>
  <si>
    <t>第1个请求消息中PDU Session的SSC模式
选择的SSC模式，
PDU Session Establishment Accept中selected SSC mode，octet1的bit3-1：
取值参考 24.501 9.11.4.16节</t>
  </si>
  <si>
    <t>pdu_session_ssc_mode</t>
  </si>
  <si>
    <t>第1个应答消息中PDU Session的SSC模式</t>
  </si>
  <si>
    <t>pdu_session_ne_ip_type</t>
  </si>
  <si>
    <t>第1个设备IP地址类型
0x01：IPv4
0x02：IPv6</t>
  </si>
  <si>
    <t>pdu_session_n3_an_addr</t>
  </si>
  <si>
    <t>第1个PDU Session在N3接口AN侧的IP地址</t>
  </si>
  <si>
    <t>pdu_session_1_n3_upf_addr</t>
  </si>
  <si>
    <t>第1个PDU Session在N3接口UPF侧的IP地址</t>
  </si>
  <si>
    <t>pdu_session_1_n3_an_teid</t>
  </si>
  <si>
    <t>第1个PDU Session在N3接口AN侧的TEID</t>
  </si>
  <si>
    <t>pdu_session_1_n3_upf_teid</t>
  </si>
  <si>
    <t>第1个PDU Session在N3接口UPF侧的TEID</t>
  </si>
  <si>
    <t>pdu_session_1_status</t>
  </si>
  <si>
    <t>第1个PDU Session操作结果
1：建立成功
2：建立失败
3：修改成功
4：修改失败
5：释放成功
6：释放失败</t>
  </si>
  <si>
    <t>pdu_session_id_2</t>
  </si>
  <si>
    <t>第2个PDU Session Identity</t>
  </si>
  <si>
    <t>pdu_session_req_type_2</t>
  </si>
  <si>
    <t>第2个请求消息中的Request Type：
1：initial request
2：existing PDU session
3：initial emergency request
4：existing emergency PDU session
5：modification request
取值参见3GPP TS 24.501第9.11.3.47节</t>
  </si>
  <si>
    <t>pdu_session_type_2</t>
  </si>
  <si>
    <t>第2个应答消息中的PDU Session Type，取值:
1：IPv4
2：IPv6
3：IPv4v6
4：Unstructured
5：Ethernet</t>
  </si>
  <si>
    <t>pdu_session_dnn_2</t>
  </si>
  <si>
    <t>第2个Date Network Name,取值参考23.003 9.1节</t>
  </si>
  <si>
    <t>pdu_session_dnn_type_2</t>
  </si>
  <si>
    <t>第2个PDU Session连接类型，根据PDU SESSION ESTABLISHMENT ACCEPT消息中的DNN判断:
1：普通数据业务（含ctnet等）
2：VoLTE业务（含ims）
3：物联网业务（暂不识别，后面补充）
4：彩信业务（含ctwap）
254：未知其它业务</t>
  </si>
  <si>
    <t>pdu_session_direction_2</t>
  </si>
  <si>
    <t>第2个触发方式：
1：流程由UE发起
2：流程由AMF发起
PDU Session Modification流程填写</t>
  </si>
  <si>
    <t>pdu_sessionuser_ipv4_2</t>
  </si>
  <si>
    <t>pdusession_user_ipv6_2</t>
  </si>
  <si>
    <t>pdu_session_always_on_pdu_session_indication_2</t>
  </si>
  <si>
    <t>第2个永远在线PDU Session标识，Always-on PDU session indication：
0：Always-on PDU session not allowed
1：Always-on PDU session required
0xFF：无此信元
取值参考24.501 9.11.4.3章节</t>
  </si>
  <si>
    <t>pdu_session_req_ssc_mode_2</t>
  </si>
  <si>
    <t>第2个请求消息中PDU Session的SSC模式
选择的SSC模式，
PDU Session Establishment Accept中selected SSC mode，octet1的bit3-1：
取值参考 24.501 9.11.4.16节</t>
  </si>
  <si>
    <t>pdu_session_ssc_mode_2</t>
  </si>
  <si>
    <t>第2个应答消息中PDU Session的SSC模式</t>
  </si>
  <si>
    <t>pdu_session_ne_ip_type_2</t>
  </si>
  <si>
    <t>第2个设备IP地址类型
0x01：IPv4
0x02：IPv6</t>
  </si>
  <si>
    <t>pdu_session_n3_an_addr_2</t>
  </si>
  <si>
    <t>第2个PDU Session在N3接口AN侧的IP地址</t>
  </si>
  <si>
    <t>pdu_session_1_n3_upf_addr_2</t>
  </si>
  <si>
    <t>第2个PDU Session在N3接口UPF侧的IP地址</t>
  </si>
  <si>
    <t>pdu_session_1_n3_an_teid_2</t>
  </si>
  <si>
    <t>第2个PDU Session在N3接口AN侧的TEID</t>
  </si>
  <si>
    <t>pdu_session_1_n3_upf_teid_2</t>
  </si>
  <si>
    <t>第2个PDU Session在N3接口UPF侧的TEID</t>
  </si>
  <si>
    <t>pdu_session_1_status_2</t>
  </si>
  <si>
    <t>第2个PDU Session操作结果
1：建立成功
2：建立失败
3：修改成功
4：修改失败
5：释放成功
6：释放失败</t>
  </si>
  <si>
    <t>visit_province</t>
  </si>
  <si>
    <t>省，访问地归属省市</t>
  </si>
  <si>
    <t>区</t>
  </si>
  <si>
    <t>gnbname</t>
  </si>
  <si>
    <t>基站名称</t>
  </si>
  <si>
    <t>跟踪区码</t>
  </si>
  <si>
    <t>终端设备号，PEI取前8位</t>
  </si>
  <si>
    <t>regist_request</t>
  </si>
  <si>
    <t>注册请求次数</t>
  </si>
  <si>
    <t>regist_succ</t>
  </si>
  <si>
    <t>注册成功次数</t>
  </si>
  <si>
    <t>regist_fail</t>
  </si>
  <si>
    <t>注册失败次数</t>
  </si>
  <si>
    <t>regist_timeout</t>
  </si>
  <si>
    <t>注册超时次数</t>
  </si>
  <si>
    <t>regist_delay</t>
  </si>
  <si>
    <t>注册时延</t>
  </si>
  <si>
    <t>regist_init_request</t>
  </si>
  <si>
    <t>初始注册请求次数</t>
  </si>
  <si>
    <t>regist_init_succ</t>
  </si>
  <si>
    <t>初始注册成功次数</t>
  </si>
  <si>
    <t>regist_init_fail</t>
  </si>
  <si>
    <t>初始注册失败次数</t>
  </si>
  <si>
    <t>regist_init_timeout</t>
  </si>
  <si>
    <t>初始注册超时次数</t>
  </si>
  <si>
    <t>regist_init_delay</t>
  </si>
  <si>
    <t>初始注册时延</t>
  </si>
  <si>
    <t>regist_periodic_request</t>
  </si>
  <si>
    <t>周期性注册请求次数</t>
  </si>
  <si>
    <t>regist_periodic_succ</t>
  </si>
  <si>
    <t>周期性注册成功次数</t>
  </si>
  <si>
    <t>regist_periodic_fail</t>
  </si>
  <si>
    <t>周期性注册失败次数</t>
  </si>
  <si>
    <t>regist_periodic_timeout</t>
  </si>
  <si>
    <t>周期性注册超时次数</t>
  </si>
  <si>
    <t>regist_periodic_delay</t>
  </si>
  <si>
    <t>周期性注册时延</t>
  </si>
  <si>
    <t>regist_mobility_request</t>
  </si>
  <si>
    <t>移动性注册请求次数</t>
  </si>
  <si>
    <t>regist_mobility_succ</t>
  </si>
  <si>
    <t>移动性注册成功次数</t>
  </si>
  <si>
    <t>regist_mobility_fail</t>
  </si>
  <si>
    <t>移动性注册失败次数</t>
  </si>
  <si>
    <t>regist_mobility_timeout</t>
  </si>
  <si>
    <t>移动性注册超时次数</t>
  </si>
  <si>
    <t>regist_mobility_delay</t>
  </si>
  <si>
    <t>移动性注册时延</t>
  </si>
  <si>
    <t>regist_emergency_request</t>
  </si>
  <si>
    <t>紧急注册请求次数</t>
  </si>
  <si>
    <t>regist_emergency_succ</t>
  </si>
  <si>
    <t>紧急注册成功次数</t>
  </si>
  <si>
    <t>regist_emergency_fail</t>
  </si>
  <si>
    <t>紧急注册失败次数</t>
  </si>
  <si>
    <t>regist_emergency_timeout</t>
  </si>
  <si>
    <t>紧急注册超时次数</t>
  </si>
  <si>
    <t>regist_emergency_delay</t>
  </si>
  <si>
    <t>紧急注册时延</t>
  </si>
  <si>
    <t>deregist_request</t>
  </si>
  <si>
    <t>注销请求次数</t>
  </si>
  <si>
    <t>deregist_succ</t>
  </si>
  <si>
    <t>注销成功次数</t>
  </si>
  <si>
    <t>deregist_fail</t>
  </si>
  <si>
    <t>注销失败次数</t>
  </si>
  <si>
    <t>deregist_timeout</t>
  </si>
  <si>
    <t>注销超时次数</t>
  </si>
  <si>
    <t>deregist_delay</t>
  </si>
  <si>
    <t>注销超时时延</t>
  </si>
  <si>
    <t>deregist_ue_request</t>
  </si>
  <si>
    <t>UE侧注销请求次数</t>
  </si>
  <si>
    <t>deregist_ue_succ</t>
  </si>
  <si>
    <t>UE侧注销成功次数</t>
  </si>
  <si>
    <t>deregist_ue_fail</t>
  </si>
  <si>
    <t>UE侧注销失败次数</t>
  </si>
  <si>
    <t>deregist_ue_timeout</t>
  </si>
  <si>
    <t>UE侧注销超时次数</t>
  </si>
  <si>
    <t>deregist_ue_delay</t>
  </si>
  <si>
    <t>UE侧注销时延</t>
  </si>
  <si>
    <t>deregist_net_request</t>
  </si>
  <si>
    <t>网路侧注销请求次数</t>
  </si>
  <si>
    <t>deregist_net_succ</t>
  </si>
  <si>
    <t>网路侧注销成功次数</t>
  </si>
  <si>
    <t>deregist_net_fail</t>
  </si>
  <si>
    <t>网路侧注销失败次数</t>
  </si>
  <si>
    <t>deregist_net_timeout</t>
  </si>
  <si>
    <t>网路侧注销超时次数</t>
  </si>
  <si>
    <t>deregist_net_delay</t>
  </si>
  <si>
    <t>网路侧注销时延</t>
  </si>
  <si>
    <t>normal_deregist_ue_request</t>
  </si>
  <si>
    <t>普通UE侧注销请求次数</t>
  </si>
  <si>
    <t>normal_deregist_ue_succ</t>
  </si>
  <si>
    <t>普通UE侧注销成功次数</t>
  </si>
  <si>
    <t>normal_deregist_ue_fail</t>
  </si>
  <si>
    <t>普通UE侧注销失败次数</t>
  </si>
  <si>
    <t>normal_deregist_ue_timeout</t>
  </si>
  <si>
    <t>普通UE侧注销超时次数</t>
  </si>
  <si>
    <t>normal_deregist_ue_delay</t>
  </si>
  <si>
    <t>普通UE侧注销时延</t>
  </si>
  <si>
    <t>normal_deregist_net_request</t>
  </si>
  <si>
    <t>普通网路侧注销请求次数</t>
  </si>
  <si>
    <t>normal_deregist_net_succ</t>
  </si>
  <si>
    <t>普通网路侧注销成功次数</t>
  </si>
  <si>
    <t>normal_deregist_net_fail</t>
  </si>
  <si>
    <t>普通网路侧注销失败次数</t>
  </si>
  <si>
    <t>normal_deregist_net_timeout</t>
  </si>
  <si>
    <t>普通网路侧注销超时次数</t>
  </si>
  <si>
    <t>normal_deregist_net_delay</t>
  </si>
  <si>
    <t>普通网路侧注销时延</t>
  </si>
  <si>
    <t>switch_off_ue_request</t>
  </si>
  <si>
    <t>UE关机请求次数</t>
  </si>
  <si>
    <t>switch_off_ue_succ</t>
  </si>
  <si>
    <t>UE关机成功次数</t>
  </si>
  <si>
    <t>switch_off_ue_fail</t>
  </si>
  <si>
    <t>UE关机失败次数</t>
  </si>
  <si>
    <t>switch_off_ue_timeout</t>
  </si>
  <si>
    <t>UE关机超时次数</t>
  </si>
  <si>
    <t>switch_off_ue_delay</t>
  </si>
  <si>
    <t>UE关机注册时延</t>
  </si>
  <si>
    <t>switch_off_net_request</t>
  </si>
  <si>
    <t>网络侧关机请求次数</t>
  </si>
  <si>
    <t>switch_off_net_succ</t>
  </si>
  <si>
    <t>网络侧关机成功次数</t>
  </si>
  <si>
    <t>switch_off_net_fail</t>
  </si>
  <si>
    <t>网络侧关机失败次数</t>
  </si>
  <si>
    <t>switch_off_net_timeout</t>
  </si>
  <si>
    <t>网络侧关机超时次数</t>
  </si>
  <si>
    <t>switch_off_net_delay</t>
  </si>
  <si>
    <t>网络侧关机时延</t>
  </si>
  <si>
    <t>servicerequest_request</t>
  </si>
  <si>
    <t>业务请求次数</t>
  </si>
  <si>
    <t>servicerequest_succ</t>
  </si>
  <si>
    <t>servicerequest_fail</t>
  </si>
  <si>
    <t>servicerequest_timeout</t>
  </si>
  <si>
    <t>servicerequest_delay</t>
  </si>
  <si>
    <t>sms_service_request</t>
  </si>
  <si>
    <t>短信业务请求次数</t>
  </si>
  <si>
    <t>sms_service_succ</t>
  </si>
  <si>
    <t>短信业务成功次数</t>
  </si>
  <si>
    <t>sms_service_fail</t>
  </si>
  <si>
    <t>短信业务失败次数</t>
  </si>
  <si>
    <t>sms_service_timeout</t>
  </si>
  <si>
    <t>短信业务超时次数</t>
  </si>
  <si>
    <t>sms_service_delay</t>
  </si>
  <si>
    <t>短信业务时延</t>
  </si>
  <si>
    <t>sms_mo_request</t>
  </si>
  <si>
    <t>短信MO请求次数</t>
  </si>
  <si>
    <t>sms_mo_succ</t>
  </si>
  <si>
    <t>短信MO成功次数</t>
  </si>
  <si>
    <t>sms_mo_fail</t>
  </si>
  <si>
    <t>短信MO失败次数</t>
  </si>
  <si>
    <t>sms_mo_timeout</t>
  </si>
  <si>
    <t>短信MO超时次数</t>
  </si>
  <si>
    <t>sms_mo_delay</t>
  </si>
  <si>
    <t>短信MO时延</t>
  </si>
  <si>
    <t>sms_mt_request</t>
  </si>
  <si>
    <t>短信MT请求次数</t>
  </si>
  <si>
    <t>sms_mt_succ</t>
  </si>
  <si>
    <t>短信MT成功次数</t>
  </si>
  <si>
    <t>sms_mt_fail</t>
  </si>
  <si>
    <t>短信MT失败次数</t>
  </si>
  <si>
    <t>sms_mt_timeout</t>
  </si>
  <si>
    <t>短信MT超时次数</t>
  </si>
  <si>
    <t>sms_mt_delay</t>
  </si>
  <si>
    <t>短信MT时延</t>
  </si>
  <si>
    <t>sms_submit_request</t>
  </si>
  <si>
    <t>短信提交报告次数</t>
  </si>
  <si>
    <t>sms_submit_succ</t>
  </si>
  <si>
    <t>短信提交报告成功次数</t>
  </si>
  <si>
    <t>sms_submit_fail</t>
  </si>
  <si>
    <t>短信提交报告失败次数</t>
  </si>
  <si>
    <t>sms_submit_timeout</t>
  </si>
  <si>
    <t>短信提交报告超时次数</t>
  </si>
  <si>
    <t>sms_submit_delay</t>
  </si>
  <si>
    <t>短信提交报告总时延</t>
  </si>
  <si>
    <t>sms_issue_request</t>
  </si>
  <si>
    <t>短信下发报告次数</t>
  </si>
  <si>
    <t>sms_issue_succ</t>
  </si>
  <si>
    <t>短信下发报告成功次数</t>
  </si>
  <si>
    <t>sms_issue_fail</t>
  </si>
  <si>
    <t>短信下发报告失败次数</t>
  </si>
  <si>
    <t>sms_issue_timeout</t>
  </si>
  <si>
    <t>短信下发报告超时次数</t>
  </si>
  <si>
    <t>sms_issue_delay</t>
  </si>
  <si>
    <t>短信下发报告总时延</t>
  </si>
  <si>
    <t>sms_status_request</t>
  </si>
  <si>
    <t>短信状态报告发送次数</t>
  </si>
  <si>
    <t>sms_status_succ</t>
  </si>
  <si>
    <t>短信状态报告发送成功次数</t>
  </si>
  <si>
    <t>sms_status_fail</t>
  </si>
  <si>
    <t>短信状态报告发送失败次数</t>
  </si>
  <si>
    <t>sms_status_timeout</t>
  </si>
  <si>
    <t>短信状态报告发送超时次数</t>
  </si>
  <si>
    <t>sms_status_delay</t>
  </si>
  <si>
    <t>短信状态报告发送总时延</t>
  </si>
  <si>
    <t>sms_wappush_request</t>
  </si>
  <si>
    <t>短信接收WAPPUSH次数</t>
  </si>
  <si>
    <t>sms_wappush_succ</t>
  </si>
  <si>
    <t>短信接收WAPPUSH成功次数</t>
  </si>
  <si>
    <t>sms_wappush_fail</t>
  </si>
  <si>
    <t>短信接收WAPPUSH失败次数</t>
  </si>
  <si>
    <t>sms_wappush_timeout</t>
  </si>
  <si>
    <t>短信接收WAPPUSH超时次数</t>
  </si>
  <si>
    <t>sms_wappush_delay</t>
  </si>
  <si>
    <t>短信接收WAPPUSH总时延</t>
  </si>
  <si>
    <t>sms_rp_smma_request</t>
  </si>
  <si>
    <t>短信终端储存可用提醒次数</t>
  </si>
  <si>
    <t>sms_rp_smma_succ</t>
  </si>
  <si>
    <t>短信终端储存可用提醒成功次数</t>
  </si>
  <si>
    <t>sms_rp_smma_fail</t>
  </si>
  <si>
    <t>短信终端储存可用提醒失败次数</t>
  </si>
  <si>
    <t>sms_rp_smma_timeout</t>
  </si>
  <si>
    <t>短信终端储存可用提醒超时次数</t>
  </si>
  <si>
    <t>sms_rp_smma_delay</t>
  </si>
  <si>
    <t>短信终端储存可用提醒总时延</t>
  </si>
  <si>
    <t>pdusession_estab_request</t>
  </si>
  <si>
    <t>PDU会话建立请求次数</t>
  </si>
  <si>
    <t>pdusession_estab_succ</t>
  </si>
  <si>
    <t>PDU会话建立成功次数</t>
  </si>
  <si>
    <t>pdusession_estab_fail</t>
  </si>
  <si>
    <t>PDU会话建立失败次数</t>
  </si>
  <si>
    <t>pdusession_estab_timeout</t>
  </si>
  <si>
    <t>PDU会话建立超时次数</t>
  </si>
  <si>
    <t>pdusession_estab_delay</t>
  </si>
  <si>
    <t>PDU会话建立时延</t>
  </si>
  <si>
    <t>pdusession_modify_request</t>
  </si>
  <si>
    <t>PDU会话修改请求次数</t>
  </si>
  <si>
    <t>pdusession_modify_succ</t>
  </si>
  <si>
    <t>PDU会话修改成功次数</t>
  </si>
  <si>
    <t>pdusession_modify_fail</t>
  </si>
  <si>
    <t>PDU会话修改失败次数</t>
  </si>
  <si>
    <t>pdusession_modify_timeout</t>
  </si>
  <si>
    <t>PDU会话修改超时次数</t>
  </si>
  <si>
    <t>pdusession_modify_delay</t>
  </si>
  <si>
    <t>PDU会话修改时延</t>
  </si>
  <si>
    <t>pdusession_release_request</t>
  </si>
  <si>
    <t>PDU会话释放请求次数</t>
  </si>
  <si>
    <t>pdusession_release_succ</t>
  </si>
  <si>
    <t>PDU会话释放成功次数</t>
  </si>
  <si>
    <t>pdusession_release_fail</t>
  </si>
  <si>
    <t>PDU会话释放失败次数</t>
  </si>
  <si>
    <t>pdusession_release_timeout</t>
  </si>
  <si>
    <t>PDU会话释放超时次数</t>
  </si>
  <si>
    <t>pdusession_release_delay</t>
  </si>
  <si>
    <t>PDU会话释放时延</t>
  </si>
  <si>
    <t>n2ho_out_request</t>
  </si>
  <si>
    <t>N2切出请求次数</t>
  </si>
  <si>
    <t>n2ho_out_succ</t>
  </si>
  <si>
    <t>N2切出成功次数</t>
  </si>
  <si>
    <t>n2ho_out_fail</t>
  </si>
  <si>
    <t>N2切出失败次数</t>
  </si>
  <si>
    <t>n2ho_out_timeout</t>
  </si>
  <si>
    <t>N2切出超时次数</t>
  </si>
  <si>
    <t>n2ho_out_delay</t>
  </si>
  <si>
    <t>N2切出时延</t>
  </si>
  <si>
    <t>n2ho_out_intra5gs_request</t>
  </si>
  <si>
    <t>N2_Intra5GS切出请求次数</t>
  </si>
  <si>
    <t>n2ho_out_intra5gs_succ</t>
  </si>
  <si>
    <t>N2_Intra5GS切出成功次数</t>
  </si>
  <si>
    <t>n2ho_out_intra5gs_fail</t>
  </si>
  <si>
    <t>N2_Intra5GS切出失败次数</t>
  </si>
  <si>
    <t>n2ho_out_intra5gs_timeout</t>
  </si>
  <si>
    <t>N2_Intra5GS切出超时次数</t>
  </si>
  <si>
    <t>n2ho_out_intra5gs_delay</t>
  </si>
  <si>
    <t>N2_Intra5GS切出时延</t>
  </si>
  <si>
    <t>n2ho_out_5gstoeps_request</t>
  </si>
  <si>
    <t>N2_5GStoEPS切出请求次数</t>
  </si>
  <si>
    <t>n2ho_out_5gstoeps_succ</t>
  </si>
  <si>
    <t>N2_5GStoEPS切出成功次数</t>
  </si>
  <si>
    <t>n2ho_out_5gstoeps_fail</t>
  </si>
  <si>
    <t>N2_5GStoEPS切出失败次数</t>
  </si>
  <si>
    <t>n2ho_out_5gstoeps_timeout</t>
  </si>
  <si>
    <t>N2_5GStoEPS切出超时次数</t>
  </si>
  <si>
    <t>n2ho_out_5gstoeps_delay</t>
  </si>
  <si>
    <t>N2_5GStoEPS切出时延</t>
  </si>
  <si>
    <t>n2ho_out_epsto5gs_request</t>
  </si>
  <si>
    <t>N2_EPSto5GS切出请求次数</t>
  </si>
  <si>
    <t>n2ho_out_epsto5gs_succ</t>
  </si>
  <si>
    <t>N2_EPSto5GS切出成功次数</t>
  </si>
  <si>
    <t>n2ho_out_epsto5gs_fail</t>
  </si>
  <si>
    <t>N2_EPSto5GS切出失败次数</t>
  </si>
  <si>
    <t>n2ho_out_epsto5gs_timeout</t>
  </si>
  <si>
    <t>N2_EPSto5GS切出超时次数</t>
  </si>
  <si>
    <t>n2ho_out_epsto5gs_delay</t>
  </si>
  <si>
    <t>N2_EPSto5GS切出时延</t>
  </si>
  <si>
    <t>n2ho_in_request</t>
  </si>
  <si>
    <t>N2切入请求次数</t>
  </si>
  <si>
    <t>n2ho_in_succ</t>
  </si>
  <si>
    <t>N2切入成功次数</t>
  </si>
  <si>
    <t>n2ho_in_fail</t>
  </si>
  <si>
    <t>N2切入失败次数</t>
  </si>
  <si>
    <t>n2ho_in_timeout</t>
  </si>
  <si>
    <t>N2切入超时次数</t>
  </si>
  <si>
    <t>n2ho_in_delay</t>
  </si>
  <si>
    <t>N2切入时延</t>
  </si>
  <si>
    <t>n2ho_in_intra5gs_request</t>
  </si>
  <si>
    <t>N2_Intra5GS切入请求次数</t>
  </si>
  <si>
    <t>n2ho_in_intra5gs_succ</t>
  </si>
  <si>
    <t>N2_Intra5GS切入成功次数</t>
  </si>
  <si>
    <t>n2ho_in_intra5gs_fail</t>
  </si>
  <si>
    <t>N2_Intra5GS切入失败次数</t>
  </si>
  <si>
    <t>n2ho_in_intra5gs_timeinout</t>
  </si>
  <si>
    <t>N2_Intra5GS切入超时次数</t>
  </si>
  <si>
    <t>n2ho_in_intra5gs_delay</t>
  </si>
  <si>
    <t>N2_Intra5GS切入时延</t>
  </si>
  <si>
    <t>n2ho_in_5gstoeps_request</t>
  </si>
  <si>
    <t>N2_5GStoEPS切入请求次数</t>
  </si>
  <si>
    <t>n2ho_in_5gstoeps_succ</t>
  </si>
  <si>
    <t>N2_5GStoEPS切入成功次数</t>
  </si>
  <si>
    <t>n2ho_in_5gstoeps_fail</t>
  </si>
  <si>
    <t>N2_5GStoEPS切入失败次数</t>
  </si>
  <si>
    <t>n2ho_in_5gstoeps_timeinout</t>
  </si>
  <si>
    <t>N2_5GStoEPS切入超时次数</t>
  </si>
  <si>
    <t>n2ho_in_5gstoeps_delay</t>
  </si>
  <si>
    <t>N2_5GStoEPS切入时延</t>
  </si>
  <si>
    <t>n2ho_in_epsto5gs_request</t>
  </si>
  <si>
    <t>N2_EPSto5GS切入请求次数</t>
  </si>
  <si>
    <t>n2ho_in_epsto5gs_succ</t>
  </si>
  <si>
    <t>N2_EPSto5GS切入成功次数</t>
  </si>
  <si>
    <t>n2ho_in_epsto5gs_fail</t>
  </si>
  <si>
    <t>N2_EPSto5GS切入失败次数</t>
  </si>
  <si>
    <t>n2ho_in_epsto5gs_timeinout</t>
  </si>
  <si>
    <t>N2_EPSto5GS切入超时次数</t>
  </si>
  <si>
    <t>n2ho_in_epsto5gs_delay</t>
  </si>
  <si>
    <t>N2_EPSto5GS切入时延</t>
  </si>
  <si>
    <t>xnho_request</t>
  </si>
  <si>
    <t>Xn切换请求次数</t>
  </si>
  <si>
    <t>xnho_succ</t>
  </si>
  <si>
    <t>Xn切换成功次数</t>
  </si>
  <si>
    <t>xnho_fail</t>
  </si>
  <si>
    <t>Xn切换失败次数</t>
  </si>
  <si>
    <t>xnho_timeout</t>
  </si>
  <si>
    <t>Xn切换超时次数</t>
  </si>
  <si>
    <t>xnho_delay</t>
  </si>
  <si>
    <t>Xn切换时延</t>
  </si>
  <si>
    <t>auth_5g_aka_request</t>
  </si>
  <si>
    <t>5G_AKA_鉴权请求次数</t>
  </si>
  <si>
    <t>auth_eap_aka_request</t>
  </si>
  <si>
    <t>EAP_AKA_鉴权请求次数</t>
  </si>
  <si>
    <t>auth_eap_tls_request</t>
  </si>
  <si>
    <t>EAP_TLS_鉴权请求次数</t>
  </si>
  <si>
    <t>amr_ue_context_release_request</t>
  </si>
  <si>
    <t>AMF发起的UE上下文释放请求次数</t>
  </si>
  <si>
    <t>amr_ue_context_release_succ</t>
  </si>
  <si>
    <t>AMF发起的UE上下文释放成功次数</t>
  </si>
  <si>
    <t>amr_ue_context_release_fail</t>
  </si>
  <si>
    <t>AMF发起的UE上下文释放失败次数</t>
  </si>
  <si>
    <t>amr_ue_context_release_timeinout</t>
  </si>
  <si>
    <t>AMF发起的UE上下文释放超时次数</t>
  </si>
  <si>
    <t>amr_ue_context_release_delay</t>
  </si>
  <si>
    <t>AMF发起的UE上下文释放总时延</t>
  </si>
  <si>
    <t>an_ue_context_release_request</t>
  </si>
  <si>
    <t>AN发起的UE上下文释放请求次数</t>
  </si>
  <si>
    <t>an_ue_context_release_succ</t>
  </si>
  <si>
    <t>AN发起的UE上下文释放成功次数</t>
  </si>
  <si>
    <t>an_ue_context_release_fail</t>
  </si>
  <si>
    <t>AN发起的UE上下文释放失败次数</t>
  </si>
  <si>
    <t>an_ue_context_release_timeinout</t>
  </si>
  <si>
    <t>AN发起的UE上下文释放超时次数</t>
  </si>
  <si>
    <t>an_ue_context_release_delay</t>
  </si>
  <si>
    <t>AN发起的UE上下文释放总时延</t>
  </si>
  <si>
    <t>ran_configuration_update_request</t>
  </si>
  <si>
    <t>RAN配置更新请求次数</t>
  </si>
  <si>
    <t>ran_configuration_update_succ</t>
  </si>
  <si>
    <t>RAN配置更新成功次数</t>
  </si>
  <si>
    <t>ran_configuration_update_fail</t>
  </si>
  <si>
    <t>RAN配置更新失败次数</t>
  </si>
  <si>
    <t>ran_configuration_update_timeinout</t>
  </si>
  <si>
    <t>RAN配置更新超时次数</t>
  </si>
  <si>
    <t>ran_configuration_update_delay</t>
  </si>
  <si>
    <t>RAN配置更新总时延</t>
  </si>
  <si>
    <t>amf_configuration_update_request</t>
  </si>
  <si>
    <t>AMF配置更新请求次数</t>
  </si>
  <si>
    <t>amf_configuration_update_succ</t>
  </si>
  <si>
    <t>AMF配置更新成功次数</t>
  </si>
  <si>
    <t>amf_configuration_update_fail</t>
  </si>
  <si>
    <t>AMF配置更新失败次数</t>
  </si>
  <si>
    <t>amf_configuration_update_timeinout</t>
  </si>
  <si>
    <t>AMF配置更新超时次数</t>
  </si>
  <si>
    <t>amf_configuration_update_delay</t>
  </si>
  <si>
    <t>AMF配置更新总时延</t>
  </si>
  <si>
    <t>ng_reset_request</t>
  </si>
  <si>
    <t>NG_RESET请求次数</t>
  </si>
  <si>
    <t>ng_reset_succ</t>
  </si>
  <si>
    <t>NG_RESET成功次数</t>
  </si>
  <si>
    <t>ng_reset_fail</t>
  </si>
  <si>
    <t>NG_RESET失败次数</t>
  </si>
  <si>
    <t>ng_reset_timeinout</t>
  </si>
  <si>
    <t>NG_RESET超时次数</t>
  </si>
  <si>
    <t>ng_reset_delay</t>
  </si>
  <si>
    <t>NG_RESET总时延</t>
  </si>
  <si>
    <t>ng_setup_request</t>
  </si>
  <si>
    <t>NG_SETUP请求次数</t>
  </si>
  <si>
    <t>ng_setup_succ</t>
  </si>
  <si>
    <t>NG_SETUP成功次数</t>
  </si>
  <si>
    <t>ng_setup_fail</t>
  </si>
  <si>
    <t>NG_SETUP失败次数</t>
  </si>
  <si>
    <t>ng_setup_timeinout</t>
  </si>
  <si>
    <t>NG_SETUP超时次数</t>
  </si>
  <si>
    <t>ng_setup_delay</t>
  </si>
  <si>
    <t>NG_SETUP总时延</t>
  </si>
  <si>
    <t>ue_configuration_update_request</t>
  </si>
  <si>
    <t>ue配置更新请求次数</t>
  </si>
  <si>
    <t>ue_configuration_update_succ</t>
  </si>
  <si>
    <t>ue配置更新成功次数</t>
  </si>
  <si>
    <t>ue_configuration_update_fail</t>
  </si>
  <si>
    <t>ue配置更新失败次数</t>
  </si>
  <si>
    <t>ue_configuration_update_timeinout</t>
  </si>
  <si>
    <t>ue配置更新超时次数</t>
  </si>
  <si>
    <t>ue_configuration_update_delay</t>
  </si>
  <si>
    <t>ue配置更新总时延</t>
  </si>
  <si>
    <t>n2ho_out_epsfb_request</t>
  </si>
  <si>
    <t>EPS FB切出请求次数</t>
  </si>
  <si>
    <t>n2ho_out_epsfb_succ</t>
  </si>
  <si>
    <t>EPS FB切出成功次数</t>
  </si>
  <si>
    <t>n2ho_out_epsfb_fail</t>
  </si>
  <si>
    <t>EPS FB切出失败次数</t>
  </si>
  <si>
    <t>n2ho_out_epsfb_timeinout</t>
  </si>
  <si>
    <t>EPS FB切出超时次数</t>
  </si>
  <si>
    <t>n2ho_out_epsfb_delay</t>
  </si>
  <si>
    <t>EPS FB切出总时延</t>
  </si>
  <si>
    <t>n2ho_cancel_request</t>
  </si>
  <si>
    <t>N2切换取消请求次数</t>
  </si>
  <si>
    <t>n2ho_cance_succ</t>
  </si>
  <si>
    <t>N2切换取消成功次数</t>
  </si>
  <si>
    <t>n2ho_cancel_fail</t>
  </si>
  <si>
    <t>N2切换取消失败次数</t>
  </si>
  <si>
    <t>n2ho_cancel_timeinout</t>
  </si>
  <si>
    <t>N2切换取消超时次数</t>
  </si>
  <si>
    <t>n2ho_cancel_delay</t>
  </si>
  <si>
    <t>N2切换取消总时延</t>
  </si>
  <si>
    <t>case when procedure_type= 64 and procedure_status=1 and  nvl(failure_cause,request_cause) in ('20','0') then 1 else 0 end</t>
  </si>
  <si>
    <t>通过nvl(failure_cause,request_cause)与码表字段control_plane_code关联，取码表中对应的drop_flag=1对应的编码，能关联上则置为1，关联不上则置为0</t>
  </si>
  <si>
    <t>date</t>
  </si>
  <si>
    <t>时间</t>
  </si>
  <si>
    <t>流程请求原因组</t>
  </si>
  <si>
    <t>regist_request_sum</t>
  </si>
  <si>
    <t>regist_succ_sum</t>
  </si>
  <si>
    <t>regist_fail_sum</t>
  </si>
  <si>
    <t>regist_timeout_sum</t>
  </si>
  <si>
    <t>regist_delay_avg</t>
  </si>
  <si>
    <t>regist_init_request_sum</t>
  </si>
  <si>
    <t>regist_init_succ_sum</t>
  </si>
  <si>
    <t>regist_init_fail_sum</t>
  </si>
  <si>
    <t>regist_init_timeout_sum</t>
  </si>
  <si>
    <t>regist_init_delay_avg</t>
  </si>
  <si>
    <t>regist_periodic_request_sum</t>
  </si>
  <si>
    <t>regist_periodic_succ_sum</t>
  </si>
  <si>
    <t>regist_periodic_fail_sum</t>
  </si>
  <si>
    <t>regist_periodic_timeout_sum</t>
  </si>
  <si>
    <t>regist_periodic_delay_avg</t>
  </si>
  <si>
    <t>regist_mobility_request_sum</t>
  </si>
  <si>
    <t>regist_mobility_succ_sum</t>
  </si>
  <si>
    <t>regist_mobility_fail_sum</t>
  </si>
  <si>
    <t>regist_mobility_timeout_sum</t>
  </si>
  <si>
    <t>regist_mobility_delay_avg</t>
  </si>
  <si>
    <t>regist_emergency_request_sum</t>
  </si>
  <si>
    <t>regist_emergency_succ_sum</t>
  </si>
  <si>
    <t>regist_emergency_fail_sum</t>
  </si>
  <si>
    <t>regist_emergency_timeout_sum</t>
  </si>
  <si>
    <t>regist_emergency_delay_avg</t>
  </si>
  <si>
    <t>deregist_request_sum</t>
  </si>
  <si>
    <t>deregist_succ_sum</t>
  </si>
  <si>
    <t>deregist_fail_sum</t>
  </si>
  <si>
    <t>deregist_timeout_sum</t>
  </si>
  <si>
    <t>deregist_delay_avg</t>
  </si>
  <si>
    <t>deregist_ue_request_sum</t>
  </si>
  <si>
    <t>deregist_ue_succ_sum</t>
  </si>
  <si>
    <t>deregist_ue_fail_sum</t>
  </si>
  <si>
    <t>deregist_ue_timeout_sum</t>
  </si>
  <si>
    <t>deregist_ue_delay_avg</t>
  </si>
  <si>
    <t>deregist_net_request_sum</t>
  </si>
  <si>
    <t>deregist_net_succ_sum</t>
  </si>
  <si>
    <t>deregist_net_fail_sum</t>
  </si>
  <si>
    <t>deregist_net_timeout_sum</t>
  </si>
  <si>
    <t>deregist_net_delay_avg</t>
  </si>
  <si>
    <t>normal_deregist_ue_request_sum</t>
  </si>
  <si>
    <t>normal_deregist_ue_succ_sum</t>
  </si>
  <si>
    <t>normal_deregist_ue_fail_sum</t>
  </si>
  <si>
    <t>normal_deregist_ue_timeout_sum</t>
  </si>
  <si>
    <t>normal_deregist_ue_delay_avg</t>
  </si>
  <si>
    <t>normal_deregist_net_request_sum</t>
  </si>
  <si>
    <t>normal_deregist_net_succ_sum</t>
  </si>
  <si>
    <t>normal_deregist_net_fail_sum</t>
  </si>
  <si>
    <t>normal_deregist_net_timeout_sum</t>
  </si>
  <si>
    <t>normal_deregist_net_delay_avg</t>
  </si>
  <si>
    <t>switch_off_ue_request_sum</t>
  </si>
  <si>
    <t>switch_off_ue_succ_sum</t>
  </si>
  <si>
    <t>switch_off_ue_fail_sum</t>
  </si>
  <si>
    <t>switch_off_ue_timeout_sum</t>
  </si>
  <si>
    <t>switch_off_ue_delay_avg</t>
  </si>
  <si>
    <t>switch_off_net_request_sum</t>
  </si>
  <si>
    <t>switch_off_net_succ_sum</t>
  </si>
  <si>
    <t>switch_off_net_fail_sum</t>
  </si>
  <si>
    <t>switch_off_net_timeout_sum</t>
  </si>
  <si>
    <t>switch_off_net_delay_avg</t>
  </si>
  <si>
    <t>servicerequest_request_sum</t>
  </si>
  <si>
    <t>servicerequest_succ_sum</t>
  </si>
  <si>
    <t>servicerequest_fail_sum</t>
  </si>
  <si>
    <t>servicerequest_timeout_sum</t>
  </si>
  <si>
    <t>servicerequest_delay_avg</t>
  </si>
  <si>
    <t>sms_service_request_sum</t>
  </si>
  <si>
    <t>sms_service_succ_sum</t>
  </si>
  <si>
    <t>sms_service_fail_sum</t>
  </si>
  <si>
    <t>sms_service_timeout_sum</t>
  </si>
  <si>
    <t>sms_service_delay_sum</t>
  </si>
  <si>
    <t>短信业务总时延</t>
  </si>
  <si>
    <t>sms_mo_request_sum</t>
  </si>
  <si>
    <t>sms_mo_succ_sum</t>
  </si>
  <si>
    <t>sms_mo_fail_sum</t>
  </si>
  <si>
    <t>sms_mo_timeout_sum</t>
  </si>
  <si>
    <t>sms_mo_delay_sum</t>
  </si>
  <si>
    <t>短信MO总时延</t>
  </si>
  <si>
    <t>sms_mt_request_sum</t>
  </si>
  <si>
    <t>sms_mt_succ_sum</t>
  </si>
  <si>
    <t>sms_mt_fail_sum</t>
  </si>
  <si>
    <t>sms_mt_timeout_sum</t>
  </si>
  <si>
    <t>sms_mt_delay_sum</t>
  </si>
  <si>
    <t>短信MT总时延</t>
  </si>
  <si>
    <t>sms_submit_request_sum</t>
  </si>
  <si>
    <t>sms_submit_succ_sum</t>
  </si>
  <si>
    <t>sms_submit_fail_sum</t>
  </si>
  <si>
    <t>sms_submit_timeout_sum</t>
  </si>
  <si>
    <t>sms_submit_delay_avg</t>
  </si>
  <si>
    <t>sms_issue_request_sum</t>
  </si>
  <si>
    <t>sms_issue_succ_sum</t>
  </si>
  <si>
    <t>sms_issue_fail_sum</t>
  </si>
  <si>
    <t>sms_issue_timeout_sum</t>
  </si>
  <si>
    <t>sms_issue_delay_avg</t>
  </si>
  <si>
    <t>sms_status_request_sum</t>
  </si>
  <si>
    <t>sms_status_succ_sum</t>
  </si>
  <si>
    <t>sms_status_fail_sum</t>
  </si>
  <si>
    <t>sms_status_timeout_sum</t>
  </si>
  <si>
    <t>sms_status_delay_avg</t>
  </si>
  <si>
    <t>sms_wappush_request_sum</t>
  </si>
  <si>
    <t>sms_wappush_succ_sum</t>
  </si>
  <si>
    <t>sms_wappush_fail_sum</t>
  </si>
  <si>
    <t>sms_wappush_timeout_sum</t>
  </si>
  <si>
    <t>sms_wappush_delay_avg</t>
  </si>
  <si>
    <t>sms_rp_smma_request_sum</t>
  </si>
  <si>
    <t>sms_rp_smma_succ_sum</t>
  </si>
  <si>
    <t>sms_rp_smma_fail_sum</t>
  </si>
  <si>
    <t>sms_rp_smma_timeout_sum</t>
  </si>
  <si>
    <t>sms_rp_smma_delay_avg</t>
  </si>
  <si>
    <t>pdusession_estab_request_sum</t>
  </si>
  <si>
    <t>pdusession_estab_succ_sum</t>
  </si>
  <si>
    <t>pdusession_estab_fail_sum</t>
  </si>
  <si>
    <t>pdusession_estab_timeout_sum</t>
  </si>
  <si>
    <t>pdusession_estab_delay_avg</t>
  </si>
  <si>
    <t>pdusession_modify_request_sum</t>
  </si>
  <si>
    <t>pdusession_modify_succ_sum</t>
  </si>
  <si>
    <t>pdusession_modify_fail_sum</t>
  </si>
  <si>
    <t>pdusession_modify_timeout_sum</t>
  </si>
  <si>
    <t>pdusession_modify_delay_avg</t>
  </si>
  <si>
    <t>pdusession_release_request_sum</t>
  </si>
  <si>
    <t>pdusession_release_succ_sum</t>
  </si>
  <si>
    <t>pdusession_release_fail_sum</t>
  </si>
  <si>
    <t>pdusession_release_timeout_sum</t>
  </si>
  <si>
    <t>pdusession_release_delay_avg</t>
  </si>
  <si>
    <t>n2ho_out_request_sum</t>
  </si>
  <si>
    <t>n2ho_out_succ_sum</t>
  </si>
  <si>
    <t>n2ho_out_fail_sum</t>
  </si>
  <si>
    <t>n2ho_out_timeout_sum</t>
  </si>
  <si>
    <t>n2ho_out_delay_avg</t>
  </si>
  <si>
    <t>n2ho_out_intra5gs_request_sum</t>
  </si>
  <si>
    <t>n2ho_out_intra5gs_succ_sum</t>
  </si>
  <si>
    <t>n2ho_out_intra5gs_fail_sum</t>
  </si>
  <si>
    <t>n2ho_out_intra5gs_timeout_sum</t>
  </si>
  <si>
    <t>n2ho_out_intra5gs_delay_avg</t>
  </si>
  <si>
    <t>n2ho_out_5gstoeps_request_sum</t>
  </si>
  <si>
    <t>n2ho_out_5gstoeps_succ_sum</t>
  </si>
  <si>
    <t>n2ho_out_5gstoeps_fail_sum</t>
  </si>
  <si>
    <t>n2ho_out_5gstoeps_timeout_sum</t>
  </si>
  <si>
    <t>n2ho_out_5gstoeps_delay_avg</t>
  </si>
  <si>
    <t>n2ho_out_epsto5gs_request_sum</t>
  </si>
  <si>
    <t>n2ho_out_epsto5gs_succ_sum</t>
  </si>
  <si>
    <t>n2ho_out_epsto5gs_fail_sum</t>
  </si>
  <si>
    <t>n2ho_out_epsto5gs_timeout_sum</t>
  </si>
  <si>
    <t>n2ho_out_epsto5gs_delay_avg</t>
  </si>
  <si>
    <t>n2ho_in_request_sum</t>
  </si>
  <si>
    <t>n2ho_in_succ_sum</t>
  </si>
  <si>
    <t>n2ho_in_fail_sum</t>
  </si>
  <si>
    <t>n2ho_in_timeout_sum</t>
  </si>
  <si>
    <t>n2ho_in_delay_avg</t>
  </si>
  <si>
    <t>n2ho_in_intra5gs_request_sum</t>
  </si>
  <si>
    <t>n2ho_in_intra5gs_succ_sum</t>
  </si>
  <si>
    <t>n2ho_in_intra5gs_fail_sum</t>
  </si>
  <si>
    <t>n2ho_in_intra5gs_timeinout_sum</t>
  </si>
  <si>
    <t>n2ho_in_intra5gs_delay_avg</t>
  </si>
  <si>
    <t>n2ho_in_5gstoeps_request_sum</t>
  </si>
  <si>
    <t>n2ho_in_5gstoeps_succ_sum</t>
  </si>
  <si>
    <t>n2ho_in_5gstoeps_fail_sum</t>
  </si>
  <si>
    <t>n2ho_in_5gstoeps_timeinout_sum</t>
  </si>
  <si>
    <t>n2ho_in_5gstoeps_delay_avg</t>
  </si>
  <si>
    <t>n2ho_in_epsto5gs_request_sum</t>
  </si>
  <si>
    <t>n2ho_in_epsto5gs_succ_sum</t>
  </si>
  <si>
    <t>n2ho_in_epsto5gs_fail_sum</t>
  </si>
  <si>
    <t>n2ho_in_epsto5gs_timeinout_sum</t>
  </si>
  <si>
    <t>n2ho_in_epsto5gs_delay_avg</t>
  </si>
  <si>
    <t>xnho_request_sum</t>
  </si>
  <si>
    <t>xnho_succ_sum</t>
  </si>
  <si>
    <t>xnho_fail_sum</t>
  </si>
  <si>
    <t>xnho_timeout_sum</t>
  </si>
  <si>
    <t>xnho_delay_avg</t>
  </si>
  <si>
    <t>auth_5g_aka_request_sum</t>
  </si>
  <si>
    <t>auth_eap_aka_request_sum</t>
  </si>
  <si>
    <t>auth_eap_tls_request_sum</t>
  </si>
  <si>
    <t>amr_ue_context_release_request_sum</t>
  </si>
  <si>
    <t>amr_ue_context_release_succ_sum</t>
  </si>
  <si>
    <t>amr_ue_context_release_fail_sum</t>
  </si>
  <si>
    <t>amr_ue_context_release_timeinout_sum</t>
  </si>
  <si>
    <t>amr_ue_context_release_delay_avg</t>
  </si>
  <si>
    <t>AMF发起的UE上下文释放时延</t>
  </si>
  <si>
    <t>an_ue_context_release_request_sum</t>
  </si>
  <si>
    <t>an_ue_context_release_succ_sum</t>
  </si>
  <si>
    <t>an_ue_context_release_fail_sum</t>
  </si>
  <si>
    <t>an_ue_context_release_timeinout_sum</t>
  </si>
  <si>
    <t>an_ue_context_release_delay_avg</t>
  </si>
  <si>
    <t>AN发起的UE上下文释放时延</t>
  </si>
  <si>
    <t>ran_configuration_update_request_sum</t>
  </si>
  <si>
    <t>ran_configuration_update_succ_sum</t>
  </si>
  <si>
    <t>ran_configuration_update_fail_sum</t>
  </si>
  <si>
    <t>ran_configuration_update_timeinout_sum</t>
  </si>
  <si>
    <t>ran_configuration_update_delay_avg</t>
  </si>
  <si>
    <t>RAN配置更新时延</t>
  </si>
  <si>
    <t>amf_configuration_update_request_sum</t>
  </si>
  <si>
    <t>amf_configuration_update_succ_sum</t>
  </si>
  <si>
    <t>amf_configuration_update_fail_sum</t>
  </si>
  <si>
    <t>amf_configuration_update_timeinout_sum</t>
  </si>
  <si>
    <t>amf_configuration_update_delay_avg</t>
  </si>
  <si>
    <t>AMF配置更新时延</t>
  </si>
  <si>
    <t>ng_reset_request_sum</t>
  </si>
  <si>
    <t>ng_reset_succ_sum</t>
  </si>
  <si>
    <t>ng_reset_fail_sum</t>
  </si>
  <si>
    <t>ng_reset_timeinout_sum</t>
  </si>
  <si>
    <t>ng_reset_delay_avg</t>
  </si>
  <si>
    <t>NG_RESET时延</t>
  </si>
  <si>
    <t>ng_setup_request_sum</t>
  </si>
  <si>
    <t>ng_setup_succ_sum</t>
  </si>
  <si>
    <t>ng_setup_fail_sum</t>
  </si>
  <si>
    <t>ng_setup_timeinout_sum</t>
  </si>
  <si>
    <t>ng_setup_delay_avg</t>
  </si>
  <si>
    <t>NG_SETUP时延</t>
  </si>
  <si>
    <t>ue_configuration_update_request_sum</t>
  </si>
  <si>
    <t>ue_configuration_update_succ_sum</t>
  </si>
  <si>
    <t>ue_configuration_update_fail_sum</t>
  </si>
  <si>
    <t>ue_configuration_update_timeinout_sum</t>
  </si>
  <si>
    <t>ue_configuration_update_delay_avg</t>
  </si>
  <si>
    <t>ue配置更新时延</t>
  </si>
  <si>
    <t>n2ho_out_epsfb_request_sum</t>
  </si>
  <si>
    <t>n2ho_out_epsfb_succ_sum</t>
  </si>
  <si>
    <t>n2ho_out_epsfb_fail_sum</t>
  </si>
  <si>
    <t>n2ho_out_epsfb_timeinout_sum</t>
  </si>
  <si>
    <t>n2ho_out_epsfb_delay_sum</t>
  </si>
  <si>
    <t>n2ho_cancel_request_sum</t>
  </si>
  <si>
    <t>n2ho_cancel_succ_sum</t>
  </si>
  <si>
    <t>n2ho_cancel_fail_sum</t>
  </si>
  <si>
    <t>n2ho_cancel_timeout_sum</t>
  </si>
  <si>
    <t>n2ho_cancel_delay_sum</t>
  </si>
  <si>
    <t>n1n2_cnt</t>
  </si>
  <si>
    <t>n1n2信令总条数</t>
  </si>
  <si>
    <t>n1n2_success_cnt</t>
  </si>
  <si>
    <t>n1n2信令成功条数</t>
  </si>
  <si>
    <t>n1n2_fail_cnt</t>
  </si>
  <si>
    <t>n1n2信令失败条数</t>
  </si>
  <si>
    <t>n1n2_timeout_cnt</t>
  </si>
  <si>
    <t>n1n2信令超时条数</t>
  </si>
  <si>
    <t>pdu_session_number_sum</t>
  </si>
  <si>
    <t>procedureType_valid_cnt</t>
  </si>
  <si>
    <t>有效的业务流程次数</t>
  </si>
  <si>
    <t>min(procedure_start_time)</t>
  </si>
  <si>
    <t>max(procedure_end_time)</t>
  </si>
  <si>
    <t>regis_req</t>
  </si>
  <si>
    <t>regis请求次数</t>
  </si>
  <si>
    <t>sum(regist_request_sum)</t>
  </si>
  <si>
    <t>regis_suc</t>
  </si>
  <si>
    <t>regis成功次数</t>
  </si>
  <si>
    <t>sum(regist_succ_sum)</t>
  </si>
  <si>
    <t>regis_suc_rate</t>
  </si>
  <si>
    <t>regis成功率</t>
  </si>
  <si>
    <t>sum(regist_succ_sum)/sum(regist_request_sum)</t>
  </si>
  <si>
    <t>sum(n2ho_out_request_sum+xnho_request_sum)</t>
  </si>
  <si>
    <t>sum(n2ho_out_succ_sum+xnho_succ_sum)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</si>
</sst>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1"/>
      <color theme="1"/>
      <name val="等线"/>
      <charset val="134"/>
      <scheme val="minor"/>
    </font>
    <font>
      <sz val="9"/>
      <color theme="1"/>
      <name val="微软雅黑"/>
      <charset val="134"/>
    </font>
    <font>
      <u/>
      <sz val="9"/>
      <color rgb="FF0000FF"/>
      <name val="微软雅黑"/>
      <charset val="134"/>
    </font>
    <font>
      <sz val="9"/>
      <name val="微软雅黑"/>
      <charset val="134"/>
    </font>
    <font>
      <b/>
      <i/>
      <sz val="9"/>
      <name val="微软雅黑"/>
      <charset val="134"/>
    </font>
    <font>
      <b/>
      <sz val="9"/>
      <name val="微软雅黑"/>
      <charset val="134"/>
    </font>
    <font>
      <sz val="9"/>
      <color rgb="FFFF0000"/>
      <name val="微软雅黑"/>
      <charset val="134"/>
    </font>
    <font>
      <sz val="9"/>
      <color rgb="FFC00000"/>
      <name val="微软雅黑"/>
      <charset val="134"/>
    </font>
    <font>
      <sz val="11"/>
      <color theme="1"/>
      <name val="微软雅黑"/>
      <charset val="134"/>
    </font>
    <font>
      <u/>
      <sz val="11"/>
      <color rgb="FF0000FF"/>
      <name val="等线"/>
      <charset val="134"/>
      <scheme val="minor"/>
    </font>
    <font>
      <sz val="10"/>
      <name val="微软雅黑"/>
      <charset val="134"/>
    </font>
    <font>
      <b/>
      <i/>
      <sz val="12"/>
      <name val="微软雅黑"/>
      <charset val="134"/>
    </font>
    <font>
      <b/>
      <sz val="10"/>
      <name val="微软雅黑"/>
      <charset val="134"/>
    </font>
    <font>
      <sz val="9"/>
      <color indexed="8"/>
      <name val="微软雅黑"/>
      <charset val="134"/>
    </font>
    <font>
      <sz val="11"/>
      <color indexed="8"/>
      <name val="宋体"/>
      <charset val="134"/>
    </font>
    <font>
      <u/>
      <sz val="9"/>
      <color rgb="FF800080"/>
      <name val="微软雅黑"/>
      <charset val="134"/>
    </font>
    <font>
      <sz val="9"/>
      <color rgb="FF000000"/>
      <name val="微软雅黑"/>
      <charset val="134"/>
    </font>
    <font>
      <sz val="10"/>
      <color theme="1"/>
      <name val="等线"/>
      <charset val="134"/>
      <scheme val="minor"/>
    </font>
    <font>
      <sz val="10"/>
      <color theme="1"/>
      <name val="宋体"/>
      <charset val="134"/>
    </font>
    <font>
      <u/>
      <sz val="12"/>
      <color rgb="FF800080"/>
      <name val="等线"/>
      <charset val="134"/>
      <scheme val="minor"/>
    </font>
    <font>
      <sz val="10"/>
      <name val="宋体"/>
      <charset val="134"/>
    </font>
    <font>
      <b/>
      <i/>
      <sz val="12"/>
      <name val="宋体"/>
      <charset val="134"/>
    </font>
    <font>
      <b/>
      <sz val="10"/>
      <name val="等线"/>
      <charset val="134"/>
      <scheme val="minor"/>
    </font>
    <font>
      <sz val="10"/>
      <color rgb="FF000000"/>
      <name val="宋体"/>
      <charset val="134"/>
    </font>
    <font>
      <sz val="10"/>
      <name val="等线"/>
      <charset val="134"/>
      <scheme val="minor"/>
    </font>
    <font>
      <b/>
      <i/>
      <sz val="12"/>
      <name val="等线"/>
      <charset val="134"/>
      <scheme val="minor"/>
    </font>
    <font>
      <sz val="10"/>
      <color rgb="FF000000"/>
      <name val="微软雅黑"/>
      <charset val="134"/>
    </font>
    <font>
      <sz val="8"/>
      <color theme="1"/>
      <name val="微软雅黑"/>
      <charset val="134"/>
    </font>
    <font>
      <b/>
      <sz val="9"/>
      <color theme="1"/>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1"/>
      <name val="Calibri"/>
      <charset val="134"/>
    </font>
  </fonts>
  <fills count="4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9"/>
        <bgColor indexed="64"/>
      </patternFill>
    </fill>
    <fill>
      <patternFill patternType="solid">
        <fgColor indexed="50"/>
        <bgColor indexed="64"/>
      </patternFill>
    </fill>
    <fill>
      <patternFill patternType="solid">
        <fgColor rgb="FFFF0000"/>
        <bgColor indexed="64"/>
      </patternFill>
    </fill>
    <fill>
      <patternFill patternType="solid">
        <fgColor rgb="FF99CCFF"/>
        <bgColor rgb="FF000000"/>
      </patternFill>
    </fill>
    <fill>
      <patternFill patternType="solid">
        <fgColor theme="5" tint="0.799981688894314"/>
        <bgColor rgb="FF000000"/>
      </patternFill>
    </fill>
    <fill>
      <patternFill patternType="solid">
        <fgColor theme="5" tint="0.799981688894314"/>
        <bgColor indexed="64"/>
      </patternFill>
    </fill>
    <fill>
      <patternFill patternType="solid">
        <fgColor theme="5" tint="0.599993896298105"/>
        <bgColor indexed="64"/>
      </patternFill>
    </fill>
    <fill>
      <patternFill patternType="solid">
        <fgColor theme="8" tint="0.799829096346934"/>
        <bgColor indexed="64"/>
      </patternFill>
    </fill>
    <fill>
      <patternFill patternType="solid">
        <fgColor rgb="FFC00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17" borderId="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8" applyNumberFormat="0" applyFill="0" applyAlignment="0" applyProtection="0">
      <alignment vertical="center"/>
    </xf>
    <xf numFmtId="0" fontId="34" fillId="0" borderId="8" applyNumberFormat="0" applyFill="0" applyAlignment="0" applyProtection="0">
      <alignment vertical="center"/>
    </xf>
    <xf numFmtId="0" fontId="35" fillId="0" borderId="9" applyNumberFormat="0" applyFill="0" applyAlignment="0" applyProtection="0">
      <alignment vertical="center"/>
    </xf>
    <xf numFmtId="0" fontId="35" fillId="0" borderId="0" applyNumberFormat="0" applyFill="0" applyBorder="0" applyAlignment="0" applyProtection="0">
      <alignment vertical="center"/>
    </xf>
    <xf numFmtId="0" fontId="36" fillId="18" borderId="10" applyNumberFormat="0" applyAlignment="0" applyProtection="0">
      <alignment vertical="center"/>
    </xf>
    <xf numFmtId="0" fontId="37" fillId="19" borderId="11" applyNumberFormat="0" applyAlignment="0" applyProtection="0">
      <alignment vertical="center"/>
    </xf>
    <xf numFmtId="0" fontId="38" fillId="19" borderId="10" applyNumberFormat="0" applyAlignment="0" applyProtection="0">
      <alignment vertical="center"/>
    </xf>
    <xf numFmtId="0" fontId="39" fillId="20" borderId="12" applyNumberFormat="0" applyAlignment="0" applyProtection="0">
      <alignment vertical="center"/>
    </xf>
    <xf numFmtId="0" fontId="40" fillId="0" borderId="13" applyNumberFormat="0" applyFill="0" applyAlignment="0" applyProtection="0">
      <alignment vertical="center"/>
    </xf>
    <xf numFmtId="0" fontId="41" fillId="0" borderId="14" applyNumberFormat="0" applyFill="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5" fillId="4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7" fillId="0" borderId="0"/>
    <xf numFmtId="0" fontId="0" fillId="0" borderId="0">
      <alignment vertical="center"/>
    </xf>
    <xf numFmtId="0" fontId="0" fillId="0" borderId="0">
      <alignment vertical="center"/>
    </xf>
    <xf numFmtId="0" fontId="47" fillId="0" borderId="0">
      <alignment vertical="center"/>
    </xf>
    <xf numFmtId="0" fontId="48" fillId="0" borderId="0"/>
    <xf numFmtId="0" fontId="0" fillId="0" borderId="0"/>
    <xf numFmtId="0" fontId="0" fillId="0" borderId="0">
      <alignment vertical="center"/>
    </xf>
    <xf numFmtId="0" fontId="0" fillId="0" borderId="0"/>
    <xf numFmtId="0" fontId="0" fillId="0" borderId="0"/>
    <xf numFmtId="0" fontId="48" fillId="0" borderId="0"/>
    <xf numFmtId="0" fontId="48" fillId="0" borderId="0"/>
  </cellStyleXfs>
  <cellXfs count="195">
    <xf numFmtId="0" fontId="0" fillId="0" borderId="0" xfId="0"/>
    <xf numFmtId="0" fontId="1" fillId="0" borderId="0" xfId="54" applyFont="1" applyAlignment="1">
      <alignment vertical="center"/>
    </xf>
    <xf numFmtId="0" fontId="1" fillId="2" borderId="0" xfId="51" applyFont="1" applyFill="1">
      <alignment vertical="center"/>
    </xf>
    <xf numFmtId="0" fontId="1" fillId="0" borderId="0" xfId="51" applyFont="1" applyAlignment="1">
      <alignment horizontal="center" vertical="center"/>
    </xf>
    <xf numFmtId="0" fontId="1" fillId="0" borderId="0" xfId="51" applyFont="1">
      <alignment vertical="center"/>
    </xf>
    <xf numFmtId="0" fontId="2" fillId="3" borderId="0" xfId="6" applyNumberFormat="1" applyFont="1" applyFill="1" applyBorder="1" applyAlignment="1" applyProtection="1">
      <alignment horizontal="center" vertical="center"/>
    </xf>
    <xf numFmtId="0" fontId="3" fillId="4" borderId="1" xfId="51" applyFont="1" applyFill="1" applyBorder="1" applyAlignment="1">
      <alignment horizontal="center" vertical="center" wrapText="1"/>
    </xf>
    <xf numFmtId="0" fontId="4" fillId="5" borderId="1" xfId="51" applyFont="1" applyFill="1" applyBorder="1" applyAlignment="1">
      <alignment horizontal="center" vertical="center" wrapText="1"/>
    </xf>
    <xf numFmtId="0" fontId="5" fillId="6" borderId="1" xfId="51" applyFont="1" applyFill="1" applyBorder="1" applyAlignment="1">
      <alignment horizontal="center" vertical="center" wrapText="1"/>
    </xf>
    <xf numFmtId="0" fontId="3" fillId="0" borderId="1" xfId="51" applyFont="1" applyBorder="1" applyAlignment="1">
      <alignment horizontal="center" vertical="center" wrapText="1"/>
    </xf>
    <xf numFmtId="0" fontId="1" fillId="0" borderId="1" xfId="51" applyFont="1" applyBorder="1" applyAlignment="1">
      <alignment horizontal="left" vertical="center"/>
    </xf>
    <xf numFmtId="0" fontId="1" fillId="0" borderId="1" xfId="51" applyFont="1" applyBorder="1" applyAlignment="1">
      <alignment horizontal="center" vertical="center"/>
    </xf>
    <xf numFmtId="0" fontId="3" fillId="7" borderId="1" xfId="51" applyFont="1" applyFill="1" applyBorder="1" applyAlignment="1">
      <alignment horizontal="center" vertical="center" wrapText="1"/>
    </xf>
    <xf numFmtId="0" fontId="1" fillId="0" borderId="1" xfId="51" applyFont="1" applyBorder="1">
      <alignment vertical="center"/>
    </xf>
    <xf numFmtId="0" fontId="5" fillId="6" borderId="1" xfId="51" applyFont="1" applyFill="1" applyBorder="1" applyAlignment="1">
      <alignment horizontal="center" vertical="center"/>
    </xf>
    <xf numFmtId="0" fontId="3" fillId="7" borderId="2" xfId="57" applyFont="1" applyFill="1" applyBorder="1" applyAlignment="1">
      <alignment horizontal="center" vertical="center"/>
    </xf>
    <xf numFmtId="0" fontId="1" fillId="0" borderId="0" xfId="51" applyFont="1" applyAlignment="1">
      <alignment horizontal="left" vertical="center"/>
    </xf>
    <xf numFmtId="0" fontId="1" fillId="0" borderId="0" xfId="51" applyFont="1" applyAlignment="1">
      <alignment horizontal="center" vertical="center" wrapText="1"/>
    </xf>
    <xf numFmtId="0" fontId="5" fillId="6" borderId="1" xfId="51" applyFont="1" applyFill="1" applyBorder="1" applyAlignment="1">
      <alignment horizontal="left" vertical="center" wrapText="1"/>
    </xf>
    <xf numFmtId="0" fontId="1" fillId="0" borderId="1" xfId="51" applyFont="1" applyBorder="1" applyAlignment="1">
      <alignment horizontal="left" vertical="center" wrapText="1"/>
    </xf>
    <xf numFmtId="0" fontId="3" fillId="7" borderId="1" xfId="54" applyFont="1" applyFill="1" applyBorder="1" applyAlignment="1">
      <alignment horizontal="left" vertical="center" wrapText="1"/>
    </xf>
    <xf numFmtId="0" fontId="1" fillId="2" borderId="0" xfId="51" applyFont="1" applyFill="1" applyAlignment="1">
      <alignment horizontal="center" vertical="center"/>
    </xf>
    <xf numFmtId="0" fontId="1" fillId="2" borderId="1" xfId="51" applyFont="1" applyFill="1" applyBorder="1" applyAlignment="1">
      <alignment horizontal="left" vertical="center"/>
    </xf>
    <xf numFmtId="0" fontId="1" fillId="0" borderId="1" xfId="54" applyFont="1" applyBorder="1" applyAlignment="1">
      <alignment horizontal="left" vertical="center"/>
    </xf>
    <xf numFmtId="0" fontId="1" fillId="0" borderId="0" xfId="54" applyFont="1" applyAlignment="1">
      <alignment vertical="center" wrapText="1"/>
    </xf>
    <xf numFmtId="0" fontId="1" fillId="3" borderId="0" xfId="54" applyFont="1" applyFill="1" applyAlignment="1">
      <alignment vertical="center" wrapText="1"/>
    </xf>
    <xf numFmtId="0" fontId="1" fillId="0" borderId="1" xfId="54" applyFont="1" applyBorder="1" applyAlignment="1">
      <alignment horizontal="left" vertical="center" wrapText="1"/>
    </xf>
    <xf numFmtId="0" fontId="3" fillId="0" borderId="1" xfId="54" applyFont="1" applyBorder="1" applyAlignment="1">
      <alignment horizontal="left" vertical="center" wrapText="1"/>
    </xf>
    <xf numFmtId="0" fontId="1" fillId="3" borderId="1" xfId="51" applyFont="1" applyFill="1" applyBorder="1" applyAlignment="1">
      <alignment horizontal="left" vertical="center" wrapText="1"/>
    </xf>
    <xf numFmtId="0" fontId="1" fillId="3" borderId="1" xfId="51" applyFont="1" applyFill="1" applyBorder="1" applyAlignment="1">
      <alignment horizontal="left" vertical="center"/>
    </xf>
    <xf numFmtId="0" fontId="3" fillId="3" borderId="1" xfId="54" applyFont="1" applyFill="1" applyBorder="1" applyAlignment="1">
      <alignment horizontal="left" vertical="center" wrapText="1"/>
    </xf>
    <xf numFmtId="0" fontId="1" fillId="3" borderId="1" xfId="54" applyFont="1" applyFill="1" applyBorder="1" applyAlignment="1">
      <alignment horizontal="left" vertical="center" wrapText="1"/>
    </xf>
    <xf numFmtId="0" fontId="1" fillId="0" borderId="1" xfId="51" applyFont="1" applyBorder="1" applyAlignment="1">
      <alignment horizontal="center" vertical="center" wrapText="1"/>
    </xf>
    <xf numFmtId="0" fontId="1" fillId="3" borderId="0" xfId="54" applyFont="1" applyFill="1" applyAlignment="1">
      <alignment vertical="center"/>
    </xf>
    <xf numFmtId="0" fontId="1" fillId="3" borderId="1" xfId="54" applyFont="1" applyFill="1" applyBorder="1" applyAlignment="1">
      <alignment horizontal="left" vertical="center"/>
    </xf>
    <xf numFmtId="0" fontId="3" fillId="7" borderId="1" xfId="51" applyFont="1" applyFill="1" applyBorder="1" applyAlignment="1">
      <alignment horizontal="left" vertical="center"/>
    </xf>
    <xf numFmtId="0" fontId="1" fillId="3" borderId="0" xfId="51" applyFont="1" applyFill="1">
      <alignment vertical="center"/>
    </xf>
    <xf numFmtId="0" fontId="1" fillId="2" borderId="0" xfId="0" applyFont="1" applyFill="1" applyAlignment="1">
      <alignment vertical="center"/>
    </xf>
    <xf numFmtId="0" fontId="6" fillId="0" borderId="1" xfId="51" applyFont="1" applyBorder="1" applyAlignment="1">
      <alignment horizontal="left" vertical="center" wrapText="1"/>
    </xf>
    <xf numFmtId="0" fontId="1" fillId="0" borderId="1" xfId="51" applyFont="1" applyBorder="1" applyAlignment="1">
      <alignment vertical="center" wrapText="1"/>
    </xf>
    <xf numFmtId="0" fontId="1" fillId="0" borderId="0" xfId="54" applyFont="1" applyAlignment="1">
      <alignment horizontal="center" vertical="center"/>
    </xf>
    <xf numFmtId="0" fontId="1" fillId="3" borderId="0" xfId="51" applyFont="1" applyFill="1" applyAlignment="1">
      <alignment horizontal="center"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3" fillId="2" borderId="1" xfId="54" applyFont="1" applyFill="1" applyBorder="1" applyAlignment="1">
      <alignment horizontal="center" vertical="center" wrapText="1"/>
    </xf>
    <xf numFmtId="0" fontId="1" fillId="2" borderId="1" xfId="51" applyFont="1" applyFill="1" applyBorder="1" applyAlignment="1">
      <alignment vertical="center" wrapText="1"/>
    </xf>
    <xf numFmtId="0" fontId="3" fillId="2" borderId="1" xfId="54" applyFont="1" applyFill="1" applyBorder="1" applyAlignment="1">
      <alignment vertical="center" wrapText="1"/>
    </xf>
    <xf numFmtId="0" fontId="1" fillId="2" borderId="1" xfId="0" applyFont="1" applyFill="1" applyBorder="1" applyAlignment="1">
      <alignment horizontal="center" vertical="center"/>
    </xf>
    <xf numFmtId="0" fontId="1" fillId="2" borderId="1" xfId="54" applyFont="1" applyFill="1" applyBorder="1" applyAlignment="1">
      <alignment vertical="center"/>
    </xf>
    <xf numFmtId="0" fontId="6" fillId="3" borderId="0" xfId="54" applyFont="1" applyFill="1" applyAlignment="1">
      <alignment vertical="center"/>
    </xf>
    <xf numFmtId="0" fontId="1" fillId="3" borderId="0" xfId="0" applyFont="1" applyFill="1" applyAlignment="1">
      <alignment vertical="center"/>
    </xf>
    <xf numFmtId="0" fontId="1" fillId="0" borderId="3" xfId="51" applyFont="1" applyBorder="1" applyAlignment="1">
      <alignment horizontal="left" vertical="center" wrapText="1"/>
    </xf>
    <xf numFmtId="0" fontId="1" fillId="0" borderId="4" xfId="51" applyFont="1" applyBorder="1" applyAlignment="1">
      <alignment horizontal="left" vertical="center" wrapText="1"/>
    </xf>
    <xf numFmtId="0" fontId="3" fillId="7" borderId="1" xfId="54" applyFont="1" applyFill="1" applyBorder="1" applyAlignment="1">
      <alignment horizontal="center" vertical="center" wrapText="1"/>
    </xf>
    <xf numFmtId="0" fontId="3" fillId="7" borderId="1" xfId="54" applyFont="1" applyFill="1" applyBorder="1" applyAlignment="1">
      <alignment vertical="center" wrapText="1"/>
    </xf>
    <xf numFmtId="0" fontId="1" fillId="0" borderId="1" xfId="54" applyFont="1" applyBorder="1" applyAlignment="1">
      <alignment vertical="center"/>
    </xf>
    <xf numFmtId="0" fontId="6" fillId="3" borderId="1" xfId="51" applyFont="1" applyFill="1" applyBorder="1" applyAlignment="1">
      <alignment horizontal="center" vertical="center" wrapText="1"/>
    </xf>
    <xf numFmtId="0" fontId="6" fillId="3" borderId="1" xfId="51" applyFont="1" applyFill="1" applyBorder="1" applyAlignment="1">
      <alignment horizontal="left" vertical="center"/>
    </xf>
    <xf numFmtId="0" fontId="6" fillId="3" borderId="1" xfId="54" applyFont="1" applyFill="1" applyBorder="1" applyAlignment="1">
      <alignment horizontal="center" vertical="center" wrapText="1"/>
    </xf>
    <xf numFmtId="0" fontId="6" fillId="3" borderId="1" xfId="51" applyFont="1" applyFill="1" applyBorder="1" applyAlignment="1">
      <alignment vertical="center" wrapText="1"/>
    </xf>
    <xf numFmtId="0" fontId="6" fillId="3" borderId="1" xfId="54" applyFont="1" applyFill="1" applyBorder="1" applyAlignment="1">
      <alignment vertical="center" wrapText="1"/>
    </xf>
    <xf numFmtId="0" fontId="6" fillId="3" borderId="1" xfId="54" applyFont="1" applyFill="1" applyBorder="1" applyAlignment="1">
      <alignment vertical="center"/>
    </xf>
    <xf numFmtId="0" fontId="1" fillId="3" borderId="0" xfId="0" applyFont="1" applyFill="1" applyAlignment="1">
      <alignment horizontal="center" vertical="center"/>
    </xf>
    <xf numFmtId="0" fontId="1" fillId="3" borderId="1" xfId="0" applyFont="1" applyFill="1" applyBorder="1" applyAlignment="1">
      <alignment horizontal="center" vertical="center" wrapText="1"/>
    </xf>
    <xf numFmtId="0" fontId="3" fillId="3" borderId="1" xfId="54" applyFont="1" applyFill="1" applyBorder="1" applyAlignment="1">
      <alignment horizontal="center" vertical="center" wrapText="1"/>
    </xf>
    <xf numFmtId="0" fontId="1" fillId="3" borderId="1" xfId="51" applyFont="1" applyFill="1" applyBorder="1" applyAlignment="1">
      <alignment vertical="center" wrapText="1"/>
    </xf>
    <xf numFmtId="0" fontId="3" fillId="3" borderId="1" xfId="54" applyFont="1" applyFill="1" applyBorder="1" applyAlignment="1">
      <alignment vertical="center" wrapText="1"/>
    </xf>
    <xf numFmtId="0" fontId="1" fillId="3" borderId="1" xfId="0" applyFont="1" applyFill="1" applyBorder="1" applyAlignment="1">
      <alignment horizontal="center" vertical="center"/>
    </xf>
    <xf numFmtId="0" fontId="1" fillId="3" borderId="1" xfId="54" applyFont="1" applyFill="1" applyBorder="1" applyAlignment="1">
      <alignment vertical="center"/>
    </xf>
    <xf numFmtId="0" fontId="1" fillId="0" borderId="0" xfId="0" applyFont="1" applyAlignment="1">
      <alignment vertical="center"/>
    </xf>
    <xf numFmtId="0" fontId="6" fillId="3" borderId="1" xfId="51" applyFont="1" applyFill="1" applyBorder="1" applyAlignment="1">
      <alignment horizontal="left" vertical="center" wrapText="1"/>
    </xf>
    <xf numFmtId="0" fontId="6" fillId="3" borderId="1" xfId="54" applyFont="1" applyFill="1" applyBorder="1" applyAlignment="1">
      <alignment horizontal="left" vertical="center" wrapText="1"/>
    </xf>
    <xf numFmtId="0" fontId="6" fillId="3" borderId="0" xfId="54" applyFont="1" applyFill="1" applyAlignment="1">
      <alignment horizontal="center" vertical="center"/>
    </xf>
    <xf numFmtId="0" fontId="6" fillId="3" borderId="1" xfId="54" applyFont="1" applyFill="1" applyBorder="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center" vertical="center" wrapText="1"/>
    </xf>
    <xf numFmtId="0" fontId="1" fillId="0" borderId="5" xfId="51" applyFont="1" applyBorder="1" applyAlignment="1">
      <alignment horizontal="center" vertical="center" wrapText="1"/>
    </xf>
    <xf numFmtId="0" fontId="1" fillId="0" borderId="1" xfId="54" applyFont="1" applyBorder="1" applyAlignment="1">
      <alignment horizontal="center" vertical="center"/>
    </xf>
    <xf numFmtId="0" fontId="1" fillId="0" borderId="1" xfId="0" applyFont="1" applyBorder="1" applyAlignment="1">
      <alignment horizontal="center" vertical="center"/>
    </xf>
    <xf numFmtId="0" fontId="6" fillId="0" borderId="1" xfId="51" applyFont="1" applyBorder="1" applyAlignment="1">
      <alignment vertical="center" wrapText="1"/>
    </xf>
    <xf numFmtId="0" fontId="1" fillId="3" borderId="1" xfId="51" applyFont="1" applyFill="1" applyBorder="1" applyAlignment="1">
      <alignment horizontal="center" vertical="center" wrapText="1"/>
    </xf>
    <xf numFmtId="0" fontId="7" fillId="0" borderId="0" xfId="51" applyFont="1" applyAlignment="1">
      <alignment horizontal="center" vertical="center"/>
    </xf>
    <xf numFmtId="0" fontId="1" fillId="3" borderId="0" xfId="54" applyFont="1" applyFill="1" applyAlignment="1">
      <alignment horizontal="center" vertical="center"/>
    </xf>
    <xf numFmtId="0" fontId="6" fillId="3" borderId="1" xfId="51" applyFont="1" applyFill="1" applyBorder="1" applyAlignment="1">
      <alignment horizontal="center" vertical="center"/>
    </xf>
    <xf numFmtId="0" fontId="8" fillId="0" borderId="0" xfId="52" applyFont="1" applyAlignment="1">
      <alignment vertical="center" wrapText="1"/>
    </xf>
    <xf numFmtId="0" fontId="8" fillId="0" borderId="0" xfId="52" applyFont="1" applyAlignment="1">
      <alignment horizontal="center" vertical="center"/>
    </xf>
    <xf numFmtId="0" fontId="8" fillId="0" borderId="0" xfId="52" applyFont="1">
      <alignment vertical="center"/>
    </xf>
    <xf numFmtId="0" fontId="9" fillId="4" borderId="1" xfId="6" applyFill="1" applyBorder="1" applyAlignment="1">
      <alignment vertical="center" wrapText="1"/>
    </xf>
    <xf numFmtId="0" fontId="10" fillId="4" borderId="1" xfId="52" applyFont="1" applyFill="1" applyBorder="1" applyAlignment="1">
      <alignment vertical="center" wrapText="1"/>
    </xf>
    <xf numFmtId="0" fontId="11" fillId="5" borderId="1" xfId="52" applyFont="1" applyFill="1" applyBorder="1" applyAlignment="1">
      <alignment horizontal="center" vertical="center" wrapText="1"/>
    </xf>
    <xf numFmtId="0" fontId="12" fillId="6" borderId="1" xfId="52" applyFont="1" applyFill="1" applyBorder="1" applyAlignment="1">
      <alignment horizontal="center" vertical="center" wrapText="1"/>
    </xf>
    <xf numFmtId="0" fontId="8" fillId="0" borderId="1" xfId="52" applyFont="1" applyBorder="1">
      <alignment vertical="center"/>
    </xf>
    <xf numFmtId="0" fontId="1" fillId="0" borderId="1" xfId="52" applyFont="1" applyBorder="1">
      <alignment vertical="center"/>
    </xf>
    <xf numFmtId="0" fontId="1" fillId="0" borderId="1" xfId="52" applyFont="1" applyBorder="1" applyAlignment="1">
      <alignment horizontal="center" vertical="center"/>
    </xf>
    <xf numFmtId="0" fontId="3" fillId="0" borderId="1" xfId="52" applyFont="1" applyBorder="1" applyAlignment="1">
      <alignment horizontal="center" vertical="center" wrapText="1"/>
    </xf>
    <xf numFmtId="0" fontId="10" fillId="4" borderId="1" xfId="52" applyFont="1" applyFill="1" applyBorder="1" applyAlignment="1">
      <alignment horizontal="center" vertical="center" wrapText="1"/>
    </xf>
    <xf numFmtId="0" fontId="12" fillId="6" borderId="1" xfId="52" applyFont="1" applyFill="1" applyBorder="1" applyAlignment="1">
      <alignment horizontal="center" vertical="center"/>
    </xf>
    <xf numFmtId="0" fontId="3" fillId="0" borderId="1" xfId="57" applyFont="1" applyBorder="1" applyAlignment="1">
      <alignment horizontal="center" vertical="center"/>
    </xf>
    <xf numFmtId="0" fontId="4" fillId="8" borderId="5" xfId="52" applyFont="1" applyFill="1" applyBorder="1" applyAlignment="1">
      <alignment horizontal="center" vertical="center" wrapText="1"/>
    </xf>
    <xf numFmtId="0" fontId="4" fillId="8" borderId="6" xfId="52" applyFont="1" applyFill="1" applyBorder="1" applyAlignment="1">
      <alignment horizontal="center" vertical="center" wrapText="1"/>
    </xf>
    <xf numFmtId="0" fontId="5" fillId="6" borderId="1" xfId="52" applyFont="1" applyFill="1" applyBorder="1" applyAlignment="1">
      <alignment horizontal="center" vertical="center" wrapText="1"/>
    </xf>
    <xf numFmtId="0" fontId="13" fillId="2" borderId="1" xfId="52" applyFont="1" applyFill="1" applyBorder="1" applyAlignment="1">
      <alignment horizontal="left" vertical="center" wrapText="1"/>
    </xf>
    <xf numFmtId="0" fontId="13" fillId="0" borderId="1" xfId="52" applyFont="1" applyBorder="1" applyAlignment="1">
      <alignment horizontal="left" wrapText="1"/>
    </xf>
    <xf numFmtId="0" fontId="13" fillId="0" borderId="1" xfId="52" applyFont="1" applyBorder="1" applyAlignment="1">
      <alignment horizontal="left" vertical="center" wrapText="1"/>
    </xf>
    <xf numFmtId="0" fontId="1" fillId="0" borderId="1" xfId="52" applyFont="1" applyBorder="1" applyAlignment="1">
      <alignment horizontal="left" vertical="center"/>
    </xf>
    <xf numFmtId="0" fontId="1" fillId="2" borderId="1" xfId="52" applyFont="1" applyFill="1" applyBorder="1" applyAlignment="1">
      <alignment horizontal="left" vertical="center" wrapText="1"/>
    </xf>
    <xf numFmtId="0" fontId="1" fillId="0" borderId="1" xfId="52" applyFont="1" applyBorder="1" applyAlignment="1">
      <alignment horizontal="left" vertical="center" wrapText="1"/>
    </xf>
    <xf numFmtId="0" fontId="3" fillId="0" borderId="1" xfId="52" applyFont="1" applyBorder="1" applyAlignment="1">
      <alignment horizontal="left" vertical="center" wrapText="1"/>
    </xf>
    <xf numFmtId="0" fontId="8" fillId="9" borderId="0" xfId="52" applyFont="1" applyFill="1" applyAlignment="1">
      <alignment horizontal="center" vertical="center"/>
    </xf>
    <xf numFmtId="0" fontId="3" fillId="2" borderId="3" xfId="52" applyFont="1" applyFill="1" applyBorder="1" applyAlignment="1">
      <alignment horizontal="left" vertical="center" wrapText="1"/>
    </xf>
    <xf numFmtId="0" fontId="8" fillId="0" borderId="0" xfId="52" applyFont="1" applyAlignment="1">
      <alignment horizontal="center" vertical="center" wrapText="1"/>
    </xf>
    <xf numFmtId="0" fontId="13" fillId="2" borderId="1" xfId="52" applyFont="1" applyFill="1" applyBorder="1" applyAlignment="1">
      <alignment vertical="center" wrapText="1"/>
    </xf>
    <xf numFmtId="0" fontId="1" fillId="2" borderId="1" xfId="52" applyFont="1" applyFill="1" applyBorder="1" applyAlignment="1">
      <alignment horizontal="center" vertical="center" wrapText="1"/>
    </xf>
    <xf numFmtId="0" fontId="1" fillId="0" borderId="1" xfId="52" applyFont="1" applyBorder="1" applyAlignment="1">
      <alignment horizontal="center" vertical="center" wrapText="1"/>
    </xf>
    <xf numFmtId="0" fontId="13" fillId="0" borderId="1" xfId="52" applyFont="1" applyBorder="1" applyAlignment="1">
      <alignment vertical="center" wrapText="1"/>
    </xf>
    <xf numFmtId="0" fontId="13" fillId="0" borderId="1" xfId="52" applyFont="1" applyBorder="1">
      <alignment vertical="center"/>
    </xf>
    <xf numFmtId="0" fontId="4" fillId="8" borderId="2" xfId="52" applyFont="1" applyFill="1" applyBorder="1" applyAlignment="1">
      <alignment horizontal="center" vertical="center" wrapText="1"/>
    </xf>
    <xf numFmtId="0" fontId="3" fillId="3" borderId="1" xfId="52" applyFont="1" applyFill="1" applyBorder="1" applyAlignment="1">
      <alignment horizontal="left" vertical="center" wrapText="1"/>
    </xf>
    <xf numFmtId="0" fontId="1" fillId="0" borderId="1" xfId="54" applyFont="1" applyBorder="1" applyAlignment="1">
      <alignment vertical="center" wrapText="1"/>
    </xf>
    <xf numFmtId="0" fontId="3" fillId="2" borderId="1" xfId="52" applyFont="1" applyFill="1" applyBorder="1" applyAlignment="1">
      <alignment horizontal="left" vertical="center" wrapText="1"/>
    </xf>
    <xf numFmtId="0" fontId="3" fillId="0" borderId="1" xfId="52" applyFont="1" applyBorder="1" applyAlignment="1">
      <alignment horizontal="left" vertical="center"/>
    </xf>
    <xf numFmtId="0" fontId="3" fillId="0" borderId="0" xfId="52" applyFont="1" applyAlignment="1">
      <alignment horizontal="left" vertical="center" wrapText="1"/>
    </xf>
    <xf numFmtId="0" fontId="3" fillId="0" borderId="0" xfId="52" applyFont="1" applyAlignment="1">
      <alignment horizontal="left" vertical="center"/>
    </xf>
    <xf numFmtId="0" fontId="1" fillId="0" borderId="0" xfId="52" applyFont="1" applyAlignment="1">
      <alignment horizontal="left" vertical="center"/>
    </xf>
    <xf numFmtId="0" fontId="14" fillId="0" borderId="0" xfId="52" applyFont="1">
      <alignment vertical="center"/>
    </xf>
    <xf numFmtId="0" fontId="13" fillId="3" borderId="1" xfId="52" applyFont="1" applyFill="1" applyBorder="1">
      <alignment vertical="center"/>
    </xf>
    <xf numFmtId="0" fontId="15" fillId="3" borderId="0" xfId="6" applyNumberFormat="1" applyFont="1" applyFill="1" applyBorder="1" applyAlignment="1" applyProtection="1">
      <alignment horizontal="center" vertical="center"/>
    </xf>
    <xf numFmtId="0" fontId="3" fillId="7" borderId="1" xfId="57" applyFont="1" applyFill="1" applyBorder="1" applyAlignment="1">
      <alignment horizontal="center" vertical="center"/>
    </xf>
    <xf numFmtId="0" fontId="5" fillId="10" borderId="4" xfId="0" applyFont="1" applyFill="1" applyBorder="1" applyAlignment="1">
      <alignment horizontal="center" vertical="center" wrapText="1"/>
    </xf>
    <xf numFmtId="0" fontId="5" fillId="10" borderId="4" xfId="0" applyFont="1" applyFill="1" applyBorder="1" applyAlignment="1">
      <alignment horizontal="left" vertical="center" wrapText="1"/>
    </xf>
    <xf numFmtId="0" fontId="16" fillId="0" borderId="1" xfId="0" applyFont="1" applyBorder="1" applyAlignment="1">
      <alignment horizontal="left" vertical="center"/>
    </xf>
    <xf numFmtId="0" fontId="3" fillId="0" borderId="1" xfId="0" applyFont="1" applyBorder="1" applyAlignment="1">
      <alignment horizontal="left" vertical="center"/>
    </xf>
    <xf numFmtId="0" fontId="16" fillId="0" borderId="1" xfId="0" applyFont="1" applyBorder="1" applyAlignment="1">
      <alignment horizontal="left" vertical="center" wrapText="1"/>
    </xf>
    <xf numFmtId="0" fontId="16" fillId="11" borderId="1" xfId="0" applyFont="1" applyFill="1" applyBorder="1" applyAlignment="1">
      <alignment horizontal="left" vertical="center"/>
    </xf>
    <xf numFmtId="0" fontId="1" fillId="12" borderId="1" xfId="0" applyFont="1" applyFill="1" applyBorder="1" applyAlignment="1">
      <alignment horizontal="left" vertical="center"/>
    </xf>
    <xf numFmtId="0" fontId="1" fillId="0" borderId="3" xfId="51" applyFont="1" applyBorder="1" applyAlignment="1">
      <alignment horizontal="center" vertical="center"/>
    </xf>
    <xf numFmtId="0" fontId="1" fillId="0" borderId="4" xfId="51" applyFont="1" applyBorder="1" applyAlignment="1">
      <alignment horizontal="center" vertical="center"/>
    </xf>
    <xf numFmtId="0" fontId="3" fillId="0" borderId="1" xfId="0" applyFont="1" applyBorder="1" applyAlignment="1">
      <alignment horizontal="left" vertical="center" wrapText="1"/>
    </xf>
    <xf numFmtId="0" fontId="1" fillId="0" borderId="0" xfId="0" applyFont="1" applyAlignment="1">
      <alignment horizontal="left" vertical="center"/>
    </xf>
    <xf numFmtId="0" fontId="17" fillId="0" borderId="1" xfId="0" applyFont="1" applyBorder="1" applyAlignment="1">
      <alignment vertical="center"/>
    </xf>
    <xf numFmtId="0" fontId="18" fillId="0" borderId="1" xfId="0" applyFont="1" applyBorder="1" applyAlignment="1">
      <alignment horizontal="center" vertical="center"/>
    </xf>
    <xf numFmtId="0" fontId="17" fillId="13" borderId="1" xfId="0" applyFont="1" applyFill="1" applyBorder="1" applyAlignment="1">
      <alignment horizontal="center" vertical="center"/>
    </xf>
    <xf numFmtId="0" fontId="0" fillId="0" borderId="0" xfId="0" applyAlignment="1">
      <alignment vertical="center"/>
    </xf>
    <xf numFmtId="0" fontId="19" fillId="3" borderId="1" xfId="6" applyNumberFormat="1" applyFont="1" applyFill="1" applyBorder="1" applyAlignment="1" applyProtection="1">
      <alignment horizontal="center" vertical="center"/>
    </xf>
    <xf numFmtId="0" fontId="20" fillId="4"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17" fillId="0" borderId="1" xfId="0" applyFont="1" applyBorder="1" applyAlignment="1">
      <alignment horizontal="center" vertical="center"/>
    </xf>
    <xf numFmtId="0" fontId="22" fillId="6"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23" fillId="0" borderId="1" xfId="0" applyFont="1" applyBorder="1" applyAlignment="1">
      <alignment horizontal="left" vertical="center"/>
    </xf>
    <xf numFmtId="0" fontId="24" fillId="0" borderId="1" xfId="0" applyFont="1" applyBorder="1" applyAlignment="1">
      <alignment horizontal="center" vertical="center" wrapText="1"/>
    </xf>
    <xf numFmtId="0" fontId="22" fillId="6" borderId="1" xfId="0" applyFont="1" applyFill="1" applyBorder="1" applyAlignment="1">
      <alignment horizontal="center" vertical="center"/>
    </xf>
    <xf numFmtId="0" fontId="23" fillId="0" borderId="1" xfId="0" applyFont="1" applyBorder="1" applyAlignment="1">
      <alignment horizontal="center" vertical="center"/>
    </xf>
    <xf numFmtId="0" fontId="24" fillId="7" borderId="1" xfId="57" applyFont="1" applyFill="1" applyBorder="1" applyAlignment="1">
      <alignment horizontal="center" vertical="center"/>
    </xf>
    <xf numFmtId="0" fontId="0" fillId="0" borderId="1" xfId="0" applyBorder="1" applyAlignment="1">
      <alignment horizontal="center" vertical="center"/>
    </xf>
    <xf numFmtId="0" fontId="24" fillId="0" borderId="1" xfId="0" applyFont="1" applyBorder="1" applyAlignment="1">
      <alignment horizontal="center" vertical="center"/>
    </xf>
    <xf numFmtId="0" fontId="25" fillId="5" borderId="1" xfId="0" applyFont="1" applyFill="1" applyBorder="1" applyAlignment="1">
      <alignment horizontal="center" vertical="center" wrapText="1"/>
    </xf>
    <xf numFmtId="0" fontId="17" fillId="13" borderId="1" xfId="0" applyFont="1" applyFill="1" applyBorder="1" applyAlignment="1">
      <alignment horizontal="left" vertical="center"/>
    </xf>
    <xf numFmtId="0" fontId="17" fillId="0" borderId="0" xfId="0" applyFont="1" applyAlignment="1">
      <alignment vertical="center"/>
    </xf>
    <xf numFmtId="0" fontId="17" fillId="0" borderId="0" xfId="0" applyFont="1" applyAlignment="1">
      <alignment horizontal="center" vertical="center"/>
    </xf>
    <xf numFmtId="0" fontId="0" fillId="0" borderId="1" xfId="0" applyBorder="1" applyAlignment="1">
      <alignment vertical="center"/>
    </xf>
    <xf numFmtId="0" fontId="18" fillId="0" borderId="0" xfId="0" applyFont="1" applyAlignment="1">
      <alignment horizontal="center" vertical="center"/>
    </xf>
    <xf numFmtId="0" fontId="17" fillId="13" borderId="0" xfId="0" applyFont="1" applyFill="1" applyAlignment="1">
      <alignment horizontal="center" vertical="center"/>
    </xf>
    <xf numFmtId="0" fontId="17" fillId="0" borderId="2" xfId="0" applyFont="1" applyBorder="1" applyAlignment="1">
      <alignment vertical="center"/>
    </xf>
    <xf numFmtId="0" fontId="18" fillId="0" borderId="2" xfId="0" applyFont="1" applyBorder="1" applyAlignment="1">
      <alignment horizontal="center" vertical="center"/>
    </xf>
    <xf numFmtId="0" fontId="17" fillId="13" borderId="2" xfId="0" applyFont="1" applyFill="1" applyBorder="1" applyAlignment="1">
      <alignment horizontal="center" vertical="center"/>
    </xf>
    <xf numFmtId="0" fontId="26" fillId="0" borderId="1" xfId="49" applyFont="1" applyBorder="1" applyAlignment="1">
      <alignment horizontal="justify" vertical="center" wrapText="1"/>
    </xf>
    <xf numFmtId="0" fontId="1" fillId="12" borderId="1" xfId="51" applyFont="1" applyFill="1" applyBorder="1" applyAlignment="1">
      <alignment horizontal="left" vertical="center"/>
    </xf>
    <xf numFmtId="0" fontId="27" fillId="0" borderId="1" xfId="61" applyFont="1" applyBorder="1" applyAlignment="1">
      <alignment horizontal="center" vertical="center"/>
    </xf>
    <xf numFmtId="0" fontId="27" fillId="0" borderId="1" xfId="61" applyFont="1" applyBorder="1" applyAlignment="1">
      <alignment horizontal="center" vertical="center" wrapText="1"/>
    </xf>
    <xf numFmtId="0" fontId="27" fillId="0" borderId="0" xfId="51" applyFont="1" applyAlignment="1">
      <alignment horizontal="left" vertical="center" wrapText="1"/>
    </xf>
    <xf numFmtId="0" fontId="27" fillId="0" borderId="0" xfId="61" applyFont="1" applyAlignment="1">
      <alignment horizontal="center" vertical="center" wrapText="1"/>
    </xf>
    <xf numFmtId="0" fontId="27" fillId="0" borderId="1" xfId="61" applyFont="1" applyBorder="1" applyAlignment="1">
      <alignment vertical="center"/>
    </xf>
    <xf numFmtId="0" fontId="1" fillId="0" borderId="0" xfId="53" applyFont="1" applyAlignment="1">
      <alignment horizontal="center" vertical="center"/>
    </xf>
    <xf numFmtId="0" fontId="1" fillId="0" borderId="0" xfId="53" applyFont="1" applyAlignment="1">
      <alignment horizontal="left" vertical="center"/>
    </xf>
    <xf numFmtId="0" fontId="5" fillId="14" borderId="1" xfId="58" applyFont="1" applyFill="1" applyBorder="1" applyAlignment="1">
      <alignment horizontal="center" vertical="center" wrapText="1"/>
    </xf>
    <xf numFmtId="0" fontId="5" fillId="14" borderId="1" xfId="58" applyFont="1" applyFill="1" applyBorder="1" applyAlignment="1">
      <alignment horizontal="center" vertical="center"/>
    </xf>
    <xf numFmtId="0" fontId="15" fillId="0" borderId="1" xfId="6" applyFont="1" applyFill="1" applyBorder="1" applyAlignment="1">
      <alignment horizontal="center" vertical="center"/>
    </xf>
    <xf numFmtId="0" fontId="1" fillId="15" borderId="1" xfId="51" applyFont="1" applyFill="1" applyBorder="1" applyAlignment="1">
      <alignment horizontal="center" vertical="center"/>
    </xf>
    <xf numFmtId="0" fontId="15" fillId="15" borderId="1" xfId="6" applyFont="1" applyFill="1" applyBorder="1" applyAlignment="1">
      <alignment horizontal="center" vertical="center"/>
    </xf>
    <xf numFmtId="0" fontId="1" fillId="15" borderId="1" xfId="51" applyFont="1" applyFill="1" applyBorder="1" applyAlignment="1">
      <alignment horizontal="left" vertical="center"/>
    </xf>
    <xf numFmtId="0" fontId="1" fillId="15" borderId="1" xfId="53" applyFont="1" applyFill="1" applyBorder="1" applyAlignment="1">
      <alignment horizontal="left" vertical="center"/>
    </xf>
    <xf numFmtId="0" fontId="1" fillId="0" borderId="1" xfId="53" applyFont="1" applyBorder="1" applyAlignment="1">
      <alignment horizontal="left" vertical="center"/>
    </xf>
    <xf numFmtId="0" fontId="7" fillId="0" borderId="1" xfId="51" applyFont="1" applyBorder="1" applyAlignment="1">
      <alignment horizontal="left" vertical="center"/>
    </xf>
    <xf numFmtId="0" fontId="1" fillId="16" borderId="1" xfId="51" applyFont="1" applyFill="1" applyBorder="1" applyAlignment="1">
      <alignment horizontal="left" vertical="center"/>
    </xf>
    <xf numFmtId="0" fontId="2" fillId="0" borderId="1" xfId="6" applyFont="1" applyFill="1" applyBorder="1" applyAlignment="1">
      <alignment horizontal="center" vertical="center"/>
    </xf>
    <xf numFmtId="0" fontId="5" fillId="14" borderId="1" xfId="58" applyFont="1" applyFill="1" applyBorder="1" applyAlignment="1">
      <alignment horizontal="left" vertical="center" wrapText="1"/>
    </xf>
    <xf numFmtId="0" fontId="1" fillId="0" borderId="2" xfId="51" applyFont="1" applyBorder="1" applyAlignment="1">
      <alignment horizontal="left" vertical="center"/>
    </xf>
    <xf numFmtId="0" fontId="1" fillId="15" borderId="1" xfId="53" applyFont="1" applyFill="1" applyBorder="1" applyAlignment="1">
      <alignment horizontal="center" vertical="center"/>
    </xf>
    <xf numFmtId="0" fontId="5" fillId="3" borderId="1" xfId="58" applyFont="1" applyFill="1" applyBorder="1" applyAlignment="1">
      <alignment horizontal="center" vertical="center" wrapText="1"/>
    </xf>
    <xf numFmtId="0" fontId="28" fillId="9" borderId="1" xfId="53" applyFont="1" applyFill="1" applyBorder="1" applyAlignment="1">
      <alignment horizontal="center" vertical="center"/>
    </xf>
    <xf numFmtId="0" fontId="1" fillId="0" borderId="1" xfId="53" applyFont="1" applyBorder="1" applyAlignment="1">
      <alignment horizontal="center" vertical="center"/>
    </xf>
  </cellXfs>
  <cellStyles count="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Normal 2" xfId="50"/>
    <cellStyle name="常规 18 4" xfId="51"/>
    <cellStyle name="常规 18 4 2" xfId="52"/>
    <cellStyle name="常规 2" xfId="53"/>
    <cellStyle name="常规 2 2" xfId="54"/>
    <cellStyle name="常规 2 3" xfId="55"/>
    <cellStyle name="常规 2 3 10" xfId="56"/>
    <cellStyle name="常规 2 4" xfId="57"/>
    <cellStyle name="常规 2 7" xfId="58"/>
    <cellStyle name="常规 3" xfId="59"/>
    <cellStyle name="常规 3 2" xfId="60"/>
    <cellStyle name="常规 3 3" xfId="61"/>
    <cellStyle name="常规 4 2" xfId="62"/>
    <cellStyle name="常规 41" xfId="63"/>
    <cellStyle name="常规 49" xfId="6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5" Type="http://schemas.openxmlformats.org/officeDocument/2006/relationships/styles" Target="styles.xml"/><Relationship Id="rId54" Type="http://schemas.openxmlformats.org/officeDocument/2006/relationships/sharedStrings" Target="sharedStrings.xml"/><Relationship Id="rId53" Type="http://schemas.openxmlformats.org/officeDocument/2006/relationships/theme" Target="theme/theme1.xml"/><Relationship Id="rId52" Type="http://schemas.openxmlformats.org/officeDocument/2006/relationships/externalLink" Target="externalLinks/externalLink1.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E:\1. 22&#24180;&#39033;&#30446;\21&#12289;&#31227;&#21160;&#24863;&#30693;&#20445;&#38556;&#23376;&#31995;&#32479;\4&#25209;&#27425;&#38656;&#27714;-5GDPI S1U&#25968;&#25454;\5G DPI-S1U&#25968;&#25454;&#38656;&#27714;-&#27169;&#22411;&#35774;&#35745;-202308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1"/>
      <sheetName val="2"/>
      <sheetName val="3"/>
      <sheetName val="4"/>
      <sheetName val="5"/>
      <sheetName val="6"/>
      <sheetName val="7"/>
      <sheetName val="8"/>
      <sheetName val="9"/>
      <sheetName val="10"/>
    </sheetNames>
    <sheetDataSet>
      <sheetData sheetId="0"/>
      <sheetData sheetId="1"/>
      <sheetData sheetId="2"/>
      <sheetData sheetId="3"/>
      <sheetData sheetId="4">
        <row r="1">
          <cell r="B1" t="str">
            <v>字段名</v>
          </cell>
          <cell r="C1" t="str">
            <v>数据类型</v>
          </cell>
          <cell r="D1" t="str">
            <v>字段说明</v>
          </cell>
        </row>
        <row r="2">
          <cell r="B2" t="str">
            <v>interface</v>
          </cell>
          <cell r="C2" t="str">
            <v>int</v>
          </cell>
          <cell r="D2" t="str">
            <v>接口</v>
          </cell>
        </row>
        <row r="3">
          <cell r="B3" t="str">
            <v>supi</v>
          </cell>
          <cell r="C3" t="str">
            <v>string</v>
          </cell>
          <cell r="D3" t="str">
            <v>永久用户标识</v>
          </cell>
        </row>
        <row r="4">
          <cell r="B4" t="str">
            <v>msisdn</v>
          </cell>
          <cell r="C4" t="str">
            <v>string</v>
          </cell>
          <cell r="D4" t="str">
            <v>用户号码</v>
          </cell>
        </row>
        <row r="5">
          <cell r="B5" t="str">
            <v>pei</v>
          </cell>
          <cell r="C5" t="str">
            <v>string</v>
          </cell>
          <cell r="D5" t="str">
            <v>永久设备标识</v>
          </cell>
        </row>
        <row r="6">
          <cell r="B6" t="str">
            <v>dnn_apn</v>
          </cell>
          <cell r="C6" t="str">
            <v>string</v>
          </cell>
          <cell r="D6" t="str">
            <v>网络接入标识</v>
          </cell>
        </row>
        <row r="7">
          <cell r="B7" t="str">
            <v>destinationip</v>
          </cell>
          <cell r="C7" t="str">
            <v>string</v>
          </cell>
          <cell r="D7" t="str">
            <v>用户访问的目标IPv4或IPv6地址</v>
          </cell>
        </row>
        <row r="8">
          <cell r="B8" t="str">
            <v>destinationport</v>
          </cell>
          <cell r="C8" t="str">
            <v>int</v>
          </cell>
          <cell r="D8" t="str">
            <v>用户访问的目标端口号</v>
          </cell>
        </row>
        <row r="9">
          <cell r="B9" t="str">
            <v>sourceip</v>
          </cell>
          <cell r="C9" t="str">
            <v>string</v>
          </cell>
          <cell r="D9" t="str">
            <v>用户访问外部网络时使用的IPv4或IPv6地址</v>
          </cell>
        </row>
        <row r="10">
          <cell r="B10" t="str">
            <v>sourceport</v>
          </cell>
          <cell r="C10" t="str">
            <v>int</v>
          </cell>
          <cell r="D10" t="str">
            <v>用户访问外部网络时使用的端口号</v>
          </cell>
        </row>
        <row r="11">
          <cell r="B11" t="str">
            <v>upfip</v>
          </cell>
          <cell r="C11" t="str">
            <v>string</v>
          </cell>
          <cell r="D11" t="str">
            <v>UPF的IPv4或IPv6地址</v>
          </cell>
        </row>
        <row r="12">
          <cell r="B12" t="str">
            <v>ncgi</v>
          </cell>
          <cell r="C12" t="str">
            <v>string</v>
          </cell>
          <cell r="D12" t="str">
            <v>NCGI：NR 小区全局标识符，MCC+MNC+NRCELLID；</v>
          </cell>
        </row>
        <row r="13">
          <cell r="B13" t="str">
            <v>tai</v>
          </cell>
          <cell r="C13" t="str">
            <v>string</v>
          </cell>
          <cell r="D13" t="str">
            <v>跟踪区标识</v>
          </cell>
        </row>
        <row r="14">
          <cell r="B14" t="str">
            <v>visitedplmnid</v>
          </cell>
          <cell r="C14" t="str">
            <v>string</v>
          </cell>
          <cell r="D14" t="str">
            <v>拜访网络标识</v>
          </cell>
        </row>
        <row r="15">
          <cell r="B15" t="str">
            <v>rattype</v>
          </cell>
          <cell r="C15" t="str">
            <v>int</v>
          </cell>
          <cell r="D15" t="str">
            <v>用户所接入的网络类型</v>
          </cell>
        </row>
        <row r="16">
          <cell r="B16" t="str">
            <v>protocolid</v>
          </cell>
          <cell r="C16" t="str">
            <v>int</v>
          </cell>
          <cell r="D16" t="str">
            <v>协议类型，参见附录J</v>
          </cell>
        </row>
        <row r="17">
          <cell r="B17" t="str">
            <v>servicetype</v>
          </cell>
          <cell r="C17" t="str">
            <v>string</v>
          </cell>
          <cell r="D17" t="str">
            <v>业务应用</v>
          </cell>
        </row>
        <row r="18">
          <cell r="B18" t="str">
            <v>starttime</v>
          </cell>
          <cell r="C18" t="str">
            <v>timestamp</v>
          </cell>
          <cell r="D18" t="str">
            <v>业务流开始时间，格式为YYYYMMDDhhmmss（24小时制），如果开启中间记录模式，每条记录都填写相同的开始时间。</v>
          </cell>
        </row>
        <row r="19">
          <cell r="B19" t="str">
            <v>endtime</v>
          </cell>
          <cell r="C19" t="str">
            <v>timestamp</v>
          </cell>
          <cell r="D19" t="str">
            <v>业务流结束时间，格式为YYYYMMDDhhmmss（24小时制），如果开启中间记录模式，只在最后一条记录填写结束时间。</v>
          </cell>
        </row>
        <row r="20">
          <cell r="B20" t="str">
            <v>duration</v>
          </cell>
          <cell r="C20" t="str">
            <v>bigint</v>
          </cell>
          <cell r="D20" t="str">
            <v>持续时间，单位毫秒</v>
          </cell>
        </row>
        <row r="21">
          <cell r="B21" t="str">
            <v>inputoctets</v>
          </cell>
          <cell r="C21" t="str">
            <v>bigint</v>
          </cell>
          <cell r="D21" t="str">
            <v>发给用户的业务字节数</v>
          </cell>
        </row>
        <row r="22">
          <cell r="B22" t="str">
            <v>outputoctets</v>
          </cell>
          <cell r="C22" t="str">
            <v>bigint</v>
          </cell>
          <cell r="D22" t="str">
            <v>用户发出的业务字节数</v>
          </cell>
        </row>
        <row r="23">
          <cell r="B23" t="str">
            <v>inputpacket</v>
          </cell>
          <cell r="C23" t="str">
            <v>bigint</v>
          </cell>
          <cell r="D23" t="str">
            <v>发给用户的业务数据包数量</v>
          </cell>
        </row>
        <row r="24">
          <cell r="B24" t="str">
            <v>outputpacket</v>
          </cell>
          <cell r="C24" t="str">
            <v>bigint</v>
          </cell>
          <cell r="D24" t="str">
            <v>用户发出的业务数据包数量</v>
          </cell>
        </row>
        <row r="25">
          <cell r="B25" t="str">
            <v>pduconnectionid</v>
          </cell>
          <cell r="C25" t="str">
            <v>timestamp</v>
          </cell>
          <cell r="D25" t="str">
            <v>PDU连接的ID标识号</v>
          </cell>
        </row>
        <row r="26">
          <cell r="B26" t="str">
            <v>recordclosecause</v>
          </cell>
          <cell r="C26" t="str">
            <v>int</v>
          </cell>
          <cell r="D26" t="str">
            <v>记录关闭原因</v>
          </cell>
        </row>
        <row r="27">
          <cell r="B27" t="str">
            <v>gnbip</v>
          </cell>
          <cell r="C27" t="str">
            <v>string</v>
          </cell>
          <cell r="D27" t="str">
            <v>gNB的IPv4或IPv6地址</v>
          </cell>
        </row>
        <row r="28">
          <cell r="B28" t="str">
            <v>gnbgtp_teid</v>
          </cell>
          <cell r="C28" t="str">
            <v>bigint</v>
          </cell>
          <cell r="D28" t="str">
            <v>填写该业务对应承载的gNB侧GTP-TEID</v>
          </cell>
        </row>
        <row r="29">
          <cell r="B29" t="str">
            <v>upfgtp_teid</v>
          </cell>
          <cell r="C29" t="str">
            <v>bigint</v>
          </cell>
          <cell r="D29" t="str">
            <v>填写该业务对应承载的UPF侧GTP-TEID</v>
          </cell>
        </row>
        <row r="30">
          <cell r="B30" t="str">
            <v>home_province</v>
          </cell>
          <cell r="C30" t="str">
            <v>string</v>
          </cell>
          <cell r="D30" t="str">
            <v>归属省份</v>
          </cell>
        </row>
        <row r="31">
          <cell r="B31" t="str">
            <v>l4protocol</v>
          </cell>
          <cell r="C31" t="str">
            <v>int</v>
          </cell>
          <cell r="D31" t="str">
            <v>L4 protocol</v>
          </cell>
        </row>
        <row r="32">
          <cell r="B32" t="str">
            <v>ultcpreorderingpacket</v>
          </cell>
          <cell r="C32" t="str">
            <v>int</v>
          </cell>
          <cell r="D32" t="str">
            <v>上行TCP乱序报文数</v>
          </cell>
        </row>
        <row r="33">
          <cell r="B33" t="str">
            <v>dltcpreorderingpacket</v>
          </cell>
          <cell r="C33" t="str">
            <v>int</v>
          </cell>
          <cell r="D33" t="str">
            <v>下行TCP乱序报文数</v>
          </cell>
        </row>
        <row r="34">
          <cell r="B34" t="str">
            <v>ultcp_retranspacket</v>
          </cell>
          <cell r="C34" t="str">
            <v>int</v>
          </cell>
          <cell r="D34" t="str">
            <v>上行TCP重传报文数</v>
          </cell>
        </row>
        <row r="35">
          <cell r="B35" t="str">
            <v>dltcp_retranspacket</v>
          </cell>
          <cell r="C35" t="str">
            <v>int</v>
          </cell>
          <cell r="D35" t="str">
            <v>下行TCP重传报文数</v>
          </cell>
        </row>
        <row r="36">
          <cell r="B36" t="str">
            <v>tcpsetupresponsedelay</v>
          </cell>
          <cell r="C36" t="str">
            <v>int</v>
          </cell>
          <cell r="D36" t="str">
            <v>TCP建链响应时延（ms）</v>
          </cell>
        </row>
        <row r="37">
          <cell r="B37" t="str">
            <v>tcpsetupackdelay</v>
          </cell>
          <cell r="C37" t="str">
            <v>int</v>
          </cell>
          <cell r="D37" t="str">
            <v>TCP建链确认时延（ms）</v>
          </cell>
        </row>
        <row r="38">
          <cell r="B38" t="str">
            <v>tcpsetupdelay</v>
          </cell>
          <cell r="C38" t="str">
            <v>bigint</v>
          </cell>
          <cell r="D38" t="str">
            <v>TCP建立时延</v>
          </cell>
        </row>
        <row r="39">
          <cell r="B39" t="str">
            <v>ulipfragpacks</v>
          </cell>
          <cell r="C39" t="str">
            <v>int</v>
          </cell>
          <cell r="D39" t="str">
            <v>UL_IP_FRAG_PACKETS</v>
          </cell>
        </row>
        <row r="40">
          <cell r="B40" t="str">
            <v>dlipfragpacks</v>
          </cell>
          <cell r="C40" t="str">
            <v>int</v>
          </cell>
          <cell r="D40" t="str">
            <v>DL_IP_FRAG_PACKETS</v>
          </cell>
        </row>
        <row r="41">
          <cell r="B41" t="str">
            <v>delay_setup_firsttransaction</v>
          </cell>
          <cell r="C41" t="str">
            <v>int</v>
          </cell>
          <cell r="D41" t="str">
            <v>TCP建链成功到第一条事务请求的时延（ms）</v>
          </cell>
        </row>
        <row r="42">
          <cell r="B42" t="str">
            <v>delay_firsttransaction_firstrespackt</v>
          </cell>
          <cell r="C42" t="str">
            <v>int</v>
          </cell>
          <cell r="D42" t="str">
            <v>第一条事务请求到其第一个响应包时延（ms）</v>
          </cell>
        </row>
        <row r="43">
          <cell r="B43" t="str">
            <v>msssize</v>
          </cell>
          <cell r="C43" t="str">
            <v>int</v>
          </cell>
          <cell r="D43" t="str">
            <v>MSS大小</v>
          </cell>
        </row>
        <row r="44">
          <cell r="B44" t="str">
            <v>tcpsynnumber</v>
          </cell>
          <cell r="C44" t="str">
            <v>int</v>
          </cell>
          <cell r="D44" t="str">
            <v>TCP建链尝试次数</v>
          </cell>
        </row>
        <row r="45">
          <cell r="B45" t="str">
            <v>tcpconnectstate</v>
          </cell>
          <cell r="C45" t="str">
            <v>int</v>
          </cell>
          <cell r="D45" t="str">
            <v>TCP连接状态指示</v>
          </cell>
        </row>
        <row r="46">
          <cell r="B46" t="str">
            <v>sessionstopflag</v>
          </cell>
          <cell r="C46" t="str">
            <v>int</v>
          </cell>
          <cell r="D46" t="str">
            <v>会话是否结束标志</v>
          </cell>
        </row>
        <row r="47">
          <cell r="B47" t="str">
            <v>nssai_sst</v>
          </cell>
          <cell r="C47" t="str">
            <v>int</v>
          </cell>
          <cell r="D47" t="str">
            <v>Slice Service Type (SST)</v>
          </cell>
        </row>
        <row r="48">
          <cell r="B48" t="str">
            <v>nssai_sd</v>
          </cell>
          <cell r="C48" t="str">
            <v>int</v>
          </cell>
          <cell r="D48" t="str">
            <v>Slice Differentiator（SD）</v>
          </cell>
        </row>
        <row r="49">
          <cell r="B49" t="str">
            <v>ul_session_ambr</v>
          </cell>
          <cell r="C49" t="str">
            <v>int</v>
          </cell>
          <cell r="D49">
            <v>0</v>
          </cell>
        </row>
        <row r="50">
          <cell r="B50" t="str">
            <v>dl_session_ambr</v>
          </cell>
          <cell r="C50" t="str">
            <v>int</v>
          </cell>
          <cell r="D50">
            <v>0</v>
          </cell>
        </row>
        <row r="51">
          <cell r="B51" t="str">
            <v>5qi</v>
          </cell>
          <cell r="C51" t="str">
            <v>int</v>
          </cell>
          <cell r="D51">
            <v>0</v>
          </cell>
        </row>
        <row r="52">
          <cell r="B52" t="str">
            <v>userfirsttcpwindow</v>
          </cell>
          <cell r="C52" t="str">
            <v>int</v>
          </cell>
          <cell r="D52" t="str">
            <v>用户侧初始有效TCP窗口大小</v>
          </cell>
        </row>
        <row r="53">
          <cell r="B53" t="str">
            <v>serverfirsttcpwindow</v>
          </cell>
          <cell r="C53" t="str">
            <v>int</v>
          </cell>
          <cell r="D53" t="str">
            <v>服务器侧初始有效TCP窗口大小</v>
          </cell>
        </row>
        <row r="54">
          <cell r="B54" t="str">
            <v>userlasttcpwindow</v>
          </cell>
          <cell r="C54" t="str">
            <v>int</v>
          </cell>
          <cell r="D54" t="str">
            <v>用户侧结束有效TCP窗口大小</v>
          </cell>
        </row>
        <row r="55">
          <cell r="B55" t="str">
            <v>serverlasttcpwindow</v>
          </cell>
          <cell r="C55" t="str">
            <v>int</v>
          </cell>
          <cell r="D55" t="str">
            <v>服务器侧结束有效TCP窗口大小</v>
          </cell>
        </row>
        <row r="56">
          <cell r="B56" t="str">
            <v>usermintcpwindow</v>
          </cell>
          <cell r="C56" t="str">
            <v>int</v>
          </cell>
          <cell r="D56" t="str">
            <v>用户侧最小有效TCP窗口大小</v>
          </cell>
        </row>
        <row r="57">
          <cell r="B57" t="str">
            <v>servermintcpwindow</v>
          </cell>
          <cell r="C57" t="str">
            <v>int</v>
          </cell>
          <cell r="D57" t="str">
            <v>服务器侧最小有效TCP窗口大小</v>
          </cell>
        </row>
        <row r="58">
          <cell r="B58" t="str">
            <v>usermaxtcpwindow</v>
          </cell>
          <cell r="C58" t="str">
            <v>int</v>
          </cell>
          <cell r="D58" t="str">
            <v>用户侧最大有效TCP窗口大小</v>
          </cell>
        </row>
        <row r="59">
          <cell r="B59" t="str">
            <v>servermaxtcpwindow</v>
          </cell>
          <cell r="C59" t="str">
            <v>int</v>
          </cell>
          <cell r="D59" t="str">
            <v>服务器侧最大有效TCP窗口大小</v>
          </cell>
        </row>
        <row r="60">
          <cell r="B60" t="str">
            <v>ul_data_transduration</v>
          </cell>
          <cell r="C60" t="str">
            <v>bigint</v>
          </cell>
          <cell r="D60" t="str">
            <v>TCP上行数传时长，单位为毫秒</v>
          </cell>
        </row>
        <row r="61">
          <cell r="B61" t="str">
            <v>dl_datatransduration</v>
          </cell>
          <cell r="C61" t="str">
            <v>bigint</v>
          </cell>
          <cell r="D61" t="str">
            <v>TCP下行数传时长，单位为毫秒</v>
          </cell>
        </row>
        <row r="62">
          <cell r="B62" t="str">
            <v>ul_packet_number_stg1</v>
          </cell>
          <cell r="C62" t="str">
            <v>int</v>
          </cell>
          <cell r="D62" t="str">
            <v>UDP上行包大小个数：包大小 &lt; 15 Byte</v>
          </cell>
        </row>
        <row r="63">
          <cell r="B63" t="str">
            <v>ul_packet_number_stg2</v>
          </cell>
          <cell r="C63" t="str">
            <v>int</v>
          </cell>
          <cell r="D63" t="str">
            <v>UDP上行包大小个数：15Byte&lt; 包大小 &lt; 36 Byte</v>
          </cell>
        </row>
        <row r="64">
          <cell r="B64" t="str">
            <v>ul_packet_number_stg3</v>
          </cell>
          <cell r="C64" t="str">
            <v>int</v>
          </cell>
          <cell r="D64" t="str">
            <v>UDP上行包大小个数：36Byte&lt;= 包大小&lt;= 56Byte</v>
          </cell>
        </row>
        <row r="65">
          <cell r="B65" t="str">
            <v>ul_packet_number_stg4</v>
          </cell>
          <cell r="C65" t="str">
            <v>int</v>
          </cell>
          <cell r="D65" t="str">
            <v>UDP上行包大小个数：包大小 &gt; 56 Byte</v>
          </cell>
        </row>
        <row r="66">
          <cell r="B66" t="str">
            <v>dl_packet_number_stg1</v>
          </cell>
          <cell r="C66" t="str">
            <v>int</v>
          </cell>
          <cell r="D66" t="str">
            <v>UDP下行包大小个数：包大小 &lt; 15 Byte</v>
          </cell>
        </row>
        <row r="67">
          <cell r="B67" t="str">
            <v>dl_packet_number_stg2</v>
          </cell>
          <cell r="C67" t="str">
            <v>int</v>
          </cell>
          <cell r="D67" t="str">
            <v>UDP下行包大小个数：15Byte&lt; 包大小 &lt; 36 Byte</v>
          </cell>
        </row>
        <row r="68">
          <cell r="B68" t="str">
            <v>dl_packet_number_stg3</v>
          </cell>
          <cell r="C68" t="str">
            <v>int</v>
          </cell>
          <cell r="D68" t="str">
            <v>UDP下行包大小个数：36Byte&lt;=包大小&lt;= 56Byte</v>
          </cell>
        </row>
        <row r="69">
          <cell r="B69" t="str">
            <v>dl_packet_number_stg4</v>
          </cell>
          <cell r="C69" t="str">
            <v>int</v>
          </cell>
          <cell r="D69" t="str">
            <v>UDP下行包大小个数：包大小 &gt; 56 Byte</v>
          </cell>
        </row>
        <row r="70">
          <cell r="B70" t="str">
            <v>ul_average_packet_size</v>
          </cell>
          <cell r="C70" t="str">
            <v>int</v>
          </cell>
          <cell r="D70" t="str">
            <v>UDP上行平均包大小</v>
          </cell>
        </row>
        <row r="71">
          <cell r="B71" t="str">
            <v>dl_average_packet_size</v>
          </cell>
          <cell r="C71" t="str">
            <v>int</v>
          </cell>
          <cell r="D71" t="str">
            <v>UDP下行平均包大小</v>
          </cell>
        </row>
        <row r="72">
          <cell r="B72" t="str">
            <v>ul_average_interval</v>
          </cell>
          <cell r="C72" t="str">
            <v>int</v>
          </cell>
          <cell r="D72" t="str">
            <v>UDP上行平均包间隔</v>
          </cell>
        </row>
        <row r="73">
          <cell r="B73" t="str">
            <v>dl_average_interval</v>
          </cell>
          <cell r="C73" t="str">
            <v>int</v>
          </cell>
          <cell r="D73" t="str">
            <v>UDP下行平均包间隔</v>
          </cell>
        </row>
        <row r="74">
          <cell r="B74" t="str">
            <v>ul_average_jitter</v>
          </cell>
          <cell r="C74" t="str">
            <v>int</v>
          </cell>
          <cell r="D74" t="str">
            <v>UDP上行平均包间隔抖动</v>
          </cell>
        </row>
        <row r="75">
          <cell r="B75" t="str">
            <v>dl_average_jitter</v>
          </cell>
          <cell r="C75" t="str">
            <v>int</v>
          </cell>
          <cell r="D75" t="str">
            <v>UDP下行平均包间隔抖动</v>
          </cell>
        </row>
        <row r="76">
          <cell r="B76" t="str">
            <v>videoplaysuccess</v>
          </cell>
          <cell r="C76" t="str">
            <v>int</v>
          </cell>
          <cell r="D76" t="str">
            <v>视频成功播放的标识</v>
          </cell>
        </row>
        <row r="77">
          <cell r="B77" t="str">
            <v>videoplaywaittime</v>
          </cell>
          <cell r="C77" t="str">
            <v>bigint</v>
          </cell>
          <cell r="D77" t="str">
            <v>视频播放等待时长</v>
          </cell>
        </row>
        <row r="78">
          <cell r="B78" t="str">
            <v>videoplayhaltcount</v>
          </cell>
          <cell r="C78" t="str">
            <v>bigint</v>
          </cell>
          <cell r="D78" t="str">
            <v>视频播放卡顿次数</v>
          </cell>
        </row>
        <row r="79">
          <cell r="B79" t="str">
            <v>videorecovertime</v>
          </cell>
          <cell r="C79" t="str">
            <v>bigint</v>
          </cell>
          <cell r="D79" t="str">
            <v>视频卡顿时长</v>
          </cell>
        </row>
        <row r="80">
          <cell r="B80" t="str">
            <v>firstdatapkgtime</v>
          </cell>
          <cell r="C80" t="str">
            <v>bigint</v>
          </cell>
          <cell r="D80" t="str">
            <v>视频下行第一个有效数据包时间戳</v>
          </cell>
        </row>
        <row r="81">
          <cell r="B81" t="str">
            <v>lastdatapkgtime</v>
          </cell>
          <cell r="C81" t="str">
            <v>bigint</v>
          </cell>
          <cell r="D81" t="str">
            <v>视频下行最后一个有效数据包时间戳</v>
          </cell>
        </row>
        <row r="82">
          <cell r="B82" t="str">
            <v>connectioncount</v>
          </cell>
          <cell r="C82" t="str">
            <v>int</v>
          </cell>
          <cell r="D82" t="str">
            <v>总流数</v>
          </cell>
        </row>
        <row r="83">
          <cell r="B83" t="str">
            <v>videosize</v>
          </cell>
          <cell r="C83" t="str">
            <v>bigint</v>
          </cell>
          <cell r="D83" t="str">
            <v>视频文件大小</v>
          </cell>
        </row>
        <row r="84">
          <cell r="B84" t="str">
            <v>videothroughput</v>
          </cell>
          <cell r="C84" t="str">
            <v>bigint</v>
          </cell>
          <cell r="D84" t="str">
            <v>视频下载速率</v>
          </cell>
        </row>
        <row r="85">
          <cell r="B85" t="str">
            <v>videotype</v>
          </cell>
          <cell r="C85" t="str">
            <v>int</v>
          </cell>
          <cell r="D85" t="str">
            <v>视频文件格式</v>
          </cell>
        </row>
        <row r="86">
          <cell r="B86" t="str">
            <v>videobitrate</v>
          </cell>
          <cell r="C86" t="str">
            <v>bigint</v>
          </cell>
          <cell r="D86" t="str">
            <v>视频码率</v>
          </cell>
        </row>
        <row r="87">
          <cell r="B87" t="str">
            <v>videocachethroughput</v>
          </cell>
          <cell r="C87" t="str">
            <v>bigint</v>
          </cell>
          <cell r="D87" t="str">
            <v>视频缓冲段下载速率。算法见《中国电信移动互联网业务感知质量评价细则》</v>
          </cell>
        </row>
        <row r="88">
          <cell r="B88" t="str">
            <v>destinationurl</v>
          </cell>
          <cell r="C88" t="str">
            <v>string</v>
          </cell>
          <cell r="D88" t="str">
            <v>用户访问的目标视频网站的URL。</v>
          </cell>
        </row>
        <row r="89">
          <cell r="B89" t="str">
            <v>host</v>
          </cell>
          <cell r="C89" t="str">
            <v>string</v>
          </cell>
          <cell r="D89" t="str">
            <v>主机名</v>
          </cell>
        </row>
        <row r="90">
          <cell r="B90" t="str">
            <v>cachedvideosize</v>
          </cell>
          <cell r="C90" t="str">
            <v>bigint</v>
          </cell>
          <cell r="D90" t="str">
            <v>缓冲段视频大小</v>
          </cell>
        </row>
        <row r="91">
          <cell r="B91" t="str">
            <v>cachedvideoduration</v>
          </cell>
          <cell r="C91" t="str">
            <v>bigint</v>
          </cell>
          <cell r="D91" t="str">
            <v>缓冲段视频下载时长</v>
          </cell>
        </row>
        <row r="92">
          <cell r="B92" t="str">
            <v>video_resolution_level</v>
          </cell>
          <cell r="C92" t="str">
            <v>bigint</v>
          </cell>
          <cell r="D92" t="str">
            <v>视频清晰度，取值范围100~500，分值越高越清晰</v>
          </cell>
        </row>
        <row r="93">
          <cell r="B93" t="str">
            <v>video_fluency_level</v>
          </cell>
          <cell r="C93" t="str">
            <v>bigint</v>
          </cell>
          <cell r="D93" t="str">
            <v>视频流畅度，取值100~500，分值越高越流畅</v>
          </cell>
        </row>
        <row r="94">
          <cell r="B94" t="str">
            <v>video_resolution</v>
          </cell>
          <cell r="C94" t="str">
            <v>string</v>
          </cell>
          <cell r="D94" t="str">
            <v>视频分辨率</v>
          </cell>
        </row>
        <row r="95">
          <cell r="B95" t="str">
            <v>tacid</v>
          </cell>
          <cell r="C95" t="str">
            <v>int</v>
          </cell>
          <cell r="D95" t="str">
            <v>tacid，取PEI前8位</v>
          </cell>
        </row>
        <row r="96">
          <cell r="B96" t="str">
            <v>nodebid</v>
          </cell>
          <cell r="C96" t="str">
            <v>bigint</v>
          </cell>
          <cell r="D96" t="str">
            <v>4G eNodeBID/5G gNBID</v>
          </cell>
        </row>
        <row r="97">
          <cell r="B97" t="str">
            <v>cellid</v>
          </cell>
          <cell r="C97" t="str">
            <v>bigint</v>
          </cell>
          <cell r="D97" t="str">
            <v>小区ID</v>
          </cell>
        </row>
        <row r="98">
          <cell r="B98" t="str">
            <v>cellkey</v>
          </cell>
          <cell r="C98" t="str">
            <v>string</v>
          </cell>
          <cell r="D98" t="str">
            <v>cellkey</v>
          </cell>
        </row>
        <row r="99">
          <cell r="B99" t="str">
            <v>cellname</v>
          </cell>
          <cell r="C99" t="str">
            <v>string</v>
          </cell>
          <cell r="D99" t="str">
            <v>小区名称</v>
          </cell>
        </row>
        <row r="100">
          <cell r="B100" t="str">
            <v>provincecode</v>
          </cell>
          <cell r="C100" t="str">
            <v>int</v>
          </cell>
          <cell r="D100" t="str">
            <v>拜访地省份</v>
          </cell>
        </row>
        <row r="101">
          <cell r="B101" t="str">
            <v>citycode</v>
          </cell>
          <cell r="C101" t="str">
            <v>int</v>
          </cell>
          <cell r="D101" t="str">
            <v>拜访地地市</v>
          </cell>
        </row>
        <row r="102">
          <cell r="B102" t="str">
            <v>districtcode</v>
          </cell>
          <cell r="C102" t="str">
            <v>int</v>
          </cell>
          <cell r="D102" t="str">
            <v>拜访地区县</v>
          </cell>
        </row>
        <row r="103">
          <cell r="B103" t="str">
            <v>province</v>
          </cell>
          <cell r="C103" t="str">
            <v>string</v>
          </cell>
          <cell r="D103" t="str">
            <v>拜访地省份</v>
          </cell>
        </row>
        <row r="104">
          <cell r="B104" t="str">
            <v>city</v>
          </cell>
          <cell r="C104" t="str">
            <v>string</v>
          </cell>
          <cell r="D104" t="str">
            <v>拜访地地市</v>
          </cell>
        </row>
        <row r="105">
          <cell r="B105" t="str">
            <v>district</v>
          </cell>
          <cell r="C105" t="str">
            <v>string</v>
          </cell>
          <cell r="D105" t="str">
            <v>拜访地区县</v>
          </cell>
        </row>
        <row r="106">
          <cell r="B106" t="str">
            <v>video_resolution_level_total</v>
          </cell>
          <cell r="C106" t="str">
            <v>bigint</v>
          </cell>
          <cell r="D106" t="str">
            <v>视频清晰度总和</v>
          </cell>
        </row>
        <row r="107">
          <cell r="B107" t="str">
            <v>video_resolution_level_cnt</v>
          </cell>
          <cell r="C107" t="str">
            <v>bigint</v>
          </cell>
          <cell r="D107" t="str">
            <v>视频清晰度次数</v>
          </cell>
        </row>
        <row r="108">
          <cell r="B108" t="str">
            <v>video_fluency_level_total</v>
          </cell>
          <cell r="C108" t="str">
            <v>bigint</v>
          </cell>
          <cell r="D108" t="str">
            <v>视频流畅度总和</v>
          </cell>
        </row>
        <row r="109">
          <cell r="B109" t="str">
            <v>video_fluency_level_cnt</v>
          </cell>
          <cell r="C109" t="str">
            <v>bigint</v>
          </cell>
          <cell r="D109" t="str">
            <v>视频流畅度次数</v>
          </cell>
        </row>
        <row r="110">
          <cell r="B110" t="str">
            <v>videoplaytime_without_halt</v>
          </cell>
          <cell r="C110" t="str">
            <v>bigint</v>
          </cell>
          <cell r="D110" t="str">
            <v>视频播放时长，不含卡顿时长，单位毫秒</v>
          </cell>
        </row>
        <row r="111">
          <cell r="B111" t="str">
            <v>videoplayhaltcountpermin</v>
          </cell>
          <cell r="C111" t="str">
            <v>bigint</v>
          </cell>
          <cell r="D111" t="str">
            <v>视频播放卡顿频次，单位次/分钟</v>
          </cell>
        </row>
        <row r="112">
          <cell r="B112" t="str">
            <v>videorecovertimeratio</v>
          </cell>
          <cell r="C112" t="str">
            <v>bigint</v>
          </cell>
          <cell r="D112" t="str">
            <v>视频卡顿时长占比</v>
          </cell>
        </row>
        <row r="113">
          <cell r="B113" t="str">
            <v>videoplaywaittimeratio</v>
          </cell>
          <cell r="C113" t="str">
            <v>bigint</v>
          </cell>
          <cell r="D113" t="str">
            <v>视频播放等待时长占比</v>
          </cell>
        </row>
        <row r="114">
          <cell r="B114" t="str">
            <v>cachedvideodurationratio</v>
          </cell>
          <cell r="C114" t="str">
            <v>bigint</v>
          </cell>
          <cell r="D114" t="str">
            <v>缓冲段视频下载时长占比</v>
          </cell>
        </row>
        <row r="115">
          <cell r="B115" t="str">
            <v>http_throughput</v>
          </cell>
          <cell r="C115" t="str">
            <v>bigint</v>
          </cell>
          <cell r="D115" t="str">
            <v>HTTP下载速率</v>
          </cell>
        </row>
        <row r="116">
          <cell r="B116" t="str">
            <v>videobitrate_total</v>
          </cell>
          <cell r="C116" t="str">
            <v>bigint</v>
          </cell>
          <cell r="D116" t="str">
            <v>视频码率总和</v>
          </cell>
        </row>
        <row r="117">
          <cell r="B117" t="str">
            <v>videobitrate_cnt</v>
          </cell>
          <cell r="C117" t="str">
            <v>bigint</v>
          </cell>
          <cell r="D117" t="str">
            <v>视频码率次数</v>
          </cell>
        </row>
        <row r="118">
          <cell r="B118" t="str">
            <v>videothroughput_bitrate_ratio_total</v>
          </cell>
          <cell r="C118" t="str">
            <v>double</v>
          </cell>
          <cell r="D118" t="str">
            <v>速率码率比分子</v>
          </cell>
        </row>
        <row r="119">
          <cell r="B119" t="str">
            <v>videothroughput_bitrate_ratio_cnt</v>
          </cell>
          <cell r="C119" t="str">
            <v>double</v>
          </cell>
          <cell r="D119" t="str">
            <v>速率码率比分母</v>
          </cell>
        </row>
        <row r="120">
          <cell r="B120" t="str">
            <v>videothroughput_bitrate_ratio</v>
          </cell>
          <cell r="C120" t="str">
            <v>double</v>
          </cell>
          <cell r="D120" t="str">
            <v>速率码率比</v>
          </cell>
        </row>
        <row r="121">
          <cell r="B121" t="str">
            <v>videothroughput_total</v>
          </cell>
          <cell r="C121" t="str">
            <v>bigint</v>
          </cell>
          <cell r="D121" t="str">
            <v>视频下载速率_分子</v>
          </cell>
        </row>
        <row r="122">
          <cell r="B122" t="str">
            <v>videothroughput_cnt</v>
          </cell>
          <cell r="C122" t="str">
            <v>bigint</v>
          </cell>
          <cell r="D122" t="str">
            <v>视频下载速率_分母</v>
          </cell>
        </row>
        <row r="123">
          <cell r="B123" t="str">
            <v>videocachethroughput_total</v>
          </cell>
          <cell r="C123" t="str">
            <v>bigint</v>
          </cell>
          <cell r="D123" t="str">
            <v>视频缓存下载速率_分子</v>
          </cell>
        </row>
        <row r="124">
          <cell r="B124" t="str">
            <v>videocachethroughput_cnt</v>
          </cell>
          <cell r="C124" t="str">
            <v>bigint</v>
          </cell>
          <cell r="D124" t="str">
            <v>视频缓存下载速率_分母</v>
          </cell>
        </row>
        <row r="125">
          <cell r="B125" t="str">
            <v>videoplayhaltratio_total</v>
          </cell>
          <cell r="C125" t="str">
            <v>double</v>
          </cell>
          <cell r="D125" t="str">
            <v>视频卡顿率_分子</v>
          </cell>
        </row>
        <row r="126">
          <cell r="B126" t="str">
            <v>videoplayhaltratio_cnt</v>
          </cell>
          <cell r="C126" t="str">
            <v>double</v>
          </cell>
          <cell r="D126" t="str">
            <v>视频卡顿率_分母</v>
          </cell>
        </row>
        <row r="127">
          <cell r="B127" t="str">
            <v>videoplayhaltratio_total_custom</v>
          </cell>
          <cell r="C127" t="str">
            <v>double</v>
          </cell>
          <cell r="D127" t="str">
            <v>视频卡顿率_分子_客户自定义</v>
          </cell>
        </row>
        <row r="128">
          <cell r="B128" t="str">
            <v>videoplayhaltratio_cnt_custom</v>
          </cell>
          <cell r="C128" t="str">
            <v>double</v>
          </cell>
          <cell r="D128" t="str">
            <v>视频卡顿率_分母_客户自定义</v>
          </cell>
        </row>
        <row r="129">
          <cell r="B129" t="str">
            <v>cachethroughput_bitrate_ratio_numerator_custom</v>
          </cell>
          <cell r="C129" t="str">
            <v>int</v>
          </cell>
          <cell r="D129" t="str">
            <v>速率码率比优良率_分子_客户自定义</v>
          </cell>
        </row>
        <row r="130">
          <cell r="B130" t="str">
            <v>cachethroughput_bitrate_ratio_denominator_custom</v>
          </cell>
          <cell r="C130" t="str">
            <v>int</v>
          </cell>
          <cell r="D130" t="str">
            <v>速率码率比优良率_分母_客户自定义</v>
          </cell>
        </row>
        <row r="131">
          <cell r="B131" t="str">
            <v>business_type</v>
          </cell>
          <cell r="C131" t="str">
            <v>string</v>
          </cell>
          <cell r="D131" t="str">
            <v>业务类型</v>
          </cell>
        </row>
        <row r="132">
          <cell r="B132" t="str">
            <v>abnormal</v>
          </cell>
          <cell r="C132" t="str">
            <v>int</v>
          </cell>
          <cell r="D132" t="str">
            <v>是否质差话单</v>
          </cell>
        </row>
        <row r="134">
          <cell r="B134" t="str">
            <v>p_provincecode</v>
          </cell>
          <cell r="C134" t="str">
            <v>int</v>
          </cell>
          <cell r="D134" t="str">
            <v>NULL</v>
          </cell>
        </row>
        <row r="135">
          <cell r="B135" t="str">
            <v>p_date</v>
          </cell>
          <cell r="C135" t="str">
            <v>string</v>
          </cell>
          <cell r="D135" t="str">
            <v>NULL</v>
          </cell>
        </row>
        <row r="136">
          <cell r="B136" t="str">
            <v>p_hour</v>
          </cell>
          <cell r="C136" t="str">
            <v>int</v>
          </cell>
          <cell r="D136" t="str">
            <v>NULL</v>
          </cell>
        </row>
        <row r="137">
          <cell r="B137" t="str">
            <v>p_quarter</v>
          </cell>
          <cell r="C137" t="str">
            <v>int</v>
          </cell>
          <cell r="D137" t="str">
            <v>NULL</v>
          </cell>
        </row>
      </sheetData>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U51"/>
  <sheetViews>
    <sheetView tabSelected="1" workbookViewId="0">
      <pane ySplit="1" topLeftCell="A2" activePane="bottomLeft" state="frozen"/>
      <selection/>
      <selection pane="bottomLeft" activeCell="G33" sqref="G33"/>
    </sheetView>
  </sheetViews>
  <sheetFormatPr defaultColWidth="9" defaultRowHeight="13.2"/>
  <cols>
    <col min="1" max="1" width="6.44444444444444" style="176" customWidth="1"/>
    <col min="2" max="2" width="9.33333333333333" style="176" customWidth="1"/>
    <col min="3" max="3" width="16.1111111111111" style="177" customWidth="1"/>
    <col min="4" max="4" width="8.22222222222222" style="177" customWidth="1"/>
    <col min="5" max="5" width="11.8888888888889" style="177" customWidth="1"/>
    <col min="6" max="6" width="32.2222222222222" style="177" customWidth="1"/>
    <col min="7" max="7" width="34.7777777777778" style="177" customWidth="1"/>
    <col min="8" max="8" width="7.44444444444444" style="177" customWidth="1"/>
    <col min="9" max="9" width="13.2222222222222" style="177" customWidth="1"/>
    <col min="10" max="11" width="8.22222222222222" style="177" customWidth="1"/>
    <col min="12" max="12" width="8.33333333333333" style="177" customWidth="1"/>
    <col min="13" max="13" width="8.22222222222222" style="177" customWidth="1"/>
    <col min="14" max="14" width="11.6666666666667" style="176" customWidth="1"/>
    <col min="15" max="15" width="28.7777777777778" style="177" customWidth="1"/>
    <col min="16" max="16" width="24.5555555555556" style="177" customWidth="1"/>
    <col min="17" max="17" width="8.88888888888889" style="176" customWidth="1"/>
    <col min="18" max="18" width="9.33333333333333" style="177" customWidth="1"/>
    <col min="19" max="19" width="7.44444444444444" style="177" customWidth="1"/>
    <col min="20" max="16384" width="9" style="177"/>
  </cols>
  <sheetData>
    <row r="1" s="176" customFormat="1" ht="36" spans="1:21">
      <c r="A1" s="178" t="s">
        <v>0</v>
      </c>
      <c r="B1" s="178" t="s">
        <v>1</v>
      </c>
      <c r="C1" s="178" t="s">
        <v>2</v>
      </c>
      <c r="D1" s="178" t="s">
        <v>3</v>
      </c>
      <c r="E1" s="178" t="s">
        <v>4</v>
      </c>
      <c r="F1" s="179" t="s">
        <v>5</v>
      </c>
      <c r="G1" s="179" t="s">
        <v>6</v>
      </c>
      <c r="H1" s="178" t="s">
        <v>7</v>
      </c>
      <c r="I1" s="189" t="s">
        <v>8</v>
      </c>
      <c r="J1" s="178" t="s">
        <v>9</v>
      </c>
      <c r="K1" s="178" t="s">
        <v>10</v>
      </c>
      <c r="L1" s="178" t="s">
        <v>11</v>
      </c>
      <c r="M1" s="178" t="s">
        <v>12</v>
      </c>
      <c r="N1" s="178" t="s">
        <v>13</v>
      </c>
      <c r="O1" s="178" t="s">
        <v>14</v>
      </c>
      <c r="P1" s="178" t="s">
        <v>15</v>
      </c>
      <c r="Q1" s="192" t="s">
        <v>16</v>
      </c>
      <c r="R1" s="178" t="s">
        <v>17</v>
      </c>
      <c r="S1" s="178" t="s">
        <v>18</v>
      </c>
      <c r="T1" s="193" t="s">
        <v>19</v>
      </c>
      <c r="U1" s="176" t="s">
        <v>20</v>
      </c>
    </row>
    <row r="2" hidden="1" spans="1:20">
      <c r="A2" s="11">
        <v>0.1</v>
      </c>
      <c r="B2" s="180">
        <f t="shared" ref="B2:B12" si="0">HYPERLINK("#"&amp;A2&amp;"!A1",A2)</f>
        <v>0.1</v>
      </c>
      <c r="C2" s="10" t="s">
        <v>21</v>
      </c>
      <c r="D2" s="10" t="s">
        <v>22</v>
      </c>
      <c r="E2" s="11" t="s">
        <v>23</v>
      </c>
      <c r="F2" s="10" t="s">
        <v>24</v>
      </c>
      <c r="G2" s="10" t="s">
        <v>25</v>
      </c>
      <c r="H2" s="10" t="s">
        <v>25</v>
      </c>
      <c r="I2" s="10" t="s">
        <v>23</v>
      </c>
      <c r="J2" s="10" t="s">
        <v>26</v>
      </c>
      <c r="K2" s="10" t="s">
        <v>27</v>
      </c>
      <c r="L2" s="10" t="s">
        <v>28</v>
      </c>
      <c r="M2" s="10"/>
      <c r="N2" s="11">
        <v>3</v>
      </c>
      <c r="O2" s="10" t="s">
        <v>29</v>
      </c>
      <c r="P2" s="10"/>
      <c r="Q2" s="194" t="s">
        <v>30</v>
      </c>
      <c r="R2" s="185"/>
      <c r="S2" s="10"/>
      <c r="T2" s="185" t="s">
        <v>31</v>
      </c>
    </row>
    <row r="3" hidden="1" spans="1:20">
      <c r="A3" s="11">
        <v>0.2</v>
      </c>
      <c r="B3" s="180">
        <f t="shared" si="0"/>
        <v>0.2</v>
      </c>
      <c r="C3" s="10" t="s">
        <v>21</v>
      </c>
      <c r="D3" s="10" t="s">
        <v>22</v>
      </c>
      <c r="E3" s="11" t="s">
        <v>23</v>
      </c>
      <c r="F3" s="10" t="s">
        <v>32</v>
      </c>
      <c r="G3" s="10" t="s">
        <v>33</v>
      </c>
      <c r="H3" s="10" t="s">
        <v>33</v>
      </c>
      <c r="I3" s="10" t="s">
        <v>23</v>
      </c>
      <c r="J3" s="10" t="s">
        <v>26</v>
      </c>
      <c r="K3" s="10" t="s">
        <v>27</v>
      </c>
      <c r="L3" s="10" t="s">
        <v>28</v>
      </c>
      <c r="M3" s="10"/>
      <c r="N3" s="11">
        <v>3</v>
      </c>
      <c r="O3" s="10" t="s">
        <v>34</v>
      </c>
      <c r="P3" s="10"/>
      <c r="Q3" s="194" t="s">
        <v>30</v>
      </c>
      <c r="R3" s="185"/>
      <c r="S3" s="10"/>
      <c r="T3" s="185" t="s">
        <v>31</v>
      </c>
    </row>
    <row r="4" spans="1:21">
      <c r="A4" s="11">
        <v>0.3</v>
      </c>
      <c r="B4" s="180">
        <f t="shared" si="0"/>
        <v>0.3</v>
      </c>
      <c r="C4" s="10" t="s">
        <v>21</v>
      </c>
      <c r="D4" s="10" t="s">
        <v>22</v>
      </c>
      <c r="E4" s="11" t="s">
        <v>23</v>
      </c>
      <c r="F4" s="10" t="s">
        <v>35</v>
      </c>
      <c r="G4" s="10" t="s">
        <v>36</v>
      </c>
      <c r="H4" s="10" t="s">
        <v>36</v>
      </c>
      <c r="I4" s="10" t="s">
        <v>23</v>
      </c>
      <c r="J4" s="10" t="s">
        <v>26</v>
      </c>
      <c r="K4" s="10" t="s">
        <v>27</v>
      </c>
      <c r="L4" s="10" t="s">
        <v>28</v>
      </c>
      <c r="M4" s="10"/>
      <c r="N4" s="11">
        <v>3</v>
      </c>
      <c r="O4" s="10" t="s">
        <v>37</v>
      </c>
      <c r="P4" s="10"/>
      <c r="Q4" s="194" t="s">
        <v>30</v>
      </c>
      <c r="R4" s="185"/>
      <c r="S4" s="10"/>
      <c r="T4" s="185" t="s">
        <v>38</v>
      </c>
      <c r="U4" s="177" t="s">
        <v>39</v>
      </c>
    </row>
    <row r="5" hidden="1" spans="1:20">
      <c r="A5" s="11">
        <v>0.4</v>
      </c>
      <c r="B5" s="180">
        <f t="shared" si="0"/>
        <v>0.4</v>
      </c>
      <c r="C5" s="10" t="s">
        <v>21</v>
      </c>
      <c r="D5" s="10" t="s">
        <v>22</v>
      </c>
      <c r="E5" s="11" t="s">
        <v>23</v>
      </c>
      <c r="F5" s="10" t="s">
        <v>40</v>
      </c>
      <c r="G5" s="10" t="s">
        <v>41</v>
      </c>
      <c r="H5" s="10" t="s">
        <v>41</v>
      </c>
      <c r="I5" s="10" t="s">
        <v>23</v>
      </c>
      <c r="J5" s="10" t="s">
        <v>26</v>
      </c>
      <c r="K5" s="10" t="s">
        <v>27</v>
      </c>
      <c r="L5" s="10" t="s">
        <v>28</v>
      </c>
      <c r="M5" s="10"/>
      <c r="N5" s="11">
        <v>3</v>
      </c>
      <c r="O5" s="10" t="s">
        <v>42</v>
      </c>
      <c r="P5" s="190"/>
      <c r="Q5" s="194" t="s">
        <v>30</v>
      </c>
      <c r="R5" s="185"/>
      <c r="S5" s="10"/>
      <c r="T5" s="185" t="s">
        <v>31</v>
      </c>
    </row>
    <row r="6" hidden="1" spans="1:20">
      <c r="A6" s="181">
        <v>0.5</v>
      </c>
      <c r="B6" s="182">
        <f t="shared" si="0"/>
        <v>0.5</v>
      </c>
      <c r="C6" s="183" t="s">
        <v>21</v>
      </c>
      <c r="D6" s="183" t="s">
        <v>43</v>
      </c>
      <c r="E6" s="181" t="s">
        <v>44</v>
      </c>
      <c r="F6" s="183" t="s">
        <v>45</v>
      </c>
      <c r="G6" s="183" t="s">
        <v>46</v>
      </c>
      <c r="H6" s="10" t="s">
        <v>47</v>
      </c>
      <c r="I6" s="183" t="s">
        <v>48</v>
      </c>
      <c r="J6" s="183" t="s">
        <v>49</v>
      </c>
      <c r="K6" s="183" t="s">
        <v>49</v>
      </c>
      <c r="L6" s="183" t="s">
        <v>28</v>
      </c>
      <c r="M6" s="183"/>
      <c r="N6" s="181">
        <v>7</v>
      </c>
      <c r="O6" s="184" t="s">
        <v>50</v>
      </c>
      <c r="P6" s="190" t="s">
        <v>51</v>
      </c>
      <c r="Q6" s="194" t="s">
        <v>30</v>
      </c>
      <c r="R6" s="185"/>
      <c r="S6" s="10"/>
      <c r="T6" s="185" t="s">
        <v>52</v>
      </c>
    </row>
    <row r="7" hidden="1" spans="1:20">
      <c r="A7" s="181">
        <v>0.6</v>
      </c>
      <c r="B7" s="182">
        <f t="shared" si="0"/>
        <v>0.6</v>
      </c>
      <c r="C7" s="184" t="s">
        <v>21</v>
      </c>
      <c r="D7" s="183" t="s">
        <v>43</v>
      </c>
      <c r="E7" s="181" t="s">
        <v>44</v>
      </c>
      <c r="F7" s="184" t="s">
        <v>53</v>
      </c>
      <c r="G7" s="184" t="s">
        <v>54</v>
      </c>
      <c r="H7" s="185" t="s">
        <v>55</v>
      </c>
      <c r="I7" s="183" t="s">
        <v>56</v>
      </c>
      <c r="J7" s="183" t="s">
        <v>49</v>
      </c>
      <c r="K7" s="183" t="s">
        <v>49</v>
      </c>
      <c r="L7" s="184" t="s">
        <v>28</v>
      </c>
      <c r="M7" s="184"/>
      <c r="N7" s="191">
        <v>7</v>
      </c>
      <c r="O7" s="184" t="s">
        <v>50</v>
      </c>
      <c r="P7" s="190" t="s">
        <v>51</v>
      </c>
      <c r="Q7" s="194" t="s">
        <v>30</v>
      </c>
      <c r="R7" s="185"/>
      <c r="S7" s="185"/>
      <c r="T7" s="185" t="s">
        <v>52</v>
      </c>
    </row>
    <row r="8" spans="1:21">
      <c r="A8" s="11">
        <v>0.7</v>
      </c>
      <c r="B8" s="180">
        <f t="shared" si="0"/>
        <v>0.7</v>
      </c>
      <c r="C8" s="10" t="s">
        <v>21</v>
      </c>
      <c r="D8" s="10" t="s">
        <v>57</v>
      </c>
      <c r="E8" s="11" t="s">
        <v>58</v>
      </c>
      <c r="F8" s="10" t="s">
        <v>59</v>
      </c>
      <c r="G8" s="10" t="s">
        <v>60</v>
      </c>
      <c r="H8" s="10" t="s">
        <v>60</v>
      </c>
      <c r="I8" s="11" t="s">
        <v>23</v>
      </c>
      <c r="J8" s="11" t="s">
        <v>23</v>
      </c>
      <c r="K8" s="11" t="s">
        <v>23</v>
      </c>
      <c r="L8" s="10" t="s">
        <v>28</v>
      </c>
      <c r="M8" s="10"/>
      <c r="N8" s="11">
        <v>1</v>
      </c>
      <c r="O8" s="11" t="s">
        <v>23</v>
      </c>
      <c r="P8" s="11" t="s">
        <v>23</v>
      </c>
      <c r="Q8" s="194" t="s">
        <v>30</v>
      </c>
      <c r="R8" s="185" t="s">
        <v>61</v>
      </c>
      <c r="S8" s="10"/>
      <c r="T8" s="185" t="s">
        <v>38</v>
      </c>
      <c r="U8" s="177" t="s">
        <v>39</v>
      </c>
    </row>
    <row r="9" spans="1:21">
      <c r="A9" s="11">
        <v>0.8</v>
      </c>
      <c r="B9" s="180">
        <f t="shared" si="0"/>
        <v>0.8</v>
      </c>
      <c r="C9" s="10" t="s">
        <v>21</v>
      </c>
      <c r="D9" s="10" t="s">
        <v>57</v>
      </c>
      <c r="E9" s="11" t="s">
        <v>58</v>
      </c>
      <c r="F9" s="10" t="s">
        <v>62</v>
      </c>
      <c r="G9" s="10" t="s">
        <v>63</v>
      </c>
      <c r="H9" s="10" t="s">
        <v>63</v>
      </c>
      <c r="I9" s="11" t="s">
        <v>23</v>
      </c>
      <c r="J9" s="11" t="s">
        <v>23</v>
      </c>
      <c r="K9" s="11" t="s">
        <v>23</v>
      </c>
      <c r="L9" s="10" t="s">
        <v>28</v>
      </c>
      <c r="M9" s="10"/>
      <c r="N9" s="11">
        <v>1</v>
      </c>
      <c r="O9" s="11" t="s">
        <v>23</v>
      </c>
      <c r="P9" s="11" t="s">
        <v>23</v>
      </c>
      <c r="Q9" s="194" t="s">
        <v>30</v>
      </c>
      <c r="R9" s="185" t="s">
        <v>61</v>
      </c>
      <c r="S9" s="10"/>
      <c r="T9" s="185" t="s">
        <v>38</v>
      </c>
      <c r="U9" s="177" t="s">
        <v>39</v>
      </c>
    </row>
    <row r="10" spans="1:20">
      <c r="A10" s="11">
        <v>1</v>
      </c>
      <c r="B10" s="180">
        <f t="shared" si="0"/>
        <v>1</v>
      </c>
      <c r="C10" s="10" t="s">
        <v>21</v>
      </c>
      <c r="D10" s="10" t="s">
        <v>22</v>
      </c>
      <c r="E10" s="11" t="s">
        <v>23</v>
      </c>
      <c r="F10" s="186" t="s">
        <v>64</v>
      </c>
      <c r="G10" s="10" t="s">
        <v>65</v>
      </c>
      <c r="H10" s="10" t="s">
        <v>65</v>
      </c>
      <c r="I10" s="11" t="s">
        <v>23</v>
      </c>
      <c r="J10" s="10" t="s">
        <v>26</v>
      </c>
      <c r="K10" s="10" t="s">
        <v>66</v>
      </c>
      <c r="L10" s="10" t="s">
        <v>28</v>
      </c>
      <c r="M10" s="10"/>
      <c r="N10" s="11">
        <v>3</v>
      </c>
      <c r="O10" s="10" t="s">
        <v>67</v>
      </c>
      <c r="P10" s="10"/>
      <c r="Q10" s="194" t="s">
        <v>68</v>
      </c>
      <c r="R10" s="185" t="s">
        <v>69</v>
      </c>
      <c r="S10" s="10"/>
      <c r="T10" s="185" t="s">
        <v>38</v>
      </c>
    </row>
    <row r="11" spans="1:21">
      <c r="A11" s="11">
        <v>2</v>
      </c>
      <c r="B11" s="180">
        <f t="shared" si="0"/>
        <v>2</v>
      </c>
      <c r="C11" s="10" t="s">
        <v>21</v>
      </c>
      <c r="D11" s="10" t="s">
        <v>43</v>
      </c>
      <c r="E11" s="11" t="s">
        <v>70</v>
      </c>
      <c r="F11" s="187" t="s">
        <v>71</v>
      </c>
      <c r="G11" s="10" t="s">
        <v>72</v>
      </c>
      <c r="H11" s="10" t="s">
        <v>72</v>
      </c>
      <c r="I11" s="10" t="s">
        <v>73</v>
      </c>
      <c r="J11" s="10" t="s">
        <v>66</v>
      </c>
      <c r="K11" s="10" t="s">
        <v>66</v>
      </c>
      <c r="L11" s="10" t="s">
        <v>28</v>
      </c>
      <c r="M11" s="10"/>
      <c r="N11" s="11">
        <v>14</v>
      </c>
      <c r="O11" s="10" t="s">
        <v>64</v>
      </c>
      <c r="P11" s="10"/>
      <c r="Q11" s="194" t="s">
        <v>68</v>
      </c>
      <c r="R11" s="185"/>
      <c r="S11" s="10"/>
      <c r="T11" s="185" t="s">
        <v>38</v>
      </c>
      <c r="U11" s="177" t="s">
        <v>39</v>
      </c>
    </row>
    <row r="12" spans="1:21">
      <c r="A12" s="11">
        <v>3</v>
      </c>
      <c r="B12" s="180">
        <f t="shared" si="0"/>
        <v>3</v>
      </c>
      <c r="C12" s="10" t="s">
        <v>21</v>
      </c>
      <c r="D12" s="10" t="s">
        <v>43</v>
      </c>
      <c r="E12" s="11" t="s">
        <v>70</v>
      </c>
      <c r="F12" s="10" t="s">
        <v>74</v>
      </c>
      <c r="G12" s="10" t="s">
        <v>75</v>
      </c>
      <c r="H12" s="10" t="s">
        <v>75</v>
      </c>
      <c r="I12" s="10" t="s">
        <v>76</v>
      </c>
      <c r="J12" s="10" t="s">
        <v>66</v>
      </c>
      <c r="K12" s="10" t="s">
        <v>66</v>
      </c>
      <c r="L12" s="10" t="s">
        <v>28</v>
      </c>
      <c r="M12" s="10"/>
      <c r="N12" s="11">
        <v>14</v>
      </c>
      <c r="O12" s="10" t="s">
        <v>71</v>
      </c>
      <c r="P12" s="10" t="s">
        <v>51</v>
      </c>
      <c r="Q12" s="194" t="s">
        <v>30</v>
      </c>
      <c r="R12" s="185"/>
      <c r="S12" s="10"/>
      <c r="T12" s="185" t="s">
        <v>38</v>
      </c>
      <c r="U12" s="177" t="s">
        <v>39</v>
      </c>
    </row>
    <row r="13" spans="1:21">
      <c r="A13" s="11">
        <v>4</v>
      </c>
      <c r="B13" s="180">
        <f t="shared" ref="B13:B31" si="1">HYPERLINK("#"&amp;A13&amp;"!A1",A13)</f>
        <v>4</v>
      </c>
      <c r="C13" s="10" t="s">
        <v>21</v>
      </c>
      <c r="D13" s="10" t="s">
        <v>22</v>
      </c>
      <c r="E13" s="11" t="s">
        <v>23</v>
      </c>
      <c r="F13" s="187" t="s">
        <v>77</v>
      </c>
      <c r="G13" s="10" t="s">
        <v>78</v>
      </c>
      <c r="H13" s="10" t="s">
        <v>78</v>
      </c>
      <c r="I13" s="11" t="s">
        <v>23</v>
      </c>
      <c r="J13" s="10" t="s">
        <v>26</v>
      </c>
      <c r="K13" s="10" t="s">
        <v>27</v>
      </c>
      <c r="L13" s="10" t="s">
        <v>28</v>
      </c>
      <c r="M13" s="10"/>
      <c r="N13" s="11">
        <v>3</v>
      </c>
      <c r="O13" s="10" t="s">
        <v>79</v>
      </c>
      <c r="P13" s="10"/>
      <c r="Q13" s="194" t="s">
        <v>68</v>
      </c>
      <c r="R13" s="185"/>
      <c r="S13" s="10"/>
      <c r="T13" s="185" t="s">
        <v>38</v>
      </c>
      <c r="U13" s="177" t="s">
        <v>39</v>
      </c>
    </row>
    <row r="14" spans="1:21">
      <c r="A14" s="11">
        <v>5</v>
      </c>
      <c r="B14" s="180">
        <f t="shared" si="1"/>
        <v>5</v>
      </c>
      <c r="C14" s="10" t="s">
        <v>21</v>
      </c>
      <c r="D14" s="10" t="s">
        <v>43</v>
      </c>
      <c r="E14" s="11" t="s">
        <v>70</v>
      </c>
      <c r="F14" s="187" t="s">
        <v>80</v>
      </c>
      <c r="G14" s="10" t="s">
        <v>81</v>
      </c>
      <c r="H14" s="10" t="s">
        <v>81</v>
      </c>
      <c r="I14" s="10" t="s">
        <v>73</v>
      </c>
      <c r="J14" s="10" t="s">
        <v>27</v>
      </c>
      <c r="K14" s="10" t="s">
        <v>66</v>
      </c>
      <c r="L14" s="10" t="s">
        <v>28</v>
      </c>
      <c r="M14" s="10"/>
      <c r="N14" s="11">
        <v>14</v>
      </c>
      <c r="O14" s="10" t="s">
        <v>77</v>
      </c>
      <c r="P14" s="10"/>
      <c r="Q14" s="194" t="s">
        <v>68</v>
      </c>
      <c r="R14" s="185"/>
      <c r="S14" s="10"/>
      <c r="T14" s="185" t="s">
        <v>38</v>
      </c>
      <c r="U14" s="177" t="s">
        <v>39</v>
      </c>
    </row>
    <row r="15" spans="1:21">
      <c r="A15" s="11">
        <v>6</v>
      </c>
      <c r="B15" s="180">
        <f t="shared" si="1"/>
        <v>6</v>
      </c>
      <c r="C15" s="10" t="s">
        <v>21</v>
      </c>
      <c r="D15" s="10" t="s">
        <v>43</v>
      </c>
      <c r="E15" s="11" t="s">
        <v>70</v>
      </c>
      <c r="F15" s="10" t="s">
        <v>82</v>
      </c>
      <c r="G15" s="10" t="s">
        <v>83</v>
      </c>
      <c r="H15" s="10" t="s">
        <v>83</v>
      </c>
      <c r="I15" s="10" t="s">
        <v>76</v>
      </c>
      <c r="J15" s="10" t="s">
        <v>66</v>
      </c>
      <c r="K15" s="10" t="s">
        <v>66</v>
      </c>
      <c r="L15" s="10" t="s">
        <v>28</v>
      </c>
      <c r="M15" s="10"/>
      <c r="N15" s="11">
        <v>14</v>
      </c>
      <c r="O15" s="10" t="s">
        <v>80</v>
      </c>
      <c r="P15" s="10" t="s">
        <v>51</v>
      </c>
      <c r="Q15" s="194" t="s">
        <v>30</v>
      </c>
      <c r="R15" s="185"/>
      <c r="S15" s="10"/>
      <c r="T15" s="185" t="s">
        <v>38</v>
      </c>
      <c r="U15" s="177" t="s">
        <v>39</v>
      </c>
    </row>
    <row r="16" hidden="1" spans="1:20">
      <c r="A16" s="11">
        <v>7</v>
      </c>
      <c r="B16" s="180">
        <f t="shared" si="1"/>
        <v>7</v>
      </c>
      <c r="C16" s="10" t="s">
        <v>21</v>
      </c>
      <c r="D16" s="10" t="s">
        <v>22</v>
      </c>
      <c r="E16" s="11" t="s">
        <v>23</v>
      </c>
      <c r="F16" s="10" t="s">
        <v>84</v>
      </c>
      <c r="G16" s="35" t="s">
        <v>85</v>
      </c>
      <c r="H16" s="35" t="s">
        <v>85</v>
      </c>
      <c r="I16" s="11" t="s">
        <v>23</v>
      </c>
      <c r="J16" s="10" t="s">
        <v>26</v>
      </c>
      <c r="K16" s="10" t="s">
        <v>66</v>
      </c>
      <c r="L16" s="10" t="s">
        <v>86</v>
      </c>
      <c r="M16" s="10"/>
      <c r="N16" s="11">
        <v>3</v>
      </c>
      <c r="O16" s="10" t="s">
        <v>87</v>
      </c>
      <c r="P16" s="10"/>
      <c r="Q16" s="194" t="s">
        <v>68</v>
      </c>
      <c r="R16" s="185"/>
      <c r="S16" s="10"/>
      <c r="T16" s="185" t="s">
        <v>31</v>
      </c>
    </row>
    <row r="17" hidden="1" spans="1:20">
      <c r="A17" s="11">
        <v>8</v>
      </c>
      <c r="B17" s="180">
        <f t="shared" si="1"/>
        <v>8</v>
      </c>
      <c r="C17" s="10" t="s">
        <v>21</v>
      </c>
      <c r="D17" s="10" t="s">
        <v>43</v>
      </c>
      <c r="E17" s="11" t="s">
        <v>70</v>
      </c>
      <c r="F17" s="10" t="s">
        <v>88</v>
      </c>
      <c r="G17" s="35" t="s">
        <v>89</v>
      </c>
      <c r="H17" s="35" t="s">
        <v>89</v>
      </c>
      <c r="I17" s="10" t="s">
        <v>73</v>
      </c>
      <c r="J17" s="10" t="s">
        <v>66</v>
      </c>
      <c r="K17" s="10" t="s">
        <v>66</v>
      </c>
      <c r="L17" s="10" t="s">
        <v>86</v>
      </c>
      <c r="M17" s="10" t="s">
        <v>90</v>
      </c>
      <c r="N17" s="10" t="s">
        <v>91</v>
      </c>
      <c r="O17" s="10" t="s">
        <v>84</v>
      </c>
      <c r="P17" s="10"/>
      <c r="Q17" s="194" t="s">
        <v>68</v>
      </c>
      <c r="R17" s="185"/>
      <c r="S17" s="10"/>
      <c r="T17" s="185" t="s">
        <v>31</v>
      </c>
    </row>
    <row r="18" spans="1:21">
      <c r="A18" s="11">
        <v>9</v>
      </c>
      <c r="B18" s="180">
        <f t="shared" si="1"/>
        <v>9</v>
      </c>
      <c r="C18" s="10" t="s">
        <v>21</v>
      </c>
      <c r="D18" s="10" t="s">
        <v>43</v>
      </c>
      <c r="E18" s="11" t="s">
        <v>70</v>
      </c>
      <c r="F18" s="10" t="s">
        <v>92</v>
      </c>
      <c r="G18" s="10" t="s">
        <v>93</v>
      </c>
      <c r="H18" s="10" t="s">
        <v>93</v>
      </c>
      <c r="I18" s="10" t="s">
        <v>76</v>
      </c>
      <c r="J18" s="10" t="s">
        <v>66</v>
      </c>
      <c r="K18" s="10" t="s">
        <v>66</v>
      </c>
      <c r="L18" s="10" t="s">
        <v>28</v>
      </c>
      <c r="M18" s="10"/>
      <c r="N18" s="11">
        <v>14</v>
      </c>
      <c r="O18" s="10" t="s">
        <v>88</v>
      </c>
      <c r="P18" s="10" t="s">
        <v>51</v>
      </c>
      <c r="Q18" s="194" t="s">
        <v>30</v>
      </c>
      <c r="R18" s="185"/>
      <c r="S18" s="10"/>
      <c r="T18" s="185" t="s">
        <v>38</v>
      </c>
      <c r="U18" s="177" t="s">
        <v>39</v>
      </c>
    </row>
    <row r="19" hidden="1" spans="1:20">
      <c r="A19" s="11">
        <v>10</v>
      </c>
      <c r="B19" s="188">
        <f t="shared" si="1"/>
        <v>10</v>
      </c>
      <c r="C19" s="10" t="s">
        <v>21</v>
      </c>
      <c r="D19" s="10" t="s">
        <v>22</v>
      </c>
      <c r="E19" s="11" t="s">
        <v>23</v>
      </c>
      <c r="F19" s="10" t="s">
        <v>94</v>
      </c>
      <c r="G19" s="35" t="s">
        <v>95</v>
      </c>
      <c r="H19" s="35" t="s">
        <v>96</v>
      </c>
      <c r="I19" s="11" t="s">
        <v>23</v>
      </c>
      <c r="J19" s="10" t="s">
        <v>26</v>
      </c>
      <c r="K19" s="10" t="s">
        <v>27</v>
      </c>
      <c r="L19" s="10" t="s">
        <v>86</v>
      </c>
      <c r="M19" s="10"/>
      <c r="N19" s="11">
        <v>3</v>
      </c>
      <c r="O19" s="10" t="s">
        <v>97</v>
      </c>
      <c r="P19" s="10"/>
      <c r="Q19" s="194" t="s">
        <v>68</v>
      </c>
      <c r="R19" s="185"/>
      <c r="S19" s="10"/>
      <c r="T19" s="185" t="s">
        <v>31</v>
      </c>
    </row>
    <row r="20" hidden="1" spans="1:20">
      <c r="A20" s="11">
        <v>11</v>
      </c>
      <c r="B20" s="188">
        <f t="shared" si="1"/>
        <v>11</v>
      </c>
      <c r="C20" s="10" t="s">
        <v>21</v>
      </c>
      <c r="D20" s="10" t="s">
        <v>43</v>
      </c>
      <c r="E20" s="11" t="s">
        <v>70</v>
      </c>
      <c r="F20" s="10" t="s">
        <v>98</v>
      </c>
      <c r="G20" s="35" t="s">
        <v>99</v>
      </c>
      <c r="H20" s="35" t="s">
        <v>99</v>
      </c>
      <c r="I20" s="10" t="s">
        <v>73</v>
      </c>
      <c r="J20" s="10" t="s">
        <v>27</v>
      </c>
      <c r="K20" s="10" t="s">
        <v>66</v>
      </c>
      <c r="L20" s="10" t="s">
        <v>86</v>
      </c>
      <c r="M20" s="10" t="s">
        <v>90</v>
      </c>
      <c r="N20" s="10" t="s">
        <v>91</v>
      </c>
      <c r="O20" s="10" t="s">
        <v>94</v>
      </c>
      <c r="P20" s="10"/>
      <c r="Q20" s="194" t="s">
        <v>68</v>
      </c>
      <c r="R20" s="185"/>
      <c r="S20" s="10"/>
      <c r="T20" s="185" t="s">
        <v>31</v>
      </c>
    </row>
    <row r="21" spans="1:21">
      <c r="A21" s="11">
        <v>12</v>
      </c>
      <c r="B21" s="180">
        <f t="shared" si="1"/>
        <v>12</v>
      </c>
      <c r="C21" s="10" t="s">
        <v>21</v>
      </c>
      <c r="D21" s="10" t="s">
        <v>43</v>
      </c>
      <c r="E21" s="11" t="s">
        <v>70</v>
      </c>
      <c r="F21" s="10" t="s">
        <v>100</v>
      </c>
      <c r="G21" s="10" t="s">
        <v>101</v>
      </c>
      <c r="H21" s="10" t="s">
        <v>101</v>
      </c>
      <c r="I21" s="10" t="s">
        <v>76</v>
      </c>
      <c r="J21" s="10" t="s">
        <v>66</v>
      </c>
      <c r="K21" s="10" t="s">
        <v>66</v>
      </c>
      <c r="L21" s="10" t="s">
        <v>28</v>
      </c>
      <c r="M21" s="10"/>
      <c r="N21" s="11">
        <v>14</v>
      </c>
      <c r="O21" s="10" t="s">
        <v>98</v>
      </c>
      <c r="P21" s="10" t="s">
        <v>51</v>
      </c>
      <c r="Q21" s="194" t="s">
        <v>30</v>
      </c>
      <c r="R21" s="185"/>
      <c r="S21" s="10"/>
      <c r="T21" s="185" t="s">
        <v>38</v>
      </c>
      <c r="U21" s="177" t="s">
        <v>39</v>
      </c>
    </row>
    <row r="22" hidden="1" spans="1:20">
      <c r="A22" s="11">
        <v>13</v>
      </c>
      <c r="B22" s="188">
        <f t="shared" si="1"/>
        <v>13</v>
      </c>
      <c r="C22" s="10" t="s">
        <v>21</v>
      </c>
      <c r="D22" s="10" t="s">
        <v>22</v>
      </c>
      <c r="E22" s="11" t="s">
        <v>23</v>
      </c>
      <c r="F22" s="10" t="s">
        <v>102</v>
      </c>
      <c r="G22" s="35" t="s">
        <v>103</v>
      </c>
      <c r="H22" s="35" t="s">
        <v>104</v>
      </c>
      <c r="I22" s="11" t="s">
        <v>23</v>
      </c>
      <c r="J22" s="10" t="s">
        <v>26</v>
      </c>
      <c r="K22" s="10" t="s">
        <v>27</v>
      </c>
      <c r="L22" s="10" t="s">
        <v>86</v>
      </c>
      <c r="M22" s="10"/>
      <c r="N22" s="11">
        <v>3</v>
      </c>
      <c r="O22" s="10" t="s">
        <v>105</v>
      </c>
      <c r="P22" s="10"/>
      <c r="Q22" s="194" t="s">
        <v>68</v>
      </c>
      <c r="R22" s="185"/>
      <c r="S22" s="10"/>
      <c r="T22" s="185" t="s">
        <v>31</v>
      </c>
    </row>
    <row r="23" hidden="1" spans="1:20">
      <c r="A23" s="11">
        <v>14</v>
      </c>
      <c r="B23" s="188">
        <f t="shared" si="1"/>
        <v>14</v>
      </c>
      <c r="C23" s="10" t="s">
        <v>21</v>
      </c>
      <c r="D23" s="10" t="s">
        <v>43</v>
      </c>
      <c r="E23" s="11" t="s">
        <v>70</v>
      </c>
      <c r="F23" s="10" t="s">
        <v>106</v>
      </c>
      <c r="G23" s="35" t="s">
        <v>107</v>
      </c>
      <c r="H23" s="35" t="s">
        <v>107</v>
      </c>
      <c r="I23" s="10" t="s">
        <v>73</v>
      </c>
      <c r="J23" s="10" t="s">
        <v>27</v>
      </c>
      <c r="K23" s="10" t="s">
        <v>66</v>
      </c>
      <c r="L23" s="10" t="s">
        <v>86</v>
      </c>
      <c r="M23" s="10" t="s">
        <v>90</v>
      </c>
      <c r="N23" s="10" t="s">
        <v>91</v>
      </c>
      <c r="O23" s="10" t="s">
        <v>102</v>
      </c>
      <c r="P23" s="10"/>
      <c r="Q23" s="194" t="s">
        <v>68</v>
      </c>
      <c r="R23" s="185"/>
      <c r="S23" s="10"/>
      <c r="T23" s="185" t="s">
        <v>31</v>
      </c>
    </row>
    <row r="24" spans="1:21">
      <c r="A24" s="11">
        <v>15</v>
      </c>
      <c r="B24" s="180">
        <f t="shared" si="1"/>
        <v>15</v>
      </c>
      <c r="C24" s="10" t="s">
        <v>21</v>
      </c>
      <c r="D24" s="10" t="s">
        <v>43</v>
      </c>
      <c r="E24" s="11" t="s">
        <v>70</v>
      </c>
      <c r="F24" s="10" t="s">
        <v>108</v>
      </c>
      <c r="G24" s="10" t="s">
        <v>109</v>
      </c>
      <c r="H24" s="10" t="s">
        <v>109</v>
      </c>
      <c r="I24" s="10" t="s">
        <v>76</v>
      </c>
      <c r="J24" s="10" t="s">
        <v>66</v>
      </c>
      <c r="K24" s="10" t="s">
        <v>66</v>
      </c>
      <c r="L24" s="10" t="s">
        <v>28</v>
      </c>
      <c r="M24" s="10"/>
      <c r="N24" s="11">
        <v>14</v>
      </c>
      <c r="O24" s="10" t="s">
        <v>106</v>
      </c>
      <c r="P24" s="10" t="s">
        <v>51</v>
      </c>
      <c r="Q24" s="194" t="s">
        <v>30</v>
      </c>
      <c r="R24" s="185"/>
      <c r="S24" s="10"/>
      <c r="T24" s="185" t="s">
        <v>38</v>
      </c>
      <c r="U24" s="177" t="s">
        <v>39</v>
      </c>
    </row>
    <row r="25" hidden="1" spans="1:20">
      <c r="A25" s="11">
        <v>16</v>
      </c>
      <c r="B25" s="188">
        <f t="shared" si="1"/>
        <v>16</v>
      </c>
      <c r="C25" s="10" t="s">
        <v>21</v>
      </c>
      <c r="D25" s="10" t="s">
        <v>22</v>
      </c>
      <c r="E25" s="11" t="s">
        <v>23</v>
      </c>
      <c r="F25" s="10" t="s">
        <v>110</v>
      </c>
      <c r="G25" s="35" t="s">
        <v>111</v>
      </c>
      <c r="H25" s="35" t="s">
        <v>112</v>
      </c>
      <c r="I25" s="11" t="s">
        <v>23</v>
      </c>
      <c r="J25" s="10" t="s">
        <v>26</v>
      </c>
      <c r="K25" s="10" t="s">
        <v>27</v>
      </c>
      <c r="L25" s="10" t="s">
        <v>86</v>
      </c>
      <c r="M25" s="10"/>
      <c r="N25" s="11">
        <v>3</v>
      </c>
      <c r="O25" s="10" t="s">
        <v>113</v>
      </c>
      <c r="P25" s="10"/>
      <c r="Q25" s="194" t="s">
        <v>68</v>
      </c>
      <c r="R25" s="185"/>
      <c r="S25" s="10"/>
      <c r="T25" s="185" t="s">
        <v>31</v>
      </c>
    </row>
    <row r="26" hidden="1" spans="1:20">
      <c r="A26" s="11">
        <v>17</v>
      </c>
      <c r="B26" s="188">
        <f t="shared" si="1"/>
        <v>17</v>
      </c>
      <c r="C26" s="10" t="s">
        <v>21</v>
      </c>
      <c r="D26" s="10" t="s">
        <v>43</v>
      </c>
      <c r="E26" s="11" t="s">
        <v>70</v>
      </c>
      <c r="F26" s="10" t="s">
        <v>114</v>
      </c>
      <c r="G26" s="35" t="s">
        <v>115</v>
      </c>
      <c r="H26" s="35" t="s">
        <v>115</v>
      </c>
      <c r="I26" s="10" t="s">
        <v>73</v>
      </c>
      <c r="J26" s="10" t="s">
        <v>66</v>
      </c>
      <c r="K26" s="10" t="s">
        <v>66</v>
      </c>
      <c r="L26" s="10" t="s">
        <v>86</v>
      </c>
      <c r="M26" s="10" t="s">
        <v>90</v>
      </c>
      <c r="N26" s="10" t="s">
        <v>91</v>
      </c>
      <c r="O26" s="10" t="s">
        <v>110</v>
      </c>
      <c r="P26" s="10"/>
      <c r="Q26" s="194" t="s">
        <v>68</v>
      </c>
      <c r="R26" s="185"/>
      <c r="S26" s="10"/>
      <c r="T26" s="185" t="s">
        <v>31</v>
      </c>
    </row>
    <row r="27" spans="1:21">
      <c r="A27" s="11">
        <v>18</v>
      </c>
      <c r="B27" s="180">
        <f t="shared" si="1"/>
        <v>18</v>
      </c>
      <c r="C27" s="10" t="s">
        <v>21</v>
      </c>
      <c r="D27" s="10" t="s">
        <v>43</v>
      </c>
      <c r="E27" s="11" t="s">
        <v>70</v>
      </c>
      <c r="F27" s="10" t="s">
        <v>116</v>
      </c>
      <c r="G27" s="10" t="s">
        <v>117</v>
      </c>
      <c r="H27" s="10" t="s">
        <v>117</v>
      </c>
      <c r="I27" s="10" t="s">
        <v>76</v>
      </c>
      <c r="J27" s="10" t="s">
        <v>66</v>
      </c>
      <c r="K27" s="10" t="s">
        <v>66</v>
      </c>
      <c r="L27" s="10" t="s">
        <v>28</v>
      </c>
      <c r="M27" s="10"/>
      <c r="N27" s="11">
        <v>14</v>
      </c>
      <c r="O27" s="10" t="s">
        <v>114</v>
      </c>
      <c r="P27" s="10" t="s">
        <v>51</v>
      </c>
      <c r="Q27" s="194" t="s">
        <v>30</v>
      </c>
      <c r="R27" s="185"/>
      <c r="S27" s="10"/>
      <c r="T27" s="185" t="s">
        <v>38</v>
      </c>
      <c r="U27" s="177" t="s">
        <v>39</v>
      </c>
    </row>
    <row r="28" spans="1:21">
      <c r="A28" s="11">
        <v>19</v>
      </c>
      <c r="B28" s="180">
        <f t="shared" si="1"/>
        <v>19</v>
      </c>
      <c r="C28" s="10" t="s">
        <v>21</v>
      </c>
      <c r="D28" s="10" t="s">
        <v>22</v>
      </c>
      <c r="E28" s="11" t="s">
        <v>23</v>
      </c>
      <c r="F28" s="187" t="s">
        <v>118</v>
      </c>
      <c r="G28" s="10" t="s">
        <v>119</v>
      </c>
      <c r="H28" s="10" t="s">
        <v>119</v>
      </c>
      <c r="I28" s="11" t="s">
        <v>23</v>
      </c>
      <c r="J28" s="10" t="s">
        <v>26</v>
      </c>
      <c r="K28" s="10" t="s">
        <v>27</v>
      </c>
      <c r="L28" s="10" t="s">
        <v>28</v>
      </c>
      <c r="M28" s="10"/>
      <c r="N28" s="11">
        <v>3</v>
      </c>
      <c r="O28" s="10" t="s">
        <v>120</v>
      </c>
      <c r="P28" s="10"/>
      <c r="Q28" s="194" t="s">
        <v>68</v>
      </c>
      <c r="R28" s="185"/>
      <c r="S28" s="10"/>
      <c r="T28" s="185" t="s">
        <v>38</v>
      </c>
      <c r="U28" s="177" t="s">
        <v>39</v>
      </c>
    </row>
    <row r="29" spans="1:21">
      <c r="A29" s="11">
        <v>20</v>
      </c>
      <c r="B29" s="180">
        <f t="shared" si="1"/>
        <v>20</v>
      </c>
      <c r="C29" s="10" t="s">
        <v>21</v>
      </c>
      <c r="D29" s="10" t="s">
        <v>43</v>
      </c>
      <c r="E29" s="11" t="s">
        <v>70</v>
      </c>
      <c r="F29" s="187" t="s">
        <v>121</v>
      </c>
      <c r="G29" s="10" t="s">
        <v>122</v>
      </c>
      <c r="H29" s="10" t="s">
        <v>122</v>
      </c>
      <c r="I29" s="10" t="s">
        <v>73</v>
      </c>
      <c r="J29" s="10" t="s">
        <v>27</v>
      </c>
      <c r="K29" s="10" t="s">
        <v>27</v>
      </c>
      <c r="L29" s="10" t="s">
        <v>28</v>
      </c>
      <c r="M29" s="10"/>
      <c r="N29" s="11">
        <v>14</v>
      </c>
      <c r="O29" s="10" t="s">
        <v>118</v>
      </c>
      <c r="P29" s="10"/>
      <c r="Q29" s="194" t="s">
        <v>68</v>
      </c>
      <c r="R29" s="185"/>
      <c r="S29" s="10"/>
      <c r="T29" s="185" t="s">
        <v>38</v>
      </c>
      <c r="U29" s="177" t="s">
        <v>39</v>
      </c>
    </row>
    <row r="30" spans="1:21">
      <c r="A30" s="11">
        <v>21</v>
      </c>
      <c r="B30" s="180">
        <f t="shared" si="1"/>
        <v>21</v>
      </c>
      <c r="C30" s="10" t="s">
        <v>21</v>
      </c>
      <c r="D30" s="10" t="s">
        <v>43</v>
      </c>
      <c r="E30" s="11" t="s">
        <v>70</v>
      </c>
      <c r="F30" s="187" t="s">
        <v>123</v>
      </c>
      <c r="G30" s="10" t="s">
        <v>124</v>
      </c>
      <c r="H30" s="10" t="s">
        <v>124</v>
      </c>
      <c r="I30" s="10" t="s">
        <v>73</v>
      </c>
      <c r="J30" s="10" t="s">
        <v>66</v>
      </c>
      <c r="K30" s="10" t="s">
        <v>66</v>
      </c>
      <c r="L30" s="10" t="s">
        <v>28</v>
      </c>
      <c r="M30" s="10"/>
      <c r="N30" s="11">
        <v>14</v>
      </c>
      <c r="O30" s="10" t="s">
        <v>121</v>
      </c>
      <c r="P30" s="10"/>
      <c r="Q30" s="194" t="s">
        <v>68</v>
      </c>
      <c r="R30" s="185"/>
      <c r="S30" s="10"/>
      <c r="T30" s="185" t="s">
        <v>38</v>
      </c>
      <c r="U30" s="177" t="s">
        <v>39</v>
      </c>
    </row>
    <row r="31" spans="1:21">
      <c r="A31" s="11">
        <v>22</v>
      </c>
      <c r="B31" s="180">
        <f t="shared" si="1"/>
        <v>22</v>
      </c>
      <c r="C31" s="10" t="s">
        <v>21</v>
      </c>
      <c r="D31" s="10" t="s">
        <v>43</v>
      </c>
      <c r="E31" s="11" t="s">
        <v>70</v>
      </c>
      <c r="F31" s="10" t="s">
        <v>125</v>
      </c>
      <c r="G31" s="10" t="s">
        <v>126</v>
      </c>
      <c r="H31" s="10" t="s">
        <v>124</v>
      </c>
      <c r="I31" s="10" t="s">
        <v>76</v>
      </c>
      <c r="J31" s="10" t="s">
        <v>66</v>
      </c>
      <c r="K31" s="10" t="s">
        <v>66</v>
      </c>
      <c r="L31" s="10" t="s">
        <v>28</v>
      </c>
      <c r="M31" s="10"/>
      <c r="N31" s="11">
        <v>14</v>
      </c>
      <c r="O31" s="10" t="s">
        <v>123</v>
      </c>
      <c r="P31" s="10" t="s">
        <v>51</v>
      </c>
      <c r="Q31" s="194" t="s">
        <v>30</v>
      </c>
      <c r="R31" s="185"/>
      <c r="S31" s="10"/>
      <c r="T31" s="185" t="s">
        <v>38</v>
      </c>
      <c r="U31" s="177" t="s">
        <v>39</v>
      </c>
    </row>
    <row r="32" hidden="1" spans="1:20">
      <c r="A32" s="11">
        <v>23</v>
      </c>
      <c r="B32" s="188">
        <f t="shared" ref="B32:B51" si="2">HYPERLINK("#"&amp;A32&amp;"!A1",A32)</f>
        <v>23</v>
      </c>
      <c r="C32" s="10" t="s">
        <v>21</v>
      </c>
      <c r="D32" s="10" t="s">
        <v>22</v>
      </c>
      <c r="E32" s="11" t="s">
        <v>23</v>
      </c>
      <c r="F32" s="10" t="s">
        <v>127</v>
      </c>
      <c r="G32" s="10" t="s">
        <v>128</v>
      </c>
      <c r="H32" s="10" t="s">
        <v>128</v>
      </c>
      <c r="I32" s="11" t="s">
        <v>23</v>
      </c>
      <c r="J32" s="10" t="s">
        <v>26</v>
      </c>
      <c r="K32" s="10" t="s">
        <v>27</v>
      </c>
      <c r="L32" s="10" t="s">
        <v>86</v>
      </c>
      <c r="M32" s="10" t="s">
        <v>90</v>
      </c>
      <c r="N32" s="11">
        <v>3</v>
      </c>
      <c r="O32" s="10" t="s">
        <v>129</v>
      </c>
      <c r="P32" s="10"/>
      <c r="Q32" s="194" t="s">
        <v>68</v>
      </c>
      <c r="R32" s="185"/>
      <c r="S32" s="10"/>
      <c r="T32" s="185" t="s">
        <v>31</v>
      </c>
    </row>
    <row r="33" spans="1:21">
      <c r="A33" s="11">
        <v>24</v>
      </c>
      <c r="B33" s="180">
        <f t="shared" si="2"/>
        <v>24</v>
      </c>
      <c r="C33" s="10" t="s">
        <v>21</v>
      </c>
      <c r="D33" s="10" t="s">
        <v>43</v>
      </c>
      <c r="E33" s="11" t="s">
        <v>70</v>
      </c>
      <c r="F33" s="187" t="s">
        <v>130</v>
      </c>
      <c r="G33" s="10" t="s">
        <v>131</v>
      </c>
      <c r="H33" s="10" t="s">
        <v>131</v>
      </c>
      <c r="I33" s="10" t="s">
        <v>73</v>
      </c>
      <c r="J33" s="10" t="s">
        <v>66</v>
      </c>
      <c r="K33" s="10" t="s">
        <v>66</v>
      </c>
      <c r="L33" s="10" t="s">
        <v>28</v>
      </c>
      <c r="M33" s="10"/>
      <c r="N33" s="11">
        <v>14</v>
      </c>
      <c r="O33" s="10" t="s">
        <v>127</v>
      </c>
      <c r="P33" s="10"/>
      <c r="Q33" s="194" t="s">
        <v>68</v>
      </c>
      <c r="R33" s="185"/>
      <c r="S33" s="10"/>
      <c r="T33" s="185" t="s">
        <v>38</v>
      </c>
      <c r="U33" s="177" t="s">
        <v>39</v>
      </c>
    </row>
    <row r="34" spans="1:21">
      <c r="A34" s="11">
        <v>25</v>
      </c>
      <c r="B34" s="180">
        <f t="shared" si="2"/>
        <v>25</v>
      </c>
      <c r="C34" s="10" t="s">
        <v>21</v>
      </c>
      <c r="D34" s="10" t="s">
        <v>43</v>
      </c>
      <c r="E34" s="11" t="s">
        <v>70</v>
      </c>
      <c r="F34" s="10" t="s">
        <v>132</v>
      </c>
      <c r="G34" s="10" t="s">
        <v>133</v>
      </c>
      <c r="H34" s="10" t="s">
        <v>133</v>
      </c>
      <c r="I34" s="10" t="s">
        <v>76</v>
      </c>
      <c r="J34" s="10" t="s">
        <v>66</v>
      </c>
      <c r="K34" s="10" t="s">
        <v>66</v>
      </c>
      <c r="L34" s="10" t="s">
        <v>28</v>
      </c>
      <c r="M34" s="10"/>
      <c r="N34" s="11">
        <v>14</v>
      </c>
      <c r="O34" s="10" t="s">
        <v>130</v>
      </c>
      <c r="P34" s="10" t="s">
        <v>51</v>
      </c>
      <c r="Q34" s="194" t="s">
        <v>30</v>
      </c>
      <c r="R34" s="185"/>
      <c r="S34" s="10"/>
      <c r="T34" s="185" t="s">
        <v>38</v>
      </c>
      <c r="U34" s="177" t="s">
        <v>39</v>
      </c>
    </row>
    <row r="35" hidden="1" spans="1:20">
      <c r="A35" s="11">
        <v>26</v>
      </c>
      <c r="B35" s="188">
        <f t="shared" si="2"/>
        <v>26</v>
      </c>
      <c r="C35" s="10" t="s">
        <v>21</v>
      </c>
      <c r="D35" s="10" t="s">
        <v>43</v>
      </c>
      <c r="E35" s="11" t="s">
        <v>70</v>
      </c>
      <c r="F35" s="10" t="s">
        <v>134</v>
      </c>
      <c r="G35" s="10" t="s">
        <v>135</v>
      </c>
      <c r="H35" s="10" t="s">
        <v>135</v>
      </c>
      <c r="I35" s="10" t="s">
        <v>73</v>
      </c>
      <c r="J35" s="10" t="s">
        <v>66</v>
      </c>
      <c r="K35" s="10" t="s">
        <v>66</v>
      </c>
      <c r="L35" s="10" t="s">
        <v>86</v>
      </c>
      <c r="M35" s="10" t="s">
        <v>90</v>
      </c>
      <c r="N35" s="10" t="s">
        <v>91</v>
      </c>
      <c r="O35" s="10" t="s">
        <v>136</v>
      </c>
      <c r="P35" s="10"/>
      <c r="Q35" s="194" t="s">
        <v>68</v>
      </c>
      <c r="R35" s="185"/>
      <c r="S35" s="10"/>
      <c r="T35" s="185" t="s">
        <v>31</v>
      </c>
    </row>
    <row r="36" spans="1:21">
      <c r="A36" s="11">
        <v>27</v>
      </c>
      <c r="B36" s="180">
        <f t="shared" si="2"/>
        <v>27</v>
      </c>
      <c r="C36" s="10" t="s">
        <v>21</v>
      </c>
      <c r="D36" s="10" t="s">
        <v>43</v>
      </c>
      <c r="E36" s="11" t="s">
        <v>70</v>
      </c>
      <c r="F36" s="10" t="s">
        <v>137</v>
      </c>
      <c r="G36" s="10" t="s">
        <v>138</v>
      </c>
      <c r="H36" s="10" t="s">
        <v>138</v>
      </c>
      <c r="I36" s="10" t="s">
        <v>76</v>
      </c>
      <c r="J36" s="10" t="s">
        <v>66</v>
      </c>
      <c r="K36" s="10" t="s">
        <v>66</v>
      </c>
      <c r="L36" s="10" t="s">
        <v>28</v>
      </c>
      <c r="M36" s="10"/>
      <c r="N36" s="11">
        <v>14</v>
      </c>
      <c r="O36" s="10" t="s">
        <v>134</v>
      </c>
      <c r="P36" s="10" t="s">
        <v>51</v>
      </c>
      <c r="Q36" s="194" t="s">
        <v>30</v>
      </c>
      <c r="R36" s="185"/>
      <c r="S36" s="10"/>
      <c r="T36" s="185" t="s">
        <v>38</v>
      </c>
      <c r="U36" s="177" t="s">
        <v>39</v>
      </c>
    </row>
    <row r="37" spans="1:21">
      <c r="A37" s="11">
        <v>28</v>
      </c>
      <c r="B37" s="180">
        <f t="shared" si="2"/>
        <v>28</v>
      </c>
      <c r="C37" s="10" t="s">
        <v>21</v>
      </c>
      <c r="D37" s="10" t="s">
        <v>22</v>
      </c>
      <c r="E37" s="11" t="s">
        <v>23</v>
      </c>
      <c r="F37" s="187" t="s">
        <v>139</v>
      </c>
      <c r="G37" s="10" t="s">
        <v>140</v>
      </c>
      <c r="H37" s="10" t="s">
        <v>140</v>
      </c>
      <c r="I37" s="11" t="s">
        <v>23</v>
      </c>
      <c r="J37" s="10" t="s">
        <v>26</v>
      </c>
      <c r="K37" s="10" t="s">
        <v>27</v>
      </c>
      <c r="L37" s="10" t="s">
        <v>28</v>
      </c>
      <c r="M37" s="10"/>
      <c r="N37" s="11">
        <v>3</v>
      </c>
      <c r="O37" s="10" t="s">
        <v>141</v>
      </c>
      <c r="P37" s="10"/>
      <c r="Q37" s="194" t="s">
        <v>68</v>
      </c>
      <c r="R37" s="185"/>
      <c r="S37" s="10"/>
      <c r="T37" s="185" t="s">
        <v>38</v>
      </c>
      <c r="U37" s="177" t="s">
        <v>39</v>
      </c>
    </row>
    <row r="38" spans="1:21">
      <c r="A38" s="11">
        <v>29</v>
      </c>
      <c r="B38" s="180">
        <f t="shared" si="2"/>
        <v>29</v>
      </c>
      <c r="C38" s="10" t="s">
        <v>21</v>
      </c>
      <c r="D38" s="10" t="s">
        <v>43</v>
      </c>
      <c r="E38" s="11" t="s">
        <v>70</v>
      </c>
      <c r="F38" s="187" t="s">
        <v>142</v>
      </c>
      <c r="G38" s="10" t="s">
        <v>143</v>
      </c>
      <c r="H38" s="10" t="s">
        <v>143</v>
      </c>
      <c r="I38" s="10" t="s">
        <v>73</v>
      </c>
      <c r="J38" s="10" t="s">
        <v>27</v>
      </c>
      <c r="K38" s="10" t="s">
        <v>66</v>
      </c>
      <c r="L38" s="10" t="s">
        <v>28</v>
      </c>
      <c r="M38" s="10"/>
      <c r="N38" s="11">
        <v>14</v>
      </c>
      <c r="O38" s="10" t="s">
        <v>139</v>
      </c>
      <c r="P38" s="10"/>
      <c r="Q38" s="194" t="s">
        <v>68</v>
      </c>
      <c r="R38" s="185"/>
      <c r="S38" s="10"/>
      <c r="T38" s="185" t="s">
        <v>38</v>
      </c>
      <c r="U38" s="177" t="s">
        <v>39</v>
      </c>
    </row>
    <row r="39" spans="1:21">
      <c r="A39" s="11">
        <v>30</v>
      </c>
      <c r="B39" s="180">
        <f t="shared" si="2"/>
        <v>30</v>
      </c>
      <c r="C39" s="10" t="s">
        <v>21</v>
      </c>
      <c r="D39" s="10" t="s">
        <v>43</v>
      </c>
      <c r="E39" s="11" t="s">
        <v>70</v>
      </c>
      <c r="F39" s="10" t="s">
        <v>144</v>
      </c>
      <c r="G39" s="10" t="s">
        <v>145</v>
      </c>
      <c r="H39" s="10" t="s">
        <v>145</v>
      </c>
      <c r="I39" s="10" t="s">
        <v>76</v>
      </c>
      <c r="J39" s="10" t="s">
        <v>66</v>
      </c>
      <c r="K39" s="10" t="s">
        <v>66</v>
      </c>
      <c r="L39" s="10" t="s">
        <v>28</v>
      </c>
      <c r="M39" s="10"/>
      <c r="N39" s="11">
        <v>14</v>
      </c>
      <c r="O39" s="10" t="s">
        <v>142</v>
      </c>
      <c r="P39" s="10" t="s">
        <v>51</v>
      </c>
      <c r="Q39" s="194" t="s">
        <v>30</v>
      </c>
      <c r="R39" s="185"/>
      <c r="S39" s="10"/>
      <c r="T39" s="185" t="s">
        <v>38</v>
      </c>
      <c r="U39" s="177" t="s">
        <v>39</v>
      </c>
    </row>
    <row r="40" hidden="1" spans="1:20">
      <c r="A40" s="11">
        <v>31</v>
      </c>
      <c r="B40" s="188">
        <f t="shared" si="2"/>
        <v>31</v>
      </c>
      <c r="C40" s="10" t="s">
        <v>21</v>
      </c>
      <c r="D40" s="10" t="s">
        <v>43</v>
      </c>
      <c r="E40" s="11" t="s">
        <v>146</v>
      </c>
      <c r="F40" s="10" t="s">
        <v>147</v>
      </c>
      <c r="G40" s="10" t="s">
        <v>148</v>
      </c>
      <c r="H40" s="10" t="s">
        <v>148</v>
      </c>
      <c r="I40" s="10" t="s">
        <v>149</v>
      </c>
      <c r="J40" s="10" t="s">
        <v>27</v>
      </c>
      <c r="K40" s="10" t="s">
        <v>27</v>
      </c>
      <c r="L40" s="10" t="s">
        <v>28</v>
      </c>
      <c r="M40" s="10"/>
      <c r="N40" s="11">
        <v>14</v>
      </c>
      <c r="O40" s="10" t="s">
        <v>150</v>
      </c>
      <c r="P40" s="10"/>
      <c r="Q40" s="194" t="s">
        <v>68</v>
      </c>
      <c r="R40" s="185"/>
      <c r="S40" s="10"/>
      <c r="T40" s="185" t="s">
        <v>31</v>
      </c>
    </row>
    <row r="41" spans="1:21">
      <c r="A41" s="11">
        <v>32</v>
      </c>
      <c r="B41" s="180">
        <f t="shared" si="2"/>
        <v>32</v>
      </c>
      <c r="C41" s="10" t="s">
        <v>21</v>
      </c>
      <c r="D41" s="10" t="s">
        <v>43</v>
      </c>
      <c r="E41" s="11" t="s">
        <v>146</v>
      </c>
      <c r="F41" s="187" t="s">
        <v>151</v>
      </c>
      <c r="G41" s="10" t="s">
        <v>152</v>
      </c>
      <c r="H41" s="10" t="s">
        <v>152</v>
      </c>
      <c r="I41" s="10" t="s">
        <v>149</v>
      </c>
      <c r="J41" s="10" t="s">
        <v>66</v>
      </c>
      <c r="K41" s="10" t="s">
        <v>66</v>
      </c>
      <c r="L41" s="10" t="s">
        <v>28</v>
      </c>
      <c r="M41" s="10"/>
      <c r="N41" s="11">
        <v>14</v>
      </c>
      <c r="O41" s="10" t="s">
        <v>147</v>
      </c>
      <c r="P41" s="10"/>
      <c r="Q41" s="194" t="s">
        <v>68</v>
      </c>
      <c r="R41" s="185"/>
      <c r="S41" s="10"/>
      <c r="T41" s="185" t="s">
        <v>38</v>
      </c>
      <c r="U41" s="177" t="s">
        <v>39</v>
      </c>
    </row>
    <row r="42" hidden="1" spans="1:20">
      <c r="A42" s="11">
        <v>33</v>
      </c>
      <c r="B42" s="188">
        <f t="shared" si="2"/>
        <v>33</v>
      </c>
      <c r="C42" s="10" t="s">
        <v>21</v>
      </c>
      <c r="D42" s="10" t="s">
        <v>43</v>
      </c>
      <c r="E42" s="11" t="s">
        <v>146</v>
      </c>
      <c r="F42" s="10" t="s">
        <v>153</v>
      </c>
      <c r="G42" s="10" t="s">
        <v>154</v>
      </c>
      <c r="H42" s="10" t="s">
        <v>154</v>
      </c>
      <c r="I42" s="10" t="s">
        <v>149</v>
      </c>
      <c r="J42" s="10" t="s">
        <v>66</v>
      </c>
      <c r="K42" s="10" t="s">
        <v>66</v>
      </c>
      <c r="L42" s="10" t="s">
        <v>28</v>
      </c>
      <c r="M42" s="10"/>
      <c r="N42" s="11">
        <v>14</v>
      </c>
      <c r="O42" s="10" t="s">
        <v>155</v>
      </c>
      <c r="P42" s="10"/>
      <c r="Q42" s="194" t="s">
        <v>68</v>
      </c>
      <c r="R42" s="185"/>
      <c r="S42" s="10"/>
      <c r="T42" s="185" t="s">
        <v>31</v>
      </c>
    </row>
    <row r="43" hidden="1" spans="1:20">
      <c r="A43" s="11">
        <v>34</v>
      </c>
      <c r="B43" s="188">
        <f t="shared" si="2"/>
        <v>34</v>
      </c>
      <c r="C43" s="10" t="s">
        <v>21</v>
      </c>
      <c r="D43" s="10" t="s">
        <v>43</v>
      </c>
      <c r="E43" s="11" t="s">
        <v>146</v>
      </c>
      <c r="F43" s="10" t="s">
        <v>156</v>
      </c>
      <c r="G43" s="10" t="s">
        <v>157</v>
      </c>
      <c r="H43" s="10" t="s">
        <v>157</v>
      </c>
      <c r="I43" s="10" t="s">
        <v>158</v>
      </c>
      <c r="J43" s="10" t="s">
        <v>66</v>
      </c>
      <c r="K43" s="10" t="s">
        <v>66</v>
      </c>
      <c r="L43" s="10" t="s">
        <v>28</v>
      </c>
      <c r="M43" s="10"/>
      <c r="N43" s="11">
        <v>14</v>
      </c>
      <c r="O43" s="10" t="s">
        <v>159</v>
      </c>
      <c r="P43" s="10" t="s">
        <v>51</v>
      </c>
      <c r="Q43" s="194" t="s">
        <v>30</v>
      </c>
      <c r="R43" s="185"/>
      <c r="S43" s="10"/>
      <c r="T43" s="185" t="s">
        <v>31</v>
      </c>
    </row>
    <row r="44" spans="1:21">
      <c r="A44" s="11">
        <v>35</v>
      </c>
      <c r="B44" s="180">
        <f t="shared" ref="B44" si="3">HYPERLINK("#"&amp;A44&amp;"!A1",A44)</f>
        <v>35</v>
      </c>
      <c r="C44" s="10" t="s">
        <v>21</v>
      </c>
      <c r="D44" s="10" t="s">
        <v>43</v>
      </c>
      <c r="E44" s="11" t="s">
        <v>146</v>
      </c>
      <c r="F44" s="187" t="s">
        <v>160</v>
      </c>
      <c r="G44" s="10" t="s">
        <v>161</v>
      </c>
      <c r="H44" s="10" t="s">
        <v>162</v>
      </c>
      <c r="I44" s="10" t="s">
        <v>158</v>
      </c>
      <c r="J44" s="10" t="s">
        <v>66</v>
      </c>
      <c r="K44" s="10" t="s">
        <v>66</v>
      </c>
      <c r="L44" s="10" t="s">
        <v>28</v>
      </c>
      <c r="M44" s="10"/>
      <c r="N44" s="11">
        <v>14</v>
      </c>
      <c r="O44" s="10" t="s">
        <v>163</v>
      </c>
      <c r="P44" s="10"/>
      <c r="Q44" s="194" t="s">
        <v>68</v>
      </c>
      <c r="R44" s="185"/>
      <c r="S44" s="10"/>
      <c r="T44" s="185" t="s">
        <v>38</v>
      </c>
      <c r="U44" s="177" t="s">
        <v>39</v>
      </c>
    </row>
    <row r="45" spans="1:21">
      <c r="A45" s="11">
        <v>36</v>
      </c>
      <c r="B45" s="180">
        <f t="shared" si="2"/>
        <v>36</v>
      </c>
      <c r="C45" s="10" t="s">
        <v>21</v>
      </c>
      <c r="D45" s="10" t="s">
        <v>43</v>
      </c>
      <c r="E45" s="11" t="s">
        <v>146</v>
      </c>
      <c r="F45" s="187" t="s">
        <v>164</v>
      </c>
      <c r="G45" s="10" t="s">
        <v>162</v>
      </c>
      <c r="H45" s="10" t="s">
        <v>162</v>
      </c>
      <c r="I45" s="10" t="s">
        <v>158</v>
      </c>
      <c r="J45" s="10" t="s">
        <v>66</v>
      </c>
      <c r="K45" s="10" t="s">
        <v>66</v>
      </c>
      <c r="L45" s="10" t="s">
        <v>28</v>
      </c>
      <c r="M45" s="10"/>
      <c r="N45" s="11">
        <v>14</v>
      </c>
      <c r="O45" s="10" t="s">
        <v>160</v>
      </c>
      <c r="P45" s="10" t="s">
        <v>51</v>
      </c>
      <c r="Q45" s="194" t="s">
        <v>68</v>
      </c>
      <c r="R45" s="185"/>
      <c r="S45" s="10"/>
      <c r="T45" s="185" t="s">
        <v>38</v>
      </c>
      <c r="U45" s="177" t="s">
        <v>39</v>
      </c>
    </row>
    <row r="46" hidden="1" spans="1:20">
      <c r="A46" s="11">
        <v>37</v>
      </c>
      <c r="B46" s="180">
        <f t="shared" si="2"/>
        <v>37</v>
      </c>
      <c r="C46" s="10" t="s">
        <v>21</v>
      </c>
      <c r="D46" s="10" t="s">
        <v>22</v>
      </c>
      <c r="E46" s="11" t="s">
        <v>23</v>
      </c>
      <c r="F46" s="10" t="s">
        <v>165</v>
      </c>
      <c r="G46" s="10" t="s">
        <v>166</v>
      </c>
      <c r="H46" s="10" t="s">
        <v>166</v>
      </c>
      <c r="I46" s="11" t="s">
        <v>23</v>
      </c>
      <c r="J46" s="10" t="s">
        <v>26</v>
      </c>
      <c r="K46" s="10" t="s">
        <v>66</v>
      </c>
      <c r="L46" s="10" t="s">
        <v>86</v>
      </c>
      <c r="M46" s="10"/>
      <c r="N46" s="11">
        <v>3</v>
      </c>
      <c r="O46" s="10" t="s">
        <v>167</v>
      </c>
      <c r="P46" s="190"/>
      <c r="Q46" s="194" t="s">
        <v>68</v>
      </c>
      <c r="R46" s="185"/>
      <c r="S46" s="10"/>
      <c r="T46" s="185" t="s">
        <v>31</v>
      </c>
    </row>
    <row r="47" hidden="1" spans="1:20">
      <c r="A47" s="11">
        <v>38</v>
      </c>
      <c r="B47" s="180">
        <f t="shared" si="2"/>
        <v>38</v>
      </c>
      <c r="C47" s="10" t="s">
        <v>21</v>
      </c>
      <c r="D47" s="10" t="s">
        <v>43</v>
      </c>
      <c r="E47" s="11" t="s">
        <v>58</v>
      </c>
      <c r="F47" s="10" t="s">
        <v>168</v>
      </c>
      <c r="G47" s="10" t="s">
        <v>169</v>
      </c>
      <c r="H47" s="10" t="s">
        <v>169</v>
      </c>
      <c r="I47" s="10" t="s">
        <v>170</v>
      </c>
      <c r="J47" s="10" t="s">
        <v>66</v>
      </c>
      <c r="K47" s="10" t="s">
        <v>66</v>
      </c>
      <c r="L47" s="10" t="s">
        <v>86</v>
      </c>
      <c r="M47" s="10"/>
      <c r="N47" s="11">
        <v>7</v>
      </c>
      <c r="O47" s="10" t="s">
        <v>165</v>
      </c>
      <c r="P47" s="190"/>
      <c r="Q47" s="194" t="s">
        <v>68</v>
      </c>
      <c r="R47" s="185"/>
      <c r="S47" s="10"/>
      <c r="T47" s="185" t="s">
        <v>31</v>
      </c>
    </row>
    <row r="48" hidden="1" spans="1:20">
      <c r="A48" s="11">
        <v>39</v>
      </c>
      <c r="B48" s="180">
        <f t="shared" si="2"/>
        <v>39</v>
      </c>
      <c r="C48" s="10" t="s">
        <v>21</v>
      </c>
      <c r="D48" s="10" t="s">
        <v>43</v>
      </c>
      <c r="E48" s="11" t="s">
        <v>58</v>
      </c>
      <c r="F48" s="10" t="s">
        <v>171</v>
      </c>
      <c r="G48" s="10" t="s">
        <v>172</v>
      </c>
      <c r="H48" s="10" t="s">
        <v>172</v>
      </c>
      <c r="I48" s="10" t="s">
        <v>158</v>
      </c>
      <c r="J48" s="10" t="s">
        <v>66</v>
      </c>
      <c r="K48" s="10" t="s">
        <v>66</v>
      </c>
      <c r="L48" s="10" t="s">
        <v>86</v>
      </c>
      <c r="M48" s="10" t="s">
        <v>90</v>
      </c>
      <c r="N48" s="10" t="s">
        <v>91</v>
      </c>
      <c r="O48" s="10" t="s">
        <v>173</v>
      </c>
      <c r="P48" s="10" t="s">
        <v>51</v>
      </c>
      <c r="Q48" s="194" t="s">
        <v>30</v>
      </c>
      <c r="R48" s="185"/>
      <c r="S48" s="10"/>
      <c r="T48" s="185" t="s">
        <v>31</v>
      </c>
    </row>
    <row r="49" hidden="1" spans="1:20">
      <c r="A49" s="11">
        <v>40</v>
      </c>
      <c r="B49" s="180">
        <f t="shared" si="2"/>
        <v>40</v>
      </c>
      <c r="C49" s="10" t="s">
        <v>21</v>
      </c>
      <c r="D49" s="10" t="s">
        <v>22</v>
      </c>
      <c r="E49" s="11" t="s">
        <v>23</v>
      </c>
      <c r="F49" s="10" t="s">
        <v>174</v>
      </c>
      <c r="G49" s="10" t="s">
        <v>175</v>
      </c>
      <c r="H49" s="10" t="s">
        <v>175</v>
      </c>
      <c r="I49" s="11" t="s">
        <v>23</v>
      </c>
      <c r="J49" s="10" t="s">
        <v>26</v>
      </c>
      <c r="K49" s="10" t="s">
        <v>66</v>
      </c>
      <c r="L49" s="10" t="s">
        <v>86</v>
      </c>
      <c r="M49" s="10"/>
      <c r="N49" s="11">
        <v>3</v>
      </c>
      <c r="O49" s="10" t="s">
        <v>176</v>
      </c>
      <c r="P49" s="190"/>
      <c r="Q49" s="194" t="s">
        <v>68</v>
      </c>
      <c r="R49" s="185"/>
      <c r="S49" s="10"/>
      <c r="T49" s="185" t="s">
        <v>31</v>
      </c>
    </row>
    <row r="50" hidden="1" spans="1:20">
      <c r="A50" s="11">
        <v>41</v>
      </c>
      <c r="B50" s="180">
        <f t="shared" si="2"/>
        <v>41</v>
      </c>
      <c r="C50" s="10" t="s">
        <v>21</v>
      </c>
      <c r="D50" s="10" t="s">
        <v>43</v>
      </c>
      <c r="E50" s="11" t="s">
        <v>58</v>
      </c>
      <c r="F50" s="10" t="s">
        <v>177</v>
      </c>
      <c r="G50" s="10" t="s">
        <v>178</v>
      </c>
      <c r="H50" s="10" t="s">
        <v>178</v>
      </c>
      <c r="I50" s="10" t="s">
        <v>179</v>
      </c>
      <c r="J50" s="10" t="s">
        <v>66</v>
      </c>
      <c r="K50" s="10" t="s">
        <v>66</v>
      </c>
      <c r="L50" s="10" t="s">
        <v>86</v>
      </c>
      <c r="M50" s="10"/>
      <c r="N50" s="11"/>
      <c r="O50" s="10" t="s">
        <v>174</v>
      </c>
      <c r="P50" s="190"/>
      <c r="Q50" s="194" t="s">
        <v>68</v>
      </c>
      <c r="R50" s="185"/>
      <c r="S50" s="10"/>
      <c r="T50" s="185" t="s">
        <v>31</v>
      </c>
    </row>
    <row r="51" hidden="1" spans="1:20">
      <c r="A51" s="11">
        <v>42</v>
      </c>
      <c r="B51" s="180">
        <f t="shared" si="2"/>
        <v>42</v>
      </c>
      <c r="C51" s="10" t="s">
        <v>21</v>
      </c>
      <c r="D51" s="10" t="s">
        <v>43</v>
      </c>
      <c r="E51" s="11" t="s">
        <v>58</v>
      </c>
      <c r="F51" s="10" t="s">
        <v>180</v>
      </c>
      <c r="G51" s="10" t="s">
        <v>181</v>
      </c>
      <c r="H51" s="10" t="s">
        <v>181</v>
      </c>
      <c r="I51" s="10" t="s">
        <v>158</v>
      </c>
      <c r="J51" s="10" t="s">
        <v>66</v>
      </c>
      <c r="K51" s="10" t="s">
        <v>66</v>
      </c>
      <c r="L51" s="10" t="s">
        <v>86</v>
      </c>
      <c r="M51" s="10" t="s">
        <v>90</v>
      </c>
      <c r="N51" s="10" t="s">
        <v>91</v>
      </c>
      <c r="O51" s="10" t="s">
        <v>182</v>
      </c>
      <c r="P51" s="190"/>
      <c r="Q51" s="194" t="s">
        <v>30</v>
      </c>
      <c r="R51" s="185"/>
      <c r="S51" s="10"/>
      <c r="T51" s="185" t="s">
        <v>31</v>
      </c>
    </row>
  </sheetData>
  <autoFilter xmlns:etc="http://www.wps.cn/officeDocument/2017/etCustomData" ref="A1:T51" etc:filterBottomFollowUsedRange="0">
    <filterColumn colId="19">
      <filters>
        <filter val="张玉同"/>
      </filters>
    </filterColumn>
    <extLst/>
  </autoFilter>
  <pageMargins left="0.699305555555556" right="0.699305555555556"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5"/>
  <sheetViews>
    <sheetView workbookViewId="0">
      <selection activeCell="B5" sqref="B5"/>
    </sheetView>
  </sheetViews>
  <sheetFormatPr defaultColWidth="9" defaultRowHeight="13.2"/>
  <cols>
    <col min="1" max="1" width="1.33333333333333" style="3" customWidth="1"/>
    <col min="2" max="2" width="26.5555555555556" style="3" customWidth="1"/>
    <col min="3" max="3" width="16.3333333333333" style="3" customWidth="1"/>
    <col min="4" max="4" width="30.4444444444444" style="3" customWidth="1"/>
    <col min="5" max="5" width="16.2222222222222" style="3" customWidth="1"/>
    <col min="6" max="6" width="24.8888888888889" style="3" customWidth="1"/>
    <col min="7" max="7" width="41.2222222222222" style="3" customWidth="1"/>
    <col min="8" max="8" width="14.5555555555556" style="3" customWidth="1"/>
    <col min="9" max="9" width="8.33333333333333" style="3" customWidth="1"/>
    <col min="10" max="10" width="7.77777777777778" style="3" customWidth="1"/>
    <col min="11" max="11" width="9.66666666666667" style="3" customWidth="1"/>
    <col min="12" max="12" width="10.7777777777778" style="4" customWidth="1"/>
    <col min="13" max="16384" width="9" style="4"/>
  </cols>
  <sheetData>
    <row r="1" spans="2:2">
      <c r="B1" s="129"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11" t="s">
        <v>23</v>
      </c>
      <c r="C5" s="10" t="s">
        <v>24</v>
      </c>
      <c r="D5" s="10" t="s">
        <v>25</v>
      </c>
      <c r="E5" s="11" t="s">
        <v>27</v>
      </c>
      <c r="F5" s="12"/>
      <c r="G5" s="13" t="s">
        <v>189</v>
      </c>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197</v>
      </c>
      <c r="D9" s="35" t="s">
        <v>198</v>
      </c>
      <c r="E9" s="11" t="s">
        <v>199</v>
      </c>
      <c r="F9" s="11"/>
      <c r="G9" s="11"/>
      <c r="H9" s="15"/>
    </row>
    <row r="10" spans="2:8">
      <c r="B10" s="11"/>
      <c r="C10" s="10" t="s">
        <v>200</v>
      </c>
      <c r="D10" s="10" t="s">
        <v>201</v>
      </c>
      <c r="E10" s="11" t="s">
        <v>202</v>
      </c>
      <c r="F10" s="10" t="s">
        <v>203</v>
      </c>
      <c r="G10" s="10"/>
      <c r="H10" s="15"/>
    </row>
    <row r="11" spans="7:7">
      <c r="G11" s="17"/>
    </row>
    <row r="12" spans="2:2">
      <c r="B12" s="3" t="s">
        <v>204</v>
      </c>
    </row>
    <row r="13" spans="2:12">
      <c r="B13" s="7" t="s">
        <v>204</v>
      </c>
      <c r="C13" s="7"/>
      <c r="D13" s="7"/>
      <c r="E13" s="7"/>
      <c r="F13" s="7"/>
      <c r="G13" s="7"/>
      <c r="H13" s="7"/>
      <c r="I13" s="7"/>
      <c r="J13" s="7"/>
      <c r="K13" s="7"/>
      <c r="L13" s="7"/>
    </row>
    <row r="14" spans="2:12">
      <c r="B14" s="18" t="s">
        <v>205</v>
      </c>
      <c r="C14" s="18" t="s">
        <v>206</v>
      </c>
      <c r="D14" s="18" t="s">
        <v>207</v>
      </c>
      <c r="E14" s="18" t="s">
        <v>208</v>
      </c>
      <c r="F14" s="18" t="s">
        <v>209</v>
      </c>
      <c r="G14" s="18" t="s">
        <v>210</v>
      </c>
      <c r="H14" s="18" t="s">
        <v>211</v>
      </c>
      <c r="I14" s="18" t="s">
        <v>17</v>
      </c>
      <c r="J14" s="18" t="s">
        <v>212</v>
      </c>
      <c r="K14" s="18" t="s">
        <v>213</v>
      </c>
      <c r="L14" s="18" t="s">
        <v>214</v>
      </c>
    </row>
    <row r="15" s="1" customFormat="1" spans="2:16">
      <c r="B15" s="10" t="s">
        <v>215</v>
      </c>
      <c r="C15" s="10" t="s">
        <v>216</v>
      </c>
      <c r="D15" s="10" t="s">
        <v>217</v>
      </c>
      <c r="E15" s="10" t="s">
        <v>199</v>
      </c>
      <c r="F15" s="10" t="s">
        <v>215</v>
      </c>
      <c r="G15" s="10" t="s">
        <v>218</v>
      </c>
      <c r="H15" s="10"/>
      <c r="I15" s="10"/>
      <c r="J15" s="10"/>
      <c r="K15" s="10"/>
      <c r="L15" s="10"/>
      <c r="M15" s="16"/>
      <c r="N15" s="16"/>
      <c r="O15" s="16"/>
      <c r="P15" s="16"/>
    </row>
    <row r="16" s="1" customFormat="1" spans="2:16">
      <c r="B16" s="10" t="s">
        <v>219</v>
      </c>
      <c r="C16" s="10" t="s">
        <v>220</v>
      </c>
      <c r="D16" s="10" t="s">
        <v>221</v>
      </c>
      <c r="E16" s="10" t="s">
        <v>199</v>
      </c>
      <c r="F16" s="10" t="s">
        <v>219</v>
      </c>
      <c r="G16" s="10" t="s">
        <v>218</v>
      </c>
      <c r="H16" s="10"/>
      <c r="I16" s="10"/>
      <c r="J16" s="10"/>
      <c r="K16" s="10"/>
      <c r="L16" s="10"/>
      <c r="M16" s="16"/>
      <c r="N16" s="16"/>
      <c r="O16" s="16"/>
      <c r="P16" s="16"/>
    </row>
    <row r="17" s="1" customFormat="1" spans="2:16">
      <c r="B17" s="10" t="s">
        <v>222</v>
      </c>
      <c r="C17" s="10" t="s">
        <v>220</v>
      </c>
      <c r="D17" s="10" t="s">
        <v>223</v>
      </c>
      <c r="E17" s="10" t="s">
        <v>199</v>
      </c>
      <c r="F17" s="10" t="s">
        <v>222</v>
      </c>
      <c r="G17" s="10" t="s">
        <v>218</v>
      </c>
      <c r="H17" s="10"/>
      <c r="I17" s="10"/>
      <c r="J17" s="10"/>
      <c r="K17" s="10"/>
      <c r="L17" s="10"/>
      <c r="M17" s="16"/>
      <c r="N17" s="16"/>
      <c r="O17" s="16"/>
      <c r="P17" s="173"/>
    </row>
    <row r="18" s="1" customFormat="1" spans="2:16">
      <c r="B18" s="10" t="s">
        <v>224</v>
      </c>
      <c r="C18" s="10" t="s">
        <v>216</v>
      </c>
      <c r="D18" s="10" t="s">
        <v>225</v>
      </c>
      <c r="E18" s="10" t="s">
        <v>199</v>
      </c>
      <c r="F18" s="10" t="s">
        <v>224</v>
      </c>
      <c r="G18" s="10" t="s">
        <v>218</v>
      </c>
      <c r="H18" s="10"/>
      <c r="I18" s="10"/>
      <c r="J18" s="10"/>
      <c r="K18" s="10"/>
      <c r="L18" s="10"/>
      <c r="M18" s="16"/>
      <c r="N18" s="16"/>
      <c r="O18" s="16"/>
      <c r="P18" s="16"/>
    </row>
    <row r="19" s="1" customFormat="1" spans="2:16">
      <c r="B19" s="10" t="s">
        <v>226</v>
      </c>
      <c r="C19" s="10" t="s">
        <v>216</v>
      </c>
      <c r="D19" s="10" t="s">
        <v>227</v>
      </c>
      <c r="E19" s="10" t="s">
        <v>199</v>
      </c>
      <c r="F19" s="10" t="s">
        <v>226</v>
      </c>
      <c r="G19" s="10" t="s">
        <v>228</v>
      </c>
      <c r="H19" s="10"/>
      <c r="I19" s="10"/>
      <c r="J19" s="10"/>
      <c r="K19" s="10"/>
      <c r="L19" s="10"/>
      <c r="M19" s="16"/>
      <c r="N19" s="16"/>
      <c r="O19" s="16"/>
      <c r="P19" s="16"/>
    </row>
    <row r="20" s="1" customFormat="1" spans="2:16">
      <c r="B20" s="10" t="s">
        <v>229</v>
      </c>
      <c r="C20" s="10" t="s">
        <v>230</v>
      </c>
      <c r="D20" s="10" t="s">
        <v>231</v>
      </c>
      <c r="E20" s="10" t="s">
        <v>199</v>
      </c>
      <c r="F20" s="10" t="s">
        <v>229</v>
      </c>
      <c r="G20" s="10" t="s">
        <v>218</v>
      </c>
      <c r="H20" s="10"/>
      <c r="I20" s="10"/>
      <c r="J20" s="10"/>
      <c r="K20" s="10"/>
      <c r="L20" s="10"/>
      <c r="M20" s="16"/>
      <c r="N20" s="16"/>
      <c r="O20" s="16"/>
      <c r="P20" s="16"/>
    </row>
    <row r="21" s="1" customFormat="1" spans="2:16">
      <c r="B21" s="10" t="s">
        <v>232</v>
      </c>
      <c r="C21" s="10" t="s">
        <v>233</v>
      </c>
      <c r="D21" s="10" t="s">
        <v>234</v>
      </c>
      <c r="E21" s="10" t="s">
        <v>199</v>
      </c>
      <c r="F21" s="10" t="s">
        <v>232</v>
      </c>
      <c r="G21" s="10" t="s">
        <v>218</v>
      </c>
      <c r="H21" s="10"/>
      <c r="I21" s="10"/>
      <c r="J21" s="10"/>
      <c r="K21" s="10"/>
      <c r="L21" s="10"/>
      <c r="M21" s="16"/>
      <c r="N21" s="16"/>
      <c r="O21" s="16"/>
      <c r="P21" s="16"/>
    </row>
    <row r="22" spans="2:16">
      <c r="B22" s="10" t="s">
        <v>235</v>
      </c>
      <c r="C22" s="10" t="s">
        <v>220</v>
      </c>
      <c r="D22" s="10" t="s">
        <v>236</v>
      </c>
      <c r="E22" s="10" t="s">
        <v>199</v>
      </c>
      <c r="F22" s="10" t="s">
        <v>235</v>
      </c>
      <c r="G22" s="10" t="s">
        <v>218</v>
      </c>
      <c r="H22" s="10"/>
      <c r="I22" s="10"/>
      <c r="J22" s="10"/>
      <c r="K22" s="10"/>
      <c r="L22" s="10"/>
      <c r="M22" s="16"/>
      <c r="N22" s="16"/>
      <c r="O22" s="16"/>
      <c r="P22" s="16"/>
    </row>
    <row r="23" spans="2:16">
      <c r="B23" s="10" t="s">
        <v>237</v>
      </c>
      <c r="C23" s="10" t="s">
        <v>216</v>
      </c>
      <c r="D23" s="10" t="s">
        <v>238</v>
      </c>
      <c r="E23" s="10" t="s">
        <v>199</v>
      </c>
      <c r="F23" s="10" t="s">
        <v>237</v>
      </c>
      <c r="G23" s="10" t="s">
        <v>218</v>
      </c>
      <c r="H23" s="10"/>
      <c r="I23" s="10"/>
      <c r="J23" s="10"/>
      <c r="K23" s="10"/>
      <c r="L23" s="10"/>
      <c r="M23" s="16"/>
      <c r="N23" s="16"/>
      <c r="O23" s="16"/>
      <c r="P23" s="16"/>
    </row>
    <row r="24" spans="2:16">
      <c r="B24" s="10" t="s">
        <v>239</v>
      </c>
      <c r="C24" s="10" t="s">
        <v>240</v>
      </c>
      <c r="D24" s="10" t="s">
        <v>241</v>
      </c>
      <c r="E24" s="10" t="s">
        <v>199</v>
      </c>
      <c r="F24" s="10" t="s">
        <v>239</v>
      </c>
      <c r="G24" s="10" t="s">
        <v>218</v>
      </c>
      <c r="H24" s="10"/>
      <c r="I24" s="10"/>
      <c r="J24" s="10"/>
      <c r="K24" s="10"/>
      <c r="L24" s="10"/>
      <c r="M24" s="16"/>
      <c r="N24" s="16"/>
      <c r="O24" s="16"/>
      <c r="P24" s="16"/>
    </row>
    <row r="25" spans="2:16">
      <c r="B25" s="10" t="s">
        <v>242</v>
      </c>
      <c r="C25" s="10" t="s">
        <v>240</v>
      </c>
      <c r="D25" s="10" t="s">
        <v>243</v>
      </c>
      <c r="E25" s="10" t="s">
        <v>199</v>
      </c>
      <c r="F25" s="10" t="s">
        <v>242</v>
      </c>
      <c r="G25" s="10" t="s">
        <v>218</v>
      </c>
      <c r="H25" s="10"/>
      <c r="I25" s="10"/>
      <c r="J25" s="10"/>
      <c r="K25" s="10"/>
      <c r="L25" s="10"/>
      <c r="M25" s="16"/>
      <c r="N25" s="16"/>
      <c r="O25" s="16"/>
      <c r="P25" s="16"/>
    </row>
    <row r="26" spans="2:16">
      <c r="B26" s="10" t="s">
        <v>244</v>
      </c>
      <c r="C26" s="10" t="s">
        <v>220</v>
      </c>
      <c r="D26" s="10" t="s">
        <v>245</v>
      </c>
      <c r="E26" s="10" t="s">
        <v>199</v>
      </c>
      <c r="F26" s="10" t="s">
        <v>244</v>
      </c>
      <c r="G26" s="10" t="s">
        <v>218</v>
      </c>
      <c r="H26" s="10"/>
      <c r="I26" s="10"/>
      <c r="J26" s="10"/>
      <c r="K26" s="10"/>
      <c r="L26" s="10"/>
      <c r="M26" s="16"/>
      <c r="N26" s="16"/>
      <c r="O26" s="16"/>
      <c r="P26" s="16"/>
    </row>
    <row r="27" spans="2:16">
      <c r="B27" s="10" t="s">
        <v>246</v>
      </c>
      <c r="C27" s="10" t="s">
        <v>220</v>
      </c>
      <c r="D27" s="10" t="s">
        <v>247</v>
      </c>
      <c r="E27" s="10" t="s">
        <v>199</v>
      </c>
      <c r="F27" s="10" t="s">
        <v>246</v>
      </c>
      <c r="G27" s="10" t="s">
        <v>218</v>
      </c>
      <c r="H27" s="10"/>
      <c r="I27" s="10"/>
      <c r="J27" s="10"/>
      <c r="K27" s="10"/>
      <c r="L27" s="10"/>
      <c r="M27" s="16"/>
      <c r="N27" s="16"/>
      <c r="O27" s="16"/>
      <c r="P27" s="16"/>
    </row>
    <row r="28" spans="2:16">
      <c r="B28" s="10" t="s">
        <v>248</v>
      </c>
      <c r="C28" s="10" t="s">
        <v>220</v>
      </c>
      <c r="D28" s="10" t="s">
        <v>249</v>
      </c>
      <c r="E28" s="10" t="s">
        <v>199</v>
      </c>
      <c r="F28" s="10" t="s">
        <v>248</v>
      </c>
      <c r="G28" s="10" t="s">
        <v>218</v>
      </c>
      <c r="H28" s="10"/>
      <c r="I28" s="10"/>
      <c r="J28" s="10"/>
      <c r="K28" s="10"/>
      <c r="L28" s="10"/>
      <c r="M28" s="16"/>
      <c r="N28" s="16"/>
      <c r="O28" s="16"/>
      <c r="P28" s="16"/>
    </row>
    <row r="29" spans="2:16">
      <c r="B29" s="10" t="s">
        <v>250</v>
      </c>
      <c r="C29" s="10" t="s">
        <v>220</v>
      </c>
      <c r="D29" s="10" t="s">
        <v>251</v>
      </c>
      <c r="E29" s="10" t="s">
        <v>199</v>
      </c>
      <c r="F29" s="10" t="s">
        <v>250</v>
      </c>
      <c r="G29" s="10" t="s">
        <v>218</v>
      </c>
      <c r="H29" s="10"/>
      <c r="I29" s="10"/>
      <c r="J29" s="10"/>
      <c r="K29" s="10"/>
      <c r="L29" s="10"/>
      <c r="M29" s="16"/>
      <c r="N29" s="16"/>
      <c r="O29" s="16"/>
      <c r="P29" s="16"/>
    </row>
    <row r="30" spans="2:16">
      <c r="B30" s="10"/>
      <c r="C30" s="10"/>
      <c r="D30" s="10"/>
      <c r="E30" s="10"/>
      <c r="F30" s="10"/>
      <c r="G30" s="10"/>
      <c r="H30" s="10"/>
      <c r="I30" s="10"/>
      <c r="J30" s="10"/>
      <c r="K30" s="10"/>
      <c r="L30" s="10"/>
      <c r="M30" s="16"/>
      <c r="N30" s="16"/>
      <c r="O30" s="16"/>
      <c r="P30" s="16"/>
    </row>
    <row r="31" spans="2:16">
      <c r="B31" s="170" t="s">
        <v>252</v>
      </c>
      <c r="C31" s="170" t="s">
        <v>253</v>
      </c>
      <c r="D31" s="170" t="s">
        <v>254</v>
      </c>
      <c r="E31" s="10"/>
      <c r="F31" s="10"/>
      <c r="G31" s="10"/>
      <c r="H31" s="10"/>
      <c r="I31" s="10"/>
      <c r="J31" s="10"/>
      <c r="K31" s="10"/>
      <c r="L31" s="10"/>
      <c r="M31" s="16"/>
      <c r="N31" s="16"/>
      <c r="O31" s="16"/>
      <c r="P31" s="16"/>
    </row>
    <row r="32" spans="2:16">
      <c r="B32" s="170" t="s">
        <v>255</v>
      </c>
      <c r="C32" s="170" t="s">
        <v>216</v>
      </c>
      <c r="D32" s="170" t="s">
        <v>256</v>
      </c>
      <c r="E32" s="171"/>
      <c r="F32" s="172"/>
      <c r="G32" s="172"/>
      <c r="H32" s="172"/>
      <c r="I32" s="172"/>
      <c r="J32" s="172"/>
      <c r="K32" s="172"/>
      <c r="L32" s="172"/>
      <c r="M32" s="174"/>
      <c r="N32" s="174"/>
      <c r="O32" s="174"/>
      <c r="P32" s="174"/>
    </row>
    <row r="33" spans="2:16">
      <c r="B33" s="170" t="s">
        <v>257</v>
      </c>
      <c r="C33" s="170" t="s">
        <v>253</v>
      </c>
      <c r="D33" s="170" t="s">
        <v>258</v>
      </c>
      <c r="E33" s="171"/>
      <c r="F33" s="172"/>
      <c r="G33" s="172"/>
      <c r="H33" s="172"/>
      <c r="I33" s="172"/>
      <c r="J33" s="172"/>
      <c r="K33" s="172"/>
      <c r="L33" s="172"/>
      <c r="M33" s="174"/>
      <c r="N33" s="174"/>
      <c r="O33" s="174"/>
      <c r="P33" s="174"/>
    </row>
    <row r="34" spans="2:12">
      <c r="B34" s="170" t="s">
        <v>259</v>
      </c>
      <c r="C34" s="170" t="s">
        <v>253</v>
      </c>
      <c r="D34" s="170" t="s">
        <v>260</v>
      </c>
      <c r="E34" s="171"/>
      <c r="F34" s="172"/>
      <c r="G34" s="172"/>
      <c r="H34" s="172"/>
      <c r="I34" s="172"/>
      <c r="J34" s="172"/>
      <c r="K34" s="172"/>
      <c r="L34" s="175" t="s">
        <v>261</v>
      </c>
    </row>
    <row r="35" spans="2:16">
      <c r="B35" s="170" t="s">
        <v>262</v>
      </c>
      <c r="C35" s="170" t="s">
        <v>253</v>
      </c>
      <c r="D35" s="170" t="s">
        <v>263</v>
      </c>
      <c r="E35" s="171"/>
      <c r="F35" s="172"/>
      <c r="G35" s="172"/>
      <c r="H35" s="172"/>
      <c r="I35" s="172"/>
      <c r="J35" s="172"/>
      <c r="K35" s="172"/>
      <c r="L35" s="172"/>
      <c r="M35" s="174"/>
      <c r="N35" s="174"/>
      <c r="O35" s="174"/>
      <c r="P35" s="174"/>
    </row>
  </sheetData>
  <mergeCells count="6">
    <mergeCell ref="B2:H2"/>
    <mergeCell ref="B3:H3"/>
    <mergeCell ref="B7:H7"/>
    <mergeCell ref="F9:G9"/>
    <mergeCell ref="F10:G10"/>
    <mergeCell ref="B13:L1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5"/>
  <sheetViews>
    <sheetView workbookViewId="0">
      <selection activeCell="B5" sqref="B5"/>
    </sheetView>
  </sheetViews>
  <sheetFormatPr defaultColWidth="9" defaultRowHeight="13.2"/>
  <cols>
    <col min="1" max="1" width="1.33333333333333" style="3" customWidth="1"/>
    <col min="2" max="2" width="26.5555555555556" style="3" customWidth="1"/>
    <col min="3" max="3" width="25.8888888888889" style="3" customWidth="1"/>
    <col min="4" max="4" width="30.4444444444444" style="3" customWidth="1"/>
    <col min="5" max="5" width="16.2222222222222" style="3" customWidth="1"/>
    <col min="6" max="6" width="24.8888888888889" style="3" customWidth="1"/>
    <col min="7" max="7" width="59.7777777777778" style="3" customWidth="1"/>
    <col min="8" max="8" width="14.5555555555556" style="3" customWidth="1"/>
    <col min="9" max="9" width="8.33333333333333" style="3" customWidth="1"/>
    <col min="10" max="10" width="7.77777777777778" style="3" customWidth="1"/>
    <col min="11" max="11" width="9.66666666666667" style="3" customWidth="1"/>
    <col min="12" max="12" width="10.7777777777778" style="4" customWidth="1"/>
    <col min="13" max="16384" width="9" style="4"/>
  </cols>
  <sheetData>
    <row r="1" spans="2:2">
      <c r="B1" s="129"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11" t="s">
        <v>23</v>
      </c>
      <c r="C5" s="10" t="s">
        <v>32</v>
      </c>
      <c r="D5" s="10" t="s">
        <v>33</v>
      </c>
      <c r="E5" s="11" t="s">
        <v>27</v>
      </c>
      <c r="F5" s="12"/>
      <c r="G5" s="13" t="s">
        <v>264</v>
      </c>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34</v>
      </c>
      <c r="D9" s="35" t="s">
        <v>265</v>
      </c>
      <c r="E9" s="11" t="s">
        <v>199</v>
      </c>
      <c r="F9" s="11"/>
      <c r="G9" s="11"/>
      <c r="H9" s="15"/>
    </row>
    <row r="10" spans="2:8">
      <c r="B10" s="11"/>
      <c r="C10" s="10" t="s">
        <v>200</v>
      </c>
      <c r="D10" s="10" t="s">
        <v>201</v>
      </c>
      <c r="E10" s="11" t="s">
        <v>202</v>
      </c>
      <c r="F10" s="10" t="s">
        <v>266</v>
      </c>
      <c r="G10" s="10"/>
      <c r="H10" s="15"/>
    </row>
    <row r="11" spans="7:7">
      <c r="G11" s="17"/>
    </row>
    <row r="12" spans="2:2">
      <c r="B12" s="3" t="s">
        <v>204</v>
      </c>
    </row>
    <row r="13" spans="2:12">
      <c r="B13" s="7" t="s">
        <v>204</v>
      </c>
      <c r="C13" s="7"/>
      <c r="D13" s="7"/>
      <c r="E13" s="7"/>
      <c r="F13" s="7"/>
      <c r="G13" s="7"/>
      <c r="H13" s="7"/>
      <c r="I13" s="7"/>
      <c r="J13" s="7"/>
      <c r="K13" s="7"/>
      <c r="L13" s="7"/>
    </row>
    <row r="14" spans="2:12">
      <c r="B14" s="18" t="s">
        <v>205</v>
      </c>
      <c r="C14" s="18" t="s">
        <v>206</v>
      </c>
      <c r="D14" s="18" t="s">
        <v>207</v>
      </c>
      <c r="E14" s="18" t="s">
        <v>208</v>
      </c>
      <c r="F14" s="18" t="s">
        <v>209</v>
      </c>
      <c r="G14" s="18" t="s">
        <v>210</v>
      </c>
      <c r="H14" s="18" t="s">
        <v>211</v>
      </c>
      <c r="I14" s="18" t="s">
        <v>17</v>
      </c>
      <c r="J14" s="18" t="s">
        <v>212</v>
      </c>
      <c r="K14" s="18" t="s">
        <v>213</v>
      </c>
      <c r="L14" s="18" t="s">
        <v>214</v>
      </c>
    </row>
    <row r="15" s="1" customFormat="1" spans="2:16">
      <c r="B15" s="10" t="s">
        <v>215</v>
      </c>
      <c r="C15" s="10" t="s">
        <v>216</v>
      </c>
      <c r="D15" s="10" t="s">
        <v>217</v>
      </c>
      <c r="E15" s="10" t="s">
        <v>199</v>
      </c>
      <c r="F15" s="10" t="s">
        <v>215</v>
      </c>
      <c r="G15" s="10" t="s">
        <v>218</v>
      </c>
      <c r="H15" s="10"/>
      <c r="I15" s="10"/>
      <c r="J15" s="10"/>
      <c r="K15" s="10"/>
      <c r="L15" s="10"/>
      <c r="M15" s="16"/>
      <c r="N15" s="16"/>
      <c r="O15" s="16"/>
      <c r="P15" s="16"/>
    </row>
    <row r="16" s="1" customFormat="1" spans="2:16">
      <c r="B16" s="10" t="s">
        <v>219</v>
      </c>
      <c r="C16" s="10" t="s">
        <v>220</v>
      </c>
      <c r="D16" s="10" t="s">
        <v>221</v>
      </c>
      <c r="E16" s="10" t="s">
        <v>199</v>
      </c>
      <c r="F16" s="10" t="s">
        <v>219</v>
      </c>
      <c r="G16" s="10" t="s">
        <v>218</v>
      </c>
      <c r="H16" s="10"/>
      <c r="I16" s="10"/>
      <c r="J16" s="10"/>
      <c r="K16" s="10"/>
      <c r="L16" s="10"/>
      <c r="M16" s="16"/>
      <c r="N16" s="16"/>
      <c r="O16" s="16"/>
      <c r="P16" s="16"/>
    </row>
    <row r="17" s="1" customFormat="1" spans="2:16">
      <c r="B17" s="10" t="s">
        <v>222</v>
      </c>
      <c r="C17" s="10" t="s">
        <v>220</v>
      </c>
      <c r="D17" s="10" t="s">
        <v>223</v>
      </c>
      <c r="E17" s="10" t="s">
        <v>199</v>
      </c>
      <c r="F17" s="10" t="s">
        <v>222</v>
      </c>
      <c r="G17" s="10" t="s">
        <v>218</v>
      </c>
      <c r="H17" s="10"/>
      <c r="I17" s="10"/>
      <c r="J17" s="10"/>
      <c r="K17" s="10"/>
      <c r="L17" s="10"/>
      <c r="M17" s="16"/>
      <c r="N17" s="16"/>
      <c r="O17" s="16"/>
      <c r="P17" s="173"/>
    </row>
    <row r="18" s="1" customFormat="1" spans="2:16">
      <c r="B18" s="10" t="s">
        <v>224</v>
      </c>
      <c r="C18" s="10" t="s">
        <v>216</v>
      </c>
      <c r="D18" s="10" t="s">
        <v>225</v>
      </c>
      <c r="E18" s="10" t="s">
        <v>199</v>
      </c>
      <c r="F18" s="10" t="s">
        <v>224</v>
      </c>
      <c r="G18" s="10" t="s">
        <v>218</v>
      </c>
      <c r="H18" s="10"/>
      <c r="I18" s="10"/>
      <c r="J18" s="10"/>
      <c r="K18" s="10"/>
      <c r="L18" s="10"/>
      <c r="M18" s="16"/>
      <c r="N18" s="16"/>
      <c r="O18" s="16"/>
      <c r="P18" s="16"/>
    </row>
    <row r="19" s="1" customFormat="1" spans="2:16">
      <c r="B19" s="10" t="s">
        <v>226</v>
      </c>
      <c r="C19" s="10" t="s">
        <v>216</v>
      </c>
      <c r="D19" s="10" t="s">
        <v>227</v>
      </c>
      <c r="E19" s="10" t="s">
        <v>199</v>
      </c>
      <c r="F19" s="10" t="s">
        <v>267</v>
      </c>
      <c r="G19" s="10" t="s">
        <v>268</v>
      </c>
      <c r="H19" s="10"/>
      <c r="I19" s="10"/>
      <c r="J19" s="10"/>
      <c r="K19" s="10"/>
      <c r="L19" s="10"/>
      <c r="M19" s="16"/>
      <c r="N19" s="16"/>
      <c r="O19" s="16"/>
      <c r="P19" s="16"/>
    </row>
    <row r="20" s="1" customFormat="1" spans="2:16">
      <c r="B20" s="10" t="s">
        <v>229</v>
      </c>
      <c r="C20" s="10" t="s">
        <v>230</v>
      </c>
      <c r="D20" s="10" t="s">
        <v>231</v>
      </c>
      <c r="E20" s="10" t="s">
        <v>199</v>
      </c>
      <c r="F20" s="10" t="s">
        <v>229</v>
      </c>
      <c r="G20" s="10" t="s">
        <v>218</v>
      </c>
      <c r="H20" s="10"/>
      <c r="I20" s="10"/>
      <c r="J20" s="10"/>
      <c r="K20" s="10"/>
      <c r="L20" s="10"/>
      <c r="M20" s="16"/>
      <c r="N20" s="16"/>
      <c r="O20" s="16"/>
      <c r="P20" s="16"/>
    </row>
    <row r="21" s="1" customFormat="1" spans="2:16">
      <c r="B21" s="10" t="s">
        <v>232</v>
      </c>
      <c r="C21" s="10" t="s">
        <v>233</v>
      </c>
      <c r="D21" s="10" t="s">
        <v>234</v>
      </c>
      <c r="E21" s="10" t="s">
        <v>199</v>
      </c>
      <c r="F21" s="10" t="s">
        <v>232</v>
      </c>
      <c r="G21" s="10" t="s">
        <v>218</v>
      </c>
      <c r="H21" s="10"/>
      <c r="I21" s="10"/>
      <c r="J21" s="10"/>
      <c r="K21" s="10"/>
      <c r="L21" s="10"/>
      <c r="M21" s="16"/>
      <c r="N21" s="16"/>
      <c r="O21" s="16"/>
      <c r="P21" s="16"/>
    </row>
    <row r="22" spans="2:16">
      <c r="B22" s="10" t="s">
        <v>235</v>
      </c>
      <c r="C22" s="10" t="s">
        <v>220</v>
      </c>
      <c r="D22" s="10" t="s">
        <v>236</v>
      </c>
      <c r="E22" s="10" t="s">
        <v>199</v>
      </c>
      <c r="F22" s="10" t="s">
        <v>235</v>
      </c>
      <c r="G22" s="10" t="s">
        <v>218</v>
      </c>
      <c r="H22" s="10"/>
      <c r="I22" s="10"/>
      <c r="J22" s="10"/>
      <c r="K22" s="10"/>
      <c r="L22" s="10"/>
      <c r="M22" s="16"/>
      <c r="N22" s="16"/>
      <c r="O22" s="16"/>
      <c r="P22" s="16"/>
    </row>
    <row r="23" spans="2:16">
      <c r="B23" s="10" t="s">
        <v>237</v>
      </c>
      <c r="C23" s="10" t="s">
        <v>216</v>
      </c>
      <c r="D23" s="10" t="s">
        <v>238</v>
      </c>
      <c r="E23" s="10" t="s">
        <v>199</v>
      </c>
      <c r="F23" s="10" t="s">
        <v>237</v>
      </c>
      <c r="G23" s="10" t="s">
        <v>218</v>
      </c>
      <c r="H23" s="10"/>
      <c r="I23" s="10"/>
      <c r="J23" s="10"/>
      <c r="K23" s="10"/>
      <c r="L23" s="10"/>
      <c r="M23" s="16"/>
      <c r="N23" s="16"/>
      <c r="O23" s="16"/>
      <c r="P23" s="16"/>
    </row>
    <row r="24" spans="2:16">
      <c r="B24" s="10" t="s">
        <v>239</v>
      </c>
      <c r="C24" s="10" t="s">
        <v>240</v>
      </c>
      <c r="D24" s="10" t="s">
        <v>241</v>
      </c>
      <c r="E24" s="10" t="s">
        <v>199</v>
      </c>
      <c r="F24" s="10" t="s">
        <v>239</v>
      </c>
      <c r="G24" s="10" t="s">
        <v>218</v>
      </c>
      <c r="H24" s="10"/>
      <c r="I24" s="10"/>
      <c r="J24" s="10"/>
      <c r="K24" s="10"/>
      <c r="L24" s="10"/>
      <c r="M24" s="16"/>
      <c r="N24" s="16"/>
      <c r="O24" s="16"/>
      <c r="P24" s="16"/>
    </row>
    <row r="25" spans="2:16">
      <c r="B25" s="10" t="s">
        <v>242</v>
      </c>
      <c r="C25" s="10" t="s">
        <v>240</v>
      </c>
      <c r="D25" s="10" t="s">
        <v>243</v>
      </c>
      <c r="E25" s="10" t="s">
        <v>199</v>
      </c>
      <c r="F25" s="10" t="s">
        <v>242</v>
      </c>
      <c r="G25" s="10" t="s">
        <v>218</v>
      </c>
      <c r="H25" s="10"/>
      <c r="I25" s="10"/>
      <c r="J25" s="10"/>
      <c r="K25" s="10"/>
      <c r="L25" s="10"/>
      <c r="M25" s="16"/>
      <c r="N25" s="16"/>
      <c r="O25" s="16"/>
      <c r="P25" s="16"/>
    </row>
    <row r="26" spans="2:16">
      <c r="B26" s="10" t="s">
        <v>244</v>
      </c>
      <c r="C26" s="10" t="s">
        <v>220</v>
      </c>
      <c r="D26" s="10" t="s">
        <v>245</v>
      </c>
      <c r="E26" s="10" t="s">
        <v>199</v>
      </c>
      <c r="F26" s="10" t="s">
        <v>244</v>
      </c>
      <c r="G26" s="10" t="s">
        <v>218</v>
      </c>
      <c r="H26" s="10"/>
      <c r="I26" s="10"/>
      <c r="J26" s="10"/>
      <c r="K26" s="10"/>
      <c r="L26" s="10"/>
      <c r="M26" s="16"/>
      <c r="N26" s="16"/>
      <c r="O26" s="16"/>
      <c r="P26" s="16"/>
    </row>
    <row r="27" spans="2:16">
      <c r="B27" s="10" t="s">
        <v>246</v>
      </c>
      <c r="C27" s="10" t="s">
        <v>220</v>
      </c>
      <c r="D27" s="10" t="s">
        <v>247</v>
      </c>
      <c r="E27" s="10" t="s">
        <v>199</v>
      </c>
      <c r="F27" s="10" t="s">
        <v>246</v>
      </c>
      <c r="G27" s="10" t="s">
        <v>218</v>
      </c>
      <c r="H27" s="10"/>
      <c r="I27" s="10"/>
      <c r="J27" s="10"/>
      <c r="K27" s="10"/>
      <c r="L27" s="10"/>
      <c r="M27" s="16"/>
      <c r="N27" s="16"/>
      <c r="O27" s="16"/>
      <c r="P27" s="16"/>
    </row>
    <row r="28" spans="2:16">
      <c r="B28" s="10" t="s">
        <v>248</v>
      </c>
      <c r="C28" s="10" t="s">
        <v>220</v>
      </c>
      <c r="D28" s="10" t="s">
        <v>249</v>
      </c>
      <c r="E28" s="10" t="s">
        <v>199</v>
      </c>
      <c r="F28" s="10" t="s">
        <v>248</v>
      </c>
      <c r="G28" s="10" t="s">
        <v>218</v>
      </c>
      <c r="H28" s="10"/>
      <c r="I28" s="10"/>
      <c r="J28" s="10"/>
      <c r="K28" s="10"/>
      <c r="L28" s="10"/>
      <c r="M28" s="16"/>
      <c r="N28" s="16"/>
      <c r="O28" s="16"/>
      <c r="P28" s="16"/>
    </row>
    <row r="29" spans="2:16">
      <c r="B29" s="10" t="s">
        <v>250</v>
      </c>
      <c r="C29" s="10" t="s">
        <v>220</v>
      </c>
      <c r="D29" s="10" t="s">
        <v>251</v>
      </c>
      <c r="E29" s="10" t="s">
        <v>199</v>
      </c>
      <c r="F29" s="10" t="s">
        <v>250</v>
      </c>
      <c r="G29" s="10" t="s">
        <v>218</v>
      </c>
      <c r="H29" s="10"/>
      <c r="I29" s="10"/>
      <c r="J29" s="10"/>
      <c r="K29" s="10"/>
      <c r="L29" s="10"/>
      <c r="M29" s="16"/>
      <c r="N29" s="16"/>
      <c r="O29" s="16"/>
      <c r="P29" s="16"/>
    </row>
    <row r="30" spans="2:16">
      <c r="B30" s="10"/>
      <c r="C30" s="10"/>
      <c r="D30" s="10"/>
      <c r="E30" s="10"/>
      <c r="F30" s="10"/>
      <c r="G30" s="10"/>
      <c r="H30" s="10"/>
      <c r="I30" s="10"/>
      <c r="J30" s="10"/>
      <c r="K30" s="10"/>
      <c r="L30" s="10"/>
      <c r="M30" s="16"/>
      <c r="N30" s="16"/>
      <c r="O30" s="16"/>
      <c r="P30" s="16"/>
    </row>
    <row r="31" spans="2:16">
      <c r="B31" s="170" t="s">
        <v>252</v>
      </c>
      <c r="C31" s="170" t="s">
        <v>253</v>
      </c>
      <c r="D31" s="170" t="s">
        <v>254</v>
      </c>
      <c r="E31" s="10"/>
      <c r="F31" s="10"/>
      <c r="G31" s="10"/>
      <c r="H31" s="10"/>
      <c r="I31" s="10"/>
      <c r="J31" s="10"/>
      <c r="K31" s="10"/>
      <c r="L31" s="10"/>
      <c r="M31" s="16"/>
      <c r="N31" s="16"/>
      <c r="O31" s="16"/>
      <c r="P31" s="16"/>
    </row>
    <row r="32" spans="2:16">
      <c r="B32" s="170" t="s">
        <v>255</v>
      </c>
      <c r="C32" s="170" t="s">
        <v>216</v>
      </c>
      <c r="D32" s="170" t="s">
        <v>256</v>
      </c>
      <c r="E32" s="171"/>
      <c r="F32" s="172"/>
      <c r="G32" s="172"/>
      <c r="H32" s="172"/>
      <c r="I32" s="172"/>
      <c r="J32" s="172"/>
      <c r="K32" s="172"/>
      <c r="L32" s="172"/>
      <c r="M32" s="174"/>
      <c r="N32" s="174"/>
      <c r="O32" s="174"/>
      <c r="P32" s="174"/>
    </row>
    <row r="33" spans="2:16">
      <c r="B33" s="170" t="s">
        <v>257</v>
      </c>
      <c r="C33" s="170" t="s">
        <v>253</v>
      </c>
      <c r="D33" s="170" t="s">
        <v>258</v>
      </c>
      <c r="E33" s="171"/>
      <c r="F33" s="172"/>
      <c r="G33" s="172"/>
      <c r="H33" s="172"/>
      <c r="I33" s="172"/>
      <c r="J33" s="172"/>
      <c r="K33" s="172"/>
      <c r="L33" s="172"/>
      <c r="M33" s="174"/>
      <c r="N33" s="174"/>
      <c r="O33" s="174"/>
      <c r="P33" s="174"/>
    </row>
    <row r="34" spans="2:12">
      <c r="B34" s="170" t="s">
        <v>259</v>
      </c>
      <c r="C34" s="170" t="s">
        <v>253</v>
      </c>
      <c r="D34" s="170" t="s">
        <v>260</v>
      </c>
      <c r="E34" s="171"/>
      <c r="F34" s="172"/>
      <c r="G34" s="172"/>
      <c r="H34" s="172"/>
      <c r="I34" s="172"/>
      <c r="J34" s="172"/>
      <c r="K34" s="172"/>
      <c r="L34" s="175" t="s">
        <v>261</v>
      </c>
    </row>
    <row r="35" spans="2:16">
      <c r="B35" s="170" t="s">
        <v>262</v>
      </c>
      <c r="C35" s="170" t="s">
        <v>253</v>
      </c>
      <c r="D35" s="170" t="s">
        <v>263</v>
      </c>
      <c r="E35" s="171"/>
      <c r="F35" s="172"/>
      <c r="G35" s="172"/>
      <c r="H35" s="172"/>
      <c r="I35" s="172"/>
      <c r="J35" s="172"/>
      <c r="K35" s="172"/>
      <c r="L35" s="172"/>
      <c r="M35" s="174"/>
      <c r="N35" s="174"/>
      <c r="O35" s="174"/>
      <c r="P35" s="174"/>
    </row>
  </sheetData>
  <mergeCells count="6">
    <mergeCell ref="B2:H2"/>
    <mergeCell ref="B3:H3"/>
    <mergeCell ref="B7:H7"/>
    <mergeCell ref="F9:G9"/>
    <mergeCell ref="F10:G10"/>
    <mergeCell ref="B13:L1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5"/>
  <sheetViews>
    <sheetView topLeftCell="G6" workbookViewId="0">
      <selection activeCell="M15" sqref="M15"/>
    </sheetView>
  </sheetViews>
  <sheetFormatPr defaultColWidth="9" defaultRowHeight="13.2"/>
  <cols>
    <col min="1" max="1" width="1.33333333333333" style="3" customWidth="1"/>
    <col min="2" max="2" width="26.5555555555556" style="3" customWidth="1"/>
    <col min="3" max="3" width="25.8888888888889" style="3" customWidth="1"/>
    <col min="4" max="4" width="40.3333333333333" style="3" customWidth="1"/>
    <col min="5" max="5" width="15.7777777777778" style="3" customWidth="1"/>
    <col min="6" max="6" width="24.8888888888889" style="3" customWidth="1"/>
    <col min="7" max="7" width="59.7777777777778" style="3" customWidth="1"/>
    <col min="8" max="8" width="14.5555555555556" style="3" customWidth="1"/>
    <col min="9" max="9" width="8.33333333333333" style="3" customWidth="1"/>
    <col min="10" max="10" width="7.77777777777778" style="3" customWidth="1"/>
    <col min="11" max="11" width="9.66666666666667" style="3" customWidth="1"/>
    <col min="12" max="12" width="10.7777777777778" style="4" customWidth="1"/>
    <col min="13" max="16384" width="9" style="4"/>
  </cols>
  <sheetData>
    <row r="1" spans="2:2">
      <c r="B1" s="129"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11" t="s">
        <v>23</v>
      </c>
      <c r="C5" s="10" t="s">
        <v>269</v>
      </c>
      <c r="D5" s="10" t="s">
        <v>36</v>
      </c>
      <c r="E5" s="11" t="s">
        <v>27</v>
      </c>
      <c r="F5" s="12"/>
      <c r="G5" s="13" t="s">
        <v>270</v>
      </c>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37</v>
      </c>
      <c r="D9" s="35" t="s">
        <v>271</v>
      </c>
      <c r="E9" s="11" t="s">
        <v>199</v>
      </c>
      <c r="F9" s="11"/>
      <c r="G9" s="11"/>
      <c r="H9" s="15"/>
    </row>
    <row r="10" spans="2:8">
      <c r="B10" s="11"/>
      <c r="C10" s="10" t="s">
        <v>200</v>
      </c>
      <c r="D10" s="10" t="s">
        <v>272</v>
      </c>
      <c r="E10" s="11" t="s">
        <v>202</v>
      </c>
      <c r="F10" s="10" t="s">
        <v>273</v>
      </c>
      <c r="G10" s="10"/>
      <c r="H10" s="15"/>
    </row>
    <row r="11" spans="7:7">
      <c r="G11" s="17"/>
    </row>
    <row r="12" spans="2:2">
      <c r="B12" s="3" t="s">
        <v>204</v>
      </c>
    </row>
    <row r="13" spans="2:12">
      <c r="B13" s="7" t="s">
        <v>204</v>
      </c>
      <c r="C13" s="7"/>
      <c r="D13" s="7"/>
      <c r="E13" s="7"/>
      <c r="F13" s="7"/>
      <c r="G13" s="7"/>
      <c r="H13" s="7"/>
      <c r="I13" s="7"/>
      <c r="J13" s="7"/>
      <c r="K13" s="7"/>
      <c r="L13" s="7"/>
    </row>
    <row r="14" spans="2:12">
      <c r="B14" s="18" t="s">
        <v>205</v>
      </c>
      <c r="C14" s="18" t="s">
        <v>206</v>
      </c>
      <c r="D14" s="18" t="s">
        <v>207</v>
      </c>
      <c r="E14" s="18" t="s">
        <v>208</v>
      </c>
      <c r="F14" s="18" t="s">
        <v>209</v>
      </c>
      <c r="G14" s="18" t="s">
        <v>210</v>
      </c>
      <c r="H14" s="18" t="s">
        <v>211</v>
      </c>
      <c r="I14" s="18" t="s">
        <v>17</v>
      </c>
      <c r="J14" s="18" t="s">
        <v>212</v>
      </c>
      <c r="K14" s="18" t="s">
        <v>213</v>
      </c>
      <c r="L14" s="18" t="s">
        <v>214</v>
      </c>
    </row>
    <row r="15" s="1" customFormat="1" spans="2:16">
      <c r="B15" s="10" t="s">
        <v>215</v>
      </c>
      <c r="C15" s="10" t="s">
        <v>216</v>
      </c>
      <c r="D15" s="10" t="s">
        <v>217</v>
      </c>
      <c r="E15" s="10" t="s">
        <v>199</v>
      </c>
      <c r="F15" s="10" t="s">
        <v>215</v>
      </c>
      <c r="G15" s="10" t="s">
        <v>218</v>
      </c>
      <c r="H15" s="10"/>
      <c r="I15" s="10"/>
      <c r="J15" s="10"/>
      <c r="K15" s="10"/>
      <c r="L15" s="10"/>
      <c r="M15" s="16" t="str">
        <f>_xlfn.CONCAT("`",B15,"` ",C15,",")</f>
        <v>`datetime` string,</v>
      </c>
      <c r="N15" s="16"/>
      <c r="O15" s="16"/>
      <c r="P15" s="16"/>
    </row>
    <row r="16" s="1" customFormat="1" ht="15" spans="2:16">
      <c r="B16" s="169" t="s">
        <v>274</v>
      </c>
      <c r="C16" s="169" t="s">
        <v>275</v>
      </c>
      <c r="D16" s="169" t="s">
        <v>276</v>
      </c>
      <c r="E16" s="10" t="s">
        <v>199</v>
      </c>
      <c r="F16" s="10" t="s">
        <v>274</v>
      </c>
      <c r="G16" s="10" t="s">
        <v>218</v>
      </c>
      <c r="H16" s="10"/>
      <c r="I16" s="10"/>
      <c r="J16" s="10"/>
      <c r="K16" s="10"/>
      <c r="L16" s="10"/>
      <c r="M16" s="16" t="str">
        <f t="shared" ref="M16:M35" si="0">_xlfn.CONCAT("`",B16,"` ",C16,",")</f>
        <v>`gnbid` bigint,</v>
      </c>
      <c r="N16" s="16"/>
      <c r="O16" s="16"/>
      <c r="P16" s="16"/>
    </row>
    <row r="17" s="1" customFormat="1" spans="2:16">
      <c r="B17" s="10" t="s">
        <v>222</v>
      </c>
      <c r="C17" s="10" t="s">
        <v>220</v>
      </c>
      <c r="D17" s="10" t="s">
        <v>223</v>
      </c>
      <c r="E17" s="10" t="s">
        <v>199</v>
      </c>
      <c r="F17" s="10" t="s">
        <v>277</v>
      </c>
      <c r="G17" s="10" t="s">
        <v>218</v>
      </c>
      <c r="H17" s="10"/>
      <c r="I17" s="10"/>
      <c r="J17" s="10"/>
      <c r="K17" s="10"/>
      <c r="L17" s="10"/>
      <c r="M17" s="16" t="str">
        <f t="shared" si="0"/>
        <v>`cellid` int,</v>
      </c>
      <c r="N17" s="16"/>
      <c r="O17" s="16"/>
      <c r="P17" s="173"/>
    </row>
    <row r="18" s="1" customFormat="1" spans="2:16">
      <c r="B18" s="10" t="s">
        <v>224</v>
      </c>
      <c r="C18" s="10" t="s">
        <v>216</v>
      </c>
      <c r="D18" s="10" t="s">
        <v>225</v>
      </c>
      <c r="E18" s="10" t="s">
        <v>199</v>
      </c>
      <c r="F18" s="10" t="s">
        <v>224</v>
      </c>
      <c r="G18" s="10" t="s">
        <v>218</v>
      </c>
      <c r="H18" s="10"/>
      <c r="I18" s="10"/>
      <c r="J18" s="10"/>
      <c r="K18" s="10"/>
      <c r="L18" s="10"/>
      <c r="M18" s="16" t="str">
        <f t="shared" si="0"/>
        <v>`imsi` string,</v>
      </c>
      <c r="N18" s="16"/>
      <c r="O18" s="16"/>
      <c r="P18" s="16"/>
    </row>
    <row r="19" s="1" customFormat="1" spans="2:16">
      <c r="B19" s="10" t="s">
        <v>226</v>
      </c>
      <c r="C19" s="10" t="s">
        <v>216</v>
      </c>
      <c r="D19" s="10" t="s">
        <v>227</v>
      </c>
      <c r="E19" s="10" t="s">
        <v>199</v>
      </c>
      <c r="F19" s="10" t="s">
        <v>278</v>
      </c>
      <c r="G19" s="10" t="s">
        <v>268</v>
      </c>
      <c r="H19" s="10"/>
      <c r="I19" s="10"/>
      <c r="J19" s="10"/>
      <c r="K19" s="10"/>
      <c r="L19" s="10"/>
      <c r="M19" s="16" t="str">
        <f t="shared" si="0"/>
        <v>`mdn` string,</v>
      </c>
      <c r="N19" s="16"/>
      <c r="O19" s="16"/>
      <c r="P19" s="16"/>
    </row>
    <row r="20" s="1" customFormat="1" spans="2:16">
      <c r="B20" s="10" t="s">
        <v>229</v>
      </c>
      <c r="C20" s="10" t="s">
        <v>230</v>
      </c>
      <c r="D20" s="10" t="s">
        <v>231</v>
      </c>
      <c r="E20" s="10" t="s">
        <v>199</v>
      </c>
      <c r="F20" s="10" t="s">
        <v>279</v>
      </c>
      <c r="G20" s="10" t="s">
        <v>218</v>
      </c>
      <c r="H20" s="10"/>
      <c r="I20" s="10"/>
      <c r="J20" s="10"/>
      <c r="K20" s="10"/>
      <c r="L20" s="10"/>
      <c r="M20" s="16" t="str">
        <f t="shared" si="0"/>
        <v>`rsrp` smallint,</v>
      </c>
      <c r="N20" s="16"/>
      <c r="O20" s="16"/>
      <c r="P20" s="16"/>
    </row>
    <row r="21" s="1" customFormat="1" spans="2:16">
      <c r="B21" s="10" t="s">
        <v>232</v>
      </c>
      <c r="C21" s="10" t="s">
        <v>233</v>
      </c>
      <c r="D21" s="10" t="s">
        <v>234</v>
      </c>
      <c r="E21" s="10" t="s">
        <v>199</v>
      </c>
      <c r="F21" s="10" t="s">
        <v>280</v>
      </c>
      <c r="G21" s="10" t="s">
        <v>218</v>
      </c>
      <c r="H21" s="10"/>
      <c r="I21" s="10"/>
      <c r="J21" s="10"/>
      <c r="K21" s="10"/>
      <c r="L21" s="10"/>
      <c r="M21" s="16" t="str">
        <f t="shared" si="0"/>
        <v>`rsrq` tinyint,</v>
      </c>
      <c r="N21" s="16"/>
      <c r="O21" s="16"/>
      <c r="P21" s="16"/>
    </row>
    <row r="22" spans="2:16">
      <c r="B22" s="10" t="s">
        <v>235</v>
      </c>
      <c r="C22" s="10" t="s">
        <v>220</v>
      </c>
      <c r="D22" s="10" t="s">
        <v>236</v>
      </c>
      <c r="E22" s="10" t="s">
        <v>199</v>
      </c>
      <c r="F22" s="10" t="s">
        <v>281</v>
      </c>
      <c r="G22" s="10" t="s">
        <v>218</v>
      </c>
      <c r="H22" s="10"/>
      <c r="I22" s="10"/>
      <c r="J22" s="10"/>
      <c r="K22" s="10"/>
      <c r="L22" s="10"/>
      <c r="M22" s="16" t="str">
        <f t="shared" si="0"/>
        <v>`ta` int,</v>
      </c>
      <c r="N22" s="16"/>
      <c r="O22" s="16"/>
      <c r="P22" s="16"/>
    </row>
    <row r="23" spans="2:16">
      <c r="B23" s="10" t="s">
        <v>237</v>
      </c>
      <c r="C23" s="10" t="s">
        <v>216</v>
      </c>
      <c r="D23" s="10" t="s">
        <v>238</v>
      </c>
      <c r="E23" s="10" t="s">
        <v>199</v>
      </c>
      <c r="F23" s="10" t="s">
        <v>237</v>
      </c>
      <c r="G23" s="10" t="s">
        <v>218</v>
      </c>
      <c r="H23" s="10"/>
      <c r="I23" s="10"/>
      <c r="J23" s="10"/>
      <c r="K23" s="10"/>
      <c r="L23" s="10"/>
      <c r="M23" s="16" t="str">
        <f t="shared" si="0"/>
        <v>`plmn` string,</v>
      </c>
      <c r="N23" s="16"/>
      <c r="O23" s="16"/>
      <c r="P23" s="16"/>
    </row>
    <row r="24" spans="2:16">
      <c r="B24" s="10" t="s">
        <v>239</v>
      </c>
      <c r="C24" s="10" t="s">
        <v>240</v>
      </c>
      <c r="D24" s="10" t="s">
        <v>282</v>
      </c>
      <c r="E24" s="10" t="s">
        <v>199</v>
      </c>
      <c r="F24" s="10" t="s">
        <v>239</v>
      </c>
      <c r="G24" s="10" t="s">
        <v>218</v>
      </c>
      <c r="H24" s="10"/>
      <c r="I24" s="10"/>
      <c r="J24" s="10"/>
      <c r="K24" s="10"/>
      <c r="L24" s="10"/>
      <c r="M24" s="16" t="str">
        <f t="shared" si="0"/>
        <v>`mrlon` double,</v>
      </c>
      <c r="N24" s="16"/>
      <c r="O24" s="16"/>
      <c r="P24" s="16"/>
    </row>
    <row r="25" spans="2:16">
      <c r="B25" s="10" t="s">
        <v>242</v>
      </c>
      <c r="C25" s="10" t="s">
        <v>240</v>
      </c>
      <c r="D25" s="10" t="s">
        <v>283</v>
      </c>
      <c r="E25" s="10" t="s">
        <v>199</v>
      </c>
      <c r="F25" s="10" t="s">
        <v>242</v>
      </c>
      <c r="G25" s="10" t="s">
        <v>218</v>
      </c>
      <c r="H25" s="10"/>
      <c r="I25" s="10"/>
      <c r="J25" s="10"/>
      <c r="K25" s="10"/>
      <c r="L25" s="10"/>
      <c r="M25" s="16" t="str">
        <f t="shared" si="0"/>
        <v>`mrlat` double,</v>
      </c>
      <c r="N25" s="16"/>
      <c r="O25" s="16"/>
      <c r="P25" s="16"/>
    </row>
    <row r="26" spans="2:16">
      <c r="B26" s="10" t="s">
        <v>244</v>
      </c>
      <c r="C26" s="10" t="s">
        <v>220</v>
      </c>
      <c r="D26" s="10" t="s">
        <v>245</v>
      </c>
      <c r="E26" s="10" t="s">
        <v>199</v>
      </c>
      <c r="F26" s="10" t="s">
        <v>244</v>
      </c>
      <c r="G26" s="10" t="s">
        <v>218</v>
      </c>
      <c r="H26" s="10"/>
      <c r="I26" s="10"/>
      <c r="J26" s="10"/>
      <c r="K26" s="10"/>
      <c r="L26" s="10"/>
      <c r="M26" s="16" t="str">
        <f t="shared" si="0"/>
        <v>`locationtype` int,</v>
      </c>
      <c r="N26" s="16"/>
      <c r="O26" s="16"/>
      <c r="P26" s="16"/>
    </row>
    <row r="27" spans="2:16">
      <c r="B27" s="10" t="s">
        <v>246</v>
      </c>
      <c r="C27" s="10" t="s">
        <v>220</v>
      </c>
      <c r="D27" s="10" t="s">
        <v>247</v>
      </c>
      <c r="E27" s="10" t="s">
        <v>199</v>
      </c>
      <c r="F27" s="10" t="s">
        <v>246</v>
      </c>
      <c r="G27" s="10" t="s">
        <v>218</v>
      </c>
      <c r="H27" s="10"/>
      <c r="I27" s="10"/>
      <c r="J27" s="10"/>
      <c r="K27" s="10"/>
      <c r="L27" s="10"/>
      <c r="M27" s="16" t="str">
        <f t="shared" si="0"/>
        <v>`regionid` int,</v>
      </c>
      <c r="N27" s="16"/>
      <c r="O27" s="16"/>
      <c r="P27" s="16"/>
    </row>
    <row r="28" spans="2:16">
      <c r="B28" s="10" t="s">
        <v>248</v>
      </c>
      <c r="C28" s="10" t="s">
        <v>220</v>
      </c>
      <c r="D28" s="10" t="s">
        <v>249</v>
      </c>
      <c r="E28" s="10" t="s">
        <v>199</v>
      </c>
      <c r="F28" s="10" t="s">
        <v>248</v>
      </c>
      <c r="G28" s="10" t="s">
        <v>218</v>
      </c>
      <c r="H28" s="10"/>
      <c r="I28" s="10"/>
      <c r="J28" s="10"/>
      <c r="K28" s="10"/>
      <c r="L28" s="10"/>
      <c r="M28" s="16" t="str">
        <f t="shared" si="0"/>
        <v>`x_offset_original` int,</v>
      </c>
      <c r="N28" s="16"/>
      <c r="O28" s="16"/>
      <c r="P28" s="16"/>
    </row>
    <row r="29" spans="2:16">
      <c r="B29" s="10" t="s">
        <v>250</v>
      </c>
      <c r="C29" s="10" t="s">
        <v>220</v>
      </c>
      <c r="D29" s="10" t="s">
        <v>251</v>
      </c>
      <c r="E29" s="10" t="s">
        <v>199</v>
      </c>
      <c r="F29" s="10" t="s">
        <v>250</v>
      </c>
      <c r="G29" s="10" t="s">
        <v>218</v>
      </c>
      <c r="H29" s="10"/>
      <c r="I29" s="10"/>
      <c r="J29" s="10"/>
      <c r="K29" s="10"/>
      <c r="L29" s="10"/>
      <c r="M29" s="16" t="str">
        <f t="shared" si="0"/>
        <v>`y_offset_original` int,</v>
      </c>
      <c r="N29" s="16"/>
      <c r="O29" s="16"/>
      <c r="P29" s="16"/>
    </row>
    <row r="30" spans="2:16">
      <c r="B30" s="10"/>
      <c r="C30" s="10"/>
      <c r="D30" s="10"/>
      <c r="E30" s="10"/>
      <c r="F30" s="10"/>
      <c r="G30" s="10"/>
      <c r="H30" s="10"/>
      <c r="I30" s="10"/>
      <c r="J30" s="10"/>
      <c r="K30" s="10"/>
      <c r="L30" s="10"/>
      <c r="M30" s="16" t="str">
        <f t="shared" si="0"/>
        <v>`` ,</v>
      </c>
      <c r="N30" s="16"/>
      <c r="O30" s="16"/>
      <c r="P30" s="16"/>
    </row>
    <row r="31" spans="2:16">
      <c r="B31" s="170" t="s">
        <v>252</v>
      </c>
      <c r="C31" s="170" t="s">
        <v>253</v>
      </c>
      <c r="D31" s="170" t="s">
        <v>254</v>
      </c>
      <c r="E31" s="10"/>
      <c r="F31" s="10"/>
      <c r="G31" s="10"/>
      <c r="H31" s="10"/>
      <c r="I31" s="10"/>
      <c r="J31" s="10"/>
      <c r="K31" s="10"/>
      <c r="L31" s="10"/>
      <c r="M31" s="16" t="str">
        <f t="shared" si="0"/>
        <v>`p_provincecode` integer,</v>
      </c>
      <c r="N31" s="16"/>
      <c r="O31" s="16"/>
      <c r="P31" s="16"/>
    </row>
    <row r="32" spans="2:16">
      <c r="B32" s="170" t="s">
        <v>255</v>
      </c>
      <c r="C32" s="170" t="s">
        <v>216</v>
      </c>
      <c r="D32" s="170" t="s">
        <v>256</v>
      </c>
      <c r="E32" s="171"/>
      <c r="F32" s="172"/>
      <c r="G32" s="172"/>
      <c r="H32" s="172"/>
      <c r="I32" s="172"/>
      <c r="J32" s="172"/>
      <c r="K32" s="172"/>
      <c r="L32" s="172"/>
      <c r="M32" s="16" t="str">
        <f t="shared" si="0"/>
        <v>`p_date` string,</v>
      </c>
      <c r="N32" s="174"/>
      <c r="O32" s="174"/>
      <c r="P32" s="174"/>
    </row>
    <row r="33" spans="2:16">
      <c r="B33" s="170" t="s">
        <v>257</v>
      </c>
      <c r="C33" s="170" t="s">
        <v>253</v>
      </c>
      <c r="D33" s="170" t="s">
        <v>258</v>
      </c>
      <c r="E33" s="171"/>
      <c r="F33" s="172"/>
      <c r="G33" s="172"/>
      <c r="H33" s="172"/>
      <c r="I33" s="172"/>
      <c r="J33" s="172"/>
      <c r="K33" s="172"/>
      <c r="L33" s="172"/>
      <c r="M33" s="16" t="str">
        <f t="shared" si="0"/>
        <v>`p_hour` integer,</v>
      </c>
      <c r="N33" s="174"/>
      <c r="O33" s="174"/>
      <c r="P33" s="174"/>
    </row>
    <row r="34" spans="2:13">
      <c r="B34" s="170" t="s">
        <v>259</v>
      </c>
      <c r="C34" s="170" t="s">
        <v>253</v>
      </c>
      <c r="D34" s="170" t="s">
        <v>260</v>
      </c>
      <c r="E34" s="171"/>
      <c r="F34" s="172"/>
      <c r="G34" s="172"/>
      <c r="H34" s="172"/>
      <c r="I34" s="172"/>
      <c r="J34" s="172"/>
      <c r="K34" s="172"/>
      <c r="L34" s="175" t="s">
        <v>261</v>
      </c>
      <c r="M34" s="16" t="str">
        <f t="shared" si="0"/>
        <v>`p_region` integer,</v>
      </c>
    </row>
    <row r="35" spans="2:16">
      <c r="B35" s="170" t="s">
        <v>262</v>
      </c>
      <c r="C35" s="170" t="s">
        <v>253</v>
      </c>
      <c r="D35" s="170" t="s">
        <v>263</v>
      </c>
      <c r="E35" s="171"/>
      <c r="F35" s="172"/>
      <c r="G35" s="172"/>
      <c r="H35" s="172"/>
      <c r="I35" s="172"/>
      <c r="J35" s="172"/>
      <c r="K35" s="172"/>
      <c r="L35" s="172"/>
      <c r="M35" s="16" t="str">
        <f t="shared" si="0"/>
        <v>`p_quarter` integer,</v>
      </c>
      <c r="N35" s="174"/>
      <c r="O35" s="174"/>
      <c r="P35" s="174"/>
    </row>
  </sheetData>
  <mergeCells count="6">
    <mergeCell ref="B2:H2"/>
    <mergeCell ref="B3:H3"/>
    <mergeCell ref="B7:H7"/>
    <mergeCell ref="F9:G9"/>
    <mergeCell ref="F10:G10"/>
    <mergeCell ref="B13:L1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5"/>
  <sheetViews>
    <sheetView topLeftCell="B1" workbookViewId="0">
      <selection activeCell="D11" sqref="D11"/>
    </sheetView>
  </sheetViews>
  <sheetFormatPr defaultColWidth="9" defaultRowHeight="13.8"/>
  <cols>
    <col min="1" max="1" width="4.11111111111111" style="145" customWidth="1"/>
    <col min="2" max="2" width="22.8888888888889" style="145" customWidth="1"/>
    <col min="3" max="3" width="25.5555555555556" style="145" customWidth="1"/>
    <col min="4" max="4" width="40.8888888888889" style="145" customWidth="1"/>
    <col min="5" max="5" width="14.4444444444444" style="145" customWidth="1"/>
    <col min="6" max="6" width="34.1111111111111" style="145" customWidth="1"/>
    <col min="7" max="7" width="44.6666666666667" style="145" customWidth="1"/>
    <col min="8" max="8" width="34" style="145" customWidth="1"/>
    <col min="9" max="9" width="9.22222222222222" style="145" customWidth="1"/>
    <col min="10" max="10" width="21.2222222222222" style="145" customWidth="1"/>
    <col min="11" max="11" width="9.66666666666667" style="145" customWidth="1"/>
    <col min="12" max="12" width="12.6666666666667" style="145" customWidth="1"/>
    <col min="13" max="16384" width="9" style="145"/>
  </cols>
  <sheetData>
    <row r="1" ht="15.6" spans="2:2">
      <c r="B1" s="146" t="str">
        <f>HYPERLINK("#导航!a2","返回")</f>
        <v>返回</v>
      </c>
    </row>
    <row r="2" spans="2:8">
      <c r="B2" s="147"/>
      <c r="C2" s="147"/>
      <c r="D2" s="147"/>
      <c r="E2" s="147"/>
      <c r="F2" s="147"/>
      <c r="G2" s="147"/>
      <c r="H2" s="147"/>
    </row>
    <row r="3" ht="15.6" spans="2:8">
      <c r="B3" s="148" t="s">
        <v>183</v>
      </c>
      <c r="C3" s="148"/>
      <c r="D3" s="148"/>
      <c r="E3" s="148"/>
      <c r="F3" s="148"/>
      <c r="G3" s="148"/>
      <c r="H3" s="148"/>
    </row>
    <row r="4" s="142" customFormat="1" ht="13.2" spans="1:20">
      <c r="A4" s="149"/>
      <c r="B4" s="150" t="s">
        <v>4</v>
      </c>
      <c r="C4" s="150" t="s">
        <v>184</v>
      </c>
      <c r="D4" s="150" t="s">
        <v>185</v>
      </c>
      <c r="E4" s="150" t="s">
        <v>186</v>
      </c>
      <c r="F4" s="150" t="s">
        <v>187</v>
      </c>
      <c r="G4" s="150" t="s">
        <v>7</v>
      </c>
      <c r="H4" s="150" t="s">
        <v>188</v>
      </c>
      <c r="I4" s="149"/>
      <c r="J4" s="149"/>
      <c r="K4" s="149"/>
      <c r="M4" s="161"/>
      <c r="N4" s="161"/>
      <c r="O4" s="161"/>
      <c r="P4" s="161"/>
      <c r="Q4" s="161"/>
      <c r="R4" s="161"/>
      <c r="S4" s="161"/>
      <c r="T4" s="166"/>
    </row>
    <row r="5" s="142" customFormat="1" ht="13.2" spans="1:20">
      <c r="A5" s="151"/>
      <c r="B5" s="11" t="s">
        <v>23</v>
      </c>
      <c r="C5" s="152" t="s">
        <v>40</v>
      </c>
      <c r="D5" s="143" t="s">
        <v>41</v>
      </c>
      <c r="E5" s="153" t="s">
        <v>27</v>
      </c>
      <c r="F5" s="149" t="s">
        <v>26</v>
      </c>
      <c r="G5" s="143" t="s">
        <v>284</v>
      </c>
      <c r="H5" s="151" t="s">
        <v>285</v>
      </c>
      <c r="I5" s="149"/>
      <c r="J5" s="149"/>
      <c r="K5" s="149"/>
      <c r="M5" s="161"/>
      <c r="N5" s="162"/>
      <c r="O5" s="161"/>
      <c r="P5" s="161"/>
      <c r="Q5" s="161"/>
      <c r="R5" s="161"/>
      <c r="S5" s="161"/>
      <c r="T5" s="166"/>
    </row>
    <row r="6" spans="2:12">
      <c r="B6" s="147"/>
      <c r="C6" s="147"/>
      <c r="D6" s="147"/>
      <c r="E6" s="147"/>
      <c r="F6" s="147"/>
      <c r="G6" s="147"/>
      <c r="H6" s="147"/>
      <c r="I6" s="163"/>
      <c r="J6" s="163"/>
      <c r="K6" s="163"/>
      <c r="L6" s="163"/>
    </row>
    <row r="7" ht="15.6" spans="2:12">
      <c r="B7" s="148" t="s">
        <v>190</v>
      </c>
      <c r="C7" s="148"/>
      <c r="D7" s="148"/>
      <c r="E7" s="148"/>
      <c r="F7" s="148"/>
      <c r="G7" s="148"/>
      <c r="H7" s="148"/>
      <c r="I7" s="163"/>
      <c r="J7" s="163"/>
      <c r="K7" s="163"/>
      <c r="L7" s="157"/>
    </row>
    <row r="8" s="142" customFormat="1" ht="13.2" spans="1:20">
      <c r="A8" s="149"/>
      <c r="B8" s="154" t="s">
        <v>191</v>
      </c>
      <c r="C8" s="154" t="s">
        <v>192</v>
      </c>
      <c r="D8" s="154" t="s">
        <v>193</v>
      </c>
      <c r="E8" s="154" t="s">
        <v>194</v>
      </c>
      <c r="F8" s="154" t="s">
        <v>195</v>
      </c>
      <c r="G8" s="154" t="s">
        <v>17</v>
      </c>
      <c r="H8" s="154" t="s">
        <v>196</v>
      </c>
      <c r="I8" s="149"/>
      <c r="J8" s="149"/>
      <c r="K8" s="149"/>
      <c r="L8" s="149"/>
      <c r="M8" s="161"/>
      <c r="N8" s="161"/>
      <c r="O8" s="161"/>
      <c r="P8" s="161"/>
      <c r="Q8" s="161"/>
      <c r="R8" s="161"/>
      <c r="S8" s="161"/>
      <c r="T8" s="166"/>
    </row>
    <row r="9" s="142" customFormat="1" ht="13.2" spans="1:20">
      <c r="A9" s="149"/>
      <c r="B9" s="149"/>
      <c r="C9" s="155" t="s">
        <v>24</v>
      </c>
      <c r="D9" s="155" t="s">
        <v>25</v>
      </c>
      <c r="E9" s="149" t="s">
        <v>199</v>
      </c>
      <c r="F9" s="149"/>
      <c r="G9" s="143"/>
      <c r="H9" s="156"/>
      <c r="I9" s="149"/>
      <c r="J9" s="149"/>
      <c r="K9" s="149"/>
      <c r="L9" s="149"/>
      <c r="M9" s="161"/>
      <c r="N9" s="161"/>
      <c r="O9" s="161"/>
      <c r="P9" s="161"/>
      <c r="Q9" s="161"/>
      <c r="R9" s="161"/>
      <c r="S9" s="161"/>
      <c r="T9" s="166"/>
    </row>
    <row r="10" s="142" customFormat="1" spans="1:20">
      <c r="A10" s="149"/>
      <c r="B10" s="149"/>
      <c r="C10" s="155" t="s">
        <v>32</v>
      </c>
      <c r="D10" s="155" t="s">
        <v>33</v>
      </c>
      <c r="E10" s="157" t="s">
        <v>202</v>
      </c>
      <c r="F10" s="158" t="s">
        <v>286</v>
      </c>
      <c r="G10" s="149"/>
      <c r="H10" s="156"/>
      <c r="I10" s="149"/>
      <c r="J10" s="149"/>
      <c r="K10" s="149"/>
      <c r="L10" s="149"/>
      <c r="M10" s="161"/>
      <c r="N10" s="161"/>
      <c r="O10" s="161"/>
      <c r="P10" s="161"/>
      <c r="Q10" s="161"/>
      <c r="R10" s="161"/>
      <c r="S10" s="161"/>
      <c r="T10" s="166"/>
    </row>
    <row r="11" s="142" customFormat="1" spans="1:20">
      <c r="A11" s="149"/>
      <c r="B11" s="149"/>
      <c r="C11" s="155" t="s">
        <v>35</v>
      </c>
      <c r="D11" s="149" t="s">
        <v>36</v>
      </c>
      <c r="E11" s="157" t="s">
        <v>287</v>
      </c>
      <c r="F11" s="158" t="s">
        <v>288</v>
      </c>
      <c r="G11" s="149"/>
      <c r="H11" s="156"/>
      <c r="I11" s="149"/>
      <c r="J11" s="149"/>
      <c r="K11" s="149"/>
      <c r="L11" s="149"/>
      <c r="M11" s="161"/>
      <c r="N11" s="161"/>
      <c r="O11" s="161"/>
      <c r="P11" s="161"/>
      <c r="Q11" s="161"/>
      <c r="R11" s="161"/>
      <c r="S11" s="161"/>
      <c r="T11" s="166"/>
    </row>
    <row r="12" s="142" customFormat="1" ht="15.6" spans="1:20">
      <c r="A12" s="149"/>
      <c r="B12" s="159" t="s">
        <v>204</v>
      </c>
      <c r="C12" s="159"/>
      <c r="D12" s="159"/>
      <c r="E12" s="159"/>
      <c r="F12" s="159"/>
      <c r="G12" s="159"/>
      <c r="H12" s="159"/>
      <c r="I12" s="159"/>
      <c r="J12" s="159"/>
      <c r="K12" s="159"/>
      <c r="L12" s="159"/>
      <c r="M12" s="161"/>
      <c r="N12" s="161"/>
      <c r="O12" s="161"/>
      <c r="P12" s="161"/>
      <c r="Q12" s="161"/>
      <c r="R12" s="161"/>
      <c r="S12" s="161"/>
      <c r="T12" s="166"/>
    </row>
    <row r="13" s="142" customFormat="1" ht="13.2" spans="1:20">
      <c r="A13" s="149"/>
      <c r="B13" s="150" t="s">
        <v>205</v>
      </c>
      <c r="C13" s="150" t="s">
        <v>206</v>
      </c>
      <c r="D13" s="150" t="s">
        <v>207</v>
      </c>
      <c r="E13" s="150" t="s">
        <v>208</v>
      </c>
      <c r="F13" s="150" t="s">
        <v>209</v>
      </c>
      <c r="G13" s="150" t="s">
        <v>210</v>
      </c>
      <c r="H13" s="150" t="s">
        <v>211</v>
      </c>
      <c r="I13" s="150" t="s">
        <v>17</v>
      </c>
      <c r="J13" s="150" t="s">
        <v>212</v>
      </c>
      <c r="K13" s="150" t="s">
        <v>213</v>
      </c>
      <c r="L13" s="150" t="s">
        <v>214</v>
      </c>
      <c r="M13" s="161"/>
      <c r="N13" s="161"/>
      <c r="O13" s="161"/>
      <c r="P13" s="161"/>
      <c r="Q13" s="161"/>
      <c r="R13" s="161"/>
      <c r="S13" s="161"/>
      <c r="T13" s="166"/>
    </row>
    <row r="14" s="143" customFormat="1" ht="13.2" spans="2:20">
      <c r="B14" s="10" t="s">
        <v>215</v>
      </c>
      <c r="C14" s="10" t="s">
        <v>216</v>
      </c>
      <c r="D14" s="10" t="s">
        <v>289</v>
      </c>
      <c r="E14" s="10" t="s">
        <v>290</v>
      </c>
      <c r="F14" s="10" t="s">
        <v>291</v>
      </c>
      <c r="G14" s="10" t="s">
        <v>218</v>
      </c>
      <c r="M14" s="164"/>
      <c r="N14" s="164"/>
      <c r="O14" s="164"/>
      <c r="P14" s="164"/>
      <c r="Q14" s="164"/>
      <c r="R14" s="164"/>
      <c r="S14" s="164"/>
      <c r="T14" s="167"/>
    </row>
    <row r="15" s="143" customFormat="1" ht="13.2" spans="2:20">
      <c r="B15" s="10" t="s">
        <v>224</v>
      </c>
      <c r="C15" s="10" t="s">
        <v>216</v>
      </c>
      <c r="D15" s="10" t="s">
        <v>292</v>
      </c>
      <c r="E15" s="10" t="s">
        <v>290</v>
      </c>
      <c r="F15" s="10" t="s">
        <v>293</v>
      </c>
      <c r="G15" s="10" t="s">
        <v>218</v>
      </c>
      <c r="M15" s="164"/>
      <c r="N15" s="164"/>
      <c r="O15" s="164"/>
      <c r="P15" s="164"/>
      <c r="Q15" s="164"/>
      <c r="R15" s="164"/>
      <c r="S15" s="164"/>
      <c r="T15" s="167"/>
    </row>
    <row r="16" s="143" customFormat="1" ht="13.2" spans="2:20">
      <c r="B16" s="10" t="s">
        <v>226</v>
      </c>
      <c r="C16" s="10" t="s">
        <v>216</v>
      </c>
      <c r="D16" s="10" t="s">
        <v>294</v>
      </c>
      <c r="E16" s="10" t="s">
        <v>290</v>
      </c>
      <c r="F16" s="10" t="s">
        <v>295</v>
      </c>
      <c r="G16" s="10" t="s">
        <v>218</v>
      </c>
      <c r="M16" s="164"/>
      <c r="N16" s="164"/>
      <c r="O16" s="164"/>
      <c r="P16" s="164"/>
      <c r="Q16" s="164"/>
      <c r="R16" s="164"/>
      <c r="S16" s="164"/>
      <c r="T16" s="167"/>
    </row>
    <row r="17" s="143" customFormat="1" ht="13.05" customHeight="1" spans="2:20">
      <c r="B17" s="10" t="s">
        <v>219</v>
      </c>
      <c r="C17" s="10" t="s">
        <v>253</v>
      </c>
      <c r="D17" s="10" t="s">
        <v>296</v>
      </c>
      <c r="E17" s="10" t="s">
        <v>290</v>
      </c>
      <c r="F17" s="10" t="s">
        <v>297</v>
      </c>
      <c r="G17" s="10" t="s">
        <v>218</v>
      </c>
      <c r="M17" s="164"/>
      <c r="N17" s="164"/>
      <c r="O17" s="164"/>
      <c r="P17" s="164"/>
      <c r="Q17" s="164"/>
      <c r="R17" s="164"/>
      <c r="S17" s="164"/>
      <c r="T17" s="167"/>
    </row>
    <row r="18" s="143" customFormat="1" ht="39" customHeight="1" spans="2:20">
      <c r="B18" s="10" t="s">
        <v>222</v>
      </c>
      <c r="C18" s="10" t="s">
        <v>253</v>
      </c>
      <c r="D18" s="10" t="s">
        <v>298</v>
      </c>
      <c r="E18" s="10" t="s">
        <v>290</v>
      </c>
      <c r="F18" s="19" t="s">
        <v>299</v>
      </c>
      <c r="G18" s="10" t="s">
        <v>218</v>
      </c>
      <c r="M18" s="164"/>
      <c r="N18" s="164"/>
      <c r="O18" s="164"/>
      <c r="P18" s="164"/>
      <c r="Q18" s="164"/>
      <c r="R18" s="164"/>
      <c r="S18" s="164"/>
      <c r="T18" s="167"/>
    </row>
    <row r="19" s="143" customFormat="1" ht="13.2" spans="2:20">
      <c r="B19" s="10" t="s">
        <v>237</v>
      </c>
      <c r="C19" s="10" t="s">
        <v>216</v>
      </c>
      <c r="D19" s="10" t="s">
        <v>300</v>
      </c>
      <c r="E19" s="10" t="s">
        <v>290</v>
      </c>
      <c r="F19" s="10" t="s">
        <v>301</v>
      </c>
      <c r="G19" s="10" t="s">
        <v>218</v>
      </c>
      <c r="M19" s="164"/>
      <c r="N19" s="164"/>
      <c r="O19" s="164"/>
      <c r="P19" s="164"/>
      <c r="Q19" s="164"/>
      <c r="R19" s="164"/>
      <c r="S19" s="164"/>
      <c r="T19" s="167"/>
    </row>
    <row r="20" s="143" customFormat="1" ht="13.2" spans="2:20">
      <c r="B20" s="10" t="s">
        <v>302</v>
      </c>
      <c r="C20" s="10" t="s">
        <v>216</v>
      </c>
      <c r="D20" s="10" t="s">
        <v>303</v>
      </c>
      <c r="E20" s="10" t="s">
        <v>290</v>
      </c>
      <c r="F20" s="10"/>
      <c r="G20" s="10" t="s">
        <v>304</v>
      </c>
      <c r="M20" s="164"/>
      <c r="N20" s="164"/>
      <c r="O20" s="164"/>
      <c r="P20" s="164"/>
      <c r="Q20" s="164"/>
      <c r="R20" s="164"/>
      <c r="S20" s="164"/>
      <c r="T20" s="167"/>
    </row>
    <row r="21" s="143" customFormat="1" ht="13.2" spans="2:20">
      <c r="B21" s="10" t="s">
        <v>229</v>
      </c>
      <c r="C21" s="10" t="s">
        <v>220</v>
      </c>
      <c r="D21" s="10" t="s">
        <v>305</v>
      </c>
      <c r="E21" s="10" t="s">
        <v>290</v>
      </c>
      <c r="F21" s="10" t="s">
        <v>306</v>
      </c>
      <c r="G21" s="10" t="s">
        <v>218</v>
      </c>
      <c r="M21" s="164"/>
      <c r="N21" s="164"/>
      <c r="O21" s="164"/>
      <c r="P21" s="164"/>
      <c r="Q21" s="164"/>
      <c r="R21" s="164"/>
      <c r="S21" s="164"/>
      <c r="T21" s="167"/>
    </row>
    <row r="22" s="143" customFormat="1" ht="13.2" spans="2:20">
      <c r="B22" s="10" t="s">
        <v>232</v>
      </c>
      <c r="C22" s="10" t="s">
        <v>233</v>
      </c>
      <c r="D22" s="10" t="s">
        <v>307</v>
      </c>
      <c r="E22" s="10" t="s">
        <v>290</v>
      </c>
      <c r="F22" s="10" t="s">
        <v>308</v>
      </c>
      <c r="G22" s="10" t="s">
        <v>218</v>
      </c>
      <c r="M22" s="164"/>
      <c r="N22" s="164"/>
      <c r="O22" s="164"/>
      <c r="P22" s="164"/>
      <c r="Q22" s="164"/>
      <c r="R22" s="164"/>
      <c r="S22" s="164"/>
      <c r="T22" s="167"/>
    </row>
    <row r="23" s="143" customFormat="1" ht="18" customHeight="1" spans="2:20">
      <c r="B23" s="10" t="s">
        <v>235</v>
      </c>
      <c r="C23" s="10" t="s">
        <v>220</v>
      </c>
      <c r="D23" s="10" t="s">
        <v>309</v>
      </c>
      <c r="E23" s="10" t="s">
        <v>290</v>
      </c>
      <c r="F23" s="10" t="s">
        <v>310</v>
      </c>
      <c r="G23" s="10" t="s">
        <v>218</v>
      </c>
      <c r="M23" s="164"/>
      <c r="N23" s="164"/>
      <c r="O23" s="164"/>
      <c r="P23" s="164"/>
      <c r="Q23" s="164"/>
      <c r="R23" s="164"/>
      <c r="S23" s="164"/>
      <c r="T23" s="167"/>
    </row>
    <row r="24" s="143" customFormat="1" ht="13.2" spans="2:20">
      <c r="B24" s="10" t="s">
        <v>239</v>
      </c>
      <c r="C24" s="10" t="s">
        <v>240</v>
      </c>
      <c r="D24" s="10" t="s">
        <v>241</v>
      </c>
      <c r="E24" s="10" t="s">
        <v>290</v>
      </c>
      <c r="F24" s="10" t="s">
        <v>311</v>
      </c>
      <c r="G24" s="10" t="s">
        <v>218</v>
      </c>
      <c r="M24" s="164"/>
      <c r="N24" s="164"/>
      <c r="O24" s="164"/>
      <c r="P24" s="164"/>
      <c r="Q24" s="164"/>
      <c r="R24" s="164"/>
      <c r="S24" s="164"/>
      <c r="T24" s="167"/>
    </row>
    <row r="25" s="143" customFormat="1" ht="13.2" spans="2:20">
      <c r="B25" s="10" t="s">
        <v>242</v>
      </c>
      <c r="C25" s="10" t="s">
        <v>240</v>
      </c>
      <c r="D25" s="10" t="s">
        <v>243</v>
      </c>
      <c r="E25" s="10" t="s">
        <v>290</v>
      </c>
      <c r="F25" s="10" t="s">
        <v>312</v>
      </c>
      <c r="G25" s="10" t="s">
        <v>218</v>
      </c>
      <c r="M25" s="164"/>
      <c r="N25" s="164"/>
      <c r="O25" s="164"/>
      <c r="P25" s="164"/>
      <c r="Q25" s="164"/>
      <c r="R25" s="164"/>
      <c r="S25" s="164"/>
      <c r="T25" s="167"/>
    </row>
    <row r="26" s="143" customFormat="1" ht="13.2" spans="2:20">
      <c r="B26" s="10" t="s">
        <v>244</v>
      </c>
      <c r="C26" s="10" t="s">
        <v>220</v>
      </c>
      <c r="D26" s="10" t="s">
        <v>245</v>
      </c>
      <c r="E26" s="10" t="s">
        <v>290</v>
      </c>
      <c r="F26" s="10" t="s">
        <v>313</v>
      </c>
      <c r="G26" s="10" t="s">
        <v>218</v>
      </c>
      <c r="M26" s="164"/>
      <c r="N26" s="164"/>
      <c r="O26" s="164"/>
      <c r="P26" s="164"/>
      <c r="Q26" s="164"/>
      <c r="R26" s="164"/>
      <c r="S26" s="164"/>
      <c r="T26" s="167"/>
    </row>
    <row r="27" s="143" customFormat="1" ht="13.2" spans="2:20">
      <c r="B27" s="10" t="s">
        <v>246</v>
      </c>
      <c r="C27" s="10" t="s">
        <v>220</v>
      </c>
      <c r="D27" s="10" t="s">
        <v>247</v>
      </c>
      <c r="E27" s="10" t="s">
        <v>290</v>
      </c>
      <c r="F27" s="10" t="s">
        <v>314</v>
      </c>
      <c r="G27" s="10" t="s">
        <v>218</v>
      </c>
      <c r="M27" s="164"/>
      <c r="N27" s="164"/>
      <c r="O27" s="164"/>
      <c r="P27" s="164"/>
      <c r="Q27" s="164"/>
      <c r="R27" s="164"/>
      <c r="S27" s="164"/>
      <c r="T27" s="167"/>
    </row>
    <row r="28" s="143" customFormat="1" ht="13.2" spans="2:20">
      <c r="B28" s="10" t="s">
        <v>248</v>
      </c>
      <c r="C28" s="10" t="s">
        <v>220</v>
      </c>
      <c r="D28" s="10" t="s">
        <v>249</v>
      </c>
      <c r="E28" s="10" t="s">
        <v>290</v>
      </c>
      <c r="F28" s="10" t="s">
        <v>315</v>
      </c>
      <c r="G28" s="10" t="s">
        <v>218</v>
      </c>
      <c r="M28" s="164"/>
      <c r="N28" s="164"/>
      <c r="O28" s="164"/>
      <c r="P28" s="164"/>
      <c r="Q28" s="164"/>
      <c r="R28" s="164"/>
      <c r="S28" s="164"/>
      <c r="T28" s="167"/>
    </row>
    <row r="29" s="143" customFormat="1" ht="13.2" spans="2:20">
      <c r="B29" s="10" t="s">
        <v>250</v>
      </c>
      <c r="C29" s="10" t="s">
        <v>220</v>
      </c>
      <c r="D29" s="10" t="s">
        <v>251</v>
      </c>
      <c r="E29" s="10" t="s">
        <v>290</v>
      </c>
      <c r="F29" s="10" t="s">
        <v>316</v>
      </c>
      <c r="G29" s="10" t="s">
        <v>218</v>
      </c>
      <c r="M29" s="164"/>
      <c r="N29" s="164"/>
      <c r="O29" s="164"/>
      <c r="P29" s="164"/>
      <c r="Q29" s="164"/>
      <c r="R29" s="164"/>
      <c r="S29" s="164"/>
      <c r="T29" s="167"/>
    </row>
    <row r="30" s="142" customFormat="1" ht="13.05" customHeight="1" spans="1:20">
      <c r="A30" s="149"/>
      <c r="B30" s="10"/>
      <c r="C30" s="10"/>
      <c r="D30" s="10"/>
      <c r="E30" s="10"/>
      <c r="F30" s="10"/>
      <c r="G30" s="10"/>
      <c r="H30" s="149"/>
      <c r="I30" s="149"/>
      <c r="J30" s="149"/>
      <c r="K30" s="149"/>
      <c r="L30" s="149"/>
      <c r="M30" s="161"/>
      <c r="N30" s="161"/>
      <c r="O30" s="161"/>
      <c r="P30" s="161"/>
      <c r="Q30" s="161"/>
      <c r="R30" s="161"/>
      <c r="S30" s="161"/>
      <c r="T30" s="166"/>
    </row>
    <row r="31" s="144" customFormat="1" ht="13.2" spans="2:20">
      <c r="B31" s="160" t="s">
        <v>252</v>
      </c>
      <c r="C31" s="144" t="s">
        <v>253</v>
      </c>
      <c r="D31" s="144" t="s">
        <v>254</v>
      </c>
      <c r="G31" s="149"/>
      <c r="H31" s="149"/>
      <c r="I31" s="149"/>
      <c r="J31" s="149"/>
      <c r="K31" s="149"/>
      <c r="L31" s="149"/>
      <c r="M31" s="162"/>
      <c r="N31" s="162"/>
      <c r="O31" s="162"/>
      <c r="P31" s="165"/>
      <c r="Q31" s="165"/>
      <c r="R31" s="165"/>
      <c r="S31" s="165"/>
      <c r="T31" s="168"/>
    </row>
    <row r="32" s="144" customFormat="1" ht="13.2" spans="2:20">
      <c r="B32" s="160" t="s">
        <v>255</v>
      </c>
      <c r="C32" s="144" t="s">
        <v>216</v>
      </c>
      <c r="D32" s="144" t="s">
        <v>256</v>
      </c>
      <c r="G32" s="149"/>
      <c r="H32" s="149"/>
      <c r="I32" s="149"/>
      <c r="J32" s="149"/>
      <c r="K32" s="149"/>
      <c r="L32" s="149"/>
      <c r="M32" s="162"/>
      <c r="N32" s="162"/>
      <c r="O32" s="162"/>
      <c r="P32" s="165"/>
      <c r="Q32" s="165"/>
      <c r="R32" s="165"/>
      <c r="S32" s="165"/>
      <c r="T32" s="168"/>
    </row>
    <row r="33" s="144" customFormat="1" ht="13.2" spans="2:20">
      <c r="B33" s="160" t="s">
        <v>257</v>
      </c>
      <c r="C33" s="144" t="s">
        <v>253</v>
      </c>
      <c r="D33" s="144" t="s">
        <v>258</v>
      </c>
      <c r="G33" s="149"/>
      <c r="H33" s="149"/>
      <c r="I33" s="149"/>
      <c r="J33" s="149"/>
      <c r="K33" s="149"/>
      <c r="L33" s="149"/>
      <c r="M33" s="162"/>
      <c r="N33" s="162"/>
      <c r="O33" s="162"/>
      <c r="P33" s="165"/>
      <c r="Q33" s="165"/>
      <c r="R33" s="165"/>
      <c r="S33" s="165"/>
      <c r="T33" s="168"/>
    </row>
    <row r="34" s="144" customFormat="1" ht="13.2" spans="2:20">
      <c r="B34" s="160" t="s">
        <v>259</v>
      </c>
      <c r="C34" s="144" t="s">
        <v>253</v>
      </c>
      <c r="D34" s="144" t="s">
        <v>317</v>
      </c>
      <c r="G34" s="149"/>
      <c r="H34" s="149"/>
      <c r="I34" s="149"/>
      <c r="J34" s="149"/>
      <c r="K34" s="149"/>
      <c r="L34" s="149"/>
      <c r="M34" s="162"/>
      <c r="N34" s="162"/>
      <c r="O34" s="162"/>
      <c r="P34" s="165"/>
      <c r="Q34" s="165"/>
      <c r="R34" s="165"/>
      <c r="S34" s="165"/>
      <c r="T34" s="168"/>
    </row>
    <row r="35" s="144" customFormat="1" ht="13.2" spans="2:20">
      <c r="B35" s="160" t="s">
        <v>262</v>
      </c>
      <c r="C35" s="144" t="s">
        <v>253</v>
      </c>
      <c r="D35" s="144" t="s">
        <v>263</v>
      </c>
      <c r="G35" s="149"/>
      <c r="H35" s="149"/>
      <c r="I35" s="149"/>
      <c r="J35" s="149"/>
      <c r="K35" s="149"/>
      <c r="L35" s="149"/>
      <c r="M35" s="162"/>
      <c r="N35" s="162"/>
      <c r="O35" s="162"/>
      <c r="P35" s="165"/>
      <c r="Q35" s="165"/>
      <c r="R35" s="165"/>
      <c r="S35" s="165"/>
      <c r="T35" s="168"/>
    </row>
  </sheetData>
  <mergeCells count="4">
    <mergeCell ref="B2:H2"/>
    <mergeCell ref="B3:H3"/>
    <mergeCell ref="B7:H7"/>
    <mergeCell ref="B12:L1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32"/>
  <sheetViews>
    <sheetView workbookViewId="0">
      <selection activeCell="F9" sqref="F9:F10"/>
    </sheetView>
  </sheetViews>
  <sheetFormatPr defaultColWidth="9" defaultRowHeight="13.2"/>
  <cols>
    <col min="1" max="1" width="1.33333333333333" style="3" customWidth="1"/>
    <col min="2" max="2" width="23.6666666666667" style="3" customWidth="1"/>
    <col min="3" max="3" width="33" style="3" customWidth="1"/>
    <col min="4" max="4" width="38.2222222222222" style="3" customWidth="1"/>
    <col min="5" max="5" width="11.5555555555556" style="3" customWidth="1"/>
    <col min="6" max="6" width="40.2222222222222" style="3" customWidth="1"/>
    <col min="7" max="7" width="43.4444444444444"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45</v>
      </c>
      <c r="D5" s="10" t="s">
        <v>46</v>
      </c>
      <c r="E5" s="11" t="s">
        <v>49</v>
      </c>
      <c r="F5" s="12"/>
      <c r="G5" s="13" t="s">
        <v>318</v>
      </c>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50</v>
      </c>
      <c r="D9" s="35" t="s">
        <v>41</v>
      </c>
      <c r="E9" s="11" t="s">
        <v>199</v>
      </c>
      <c r="F9" s="138" t="s">
        <v>319</v>
      </c>
      <c r="G9" s="13"/>
      <c r="H9" s="15"/>
    </row>
    <row r="10" spans="2:8">
      <c r="B10" s="11"/>
      <c r="C10" s="10" t="s">
        <v>320</v>
      </c>
      <c r="D10" s="35" t="s">
        <v>321</v>
      </c>
      <c r="E10" s="11" t="s">
        <v>202</v>
      </c>
      <c r="F10" s="139"/>
      <c r="G10" s="13"/>
      <c r="H10" s="15"/>
    </row>
    <row r="12" spans="2:2">
      <c r="B12" s="3" t="s">
        <v>204</v>
      </c>
    </row>
    <row r="13" spans="2:12">
      <c r="B13" s="7" t="s">
        <v>204</v>
      </c>
      <c r="C13" s="7"/>
      <c r="D13" s="7"/>
      <c r="E13" s="7"/>
      <c r="F13" s="7"/>
      <c r="G13" s="7"/>
      <c r="H13" s="7"/>
      <c r="I13" s="7"/>
      <c r="J13" s="7"/>
      <c r="K13" s="7"/>
      <c r="L13" s="7"/>
    </row>
    <row r="14" ht="24" spans="2:12">
      <c r="B14" s="131" t="s">
        <v>205</v>
      </c>
      <c r="C14" s="131" t="s">
        <v>206</v>
      </c>
      <c r="D14" s="132" t="s">
        <v>207</v>
      </c>
      <c r="E14" s="18" t="s">
        <v>208</v>
      </c>
      <c r="F14" s="18" t="s">
        <v>209</v>
      </c>
      <c r="G14" s="18" t="s">
        <v>210</v>
      </c>
      <c r="H14" s="18" t="s">
        <v>211</v>
      </c>
      <c r="I14" s="18" t="s">
        <v>17</v>
      </c>
      <c r="J14" s="18" t="s">
        <v>212</v>
      </c>
      <c r="K14" s="18" t="s">
        <v>213</v>
      </c>
      <c r="L14" s="18" t="s">
        <v>214</v>
      </c>
    </row>
    <row r="15" s="1" customFormat="1" spans="2:12">
      <c r="B15" s="77" t="s">
        <v>226</v>
      </c>
      <c r="C15" s="77" t="s">
        <v>216</v>
      </c>
      <c r="D15" s="77" t="s">
        <v>294</v>
      </c>
      <c r="E15" s="20" t="s">
        <v>199</v>
      </c>
      <c r="F15" s="19" t="s">
        <v>226</v>
      </c>
      <c r="G15" s="77" t="s">
        <v>218</v>
      </c>
      <c r="H15" s="20"/>
      <c r="I15" s="23"/>
      <c r="J15" s="23" t="s">
        <v>322</v>
      </c>
      <c r="K15" s="23" t="s">
        <v>323</v>
      </c>
      <c r="L15" s="23" t="s">
        <v>323</v>
      </c>
    </row>
    <row r="16" s="1" customFormat="1" spans="2:12">
      <c r="B16" s="77" t="s">
        <v>224</v>
      </c>
      <c r="C16" s="77" t="s">
        <v>216</v>
      </c>
      <c r="D16" s="77" t="s">
        <v>292</v>
      </c>
      <c r="E16" s="20" t="s">
        <v>199</v>
      </c>
      <c r="F16" s="19" t="s">
        <v>224</v>
      </c>
      <c r="G16" s="77" t="s">
        <v>218</v>
      </c>
      <c r="H16" s="20"/>
      <c r="I16" s="23"/>
      <c r="J16" s="23" t="s">
        <v>322</v>
      </c>
      <c r="K16" s="23" t="s">
        <v>323</v>
      </c>
      <c r="L16" s="23" t="s">
        <v>323</v>
      </c>
    </row>
    <row r="17" s="1" customFormat="1" spans="2:12">
      <c r="B17" s="77" t="s">
        <v>324</v>
      </c>
      <c r="C17" s="77" t="s">
        <v>216</v>
      </c>
      <c r="D17" s="77" t="s">
        <v>325</v>
      </c>
      <c r="E17" s="20" t="s">
        <v>199</v>
      </c>
      <c r="F17" s="19"/>
      <c r="G17" s="134" t="s">
        <v>326</v>
      </c>
      <c r="H17" s="20"/>
      <c r="I17" s="23"/>
      <c r="J17" s="23" t="s">
        <v>322</v>
      </c>
      <c r="K17" s="23" t="s">
        <v>323</v>
      </c>
      <c r="L17" s="23" t="s">
        <v>323</v>
      </c>
    </row>
    <row r="18" s="1" customFormat="1" spans="2:12">
      <c r="B18" s="77" t="s">
        <v>327</v>
      </c>
      <c r="C18" s="77" t="s">
        <v>220</v>
      </c>
      <c r="D18" s="76" t="s">
        <v>328</v>
      </c>
      <c r="E18" s="20" t="s">
        <v>199</v>
      </c>
      <c r="F18" s="19"/>
      <c r="G18" s="134" t="s">
        <v>329</v>
      </c>
      <c r="H18" s="20"/>
      <c r="I18" s="23"/>
      <c r="J18" s="23" t="s">
        <v>322</v>
      </c>
      <c r="K18" s="23" t="s">
        <v>323</v>
      </c>
      <c r="L18" s="23" t="s">
        <v>323</v>
      </c>
    </row>
    <row r="19" s="1" customFormat="1" spans="2:12">
      <c r="B19" s="77" t="s">
        <v>215</v>
      </c>
      <c r="C19" s="77" t="s">
        <v>330</v>
      </c>
      <c r="D19" s="77" t="s">
        <v>331</v>
      </c>
      <c r="E19" s="20" t="s">
        <v>199</v>
      </c>
      <c r="F19" s="19" t="s">
        <v>215</v>
      </c>
      <c r="G19" s="77" t="s">
        <v>332</v>
      </c>
      <c r="H19" s="20"/>
      <c r="I19" s="23"/>
      <c r="J19" s="23" t="s">
        <v>322</v>
      </c>
      <c r="K19" s="23" t="s">
        <v>323</v>
      </c>
      <c r="L19" s="23" t="s">
        <v>323</v>
      </c>
    </row>
    <row r="20" s="1" customFormat="1" spans="2:12">
      <c r="B20" s="134" t="s">
        <v>333</v>
      </c>
      <c r="C20" s="134" t="s">
        <v>216</v>
      </c>
      <c r="D20" s="134" t="s">
        <v>334</v>
      </c>
      <c r="E20" s="20" t="s">
        <v>335</v>
      </c>
      <c r="F20" s="19"/>
      <c r="G20" s="77" t="s">
        <v>336</v>
      </c>
      <c r="H20" s="20"/>
      <c r="I20" s="23"/>
      <c r="J20" s="23" t="s">
        <v>322</v>
      </c>
      <c r="K20" s="23" t="s">
        <v>323</v>
      </c>
      <c r="L20" s="23" t="s">
        <v>323</v>
      </c>
    </row>
    <row r="21" s="1" customFormat="1" spans="2:12">
      <c r="B21" s="134" t="s">
        <v>337</v>
      </c>
      <c r="C21" s="134" t="s">
        <v>240</v>
      </c>
      <c r="D21" s="134" t="s">
        <v>338</v>
      </c>
      <c r="E21" s="20" t="s">
        <v>335</v>
      </c>
      <c r="F21" s="19"/>
      <c r="G21" s="77" t="s">
        <v>338</v>
      </c>
      <c r="H21" s="20"/>
      <c r="I21" s="23"/>
      <c r="J21" s="23" t="s">
        <v>322</v>
      </c>
      <c r="K21" s="23" t="s">
        <v>323</v>
      </c>
      <c r="L21" s="23" t="s">
        <v>339</v>
      </c>
    </row>
    <row r="22" s="1" customFormat="1" spans="2:12">
      <c r="B22" s="134" t="s">
        <v>340</v>
      </c>
      <c r="C22" s="134" t="s">
        <v>240</v>
      </c>
      <c r="D22" s="134" t="s">
        <v>341</v>
      </c>
      <c r="E22" s="20" t="s">
        <v>335</v>
      </c>
      <c r="F22" s="19"/>
      <c r="G22" s="77" t="s">
        <v>342</v>
      </c>
      <c r="H22" s="20"/>
      <c r="I22" s="23"/>
      <c r="J22" s="23" t="s">
        <v>322</v>
      </c>
      <c r="K22" s="23" t="s">
        <v>323</v>
      </c>
      <c r="L22" s="23" t="s">
        <v>339</v>
      </c>
    </row>
    <row r="23" s="1" customFormat="1" spans="2:12">
      <c r="B23" s="134" t="s">
        <v>229</v>
      </c>
      <c r="C23" s="134" t="s">
        <v>343</v>
      </c>
      <c r="D23" s="134" t="s">
        <v>229</v>
      </c>
      <c r="E23" s="20" t="s">
        <v>335</v>
      </c>
      <c r="F23" s="19"/>
      <c r="G23" s="140" t="s">
        <v>344</v>
      </c>
      <c r="H23" s="20"/>
      <c r="I23" s="23"/>
      <c r="J23" s="23" t="s">
        <v>345</v>
      </c>
      <c r="K23" s="23" t="s">
        <v>323</v>
      </c>
      <c r="L23" s="23" t="s">
        <v>323</v>
      </c>
    </row>
    <row r="24" s="1" customFormat="1" spans="2:12">
      <c r="B24" s="134" t="s">
        <v>232</v>
      </c>
      <c r="C24" s="134" t="s">
        <v>343</v>
      </c>
      <c r="D24" s="134" t="s">
        <v>232</v>
      </c>
      <c r="E24" s="20" t="s">
        <v>335</v>
      </c>
      <c r="F24" s="19"/>
      <c r="G24" s="140" t="s">
        <v>346</v>
      </c>
      <c r="H24" s="20"/>
      <c r="I24" s="23"/>
      <c r="J24" s="23" t="s">
        <v>345</v>
      </c>
      <c r="K24" s="23" t="s">
        <v>323</v>
      </c>
      <c r="L24" s="23" t="s">
        <v>323</v>
      </c>
    </row>
    <row r="25" s="1" customFormat="1" spans="2:12">
      <c r="B25" s="77" t="s">
        <v>219</v>
      </c>
      <c r="C25" s="77" t="s">
        <v>220</v>
      </c>
      <c r="D25" s="77" t="s">
        <v>347</v>
      </c>
      <c r="E25" s="20" t="s">
        <v>199</v>
      </c>
      <c r="F25" s="19" t="s">
        <v>219</v>
      </c>
      <c r="G25" s="140" t="s">
        <v>218</v>
      </c>
      <c r="H25" s="20"/>
      <c r="I25" s="23"/>
      <c r="J25" s="23" t="s">
        <v>322</v>
      </c>
      <c r="K25" s="23" t="s">
        <v>323</v>
      </c>
      <c r="L25" s="23" t="s">
        <v>323</v>
      </c>
    </row>
    <row r="26" s="1" customFormat="1" spans="2:12">
      <c r="B26" s="77" t="s">
        <v>222</v>
      </c>
      <c r="C26" s="77" t="s">
        <v>220</v>
      </c>
      <c r="D26" s="77" t="s">
        <v>348</v>
      </c>
      <c r="E26" s="20" t="s">
        <v>199</v>
      </c>
      <c r="F26" s="19" t="s">
        <v>222</v>
      </c>
      <c r="G26" s="140" t="s">
        <v>218</v>
      </c>
      <c r="H26" s="20"/>
      <c r="I26" s="23"/>
      <c r="J26" s="23" t="s">
        <v>322</v>
      </c>
      <c r="K26" s="23" t="s">
        <v>323</v>
      </c>
      <c r="L26" s="23" t="s">
        <v>323</v>
      </c>
    </row>
    <row r="27" s="1" customFormat="1" spans="2:12">
      <c r="B27" s="141" t="s">
        <v>302</v>
      </c>
      <c r="C27" s="77" t="s">
        <v>216</v>
      </c>
      <c r="D27" s="77" t="s">
        <v>349</v>
      </c>
      <c r="E27" s="20" t="s">
        <v>199</v>
      </c>
      <c r="F27" s="19" t="s">
        <v>302</v>
      </c>
      <c r="G27" s="140" t="s">
        <v>218</v>
      </c>
      <c r="H27" s="20"/>
      <c r="I27" s="23"/>
      <c r="J27" s="23" t="s">
        <v>322</v>
      </c>
      <c r="K27" s="23" t="s">
        <v>323</v>
      </c>
      <c r="L27" s="23" t="s">
        <v>323</v>
      </c>
    </row>
    <row r="28" s="1" customFormat="1" spans="2:12">
      <c r="B28" s="134" t="s">
        <v>259</v>
      </c>
      <c r="C28" s="134" t="s">
        <v>220</v>
      </c>
      <c r="D28" s="134" t="s">
        <v>317</v>
      </c>
      <c r="E28" s="20" t="s">
        <v>199</v>
      </c>
      <c r="F28" s="19" t="s">
        <v>259</v>
      </c>
      <c r="G28" s="140" t="s">
        <v>218</v>
      </c>
      <c r="H28" s="20"/>
      <c r="I28" s="23"/>
      <c r="J28" s="23" t="s">
        <v>322</v>
      </c>
      <c r="K28" s="23" t="s">
        <v>323</v>
      </c>
      <c r="L28" s="23" t="s">
        <v>323</v>
      </c>
    </row>
    <row r="29" s="1" customFormat="1" spans="2:12">
      <c r="B29" s="134" t="s">
        <v>350</v>
      </c>
      <c r="C29" s="134" t="s">
        <v>220</v>
      </c>
      <c r="D29" s="134" t="s">
        <v>351</v>
      </c>
      <c r="E29" s="20" t="s">
        <v>335</v>
      </c>
      <c r="F29" s="19"/>
      <c r="G29" s="140" t="s">
        <v>352</v>
      </c>
      <c r="H29" s="20"/>
      <c r="I29" s="23"/>
      <c r="J29" s="23" t="s">
        <v>345</v>
      </c>
      <c r="K29" s="23" t="s">
        <v>323</v>
      </c>
      <c r="L29" s="23" t="s">
        <v>339</v>
      </c>
    </row>
    <row r="30" s="1" customFormat="1" spans="2:12">
      <c r="B30" s="77" t="s">
        <v>353</v>
      </c>
      <c r="C30" s="77" t="s">
        <v>216</v>
      </c>
      <c r="D30" s="77" t="s">
        <v>354</v>
      </c>
      <c r="E30" s="20"/>
      <c r="F30" s="19"/>
      <c r="G30" s="140" t="s">
        <v>355</v>
      </c>
      <c r="H30" s="20"/>
      <c r="I30" s="23"/>
      <c r="J30" s="23" t="s">
        <v>356</v>
      </c>
      <c r="K30" s="23" t="s">
        <v>323</v>
      </c>
      <c r="L30" s="23" t="s">
        <v>323</v>
      </c>
    </row>
    <row r="31" s="1" customFormat="1" spans="2:12">
      <c r="B31" s="136" t="s">
        <v>252</v>
      </c>
      <c r="C31" s="137" t="s">
        <v>220</v>
      </c>
      <c r="D31" s="136"/>
      <c r="E31" s="20"/>
      <c r="F31" s="19"/>
      <c r="G31" s="19"/>
      <c r="H31" s="20"/>
      <c r="I31" s="23"/>
      <c r="J31" s="23"/>
      <c r="K31" s="23"/>
      <c r="L31" s="23"/>
    </row>
    <row r="32" s="1" customFormat="1" spans="2:12">
      <c r="B32" s="136" t="s">
        <v>255</v>
      </c>
      <c r="C32" s="136" t="s">
        <v>216</v>
      </c>
      <c r="D32" s="136"/>
      <c r="E32" s="20"/>
      <c r="F32" s="19"/>
      <c r="G32" s="19"/>
      <c r="H32" s="20"/>
      <c r="I32" s="23"/>
      <c r="J32" s="23"/>
      <c r="K32" s="23"/>
      <c r="L32" s="23"/>
    </row>
  </sheetData>
  <mergeCells count="5">
    <mergeCell ref="B2:H2"/>
    <mergeCell ref="B3:H3"/>
    <mergeCell ref="B7:H7"/>
    <mergeCell ref="B13:L13"/>
    <mergeCell ref="F9:F1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33"/>
  <sheetViews>
    <sheetView topLeftCell="A4" workbookViewId="0">
      <selection activeCell="A1" sqref="A1"/>
    </sheetView>
  </sheetViews>
  <sheetFormatPr defaultColWidth="9" defaultRowHeight="13.2"/>
  <cols>
    <col min="1" max="1" width="1.33333333333333" style="3" customWidth="1"/>
    <col min="2" max="2" width="23.6666666666667" style="3" customWidth="1"/>
    <col min="3" max="3" width="33" style="3" customWidth="1"/>
    <col min="4" max="4" width="38.2222222222222" style="3" customWidth="1"/>
    <col min="5" max="5" width="16.1111111111111" style="3" customWidth="1"/>
    <col min="6" max="6" width="16.7777777777778" style="3" customWidth="1"/>
    <col min="7" max="7" width="53.5555555555556" style="3" customWidth="1"/>
    <col min="8" max="8" width="14.4444444444444" style="3" customWidth="1"/>
    <col min="9" max="9" width="8.33333333333333" style="3" customWidth="1"/>
    <col min="10" max="10" width="8.44444444444444" style="3" customWidth="1"/>
    <col min="11" max="11" width="9.66666666666667" style="3" customWidth="1"/>
    <col min="12" max="12" width="10.7777777777778" style="4" customWidth="1"/>
    <col min="13" max="16384" width="9" style="4"/>
  </cols>
  <sheetData>
    <row r="1" spans="2:2">
      <c r="B1" s="129"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53</v>
      </c>
      <c r="D5" s="10" t="s">
        <v>54</v>
      </c>
      <c r="E5" s="11" t="s">
        <v>49</v>
      </c>
      <c r="F5" s="12"/>
      <c r="G5" s="13" t="s">
        <v>357</v>
      </c>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50</v>
      </c>
      <c r="D9" s="35" t="s">
        <v>41</v>
      </c>
      <c r="E9" s="11" t="s">
        <v>199</v>
      </c>
      <c r="F9" s="10" t="s">
        <v>358</v>
      </c>
      <c r="G9" s="10"/>
      <c r="H9" s="130"/>
    </row>
    <row r="10" spans="2:8">
      <c r="B10" s="11"/>
      <c r="C10" s="10" t="s">
        <v>320</v>
      </c>
      <c r="D10" s="35" t="s">
        <v>321</v>
      </c>
      <c r="E10" s="11" t="s">
        <v>202</v>
      </c>
      <c r="F10" s="10"/>
      <c r="G10" s="10"/>
      <c r="H10" s="11"/>
    </row>
    <row r="12" spans="2:2">
      <c r="B12" s="3" t="s">
        <v>204</v>
      </c>
    </row>
    <row r="13" spans="2:12">
      <c r="B13" s="7" t="s">
        <v>204</v>
      </c>
      <c r="C13" s="7"/>
      <c r="D13" s="7"/>
      <c r="E13" s="7"/>
      <c r="F13" s="7"/>
      <c r="G13" s="7"/>
      <c r="H13" s="7"/>
      <c r="I13" s="7"/>
      <c r="J13" s="7"/>
      <c r="K13" s="7"/>
      <c r="L13" s="7"/>
    </row>
    <row r="14" spans="2:12">
      <c r="B14" s="131" t="s">
        <v>205</v>
      </c>
      <c r="C14" s="131" t="s">
        <v>206</v>
      </c>
      <c r="D14" s="132" t="s">
        <v>207</v>
      </c>
      <c r="E14" s="18" t="s">
        <v>208</v>
      </c>
      <c r="F14" s="18" t="s">
        <v>209</v>
      </c>
      <c r="G14" s="18" t="s">
        <v>210</v>
      </c>
      <c r="H14" s="18" t="s">
        <v>211</v>
      </c>
      <c r="I14" s="18" t="s">
        <v>17</v>
      </c>
      <c r="J14" s="18" t="s">
        <v>212</v>
      </c>
      <c r="K14" s="18" t="s">
        <v>213</v>
      </c>
      <c r="L14" s="18" t="s">
        <v>214</v>
      </c>
    </row>
    <row r="15" s="1" customFormat="1" spans="2:12">
      <c r="B15" s="133" t="s">
        <v>359</v>
      </c>
      <c r="C15" s="133" t="s">
        <v>360</v>
      </c>
      <c r="D15" s="133" t="s">
        <v>361</v>
      </c>
      <c r="E15" s="134"/>
      <c r="F15" s="19"/>
      <c r="G15" s="134" t="s">
        <v>326</v>
      </c>
      <c r="H15" s="20"/>
      <c r="I15" s="23"/>
      <c r="J15" s="23" t="s">
        <v>322</v>
      </c>
      <c r="K15" s="23" t="s">
        <v>323</v>
      </c>
      <c r="L15" s="23" t="s">
        <v>323</v>
      </c>
    </row>
    <row r="16" s="1" customFormat="1" spans="2:12">
      <c r="B16" s="133" t="s">
        <v>362</v>
      </c>
      <c r="C16" s="133" t="s">
        <v>360</v>
      </c>
      <c r="D16" s="133" t="s">
        <v>363</v>
      </c>
      <c r="E16" s="134" t="s">
        <v>199</v>
      </c>
      <c r="F16" s="19"/>
      <c r="G16" s="134"/>
      <c r="H16" s="20"/>
      <c r="I16" s="23"/>
      <c r="J16" s="23" t="s">
        <v>322</v>
      </c>
      <c r="K16" s="23" t="s">
        <v>323</v>
      </c>
      <c r="L16" s="23" t="s">
        <v>323</v>
      </c>
    </row>
    <row r="17" s="1" customFormat="1" spans="2:12">
      <c r="B17" s="133" t="s">
        <v>364</v>
      </c>
      <c r="C17" s="133" t="s">
        <v>360</v>
      </c>
      <c r="D17" s="133" t="s">
        <v>365</v>
      </c>
      <c r="E17" s="134" t="s">
        <v>199</v>
      </c>
      <c r="F17" s="19"/>
      <c r="G17" s="134"/>
      <c r="H17" s="20"/>
      <c r="I17" s="23"/>
      <c r="J17" s="23" t="s">
        <v>322</v>
      </c>
      <c r="K17" s="23" t="s">
        <v>323</v>
      </c>
      <c r="L17" s="23" t="s">
        <v>323</v>
      </c>
    </row>
    <row r="18" s="1" customFormat="1" spans="2:12">
      <c r="B18" s="133" t="s">
        <v>366</v>
      </c>
      <c r="C18" s="133" t="s">
        <v>367</v>
      </c>
      <c r="D18" s="135" t="s">
        <v>368</v>
      </c>
      <c r="E18" s="134"/>
      <c r="F18" s="19"/>
      <c r="G18" s="134"/>
      <c r="H18" s="20"/>
      <c r="I18" s="23"/>
      <c r="J18" s="23" t="s">
        <v>322</v>
      </c>
      <c r="K18" s="23" t="s">
        <v>323</v>
      </c>
      <c r="L18" s="23" t="s">
        <v>323</v>
      </c>
    </row>
    <row r="19" s="1" customFormat="1" spans="2:12">
      <c r="B19" s="133" t="s">
        <v>369</v>
      </c>
      <c r="C19" s="133" t="s">
        <v>370</v>
      </c>
      <c r="D19" s="133" t="s">
        <v>371</v>
      </c>
      <c r="E19" s="134"/>
      <c r="F19" s="19"/>
      <c r="G19" s="134"/>
      <c r="H19" s="20"/>
      <c r="I19" s="23"/>
      <c r="J19" s="23" t="s">
        <v>322</v>
      </c>
      <c r="K19" s="23" t="s">
        <v>323</v>
      </c>
      <c r="L19" s="23" t="s">
        <v>323</v>
      </c>
    </row>
    <row r="20" s="1" customFormat="1" spans="2:12">
      <c r="B20" s="133" t="s">
        <v>372</v>
      </c>
      <c r="C20" s="133" t="s">
        <v>373</v>
      </c>
      <c r="D20" s="133" t="s">
        <v>374</v>
      </c>
      <c r="E20" s="134"/>
      <c r="F20" s="19"/>
      <c r="G20" s="134"/>
      <c r="H20" s="20"/>
      <c r="I20" s="23"/>
      <c r="J20" s="23" t="s">
        <v>345</v>
      </c>
      <c r="K20" s="23" t="s">
        <v>323</v>
      </c>
      <c r="L20" s="23" t="s">
        <v>323</v>
      </c>
    </row>
    <row r="21" s="1" customFormat="1" spans="2:12">
      <c r="B21" s="133" t="s">
        <v>375</v>
      </c>
      <c r="C21" s="133" t="s">
        <v>373</v>
      </c>
      <c r="D21" s="133" t="s">
        <v>376</v>
      </c>
      <c r="E21" s="134"/>
      <c r="F21" s="19"/>
      <c r="G21" s="134"/>
      <c r="H21" s="20"/>
      <c r="I21" s="23"/>
      <c r="J21" s="23" t="s">
        <v>345</v>
      </c>
      <c r="K21" s="23" t="s">
        <v>323</v>
      </c>
      <c r="L21" s="23" t="s">
        <v>323</v>
      </c>
    </row>
    <row r="22" s="1" customFormat="1" spans="2:12">
      <c r="B22" s="133" t="s">
        <v>377</v>
      </c>
      <c r="C22" s="133" t="s">
        <v>360</v>
      </c>
      <c r="D22" s="133" t="s">
        <v>378</v>
      </c>
      <c r="E22" s="134"/>
      <c r="F22" s="19"/>
      <c r="G22" s="134"/>
      <c r="H22" s="20"/>
      <c r="I22" s="23"/>
      <c r="J22" s="23" t="s">
        <v>322</v>
      </c>
      <c r="K22" s="23" t="s">
        <v>323</v>
      </c>
      <c r="L22" s="23" t="s">
        <v>323</v>
      </c>
    </row>
    <row r="23" s="1" customFormat="1" spans="2:12">
      <c r="B23" s="133" t="s">
        <v>379</v>
      </c>
      <c r="C23" s="133" t="s">
        <v>360</v>
      </c>
      <c r="D23" s="133" t="s">
        <v>380</v>
      </c>
      <c r="E23" s="134" t="s">
        <v>202</v>
      </c>
      <c r="F23" s="19"/>
      <c r="G23" s="134"/>
      <c r="H23" s="20"/>
      <c r="I23" s="23"/>
      <c r="J23" s="23" t="s">
        <v>322</v>
      </c>
      <c r="K23" s="23" t="s">
        <v>323</v>
      </c>
      <c r="L23" s="23" t="s">
        <v>323</v>
      </c>
    </row>
    <row r="24" s="1" customFormat="1" spans="2:12">
      <c r="B24" s="133" t="s">
        <v>381</v>
      </c>
      <c r="C24" s="133" t="s">
        <v>370</v>
      </c>
      <c r="D24" s="133" t="s">
        <v>382</v>
      </c>
      <c r="E24" s="134"/>
      <c r="F24" s="19"/>
      <c r="G24" s="134"/>
      <c r="H24" s="20"/>
      <c r="I24" s="23"/>
      <c r="J24" s="23" t="s">
        <v>322</v>
      </c>
      <c r="K24" s="23" t="s">
        <v>323</v>
      </c>
      <c r="L24" s="23" t="s">
        <v>323</v>
      </c>
    </row>
    <row r="25" s="1" customFormat="1" spans="2:12">
      <c r="B25" s="133" t="s">
        <v>383</v>
      </c>
      <c r="C25" s="133" t="s">
        <v>373</v>
      </c>
      <c r="D25" s="133" t="s">
        <v>384</v>
      </c>
      <c r="E25" s="134"/>
      <c r="F25" s="19"/>
      <c r="G25" s="134"/>
      <c r="H25" s="20"/>
      <c r="I25" s="23"/>
      <c r="J25" s="23" t="s">
        <v>345</v>
      </c>
      <c r="K25" s="23" t="s">
        <v>323</v>
      </c>
      <c r="L25" s="23" t="s">
        <v>323</v>
      </c>
    </row>
    <row r="26" s="1" customFormat="1" spans="2:12">
      <c r="B26" s="133" t="s">
        <v>385</v>
      </c>
      <c r="C26" s="133" t="s">
        <v>373</v>
      </c>
      <c r="D26" s="133" t="s">
        <v>386</v>
      </c>
      <c r="E26" s="134"/>
      <c r="F26" s="19"/>
      <c r="G26" s="134"/>
      <c r="H26" s="20"/>
      <c r="I26" s="23"/>
      <c r="J26" s="23" t="s">
        <v>345</v>
      </c>
      <c r="K26" s="23" t="s">
        <v>323</v>
      </c>
      <c r="L26" s="23" t="s">
        <v>323</v>
      </c>
    </row>
    <row r="27" s="1" customFormat="1" spans="2:12">
      <c r="B27" s="133" t="s">
        <v>387</v>
      </c>
      <c r="C27" s="133" t="s">
        <v>360</v>
      </c>
      <c r="D27" s="133" t="s">
        <v>388</v>
      </c>
      <c r="E27" s="134"/>
      <c r="F27" s="19"/>
      <c r="G27" s="134"/>
      <c r="H27" s="20"/>
      <c r="I27" s="23"/>
      <c r="J27" s="23" t="s">
        <v>322</v>
      </c>
      <c r="K27" s="23" t="s">
        <v>323</v>
      </c>
      <c r="L27" s="23" t="s">
        <v>323</v>
      </c>
    </row>
    <row r="28" s="1" customFormat="1" spans="2:12">
      <c r="B28" s="133" t="s">
        <v>389</v>
      </c>
      <c r="C28" s="133" t="s">
        <v>360</v>
      </c>
      <c r="D28" s="133" t="s">
        <v>390</v>
      </c>
      <c r="E28" s="134" t="s">
        <v>202</v>
      </c>
      <c r="F28" s="19"/>
      <c r="G28" s="134"/>
      <c r="H28" s="20"/>
      <c r="I28" s="23"/>
      <c r="J28" s="23" t="s">
        <v>322</v>
      </c>
      <c r="K28" s="23" t="s">
        <v>323</v>
      </c>
      <c r="L28" s="23" t="s">
        <v>323</v>
      </c>
    </row>
    <row r="29" s="1" customFormat="1" spans="2:12">
      <c r="B29" s="133" t="s">
        <v>391</v>
      </c>
      <c r="C29" s="133" t="s">
        <v>367</v>
      </c>
      <c r="D29" s="133" t="s">
        <v>392</v>
      </c>
      <c r="E29" s="134"/>
      <c r="F29" s="19"/>
      <c r="G29" s="134" t="s">
        <v>393</v>
      </c>
      <c r="H29" s="20"/>
      <c r="I29" s="23"/>
      <c r="J29" s="23" t="s">
        <v>345</v>
      </c>
      <c r="K29" s="23" t="s">
        <v>323</v>
      </c>
      <c r="L29" s="23" t="s">
        <v>394</v>
      </c>
    </row>
    <row r="30" s="1" customFormat="1" spans="2:12">
      <c r="B30" s="133" t="s">
        <v>395</v>
      </c>
      <c r="C30" s="133" t="s">
        <v>367</v>
      </c>
      <c r="D30" s="133" t="s">
        <v>396</v>
      </c>
      <c r="E30" s="134"/>
      <c r="F30" s="19"/>
      <c r="G30" s="134" t="s">
        <v>397</v>
      </c>
      <c r="H30" s="20"/>
      <c r="I30" s="23"/>
      <c r="J30" s="23" t="s">
        <v>345</v>
      </c>
      <c r="K30" s="23" t="s">
        <v>323</v>
      </c>
      <c r="L30" s="23" t="s">
        <v>394</v>
      </c>
    </row>
    <row r="31" s="1" customFormat="1" spans="2:12">
      <c r="B31" s="133" t="s">
        <v>398</v>
      </c>
      <c r="C31" s="133" t="s">
        <v>360</v>
      </c>
      <c r="D31" s="133" t="s">
        <v>399</v>
      </c>
      <c r="E31" s="134"/>
      <c r="F31" s="19"/>
      <c r="G31" s="134" t="s">
        <v>400</v>
      </c>
      <c r="H31" s="20"/>
      <c r="I31" s="23"/>
      <c r="J31" s="23" t="s">
        <v>356</v>
      </c>
      <c r="K31" s="23" t="s">
        <v>323</v>
      </c>
      <c r="L31" s="23" t="s">
        <v>323</v>
      </c>
    </row>
    <row r="32" s="1" customFormat="1" spans="2:12">
      <c r="B32" s="136" t="s">
        <v>252</v>
      </c>
      <c r="C32" s="137" t="s">
        <v>220</v>
      </c>
      <c r="D32" s="136"/>
      <c r="E32" s="20"/>
      <c r="F32" s="19"/>
      <c r="G32" s="19"/>
      <c r="H32" s="20"/>
      <c r="I32" s="23"/>
      <c r="J32" s="23"/>
      <c r="K32" s="23"/>
      <c r="L32" s="23"/>
    </row>
    <row r="33" s="1" customFormat="1" spans="2:12">
      <c r="B33" s="136" t="s">
        <v>255</v>
      </c>
      <c r="C33" s="136" t="s">
        <v>216</v>
      </c>
      <c r="D33" s="136"/>
      <c r="E33" s="20"/>
      <c r="F33" s="19"/>
      <c r="G33" s="19"/>
      <c r="H33" s="20"/>
      <c r="I33" s="23"/>
      <c r="J33" s="23"/>
      <c r="K33" s="23"/>
      <c r="L33" s="23"/>
    </row>
  </sheetData>
  <mergeCells count="5">
    <mergeCell ref="B2:H2"/>
    <mergeCell ref="B3:H3"/>
    <mergeCell ref="B7:H7"/>
    <mergeCell ref="B13:L13"/>
    <mergeCell ref="F9:G1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Q177"/>
  <sheetViews>
    <sheetView workbookViewId="0">
      <selection activeCell="M13" sqref="M13"/>
    </sheetView>
  </sheetViews>
  <sheetFormatPr defaultColWidth="9" defaultRowHeight="15.6"/>
  <cols>
    <col min="1" max="1" width="5" style="88" customWidth="1"/>
    <col min="2" max="2" width="16.3333333333333" style="88" customWidth="1"/>
    <col min="3" max="3" width="20.3333333333333" style="88" customWidth="1"/>
    <col min="4" max="4" width="32.3333333333333" style="88" customWidth="1"/>
    <col min="5" max="5" width="16.2222222222222" style="88" customWidth="1"/>
    <col min="6" max="6" width="22.6666666666667" style="88" customWidth="1"/>
    <col min="7" max="8" width="12.7777777777778" style="88" customWidth="1"/>
    <col min="9" max="10" width="8.66666666666667" style="88" customWidth="1"/>
    <col min="11" max="11" width="12.2222222222222" style="88" customWidth="1"/>
    <col min="12" max="12" width="8.66666666666667" style="89" customWidth="1"/>
    <col min="13" max="16384" width="9" style="89"/>
  </cols>
  <sheetData>
    <row r="1" spans="2:8">
      <c r="B1" s="90" t="str">
        <f>HYPERLINK("#"&amp;"导航"&amp;"!B1","返回")</f>
        <v>返回</v>
      </c>
      <c r="C1" s="91"/>
      <c r="D1" s="91"/>
      <c r="E1" s="91"/>
      <c r="F1" s="91"/>
      <c r="G1" s="91"/>
      <c r="H1" s="91"/>
    </row>
    <row r="2" ht="17.4" spans="2:8">
      <c r="B2" s="92" t="s">
        <v>183</v>
      </c>
      <c r="C2" s="92"/>
      <c r="D2" s="92"/>
      <c r="E2" s="92"/>
      <c r="F2" s="92"/>
      <c r="G2" s="92"/>
      <c r="H2" s="92"/>
    </row>
    <row r="3" spans="2:8">
      <c r="B3" s="93" t="s">
        <v>4</v>
      </c>
      <c r="C3" s="93" t="s">
        <v>184</v>
      </c>
      <c r="D3" s="93" t="s">
        <v>185</v>
      </c>
      <c r="E3" s="93" t="s">
        <v>186</v>
      </c>
      <c r="F3" s="93" t="s">
        <v>187</v>
      </c>
      <c r="G3" s="93" t="s">
        <v>7</v>
      </c>
      <c r="H3" s="93" t="s">
        <v>188</v>
      </c>
    </row>
    <row r="4" ht="26.4" spans="2:8">
      <c r="B4" s="94"/>
      <c r="C4" s="121" t="s">
        <v>59</v>
      </c>
      <c r="D4" s="95" t="s">
        <v>60</v>
      </c>
      <c r="E4" s="96" t="s">
        <v>401</v>
      </c>
      <c r="F4" s="110" t="s">
        <v>402</v>
      </c>
      <c r="G4" s="96"/>
      <c r="H4" s="96"/>
    </row>
    <row r="5" spans="2:8">
      <c r="B5" s="98"/>
      <c r="C5" s="98"/>
      <c r="D5" s="98"/>
      <c r="E5" s="98"/>
      <c r="F5" s="98"/>
      <c r="G5" s="98"/>
      <c r="H5" s="98"/>
    </row>
    <row r="6" ht="17.4" spans="2:8">
      <c r="B6" s="92" t="s">
        <v>190</v>
      </c>
      <c r="C6" s="92"/>
      <c r="D6" s="92"/>
      <c r="E6" s="92"/>
      <c r="F6" s="92"/>
      <c r="G6" s="92"/>
      <c r="H6" s="92"/>
    </row>
    <row r="7" spans="2:8">
      <c r="B7" s="99" t="s">
        <v>191</v>
      </c>
      <c r="C7" s="99" t="s">
        <v>192</v>
      </c>
      <c r="D7" s="99" t="s">
        <v>193</v>
      </c>
      <c r="E7" s="99" t="s">
        <v>194</v>
      </c>
      <c r="F7" s="99" t="s">
        <v>195</v>
      </c>
      <c r="G7" s="99" t="s">
        <v>17</v>
      </c>
      <c r="H7" s="99" t="s">
        <v>196</v>
      </c>
    </row>
    <row r="8" spans="2:8">
      <c r="B8" s="96"/>
      <c r="C8" s="95"/>
      <c r="D8" s="95"/>
      <c r="E8" s="96" t="s">
        <v>199</v>
      </c>
      <c r="F8" s="96"/>
      <c r="G8" s="56"/>
      <c r="H8" s="100" t="s">
        <v>90</v>
      </c>
    </row>
    <row r="9" spans="2:8">
      <c r="B9" s="96"/>
      <c r="C9" s="95"/>
      <c r="D9" s="95"/>
      <c r="E9" s="96" t="s">
        <v>202</v>
      </c>
      <c r="F9" s="96"/>
      <c r="G9" s="56"/>
      <c r="H9" s="100"/>
    </row>
    <row r="11" spans="2:12">
      <c r="B11" s="101" t="s">
        <v>204</v>
      </c>
      <c r="C11" s="102"/>
      <c r="D11" s="102"/>
      <c r="E11" s="102"/>
      <c r="F11" s="102"/>
      <c r="G11" s="102"/>
      <c r="H11" s="102"/>
      <c r="I11" s="102"/>
      <c r="J11" s="102"/>
      <c r="K11" s="102"/>
      <c r="L11" s="119"/>
    </row>
    <row r="12" spans="2:12">
      <c r="B12" s="103" t="s">
        <v>205</v>
      </c>
      <c r="C12" s="103" t="s">
        <v>206</v>
      </c>
      <c r="D12" s="103" t="s">
        <v>207</v>
      </c>
      <c r="E12" s="103" t="s">
        <v>208</v>
      </c>
      <c r="F12" s="103" t="s">
        <v>209</v>
      </c>
      <c r="G12" s="103" t="s">
        <v>210</v>
      </c>
      <c r="H12" s="103" t="s">
        <v>211</v>
      </c>
      <c r="I12" s="103" t="s">
        <v>17</v>
      </c>
      <c r="J12" s="103" t="s">
        <v>212</v>
      </c>
      <c r="K12" s="103" t="s">
        <v>213</v>
      </c>
      <c r="L12" s="103" t="s">
        <v>214</v>
      </c>
    </row>
    <row r="13" spans="2:13">
      <c r="B13" s="122" t="s">
        <v>402</v>
      </c>
      <c r="C13" s="123" t="s">
        <v>275</v>
      </c>
      <c r="D13" s="110" t="s">
        <v>403</v>
      </c>
      <c r="E13" s="107"/>
      <c r="F13" s="107"/>
      <c r="G13" s="107"/>
      <c r="H13" s="107"/>
      <c r="I13" s="107"/>
      <c r="J13" s="107"/>
      <c r="K13" s="107"/>
      <c r="L13" s="107"/>
      <c r="M13" s="16" t="str">
        <f>_xlfn.CONCAT("`",B13,"` ",C13,",")</f>
        <v>`reason_code` bigint,</v>
      </c>
    </row>
    <row r="14" spans="2:13">
      <c r="B14" s="110" t="s">
        <v>404</v>
      </c>
      <c r="C14" s="123" t="s">
        <v>216</v>
      </c>
      <c r="D14" s="110" t="s">
        <v>405</v>
      </c>
      <c r="E14" s="107"/>
      <c r="F14" s="107"/>
      <c r="G14" s="107"/>
      <c r="H14" s="107"/>
      <c r="I14" s="107"/>
      <c r="J14" s="107"/>
      <c r="K14" s="107"/>
      <c r="L14" s="107"/>
      <c r="M14" s="16" t="str">
        <f t="shared" ref="M14:M28" si="0">_xlfn.CONCAT("`",B14,"` ",C14,",")</f>
        <v>`type` string,</v>
      </c>
    </row>
    <row r="15" spans="2:13">
      <c r="B15" s="110" t="s">
        <v>406</v>
      </c>
      <c r="C15" s="123" t="s">
        <v>216</v>
      </c>
      <c r="D15" s="110" t="s">
        <v>407</v>
      </c>
      <c r="E15" s="107"/>
      <c r="F15" s="107"/>
      <c r="G15" s="107"/>
      <c r="H15" s="107"/>
      <c r="I15" s="107"/>
      <c r="J15" s="107"/>
      <c r="K15" s="107"/>
      <c r="L15" s="107"/>
      <c r="M15" s="16" t="str">
        <f t="shared" si="0"/>
        <v>`content` string,</v>
      </c>
    </row>
    <row r="16" spans="2:13">
      <c r="B16" s="110" t="s">
        <v>408</v>
      </c>
      <c r="C16" s="123" t="s">
        <v>216</v>
      </c>
      <c r="D16" s="110" t="s">
        <v>409</v>
      </c>
      <c r="E16" s="107"/>
      <c r="F16" s="107"/>
      <c r="G16" s="107"/>
      <c r="H16" s="107"/>
      <c r="I16" s="107"/>
      <c r="J16" s="107"/>
      <c r="K16" s="107"/>
      <c r="L16" s="107"/>
      <c r="M16" s="16" t="str">
        <f t="shared" si="0"/>
        <v>`explain` string,</v>
      </c>
    </row>
    <row r="17" spans="2:13">
      <c r="B17" s="110" t="s">
        <v>410</v>
      </c>
      <c r="C17" s="123" t="s">
        <v>216</v>
      </c>
      <c r="D17" s="106" t="s">
        <v>411</v>
      </c>
      <c r="E17" s="107"/>
      <c r="F17" s="107"/>
      <c r="G17" s="107"/>
      <c r="H17" s="107"/>
      <c r="I17" s="107"/>
      <c r="J17" s="107"/>
      <c r="K17" s="107"/>
      <c r="L17" s="107"/>
      <c r="M17" s="16" t="str">
        <f t="shared" si="0"/>
        <v>`fail_reason` string,</v>
      </c>
    </row>
    <row r="18" spans="2:13">
      <c r="B18" s="110" t="s">
        <v>412</v>
      </c>
      <c r="C18" s="123" t="s">
        <v>216</v>
      </c>
      <c r="D18" s="106" t="s">
        <v>413</v>
      </c>
      <c r="E18" s="107"/>
      <c r="F18" s="107"/>
      <c r="G18" s="107"/>
      <c r="H18" s="107"/>
      <c r="I18" s="107"/>
      <c r="J18" s="107"/>
      <c r="K18" s="107"/>
      <c r="L18" s="107"/>
      <c r="M18" s="16" t="str">
        <f t="shared" si="0"/>
        <v>`problem_reason` string,</v>
      </c>
    </row>
    <row r="19" spans="2:13">
      <c r="B19" s="110" t="s">
        <v>414</v>
      </c>
      <c r="C19" s="123" t="s">
        <v>216</v>
      </c>
      <c r="D19" s="106" t="s">
        <v>415</v>
      </c>
      <c r="E19" s="107"/>
      <c r="F19" s="107"/>
      <c r="G19" s="107"/>
      <c r="H19" s="107"/>
      <c r="I19" s="107"/>
      <c r="J19" s="107"/>
      <c r="K19" s="107"/>
      <c r="L19" s="107"/>
      <c r="M19" s="16" t="str">
        <f t="shared" si="0"/>
        <v>`request_reason` string,</v>
      </c>
    </row>
    <row r="20" ht="26.4" spans="2:13">
      <c r="B20" s="110" t="s">
        <v>416</v>
      </c>
      <c r="C20" s="123" t="s">
        <v>216</v>
      </c>
      <c r="D20" s="110" t="s">
        <v>417</v>
      </c>
      <c r="E20" s="107"/>
      <c r="F20" s="107"/>
      <c r="G20" s="107"/>
      <c r="H20" s="107"/>
      <c r="I20" s="107"/>
      <c r="J20" s="107"/>
      <c r="K20" s="107"/>
      <c r="L20" s="107"/>
      <c r="M20" s="16" t="str">
        <f t="shared" si="0"/>
        <v>`problem_demarcation` string,</v>
      </c>
    </row>
    <row r="21" ht="26.4" spans="2:13">
      <c r="B21" s="110" t="s">
        <v>418</v>
      </c>
      <c r="C21" s="123" t="s">
        <v>216</v>
      </c>
      <c r="D21" s="110" t="s">
        <v>419</v>
      </c>
      <c r="E21" s="107"/>
      <c r="F21" s="107"/>
      <c r="G21" s="107"/>
      <c r="H21" s="107"/>
      <c r="I21" s="107"/>
      <c r="J21" s="107"/>
      <c r="K21" s="107"/>
      <c r="L21" s="107"/>
      <c r="M21" s="16" t="str">
        <f t="shared" si="0"/>
        <v>`sub_problem_demarcation` string,</v>
      </c>
    </row>
    <row r="22" spans="2:13">
      <c r="B22" s="110" t="s">
        <v>420</v>
      </c>
      <c r="C22" s="123" t="s">
        <v>216</v>
      </c>
      <c r="D22" s="110" t="s">
        <v>421</v>
      </c>
      <c r="E22" s="107"/>
      <c r="F22" s="107"/>
      <c r="G22" s="107"/>
      <c r="H22" s="107"/>
      <c r="I22" s="107"/>
      <c r="J22" s="107"/>
      <c r="K22" s="107"/>
      <c r="L22" s="107"/>
      <c r="M22" s="16" t="str">
        <f t="shared" si="0"/>
        <v>`problem_position` string,</v>
      </c>
    </row>
    <row r="23" spans="2:13">
      <c r="B23" s="110" t="s">
        <v>422</v>
      </c>
      <c r="C23" s="123" t="s">
        <v>216</v>
      </c>
      <c r="D23" s="110" t="s">
        <v>423</v>
      </c>
      <c r="E23" s="107"/>
      <c r="F23" s="107"/>
      <c r="G23" s="107"/>
      <c r="H23" s="107"/>
      <c r="I23" s="107"/>
      <c r="J23" s="107"/>
      <c r="K23" s="107"/>
      <c r="L23" s="107"/>
      <c r="M23" s="16" t="str">
        <f t="shared" si="0"/>
        <v>`problem_scence` string,</v>
      </c>
    </row>
    <row r="24" spans="2:13">
      <c r="B24" s="110" t="s">
        <v>424</v>
      </c>
      <c r="C24" s="123" t="s">
        <v>216</v>
      </c>
      <c r="D24" s="110" t="s">
        <v>425</v>
      </c>
      <c r="E24" s="107"/>
      <c r="F24" s="107"/>
      <c r="G24" s="107"/>
      <c r="H24" s="107"/>
      <c r="I24" s="107"/>
      <c r="J24" s="107"/>
      <c r="K24" s="107"/>
      <c r="L24" s="107"/>
      <c r="M24" s="16" t="str">
        <f t="shared" si="0"/>
        <v>`problem_analysis` string,</v>
      </c>
    </row>
    <row r="25" spans="2:13">
      <c r="B25" s="110" t="s">
        <v>426</v>
      </c>
      <c r="C25" s="123" t="s">
        <v>216</v>
      </c>
      <c r="D25" s="110" t="s">
        <v>427</v>
      </c>
      <c r="E25" s="107"/>
      <c r="F25" s="107"/>
      <c r="G25" s="107"/>
      <c r="H25" s="107"/>
      <c r="I25" s="107"/>
      <c r="J25" s="107"/>
      <c r="K25" s="107"/>
      <c r="L25" s="107"/>
      <c r="M25" s="16" t="str">
        <f t="shared" si="0"/>
        <v>`demarcation_rules` string,</v>
      </c>
    </row>
    <row r="26" spans="2:13">
      <c r="B26" s="110" t="s">
        <v>428</v>
      </c>
      <c r="C26" s="123" t="s">
        <v>220</v>
      </c>
      <c r="D26" s="110" t="s">
        <v>429</v>
      </c>
      <c r="E26" s="107"/>
      <c r="F26" s="107"/>
      <c r="G26" s="107"/>
      <c r="H26" s="107"/>
      <c r="I26" s="107" t="s">
        <v>430</v>
      </c>
      <c r="J26" s="107"/>
      <c r="K26" s="107"/>
      <c r="L26" s="107"/>
      <c r="M26" s="16" t="str">
        <f t="shared" si="0"/>
        <v>`normal_flag` int,</v>
      </c>
    </row>
    <row r="27" spans="2:13">
      <c r="B27" s="110" t="s">
        <v>431</v>
      </c>
      <c r="C27" s="123" t="s">
        <v>220</v>
      </c>
      <c r="D27" s="110" t="s">
        <v>432</v>
      </c>
      <c r="E27" s="107"/>
      <c r="F27" s="107"/>
      <c r="G27" s="107"/>
      <c r="H27" s="107"/>
      <c r="I27" s="107" t="s">
        <v>433</v>
      </c>
      <c r="J27" s="107"/>
      <c r="K27" s="107"/>
      <c r="L27" s="107"/>
      <c r="M27" s="16" t="str">
        <f t="shared" si="0"/>
        <v>`drop_flag` int,</v>
      </c>
    </row>
    <row r="28" spans="2:13">
      <c r="B28" s="110" t="s">
        <v>434</v>
      </c>
      <c r="C28" s="123" t="s">
        <v>216</v>
      </c>
      <c r="D28" s="110" t="s">
        <v>17</v>
      </c>
      <c r="E28" s="107"/>
      <c r="F28" s="107"/>
      <c r="G28" s="107"/>
      <c r="H28" s="107"/>
      <c r="I28" s="107"/>
      <c r="J28" s="107"/>
      <c r="K28" s="107"/>
      <c r="L28" s="107"/>
      <c r="M28" s="16" t="str">
        <f t="shared" si="0"/>
        <v>`remarks` string,</v>
      </c>
    </row>
    <row r="29" spans="2:12">
      <c r="B29" s="124"/>
      <c r="C29" s="125"/>
      <c r="D29" s="124"/>
      <c r="E29" s="126"/>
      <c r="F29" s="126"/>
      <c r="G29" s="126"/>
      <c r="H29" s="126"/>
      <c r="I29" s="126"/>
      <c r="J29" s="126"/>
      <c r="K29" s="126"/>
      <c r="L29" s="126"/>
    </row>
    <row r="30" spans="2:2">
      <c r="B30" s="111" t="s">
        <v>435</v>
      </c>
    </row>
    <row r="31" spans="2:17">
      <c r="B31" s="112" t="s">
        <v>436</v>
      </c>
      <c r="C31" s="127"/>
      <c r="D31" s="127"/>
      <c r="E31" s="127"/>
      <c r="F31" s="127"/>
      <c r="G31" s="127"/>
      <c r="H31" s="127"/>
      <c r="I31" s="127"/>
      <c r="J31" s="127"/>
      <c r="K31" s="127"/>
      <c r="L31" s="127"/>
      <c r="M31" s="127"/>
      <c r="N31" s="127"/>
      <c r="O31" s="127"/>
      <c r="P31" s="127"/>
      <c r="Q31" s="127"/>
    </row>
    <row r="32" ht="39.6" spans="2:17">
      <c r="B32" s="122" t="s">
        <v>402</v>
      </c>
      <c r="C32" s="110" t="s">
        <v>404</v>
      </c>
      <c r="D32" s="110" t="s">
        <v>406</v>
      </c>
      <c r="E32" s="110" t="s">
        <v>408</v>
      </c>
      <c r="F32" s="110" t="s">
        <v>410</v>
      </c>
      <c r="G32" s="110" t="s">
        <v>412</v>
      </c>
      <c r="H32" s="110" t="s">
        <v>414</v>
      </c>
      <c r="I32" s="110" t="s">
        <v>416</v>
      </c>
      <c r="J32" s="110" t="s">
        <v>418</v>
      </c>
      <c r="K32" s="110" t="s">
        <v>420</v>
      </c>
      <c r="L32" s="110" t="s">
        <v>422</v>
      </c>
      <c r="M32" s="110" t="s">
        <v>424</v>
      </c>
      <c r="N32" s="110" t="s">
        <v>426</v>
      </c>
      <c r="O32" s="110" t="s">
        <v>428</v>
      </c>
      <c r="P32" s="110" t="s">
        <v>431</v>
      </c>
      <c r="Q32" s="110" t="s">
        <v>434</v>
      </c>
    </row>
    <row r="33" spans="2:17">
      <c r="B33" s="117" t="s">
        <v>403</v>
      </c>
      <c r="C33" s="117" t="s">
        <v>405</v>
      </c>
      <c r="D33" s="117" t="s">
        <v>407</v>
      </c>
      <c r="E33" s="117" t="s">
        <v>409</v>
      </c>
      <c r="F33" s="117" t="s">
        <v>411</v>
      </c>
      <c r="G33" s="117" t="s">
        <v>413</v>
      </c>
      <c r="H33" s="117" t="s">
        <v>415</v>
      </c>
      <c r="I33" s="117" t="s">
        <v>417</v>
      </c>
      <c r="J33" s="117" t="s">
        <v>419</v>
      </c>
      <c r="K33" s="117" t="s">
        <v>421</v>
      </c>
      <c r="L33" s="117" t="s">
        <v>423</v>
      </c>
      <c r="M33" s="117" t="s">
        <v>425</v>
      </c>
      <c r="N33" s="117" t="s">
        <v>427</v>
      </c>
      <c r="O33" s="117" t="s">
        <v>437</v>
      </c>
      <c r="P33" s="117" t="s">
        <v>438</v>
      </c>
      <c r="Q33" s="117" t="s">
        <v>17</v>
      </c>
    </row>
    <row r="34" spans="2:17">
      <c r="B34" s="118">
        <v>33554434</v>
      </c>
      <c r="C34" s="118" t="s">
        <v>439</v>
      </c>
      <c r="D34" s="118" t="s">
        <v>440</v>
      </c>
      <c r="E34" s="118" t="s">
        <v>441</v>
      </c>
      <c r="F34" s="118" t="s">
        <v>442</v>
      </c>
      <c r="G34" s="118" t="s">
        <v>442</v>
      </c>
      <c r="H34" s="118" t="s">
        <v>442</v>
      </c>
      <c r="I34" s="118" t="s">
        <v>56</v>
      </c>
      <c r="J34" s="118" t="s">
        <v>443</v>
      </c>
      <c r="K34" s="118" t="s">
        <v>444</v>
      </c>
      <c r="L34" s="118" t="s">
        <v>445</v>
      </c>
      <c r="M34" s="118" t="s">
        <v>446</v>
      </c>
      <c r="N34" s="118" t="s">
        <v>447</v>
      </c>
      <c r="O34" s="118">
        <v>0</v>
      </c>
      <c r="P34" s="118">
        <v>0</v>
      </c>
      <c r="Q34" s="118"/>
    </row>
    <row r="35" spans="2:17">
      <c r="B35" s="118">
        <v>33554435</v>
      </c>
      <c r="C35" s="118" t="s">
        <v>439</v>
      </c>
      <c r="D35" s="118" t="s">
        <v>448</v>
      </c>
      <c r="E35" s="118" t="s">
        <v>449</v>
      </c>
      <c r="F35" s="118" t="s">
        <v>450</v>
      </c>
      <c r="G35" s="118" t="s">
        <v>450</v>
      </c>
      <c r="H35" s="118" t="s">
        <v>450</v>
      </c>
      <c r="I35" s="118" t="s">
        <v>56</v>
      </c>
      <c r="J35" s="118" t="s">
        <v>443</v>
      </c>
      <c r="K35" s="118" t="s">
        <v>444</v>
      </c>
      <c r="L35" s="118" t="s">
        <v>445</v>
      </c>
      <c r="M35" s="118" t="s">
        <v>446</v>
      </c>
      <c r="N35" s="118" t="s">
        <v>447</v>
      </c>
      <c r="O35" s="118">
        <v>0</v>
      </c>
      <c r="P35" s="118">
        <v>0</v>
      </c>
      <c r="Q35" s="118"/>
    </row>
    <row r="36" spans="2:17">
      <c r="B36" s="118">
        <v>33554437</v>
      </c>
      <c r="C36" s="118" t="s">
        <v>439</v>
      </c>
      <c r="D36" s="118" t="s">
        <v>451</v>
      </c>
      <c r="E36" s="118" t="s">
        <v>449</v>
      </c>
      <c r="F36" s="118" t="s">
        <v>452</v>
      </c>
      <c r="G36" s="118" t="s">
        <v>452</v>
      </c>
      <c r="H36" s="118" t="s">
        <v>452</v>
      </c>
      <c r="I36" s="118" t="s">
        <v>56</v>
      </c>
      <c r="J36" s="118" t="s">
        <v>443</v>
      </c>
      <c r="K36" s="118" t="s">
        <v>453</v>
      </c>
      <c r="L36" s="118" t="s">
        <v>445</v>
      </c>
      <c r="M36" s="118" t="s">
        <v>446</v>
      </c>
      <c r="N36" s="118" t="s">
        <v>447</v>
      </c>
      <c r="O36" s="118">
        <v>0</v>
      </c>
      <c r="P36" s="118">
        <v>0</v>
      </c>
      <c r="Q36" s="118"/>
    </row>
    <row r="37" spans="2:17">
      <c r="B37" s="118">
        <v>33554438</v>
      </c>
      <c r="C37" s="118" t="s">
        <v>439</v>
      </c>
      <c r="D37" s="118" t="s">
        <v>454</v>
      </c>
      <c r="E37" s="118" t="s">
        <v>449</v>
      </c>
      <c r="F37" s="118" t="s">
        <v>455</v>
      </c>
      <c r="G37" s="118" t="s">
        <v>455</v>
      </c>
      <c r="H37" s="118" t="s">
        <v>455</v>
      </c>
      <c r="I37" s="118" t="s">
        <v>56</v>
      </c>
      <c r="J37" s="118" t="s">
        <v>443</v>
      </c>
      <c r="K37" s="118" t="s">
        <v>453</v>
      </c>
      <c r="L37" s="118" t="s">
        <v>445</v>
      </c>
      <c r="M37" s="118" t="s">
        <v>446</v>
      </c>
      <c r="N37" s="118" t="s">
        <v>447</v>
      </c>
      <c r="O37" s="118">
        <v>0</v>
      </c>
      <c r="P37" s="118">
        <v>0</v>
      </c>
      <c r="Q37" s="118"/>
    </row>
    <row r="38" spans="2:17">
      <c r="B38" s="118">
        <v>33554439</v>
      </c>
      <c r="C38" s="118" t="s">
        <v>439</v>
      </c>
      <c r="D38" s="118" t="s">
        <v>456</v>
      </c>
      <c r="E38" s="118" t="s">
        <v>457</v>
      </c>
      <c r="F38" s="118" t="s">
        <v>458</v>
      </c>
      <c r="G38" s="118" t="s">
        <v>458</v>
      </c>
      <c r="H38" s="118" t="s">
        <v>458</v>
      </c>
      <c r="I38" s="118" t="s">
        <v>56</v>
      </c>
      <c r="J38" s="118" t="s">
        <v>443</v>
      </c>
      <c r="K38" s="118" t="s">
        <v>444</v>
      </c>
      <c r="L38" s="118" t="s">
        <v>459</v>
      </c>
      <c r="M38" s="118" t="s">
        <v>446</v>
      </c>
      <c r="N38" s="118" t="s">
        <v>460</v>
      </c>
      <c r="O38" s="118">
        <v>0</v>
      </c>
      <c r="P38" s="118">
        <v>0</v>
      </c>
      <c r="Q38" s="118"/>
    </row>
    <row r="39" spans="2:17">
      <c r="B39" s="118">
        <v>33554440</v>
      </c>
      <c r="C39" s="118" t="s">
        <v>439</v>
      </c>
      <c r="D39" s="118" t="s">
        <v>461</v>
      </c>
      <c r="E39" s="118" t="s">
        <v>462</v>
      </c>
      <c r="F39" s="118" t="s">
        <v>463</v>
      </c>
      <c r="G39" s="118" t="s">
        <v>463</v>
      </c>
      <c r="H39" s="118" t="s">
        <v>463</v>
      </c>
      <c r="I39" s="118" t="s">
        <v>56</v>
      </c>
      <c r="J39" s="118" t="s">
        <v>443</v>
      </c>
      <c r="K39" s="118" t="s">
        <v>444</v>
      </c>
      <c r="L39" s="118" t="s">
        <v>459</v>
      </c>
      <c r="M39" s="118" t="s">
        <v>446</v>
      </c>
      <c r="N39" s="118" t="s">
        <v>464</v>
      </c>
      <c r="O39" s="118">
        <v>0</v>
      </c>
      <c r="P39" s="118">
        <v>0</v>
      </c>
      <c r="Q39" s="118"/>
    </row>
    <row r="40" spans="2:17">
      <c r="B40" s="118">
        <v>33554441</v>
      </c>
      <c r="C40" s="118" t="s">
        <v>439</v>
      </c>
      <c r="D40" s="118" t="s">
        <v>465</v>
      </c>
      <c r="E40" s="118" t="s">
        <v>466</v>
      </c>
      <c r="F40" s="118" t="s">
        <v>467</v>
      </c>
      <c r="G40" s="118" t="s">
        <v>467</v>
      </c>
      <c r="H40" s="118" t="s">
        <v>467</v>
      </c>
      <c r="I40" s="118" t="s">
        <v>468</v>
      </c>
      <c r="J40" s="118" t="s">
        <v>469</v>
      </c>
      <c r="K40" s="118" t="s">
        <v>470</v>
      </c>
      <c r="L40" s="118" t="s">
        <v>459</v>
      </c>
      <c r="M40" s="118" t="s">
        <v>446</v>
      </c>
      <c r="N40" s="118" t="s">
        <v>471</v>
      </c>
      <c r="O40" s="118">
        <v>0</v>
      </c>
      <c r="P40" s="118">
        <v>0</v>
      </c>
      <c r="Q40" s="118"/>
    </row>
    <row r="41" spans="2:17">
      <c r="B41" s="118">
        <v>33554442</v>
      </c>
      <c r="C41" s="118" t="s">
        <v>439</v>
      </c>
      <c r="D41" s="118" t="s">
        <v>472</v>
      </c>
      <c r="E41" s="118" t="s">
        <v>473</v>
      </c>
      <c r="F41" s="118" t="s">
        <v>474</v>
      </c>
      <c r="G41" s="118" t="s">
        <v>474</v>
      </c>
      <c r="H41" s="118" t="s">
        <v>474</v>
      </c>
      <c r="I41" s="118" t="s">
        <v>475</v>
      </c>
      <c r="J41" s="118" t="s">
        <v>476</v>
      </c>
      <c r="K41" s="118" t="s">
        <v>477</v>
      </c>
      <c r="L41" s="118" t="s">
        <v>459</v>
      </c>
      <c r="M41" s="118" t="s">
        <v>478</v>
      </c>
      <c r="N41" s="118" t="s">
        <v>479</v>
      </c>
      <c r="O41" s="118">
        <v>0</v>
      </c>
      <c r="P41" s="118">
        <v>0</v>
      </c>
      <c r="Q41" s="118"/>
    </row>
    <row r="42" spans="2:17">
      <c r="B42" s="118">
        <v>33554443</v>
      </c>
      <c r="C42" s="118" t="s">
        <v>439</v>
      </c>
      <c r="D42" s="118" t="s">
        <v>480</v>
      </c>
      <c r="E42" s="118" t="s">
        <v>481</v>
      </c>
      <c r="F42" s="118" t="s">
        <v>482</v>
      </c>
      <c r="G42" s="118" t="s">
        <v>482</v>
      </c>
      <c r="H42" s="118" t="s">
        <v>482</v>
      </c>
      <c r="I42" s="118" t="s">
        <v>56</v>
      </c>
      <c r="J42" s="118" t="s">
        <v>443</v>
      </c>
      <c r="K42" s="118" t="s">
        <v>444</v>
      </c>
      <c r="L42" s="118" t="s">
        <v>459</v>
      </c>
      <c r="M42" s="118" t="s">
        <v>446</v>
      </c>
      <c r="N42" s="118" t="s">
        <v>464</v>
      </c>
      <c r="O42" s="118">
        <v>0</v>
      </c>
      <c r="P42" s="118">
        <v>0</v>
      </c>
      <c r="Q42" s="118"/>
    </row>
    <row r="43" spans="2:17">
      <c r="B43" s="118">
        <v>33554444</v>
      </c>
      <c r="C43" s="118" t="s">
        <v>439</v>
      </c>
      <c r="D43" s="118" t="s">
        <v>483</v>
      </c>
      <c r="E43" s="118" t="s">
        <v>484</v>
      </c>
      <c r="F43" s="118" t="s">
        <v>485</v>
      </c>
      <c r="G43" s="118" t="s">
        <v>485</v>
      </c>
      <c r="H43" s="118" t="s">
        <v>485</v>
      </c>
      <c r="I43" s="118" t="s">
        <v>56</v>
      </c>
      <c r="J43" s="118" t="s">
        <v>443</v>
      </c>
      <c r="K43" s="118" t="s">
        <v>444</v>
      </c>
      <c r="L43" s="118" t="s">
        <v>459</v>
      </c>
      <c r="M43" s="118" t="s">
        <v>446</v>
      </c>
      <c r="N43" s="118" t="s">
        <v>464</v>
      </c>
      <c r="O43" s="118">
        <v>0</v>
      </c>
      <c r="P43" s="118">
        <v>0</v>
      </c>
      <c r="Q43" s="118"/>
    </row>
    <row r="44" spans="2:17">
      <c r="B44" s="118">
        <v>33554445</v>
      </c>
      <c r="C44" s="118" t="s">
        <v>439</v>
      </c>
      <c r="D44" s="118" t="s">
        <v>486</v>
      </c>
      <c r="E44" s="118" t="s">
        <v>487</v>
      </c>
      <c r="F44" s="118" t="s">
        <v>488</v>
      </c>
      <c r="G44" s="118" t="s">
        <v>488</v>
      </c>
      <c r="H44" s="118" t="s">
        <v>488</v>
      </c>
      <c r="I44" s="118" t="s">
        <v>56</v>
      </c>
      <c r="J44" s="118" t="s">
        <v>443</v>
      </c>
      <c r="K44" s="118" t="s">
        <v>444</v>
      </c>
      <c r="L44" s="118" t="s">
        <v>459</v>
      </c>
      <c r="M44" s="118" t="s">
        <v>446</v>
      </c>
      <c r="N44" s="118" t="s">
        <v>464</v>
      </c>
      <c r="O44" s="118">
        <v>0</v>
      </c>
      <c r="P44" s="118">
        <v>0</v>
      </c>
      <c r="Q44" s="118"/>
    </row>
    <row r="45" spans="2:17">
      <c r="B45" s="118">
        <v>33554446</v>
      </c>
      <c r="C45" s="118" t="s">
        <v>439</v>
      </c>
      <c r="D45" s="118" t="s">
        <v>489</v>
      </c>
      <c r="E45" s="118" t="s">
        <v>487</v>
      </c>
      <c r="F45" s="118" t="s">
        <v>490</v>
      </c>
      <c r="G45" s="118" t="s">
        <v>490</v>
      </c>
      <c r="H45" s="118" t="s">
        <v>490</v>
      </c>
      <c r="I45" s="118" t="s">
        <v>56</v>
      </c>
      <c r="J45" s="118" t="s">
        <v>443</v>
      </c>
      <c r="K45" s="118" t="s">
        <v>444</v>
      </c>
      <c r="L45" s="118" t="s">
        <v>459</v>
      </c>
      <c r="M45" s="118" t="s">
        <v>446</v>
      </c>
      <c r="N45" s="118" t="s">
        <v>464</v>
      </c>
      <c r="O45" s="118">
        <v>0</v>
      </c>
      <c r="P45" s="118">
        <v>0</v>
      </c>
      <c r="Q45" s="118"/>
    </row>
    <row r="46" spans="2:17">
      <c r="B46" s="118">
        <v>33554447</v>
      </c>
      <c r="C46" s="118" t="s">
        <v>439</v>
      </c>
      <c r="D46" s="118" t="s">
        <v>491</v>
      </c>
      <c r="E46" s="118" t="s">
        <v>487</v>
      </c>
      <c r="F46" s="118" t="s">
        <v>492</v>
      </c>
      <c r="G46" s="118" t="s">
        <v>492</v>
      </c>
      <c r="H46" s="118" t="s">
        <v>492</v>
      </c>
      <c r="I46" s="118" t="s">
        <v>56</v>
      </c>
      <c r="J46" s="118" t="s">
        <v>443</v>
      </c>
      <c r="K46" s="118" t="s">
        <v>444</v>
      </c>
      <c r="L46" s="118" t="s">
        <v>459</v>
      </c>
      <c r="M46" s="118" t="s">
        <v>446</v>
      </c>
      <c r="N46" s="118" t="s">
        <v>464</v>
      </c>
      <c r="O46" s="118">
        <v>0</v>
      </c>
      <c r="P46" s="118">
        <v>0</v>
      </c>
      <c r="Q46" s="118"/>
    </row>
    <row r="47" spans="2:17">
      <c r="B47" s="118">
        <v>33554448</v>
      </c>
      <c r="C47" s="118" t="s">
        <v>439</v>
      </c>
      <c r="D47" s="118" t="s">
        <v>493</v>
      </c>
      <c r="E47" s="118" t="s">
        <v>494</v>
      </c>
      <c r="F47" s="118" t="s">
        <v>495</v>
      </c>
      <c r="G47" s="118" t="s">
        <v>495</v>
      </c>
      <c r="H47" s="118" t="s">
        <v>495</v>
      </c>
      <c r="I47" s="118" t="s">
        <v>468</v>
      </c>
      <c r="J47" s="118" t="s">
        <v>496</v>
      </c>
      <c r="K47" s="118" t="s">
        <v>497</v>
      </c>
      <c r="L47" s="118" t="s">
        <v>498</v>
      </c>
      <c r="M47" s="118" t="s">
        <v>499</v>
      </c>
      <c r="N47" s="118" t="s">
        <v>500</v>
      </c>
      <c r="O47" s="118">
        <v>0</v>
      </c>
      <c r="P47" s="118">
        <v>0</v>
      </c>
      <c r="Q47" s="118"/>
    </row>
    <row r="48" spans="2:17">
      <c r="B48" s="118">
        <v>33554449</v>
      </c>
      <c r="C48" s="118" t="s">
        <v>439</v>
      </c>
      <c r="D48" s="118" t="s">
        <v>501</v>
      </c>
      <c r="E48" s="118" t="s">
        <v>502</v>
      </c>
      <c r="F48" s="118" t="s">
        <v>503</v>
      </c>
      <c r="G48" s="118" t="s">
        <v>503</v>
      </c>
      <c r="H48" s="118" t="s">
        <v>503</v>
      </c>
      <c r="I48" s="118" t="s">
        <v>468</v>
      </c>
      <c r="J48" s="118" t="s">
        <v>496</v>
      </c>
      <c r="K48" s="118" t="s">
        <v>497</v>
      </c>
      <c r="L48" s="118" t="s">
        <v>459</v>
      </c>
      <c r="M48" s="118" t="s">
        <v>504</v>
      </c>
      <c r="N48" s="118" t="s">
        <v>500</v>
      </c>
      <c r="O48" s="118">
        <v>0</v>
      </c>
      <c r="P48" s="118">
        <v>0</v>
      </c>
      <c r="Q48" s="118"/>
    </row>
    <row r="49" spans="2:17">
      <c r="B49" s="118">
        <v>33554452</v>
      </c>
      <c r="C49" s="118" t="s">
        <v>439</v>
      </c>
      <c r="D49" s="118" t="s">
        <v>505</v>
      </c>
      <c r="E49" s="118" t="s">
        <v>502</v>
      </c>
      <c r="F49" s="118" t="s">
        <v>506</v>
      </c>
      <c r="G49" s="118" t="s">
        <v>506</v>
      </c>
      <c r="H49" s="118" t="s">
        <v>506</v>
      </c>
      <c r="I49" s="118" t="s">
        <v>468</v>
      </c>
      <c r="J49" s="118" t="s">
        <v>496</v>
      </c>
      <c r="K49" s="118" t="s">
        <v>497</v>
      </c>
      <c r="L49" s="118" t="s">
        <v>459</v>
      </c>
      <c r="M49" s="118" t="s">
        <v>507</v>
      </c>
      <c r="N49" s="118" t="s">
        <v>500</v>
      </c>
      <c r="O49" s="118">
        <v>0</v>
      </c>
      <c r="P49" s="118">
        <v>0</v>
      </c>
      <c r="Q49" s="118"/>
    </row>
    <row r="50" spans="2:17">
      <c r="B50" s="118">
        <v>33554453</v>
      </c>
      <c r="C50" s="118" t="s">
        <v>439</v>
      </c>
      <c r="D50" s="118" t="s">
        <v>508</v>
      </c>
      <c r="E50" s="118" t="s">
        <v>502</v>
      </c>
      <c r="F50" s="118" t="s">
        <v>509</v>
      </c>
      <c r="G50" s="118" t="s">
        <v>509</v>
      </c>
      <c r="H50" s="118" t="s">
        <v>509</v>
      </c>
      <c r="I50" s="118" t="s">
        <v>468</v>
      </c>
      <c r="J50" s="118" t="s">
        <v>496</v>
      </c>
      <c r="K50" s="118" t="s">
        <v>497</v>
      </c>
      <c r="L50" s="118" t="s">
        <v>459</v>
      </c>
      <c r="M50" s="118" t="s">
        <v>507</v>
      </c>
      <c r="N50" s="118" t="s">
        <v>500</v>
      </c>
      <c r="O50" s="118">
        <v>0</v>
      </c>
      <c r="P50" s="118">
        <v>0</v>
      </c>
      <c r="Q50" s="118"/>
    </row>
    <row r="51" spans="2:17">
      <c r="B51" s="118">
        <v>33554454</v>
      </c>
      <c r="C51" s="118" t="s">
        <v>439</v>
      </c>
      <c r="D51" s="118" t="s">
        <v>510</v>
      </c>
      <c r="E51" s="118" t="s">
        <v>511</v>
      </c>
      <c r="F51" s="118" t="s">
        <v>512</v>
      </c>
      <c r="G51" s="118" t="s">
        <v>512</v>
      </c>
      <c r="H51" s="118" t="s">
        <v>512</v>
      </c>
      <c r="I51" s="118" t="s">
        <v>468</v>
      </c>
      <c r="J51" s="118" t="s">
        <v>496</v>
      </c>
      <c r="K51" s="118" t="s">
        <v>497</v>
      </c>
      <c r="L51" s="118" t="s">
        <v>459</v>
      </c>
      <c r="M51" s="118" t="s">
        <v>507</v>
      </c>
      <c r="N51" s="118" t="s">
        <v>500</v>
      </c>
      <c r="O51" s="118">
        <v>0</v>
      </c>
      <c r="P51" s="118">
        <v>0</v>
      </c>
      <c r="Q51" s="118"/>
    </row>
    <row r="52" spans="2:17">
      <c r="B52" s="118">
        <v>33554455</v>
      </c>
      <c r="C52" s="118" t="s">
        <v>439</v>
      </c>
      <c r="D52" s="118" t="s">
        <v>513</v>
      </c>
      <c r="E52" s="118" t="s">
        <v>514</v>
      </c>
      <c r="F52" s="118" t="s">
        <v>446</v>
      </c>
      <c r="G52" s="118" t="s">
        <v>446</v>
      </c>
      <c r="H52" s="118" t="s">
        <v>446</v>
      </c>
      <c r="I52" s="118" t="s">
        <v>56</v>
      </c>
      <c r="J52" s="118" t="s">
        <v>443</v>
      </c>
      <c r="K52" s="118" t="s">
        <v>444</v>
      </c>
      <c r="L52" s="118" t="s">
        <v>445</v>
      </c>
      <c r="M52" s="118" t="s">
        <v>446</v>
      </c>
      <c r="N52" s="118" t="s">
        <v>464</v>
      </c>
      <c r="O52" s="118">
        <v>0</v>
      </c>
      <c r="P52" s="118">
        <v>0</v>
      </c>
      <c r="Q52" s="118"/>
    </row>
    <row r="53" spans="2:17">
      <c r="B53" s="118">
        <v>33554457</v>
      </c>
      <c r="C53" s="118" t="s">
        <v>439</v>
      </c>
      <c r="D53" s="118" t="s">
        <v>515</v>
      </c>
      <c r="E53" s="118" t="s">
        <v>516</v>
      </c>
      <c r="F53" s="118" t="s">
        <v>517</v>
      </c>
      <c r="G53" s="118" t="s">
        <v>517</v>
      </c>
      <c r="H53" s="118" t="s">
        <v>517</v>
      </c>
      <c r="I53" s="118" t="s">
        <v>56</v>
      </c>
      <c r="J53" s="118" t="s">
        <v>443</v>
      </c>
      <c r="K53" s="118" t="s">
        <v>444</v>
      </c>
      <c r="L53" s="118" t="s">
        <v>445</v>
      </c>
      <c r="M53" s="118" t="s">
        <v>446</v>
      </c>
      <c r="N53" s="118" t="s">
        <v>464</v>
      </c>
      <c r="O53" s="118">
        <v>0</v>
      </c>
      <c r="P53" s="118">
        <v>0</v>
      </c>
      <c r="Q53" s="118"/>
    </row>
    <row r="54" spans="2:17">
      <c r="B54" s="118">
        <v>33554458</v>
      </c>
      <c r="C54" s="118" t="s">
        <v>439</v>
      </c>
      <c r="D54" s="118" t="s">
        <v>518</v>
      </c>
      <c r="E54" s="118" t="s">
        <v>516</v>
      </c>
      <c r="F54" s="118" t="s">
        <v>519</v>
      </c>
      <c r="G54" s="118" t="s">
        <v>519</v>
      </c>
      <c r="H54" s="118" t="s">
        <v>519</v>
      </c>
      <c r="I54" s="118" t="s">
        <v>56</v>
      </c>
      <c r="J54" s="118" t="s">
        <v>443</v>
      </c>
      <c r="K54" s="118" t="s">
        <v>444</v>
      </c>
      <c r="L54" s="118" t="s">
        <v>445</v>
      </c>
      <c r="M54" s="118" t="s">
        <v>446</v>
      </c>
      <c r="N54" s="118" t="s">
        <v>464</v>
      </c>
      <c r="O54" s="118">
        <v>0</v>
      </c>
      <c r="P54" s="118">
        <v>0</v>
      </c>
      <c r="Q54" s="118"/>
    </row>
    <row r="55" spans="2:17">
      <c r="B55" s="118">
        <v>33554460</v>
      </c>
      <c r="C55" s="118" t="s">
        <v>439</v>
      </c>
      <c r="D55" s="118" t="s">
        <v>520</v>
      </c>
      <c r="E55" s="118" t="s">
        <v>521</v>
      </c>
      <c r="F55" s="118" t="s">
        <v>521</v>
      </c>
      <c r="G55" s="118" t="s">
        <v>521</v>
      </c>
      <c r="H55" s="118" t="s">
        <v>521</v>
      </c>
      <c r="I55" s="118"/>
      <c r="J55" s="118"/>
      <c r="K55" s="118"/>
      <c r="L55" s="118"/>
      <c r="M55" s="118"/>
      <c r="N55" s="118"/>
      <c r="O55" s="118">
        <v>1</v>
      </c>
      <c r="P55" s="118">
        <v>0</v>
      </c>
      <c r="Q55" s="118" t="s">
        <v>522</v>
      </c>
    </row>
    <row r="56" spans="2:17">
      <c r="B56" s="118">
        <v>33554465</v>
      </c>
      <c r="C56" s="118" t="s">
        <v>439</v>
      </c>
      <c r="D56" s="118" t="s">
        <v>523</v>
      </c>
      <c r="E56" s="118" t="s">
        <v>524</v>
      </c>
      <c r="F56" s="118" t="s">
        <v>525</v>
      </c>
      <c r="G56" s="118" t="s">
        <v>525</v>
      </c>
      <c r="H56" s="118" t="s">
        <v>525</v>
      </c>
      <c r="I56" s="118" t="s">
        <v>56</v>
      </c>
      <c r="J56" s="118" t="s">
        <v>443</v>
      </c>
      <c r="K56" s="118" t="s">
        <v>444</v>
      </c>
      <c r="L56" s="118" t="s">
        <v>445</v>
      </c>
      <c r="M56" s="118" t="s">
        <v>446</v>
      </c>
      <c r="N56" s="118" t="s">
        <v>464</v>
      </c>
      <c r="O56" s="118">
        <v>0</v>
      </c>
      <c r="P56" s="118">
        <v>0</v>
      </c>
      <c r="Q56" s="118"/>
    </row>
    <row r="57" spans="2:17">
      <c r="B57" s="118">
        <v>33554467</v>
      </c>
      <c r="C57" s="118" t="s">
        <v>439</v>
      </c>
      <c r="D57" s="118" t="s">
        <v>526</v>
      </c>
      <c r="E57" s="118" t="s">
        <v>527</v>
      </c>
      <c r="F57" s="118" t="s">
        <v>528</v>
      </c>
      <c r="G57" s="118" t="s">
        <v>528</v>
      </c>
      <c r="H57" s="118" t="s">
        <v>528</v>
      </c>
      <c r="I57" s="118" t="s">
        <v>56</v>
      </c>
      <c r="J57" s="118" t="s">
        <v>443</v>
      </c>
      <c r="K57" s="118" t="s">
        <v>444</v>
      </c>
      <c r="L57" s="118" t="s">
        <v>445</v>
      </c>
      <c r="M57" s="118" t="s">
        <v>446</v>
      </c>
      <c r="N57" s="118" t="s">
        <v>464</v>
      </c>
      <c r="O57" s="118">
        <v>0</v>
      </c>
      <c r="P57" s="118">
        <v>0</v>
      </c>
      <c r="Q57" s="118"/>
    </row>
    <row r="58" spans="2:17">
      <c r="B58" s="118">
        <v>33554471</v>
      </c>
      <c r="C58" s="118" t="s">
        <v>439</v>
      </c>
      <c r="D58" s="118" t="s">
        <v>529</v>
      </c>
      <c r="E58" s="118" t="s">
        <v>530</v>
      </c>
      <c r="F58" s="118" t="s">
        <v>531</v>
      </c>
      <c r="G58" s="118" t="s">
        <v>531</v>
      </c>
      <c r="H58" s="118" t="s">
        <v>531</v>
      </c>
      <c r="I58" s="118" t="s">
        <v>468</v>
      </c>
      <c r="J58" s="118" t="s">
        <v>496</v>
      </c>
      <c r="K58" s="118" t="s">
        <v>497</v>
      </c>
      <c r="L58" s="118" t="s">
        <v>459</v>
      </c>
      <c r="M58" s="118" t="s">
        <v>499</v>
      </c>
      <c r="N58" s="118" t="s">
        <v>500</v>
      </c>
      <c r="O58" s="118">
        <v>0</v>
      </c>
      <c r="P58" s="118">
        <v>0</v>
      </c>
      <c r="Q58" s="118"/>
    </row>
    <row r="59" spans="2:17">
      <c r="B59" s="118">
        <v>33554472</v>
      </c>
      <c r="C59" s="118" t="s">
        <v>439</v>
      </c>
      <c r="D59" s="118" t="s">
        <v>532</v>
      </c>
      <c r="E59" s="118" t="s">
        <v>533</v>
      </c>
      <c r="F59" s="118" t="s">
        <v>534</v>
      </c>
      <c r="G59" s="118" t="s">
        <v>534</v>
      </c>
      <c r="H59" s="118" t="s">
        <v>534</v>
      </c>
      <c r="I59" s="118" t="s">
        <v>468</v>
      </c>
      <c r="J59" s="118" t="s">
        <v>496</v>
      </c>
      <c r="K59" s="118" t="s">
        <v>497</v>
      </c>
      <c r="L59" s="118" t="s">
        <v>459</v>
      </c>
      <c r="M59" s="118" t="s">
        <v>535</v>
      </c>
      <c r="N59" s="118" t="s">
        <v>500</v>
      </c>
      <c r="O59" s="118">
        <v>0</v>
      </c>
      <c r="P59" s="118">
        <v>0</v>
      </c>
      <c r="Q59" s="118"/>
    </row>
    <row r="60" spans="2:17">
      <c r="B60" s="118">
        <v>33554474</v>
      </c>
      <c r="C60" s="118" t="s">
        <v>439</v>
      </c>
      <c r="D60" s="118" t="s">
        <v>536</v>
      </c>
      <c r="E60" s="118" t="s">
        <v>537</v>
      </c>
      <c r="F60" s="118" t="s">
        <v>538</v>
      </c>
      <c r="G60" s="118" t="s">
        <v>538</v>
      </c>
      <c r="H60" s="118" t="s">
        <v>538</v>
      </c>
      <c r="I60" s="118" t="s">
        <v>468</v>
      </c>
      <c r="J60" s="118" t="s">
        <v>496</v>
      </c>
      <c r="K60" s="118" t="s">
        <v>497</v>
      </c>
      <c r="L60" s="118" t="s">
        <v>459</v>
      </c>
      <c r="M60" s="118" t="s">
        <v>539</v>
      </c>
      <c r="N60" s="118" t="s">
        <v>500</v>
      </c>
      <c r="O60" s="118">
        <v>0</v>
      </c>
      <c r="P60" s="118">
        <v>0</v>
      </c>
      <c r="Q60" s="118"/>
    </row>
    <row r="61" spans="2:17">
      <c r="B61" s="118">
        <v>33554480</v>
      </c>
      <c r="C61" s="118" t="s">
        <v>439</v>
      </c>
      <c r="D61" s="118" t="s">
        <v>540</v>
      </c>
      <c r="E61" s="118"/>
      <c r="F61" s="118"/>
      <c r="G61" s="118"/>
      <c r="H61" s="118"/>
      <c r="I61" s="118"/>
      <c r="J61" s="118"/>
      <c r="K61" s="118"/>
      <c r="L61" s="118"/>
      <c r="M61" s="118"/>
      <c r="N61" s="118"/>
      <c r="O61" s="118">
        <v>1</v>
      </c>
      <c r="P61" s="118">
        <v>0</v>
      </c>
      <c r="Q61" s="118" t="s">
        <v>541</v>
      </c>
    </row>
    <row r="62" spans="2:17">
      <c r="B62" s="118">
        <v>2097152</v>
      </c>
      <c r="C62" s="118" t="s">
        <v>439</v>
      </c>
      <c r="D62" s="118" t="s">
        <v>542</v>
      </c>
      <c r="E62" s="118" t="s">
        <v>543</v>
      </c>
      <c r="F62" s="118" t="s">
        <v>544</v>
      </c>
      <c r="G62" s="118" t="s">
        <v>544</v>
      </c>
      <c r="H62" s="118" t="s">
        <v>544</v>
      </c>
      <c r="I62" s="118"/>
      <c r="J62" s="118"/>
      <c r="K62" s="118"/>
      <c r="L62" s="118"/>
      <c r="M62" s="118"/>
      <c r="N62" s="118"/>
      <c r="O62" s="118">
        <v>1</v>
      </c>
      <c r="P62" s="118">
        <v>0</v>
      </c>
      <c r="Q62" s="118"/>
    </row>
    <row r="63" spans="2:17">
      <c r="B63" s="118">
        <v>33554495</v>
      </c>
      <c r="C63" s="118" t="s">
        <v>439</v>
      </c>
      <c r="D63" s="118" t="s">
        <v>540</v>
      </c>
      <c r="E63" s="118"/>
      <c r="F63" s="118"/>
      <c r="G63" s="118"/>
      <c r="H63" s="118"/>
      <c r="I63" s="118"/>
      <c r="J63" s="118"/>
      <c r="K63" s="118"/>
      <c r="L63" s="118"/>
      <c r="M63" s="118"/>
      <c r="N63" s="118"/>
      <c r="O63" s="118">
        <v>1</v>
      </c>
      <c r="P63" s="118">
        <v>0</v>
      </c>
      <c r="Q63" s="118"/>
    </row>
    <row r="64" spans="2:17">
      <c r="B64" s="118">
        <v>33554527</v>
      </c>
      <c r="C64" s="118" t="s">
        <v>439</v>
      </c>
      <c r="D64" s="118" t="s">
        <v>545</v>
      </c>
      <c r="E64" s="118" t="s">
        <v>546</v>
      </c>
      <c r="F64" s="118" t="s">
        <v>547</v>
      </c>
      <c r="G64" s="118" t="s">
        <v>547</v>
      </c>
      <c r="H64" s="118" t="s">
        <v>547</v>
      </c>
      <c r="I64" s="118" t="s">
        <v>475</v>
      </c>
      <c r="J64" s="118" t="s">
        <v>476</v>
      </c>
      <c r="K64" s="118" t="s">
        <v>548</v>
      </c>
      <c r="L64" s="118" t="s">
        <v>459</v>
      </c>
      <c r="M64" s="118" t="s">
        <v>549</v>
      </c>
      <c r="N64" s="118" t="s">
        <v>479</v>
      </c>
      <c r="O64" s="118">
        <v>0</v>
      </c>
      <c r="P64" s="118">
        <v>0</v>
      </c>
      <c r="Q64" s="118"/>
    </row>
    <row r="65" spans="2:17">
      <c r="B65" s="118">
        <v>33554528</v>
      </c>
      <c r="C65" s="118" t="s">
        <v>439</v>
      </c>
      <c r="D65" s="118" t="s">
        <v>550</v>
      </c>
      <c r="E65" s="118" t="s">
        <v>546</v>
      </c>
      <c r="F65" s="118" t="s">
        <v>551</v>
      </c>
      <c r="G65" s="118" t="s">
        <v>551</v>
      </c>
      <c r="H65" s="118" t="s">
        <v>551</v>
      </c>
      <c r="I65" s="118" t="s">
        <v>475</v>
      </c>
      <c r="J65" s="118" t="s">
        <v>476</v>
      </c>
      <c r="K65" s="118" t="s">
        <v>548</v>
      </c>
      <c r="L65" s="118" t="s">
        <v>459</v>
      </c>
      <c r="M65" s="118" t="s">
        <v>549</v>
      </c>
      <c r="N65" s="118" t="s">
        <v>479</v>
      </c>
      <c r="O65" s="118">
        <v>0</v>
      </c>
      <c r="P65" s="118">
        <v>0</v>
      </c>
      <c r="Q65" s="118"/>
    </row>
    <row r="66" spans="2:17">
      <c r="B66" s="118">
        <v>33554529</v>
      </c>
      <c r="C66" s="118" t="s">
        <v>439</v>
      </c>
      <c r="D66" s="118" t="s">
        <v>552</v>
      </c>
      <c r="E66" s="118" t="s">
        <v>546</v>
      </c>
      <c r="F66" s="118" t="s">
        <v>553</v>
      </c>
      <c r="G66" s="118" t="s">
        <v>553</v>
      </c>
      <c r="H66" s="118" t="s">
        <v>553</v>
      </c>
      <c r="I66" s="118" t="s">
        <v>475</v>
      </c>
      <c r="J66" s="118" t="s">
        <v>476</v>
      </c>
      <c r="K66" s="118" t="s">
        <v>548</v>
      </c>
      <c r="L66" s="118" t="s">
        <v>459</v>
      </c>
      <c r="M66" s="118" t="s">
        <v>549</v>
      </c>
      <c r="N66" s="118" t="s">
        <v>479</v>
      </c>
      <c r="O66" s="118">
        <v>0</v>
      </c>
      <c r="P66" s="118">
        <v>0</v>
      </c>
      <c r="Q66" s="118"/>
    </row>
    <row r="67" spans="2:17">
      <c r="B67" s="118">
        <v>33554530</v>
      </c>
      <c r="C67" s="118" t="s">
        <v>439</v>
      </c>
      <c r="D67" s="118" t="s">
        <v>554</v>
      </c>
      <c r="E67" s="118" t="s">
        <v>546</v>
      </c>
      <c r="F67" s="118" t="s">
        <v>555</v>
      </c>
      <c r="G67" s="118" t="s">
        <v>555</v>
      </c>
      <c r="H67" s="118" t="s">
        <v>555</v>
      </c>
      <c r="I67" s="118" t="s">
        <v>475</v>
      </c>
      <c r="J67" s="118" t="s">
        <v>476</v>
      </c>
      <c r="K67" s="118" t="s">
        <v>548</v>
      </c>
      <c r="L67" s="118" t="s">
        <v>459</v>
      </c>
      <c r="M67" s="118" t="s">
        <v>549</v>
      </c>
      <c r="N67" s="118" t="s">
        <v>479</v>
      </c>
      <c r="O67" s="118">
        <v>0</v>
      </c>
      <c r="P67" s="118">
        <v>0</v>
      </c>
      <c r="Q67" s="118"/>
    </row>
    <row r="68" spans="2:17">
      <c r="B68" s="118">
        <v>33554531</v>
      </c>
      <c r="C68" s="118" t="s">
        <v>439</v>
      </c>
      <c r="D68" s="118" t="s">
        <v>556</v>
      </c>
      <c r="E68" s="118" t="s">
        <v>546</v>
      </c>
      <c r="F68" s="118" t="s">
        <v>557</v>
      </c>
      <c r="G68" s="118" t="s">
        <v>557</v>
      </c>
      <c r="H68" s="118" t="s">
        <v>557</v>
      </c>
      <c r="I68" s="118" t="s">
        <v>475</v>
      </c>
      <c r="J68" s="118" t="s">
        <v>476</v>
      </c>
      <c r="K68" s="118" t="s">
        <v>548</v>
      </c>
      <c r="L68" s="118" t="s">
        <v>459</v>
      </c>
      <c r="M68" s="118" t="s">
        <v>549</v>
      </c>
      <c r="N68" s="118" t="s">
        <v>479</v>
      </c>
      <c r="O68" s="118">
        <v>0</v>
      </c>
      <c r="P68" s="118">
        <v>0</v>
      </c>
      <c r="Q68" s="118"/>
    </row>
    <row r="69" spans="2:17">
      <c r="B69" s="118">
        <v>33554532</v>
      </c>
      <c r="C69" s="118" t="s">
        <v>439</v>
      </c>
      <c r="D69" s="118" t="s">
        <v>558</v>
      </c>
      <c r="E69" s="118" t="s">
        <v>546</v>
      </c>
      <c r="F69" s="118" t="s">
        <v>559</v>
      </c>
      <c r="G69" s="118" t="s">
        <v>559</v>
      </c>
      <c r="H69" s="118" t="s">
        <v>559</v>
      </c>
      <c r="I69" s="118" t="s">
        <v>475</v>
      </c>
      <c r="J69" s="118" t="s">
        <v>476</v>
      </c>
      <c r="K69" s="118" t="s">
        <v>548</v>
      </c>
      <c r="L69" s="118" t="s">
        <v>459</v>
      </c>
      <c r="M69" s="118" t="s">
        <v>549</v>
      </c>
      <c r="N69" s="118" t="s">
        <v>479</v>
      </c>
      <c r="O69" s="118">
        <v>0</v>
      </c>
      <c r="P69" s="118">
        <v>0</v>
      </c>
      <c r="Q69" s="118"/>
    </row>
    <row r="70" spans="2:17">
      <c r="B70" s="118">
        <v>33554533</v>
      </c>
      <c r="C70" s="118" t="s">
        <v>439</v>
      </c>
      <c r="D70" s="118" t="s">
        <v>560</v>
      </c>
      <c r="E70" s="118" t="s">
        <v>546</v>
      </c>
      <c r="F70" s="118" t="s">
        <v>561</v>
      </c>
      <c r="G70" s="118" t="s">
        <v>561</v>
      </c>
      <c r="H70" s="118" t="s">
        <v>561</v>
      </c>
      <c r="I70" s="118" t="s">
        <v>475</v>
      </c>
      <c r="J70" s="118" t="s">
        <v>476</v>
      </c>
      <c r="K70" s="118" t="s">
        <v>548</v>
      </c>
      <c r="L70" s="118" t="s">
        <v>459</v>
      </c>
      <c r="M70" s="118" t="s">
        <v>549</v>
      </c>
      <c r="N70" s="118" t="s">
        <v>479</v>
      </c>
      <c r="O70" s="118">
        <v>0</v>
      </c>
      <c r="P70" s="118">
        <v>0</v>
      </c>
      <c r="Q70" s="118"/>
    </row>
    <row r="71" spans="2:17">
      <c r="B71" s="118">
        <v>33554539</v>
      </c>
      <c r="C71" s="118" t="s">
        <v>439</v>
      </c>
      <c r="D71" s="118" t="s">
        <v>562</v>
      </c>
      <c r="E71" s="118" t="s">
        <v>563</v>
      </c>
      <c r="F71" s="118" t="s">
        <v>564</v>
      </c>
      <c r="G71" s="118" t="s">
        <v>564</v>
      </c>
      <c r="H71" s="118" t="s">
        <v>564</v>
      </c>
      <c r="I71" s="118" t="s">
        <v>56</v>
      </c>
      <c r="J71" s="118" t="s">
        <v>443</v>
      </c>
      <c r="K71" s="118" t="s">
        <v>565</v>
      </c>
      <c r="L71" s="118" t="s">
        <v>566</v>
      </c>
      <c r="M71" s="118" t="s">
        <v>567</v>
      </c>
      <c r="N71" s="118" t="s">
        <v>447</v>
      </c>
      <c r="O71" s="118">
        <v>0</v>
      </c>
      <c r="P71" s="118">
        <v>0</v>
      </c>
      <c r="Q71" s="118"/>
    </row>
    <row r="72" spans="2:17">
      <c r="B72" s="118">
        <v>33554543</v>
      </c>
      <c r="C72" s="118" t="s">
        <v>439</v>
      </c>
      <c r="D72" s="118" t="s">
        <v>568</v>
      </c>
      <c r="E72" s="118" t="s">
        <v>546</v>
      </c>
      <c r="F72" s="118" t="s">
        <v>569</v>
      </c>
      <c r="G72" s="118" t="s">
        <v>569</v>
      </c>
      <c r="H72" s="118" t="s">
        <v>569</v>
      </c>
      <c r="I72" s="118" t="s">
        <v>475</v>
      </c>
      <c r="J72" s="118" t="s">
        <v>476</v>
      </c>
      <c r="K72" s="118" t="s">
        <v>477</v>
      </c>
      <c r="L72" s="118" t="s">
        <v>498</v>
      </c>
      <c r="M72" s="118" t="s">
        <v>549</v>
      </c>
      <c r="N72" s="118" t="s">
        <v>479</v>
      </c>
      <c r="O72" s="118">
        <v>0</v>
      </c>
      <c r="P72" s="118">
        <v>0</v>
      </c>
      <c r="Q72" s="118"/>
    </row>
    <row r="73" spans="2:17">
      <c r="B73" s="118">
        <v>33554548</v>
      </c>
      <c r="C73" s="118" t="s">
        <v>439</v>
      </c>
      <c r="D73" s="118" t="s">
        <v>570</v>
      </c>
      <c r="E73" s="118" t="s">
        <v>563</v>
      </c>
      <c r="F73" s="118" t="s">
        <v>571</v>
      </c>
      <c r="G73" s="118" t="s">
        <v>571</v>
      </c>
      <c r="H73" s="118" t="s">
        <v>571</v>
      </c>
      <c r="I73" s="118" t="s">
        <v>56</v>
      </c>
      <c r="J73" s="118" t="s">
        <v>443</v>
      </c>
      <c r="K73" s="118" t="s">
        <v>565</v>
      </c>
      <c r="L73" s="118" t="s">
        <v>566</v>
      </c>
      <c r="M73" s="118" t="s">
        <v>567</v>
      </c>
      <c r="N73" s="118" t="s">
        <v>447</v>
      </c>
      <c r="O73" s="118">
        <v>0</v>
      </c>
      <c r="P73" s="118">
        <v>0</v>
      </c>
      <c r="Q73" s="118"/>
    </row>
    <row r="74" spans="2:17">
      <c r="B74" s="118">
        <v>50331776</v>
      </c>
      <c r="C74" s="118" t="s">
        <v>572</v>
      </c>
      <c r="D74" s="118" t="s">
        <v>573</v>
      </c>
      <c r="E74" s="118"/>
      <c r="F74" s="118" t="s">
        <v>574</v>
      </c>
      <c r="G74" s="118" t="s">
        <v>574</v>
      </c>
      <c r="H74" s="118" t="s">
        <v>574</v>
      </c>
      <c r="I74" s="118" t="s">
        <v>575</v>
      </c>
      <c r="J74" s="118" t="s">
        <v>575</v>
      </c>
      <c r="K74" s="118"/>
      <c r="L74" s="118"/>
      <c r="M74" s="118"/>
      <c r="N74" s="118"/>
      <c r="O74" s="118">
        <v>0</v>
      </c>
      <c r="P74" s="118">
        <v>0</v>
      </c>
      <c r="Q74" s="118" t="s">
        <v>522</v>
      </c>
    </row>
    <row r="75" spans="2:17">
      <c r="B75" s="118">
        <v>50331784</v>
      </c>
      <c r="C75" s="118" t="s">
        <v>572</v>
      </c>
      <c r="D75" s="118" t="s">
        <v>576</v>
      </c>
      <c r="E75" s="118" t="s">
        <v>577</v>
      </c>
      <c r="F75" s="118" t="s">
        <v>578</v>
      </c>
      <c r="G75" s="118" t="s">
        <v>578</v>
      </c>
      <c r="H75" s="118" t="s">
        <v>578</v>
      </c>
      <c r="I75" s="118" t="s">
        <v>56</v>
      </c>
      <c r="J75" s="118" t="s">
        <v>443</v>
      </c>
      <c r="K75" s="118" t="s">
        <v>444</v>
      </c>
      <c r="L75" s="118" t="s">
        <v>445</v>
      </c>
      <c r="M75" s="118" t="s">
        <v>446</v>
      </c>
      <c r="N75" s="118" t="s">
        <v>464</v>
      </c>
      <c r="O75" s="118">
        <v>0</v>
      </c>
      <c r="P75" s="118">
        <v>0</v>
      </c>
      <c r="Q75" s="118"/>
    </row>
    <row r="76" spans="2:17">
      <c r="B76" s="118">
        <v>50331802</v>
      </c>
      <c r="C76" s="118" t="s">
        <v>572</v>
      </c>
      <c r="D76" s="118" t="s">
        <v>579</v>
      </c>
      <c r="E76" s="118" t="s">
        <v>580</v>
      </c>
      <c r="F76" s="118" t="s">
        <v>581</v>
      </c>
      <c r="G76" s="118" t="s">
        <v>581</v>
      </c>
      <c r="H76" s="118" t="s">
        <v>581</v>
      </c>
      <c r="I76" s="118" t="s">
        <v>56</v>
      </c>
      <c r="J76" s="118" t="s">
        <v>443</v>
      </c>
      <c r="K76" s="118" t="s">
        <v>565</v>
      </c>
      <c r="L76" s="118" t="s">
        <v>582</v>
      </c>
      <c r="M76" s="118" t="s">
        <v>583</v>
      </c>
      <c r="N76" s="118" t="s">
        <v>447</v>
      </c>
      <c r="O76" s="118">
        <v>0</v>
      </c>
      <c r="P76" s="118">
        <v>0</v>
      </c>
      <c r="Q76" s="118"/>
    </row>
    <row r="77" spans="2:17">
      <c r="B77" s="118">
        <v>50331803</v>
      </c>
      <c r="C77" s="118" t="s">
        <v>572</v>
      </c>
      <c r="D77" s="118" t="s">
        <v>584</v>
      </c>
      <c r="E77" s="118" t="s">
        <v>585</v>
      </c>
      <c r="F77" s="118" t="s">
        <v>586</v>
      </c>
      <c r="G77" s="118" t="s">
        <v>586</v>
      </c>
      <c r="H77" s="118" t="s">
        <v>586</v>
      </c>
      <c r="I77" s="118" t="s">
        <v>56</v>
      </c>
      <c r="J77" s="118" t="s">
        <v>443</v>
      </c>
      <c r="K77" s="118" t="s">
        <v>565</v>
      </c>
      <c r="L77" s="118" t="s">
        <v>566</v>
      </c>
      <c r="M77" s="118" t="s">
        <v>567</v>
      </c>
      <c r="N77" s="118" t="s">
        <v>447</v>
      </c>
      <c r="O77" s="118">
        <v>0</v>
      </c>
      <c r="P77" s="118">
        <v>0</v>
      </c>
      <c r="Q77" s="118"/>
    </row>
    <row r="78" spans="2:17">
      <c r="B78" s="118">
        <v>50331804</v>
      </c>
      <c r="C78" s="118" t="s">
        <v>572</v>
      </c>
      <c r="D78" s="118" t="s">
        <v>587</v>
      </c>
      <c r="E78" s="118" t="s">
        <v>585</v>
      </c>
      <c r="F78" s="118" t="s">
        <v>588</v>
      </c>
      <c r="G78" s="118" t="s">
        <v>588</v>
      </c>
      <c r="H78" s="118" t="s">
        <v>588</v>
      </c>
      <c r="I78" s="118" t="s">
        <v>56</v>
      </c>
      <c r="J78" s="118" t="s">
        <v>443</v>
      </c>
      <c r="K78" s="118" t="s">
        <v>565</v>
      </c>
      <c r="L78" s="118" t="s">
        <v>566</v>
      </c>
      <c r="M78" s="118" t="s">
        <v>567</v>
      </c>
      <c r="N78" s="118" t="s">
        <v>447</v>
      </c>
      <c r="O78" s="118">
        <v>0</v>
      </c>
      <c r="P78" s="118">
        <v>0</v>
      </c>
      <c r="Q78" s="118"/>
    </row>
    <row r="79" spans="2:17">
      <c r="B79" s="118">
        <v>50331805</v>
      </c>
      <c r="C79" s="118" t="s">
        <v>572</v>
      </c>
      <c r="D79" s="118" t="s">
        <v>589</v>
      </c>
      <c r="E79" s="118" t="s">
        <v>590</v>
      </c>
      <c r="F79" s="118" t="s">
        <v>591</v>
      </c>
      <c r="G79" s="118" t="s">
        <v>591</v>
      </c>
      <c r="H79" s="118" t="s">
        <v>591</v>
      </c>
      <c r="I79" s="118" t="s">
        <v>56</v>
      </c>
      <c r="J79" s="118" t="s">
        <v>443</v>
      </c>
      <c r="K79" s="118" t="s">
        <v>444</v>
      </c>
      <c r="L79" s="118" t="s">
        <v>445</v>
      </c>
      <c r="M79" s="118" t="s">
        <v>446</v>
      </c>
      <c r="N79" s="118" t="s">
        <v>464</v>
      </c>
      <c r="O79" s="118">
        <v>0</v>
      </c>
      <c r="P79" s="118">
        <v>0</v>
      </c>
      <c r="Q79" s="118"/>
    </row>
    <row r="80" spans="2:17">
      <c r="B80" s="118">
        <v>50331806</v>
      </c>
      <c r="C80" s="118" t="s">
        <v>572</v>
      </c>
      <c r="D80" s="118" t="s">
        <v>592</v>
      </c>
      <c r="E80" s="118" t="s">
        <v>585</v>
      </c>
      <c r="F80" s="118" t="s">
        <v>593</v>
      </c>
      <c r="G80" s="118" t="s">
        <v>593</v>
      </c>
      <c r="H80" s="118" t="s">
        <v>593</v>
      </c>
      <c r="I80" s="118" t="s">
        <v>56</v>
      </c>
      <c r="J80" s="118" t="s">
        <v>443</v>
      </c>
      <c r="K80" s="118" t="s">
        <v>565</v>
      </c>
      <c r="L80" s="118" t="s">
        <v>566</v>
      </c>
      <c r="M80" s="118" t="s">
        <v>567</v>
      </c>
      <c r="N80" s="118" t="s">
        <v>447</v>
      </c>
      <c r="O80" s="118">
        <v>0</v>
      </c>
      <c r="P80" s="118">
        <v>0</v>
      </c>
      <c r="Q80" s="118"/>
    </row>
    <row r="81" spans="2:17">
      <c r="B81" s="118">
        <v>50331807</v>
      </c>
      <c r="C81" s="118" t="s">
        <v>572</v>
      </c>
      <c r="D81" s="118" t="s">
        <v>594</v>
      </c>
      <c r="E81" s="118" t="s">
        <v>585</v>
      </c>
      <c r="F81" s="118" t="s">
        <v>595</v>
      </c>
      <c r="G81" s="118" t="s">
        <v>595</v>
      </c>
      <c r="H81" s="118" t="s">
        <v>595</v>
      </c>
      <c r="I81" s="118" t="s">
        <v>56</v>
      </c>
      <c r="J81" s="118" t="s">
        <v>443</v>
      </c>
      <c r="K81" s="118" t="s">
        <v>565</v>
      </c>
      <c r="L81" s="118" t="s">
        <v>566</v>
      </c>
      <c r="M81" s="118" t="s">
        <v>567</v>
      </c>
      <c r="N81" s="118" t="s">
        <v>447</v>
      </c>
      <c r="O81" s="118">
        <v>0</v>
      </c>
      <c r="P81" s="118">
        <v>0</v>
      </c>
      <c r="Q81" s="118"/>
    </row>
    <row r="82" spans="2:17">
      <c r="B82" s="118">
        <v>50331808</v>
      </c>
      <c r="C82" s="118" t="s">
        <v>572</v>
      </c>
      <c r="D82" s="118" t="s">
        <v>596</v>
      </c>
      <c r="E82" s="118" t="s">
        <v>527</v>
      </c>
      <c r="F82" s="118" t="s">
        <v>597</v>
      </c>
      <c r="G82" s="118" t="s">
        <v>597</v>
      </c>
      <c r="H82" s="118" t="s">
        <v>597</v>
      </c>
      <c r="I82" s="118" t="s">
        <v>56</v>
      </c>
      <c r="J82" s="118" t="s">
        <v>443</v>
      </c>
      <c r="K82" s="118" t="s">
        <v>444</v>
      </c>
      <c r="L82" s="118" t="s">
        <v>445</v>
      </c>
      <c r="M82" s="118" t="s">
        <v>446</v>
      </c>
      <c r="N82" s="118" t="s">
        <v>464</v>
      </c>
      <c r="O82" s="118">
        <v>0</v>
      </c>
      <c r="P82" s="118">
        <v>0</v>
      </c>
      <c r="Q82" s="118"/>
    </row>
    <row r="83" spans="2:17">
      <c r="B83" s="118">
        <v>50331809</v>
      </c>
      <c r="C83" s="118" t="s">
        <v>572</v>
      </c>
      <c r="D83" s="118" t="s">
        <v>598</v>
      </c>
      <c r="E83" s="118" t="s">
        <v>527</v>
      </c>
      <c r="F83" s="118" t="s">
        <v>599</v>
      </c>
      <c r="G83" s="118" t="s">
        <v>599</v>
      </c>
      <c r="H83" s="118" t="s">
        <v>599</v>
      </c>
      <c r="I83" s="118" t="s">
        <v>56</v>
      </c>
      <c r="J83" s="118" t="s">
        <v>443</v>
      </c>
      <c r="K83" s="118" t="s">
        <v>444</v>
      </c>
      <c r="L83" s="118" t="s">
        <v>445</v>
      </c>
      <c r="M83" s="118" t="s">
        <v>446</v>
      </c>
      <c r="N83" s="118" t="s">
        <v>464</v>
      </c>
      <c r="O83" s="118">
        <v>0</v>
      </c>
      <c r="P83" s="118">
        <v>0</v>
      </c>
      <c r="Q83" s="118"/>
    </row>
    <row r="84" spans="2:17">
      <c r="B84" s="118">
        <v>50331810</v>
      </c>
      <c r="C84" s="118" t="s">
        <v>572</v>
      </c>
      <c r="D84" s="118" t="s">
        <v>600</v>
      </c>
      <c r="E84" s="118" t="s">
        <v>601</v>
      </c>
      <c r="F84" s="118" t="s">
        <v>602</v>
      </c>
      <c r="G84" s="118" t="s">
        <v>602</v>
      </c>
      <c r="H84" s="118" t="s">
        <v>602</v>
      </c>
      <c r="I84" s="118" t="s">
        <v>475</v>
      </c>
      <c r="J84" s="118" t="s">
        <v>476</v>
      </c>
      <c r="K84" s="118" t="s">
        <v>548</v>
      </c>
      <c r="L84" s="118" t="s">
        <v>566</v>
      </c>
      <c r="M84" s="118" t="s">
        <v>603</v>
      </c>
      <c r="N84" s="118" t="s">
        <v>479</v>
      </c>
      <c r="O84" s="118">
        <v>0</v>
      </c>
      <c r="P84" s="118">
        <v>0</v>
      </c>
      <c r="Q84" s="118"/>
    </row>
    <row r="85" spans="2:17">
      <c r="B85" s="118">
        <v>50331811</v>
      </c>
      <c r="C85" s="118" t="s">
        <v>572</v>
      </c>
      <c r="D85" s="118" t="s">
        <v>604</v>
      </c>
      <c r="E85" s="118" t="s">
        <v>585</v>
      </c>
      <c r="F85" s="118" t="s">
        <v>605</v>
      </c>
      <c r="G85" s="118" t="s">
        <v>605</v>
      </c>
      <c r="H85" s="118" t="s">
        <v>605</v>
      </c>
      <c r="I85" s="118" t="s">
        <v>56</v>
      </c>
      <c r="J85" s="118" t="s">
        <v>443</v>
      </c>
      <c r="K85" s="118" t="s">
        <v>565</v>
      </c>
      <c r="L85" s="118" t="s">
        <v>566</v>
      </c>
      <c r="M85" s="118" t="s">
        <v>567</v>
      </c>
      <c r="N85" s="118" t="s">
        <v>447</v>
      </c>
      <c r="O85" s="118">
        <v>0</v>
      </c>
      <c r="P85" s="118">
        <v>0</v>
      </c>
      <c r="Q85" s="118"/>
    </row>
    <row r="86" spans="2:17">
      <c r="B86" s="118">
        <v>50331812</v>
      </c>
      <c r="C86" s="118" t="s">
        <v>572</v>
      </c>
      <c r="D86" s="118" t="s">
        <v>606</v>
      </c>
      <c r="E86" s="118"/>
      <c r="F86" s="118" t="s">
        <v>607</v>
      </c>
      <c r="G86" s="118" t="s">
        <v>607</v>
      </c>
      <c r="H86" s="118" t="s">
        <v>607</v>
      </c>
      <c r="I86" s="118"/>
      <c r="J86" s="118"/>
      <c r="K86" s="118"/>
      <c r="L86" s="118"/>
      <c r="M86" s="118"/>
      <c r="N86" s="118"/>
      <c r="O86" s="118">
        <v>1</v>
      </c>
      <c r="P86" s="118">
        <v>0</v>
      </c>
      <c r="Q86" s="118" t="s">
        <v>522</v>
      </c>
    </row>
    <row r="87" spans="2:17">
      <c r="B87" s="118">
        <v>50331813</v>
      </c>
      <c r="C87" s="118" t="s">
        <v>572</v>
      </c>
      <c r="D87" s="118" t="s">
        <v>608</v>
      </c>
      <c r="E87" s="118" t="s">
        <v>585</v>
      </c>
      <c r="F87" s="118" t="s">
        <v>609</v>
      </c>
      <c r="G87" s="118" t="s">
        <v>609</v>
      </c>
      <c r="H87" s="118" t="s">
        <v>609</v>
      </c>
      <c r="I87" s="118" t="s">
        <v>56</v>
      </c>
      <c r="J87" s="118" t="s">
        <v>443</v>
      </c>
      <c r="K87" s="118" t="s">
        <v>565</v>
      </c>
      <c r="L87" s="118" t="s">
        <v>566</v>
      </c>
      <c r="M87" s="118" t="s">
        <v>567</v>
      </c>
      <c r="N87" s="118" t="s">
        <v>447</v>
      </c>
      <c r="O87" s="118">
        <v>0</v>
      </c>
      <c r="P87" s="118">
        <v>0</v>
      </c>
      <c r="Q87" s="118"/>
    </row>
    <row r="88" spans="2:17">
      <c r="B88" s="118">
        <v>50331814</v>
      </c>
      <c r="C88" s="118" t="s">
        <v>572</v>
      </c>
      <c r="D88" s="118" t="s">
        <v>501</v>
      </c>
      <c r="E88" s="118" t="s">
        <v>537</v>
      </c>
      <c r="F88" s="118" t="s">
        <v>610</v>
      </c>
      <c r="G88" s="118" t="s">
        <v>610</v>
      </c>
      <c r="H88" s="118" t="s">
        <v>610</v>
      </c>
      <c r="I88" s="118" t="s">
        <v>468</v>
      </c>
      <c r="J88" s="118" t="s">
        <v>469</v>
      </c>
      <c r="K88" s="118" t="s">
        <v>611</v>
      </c>
      <c r="L88" s="118" t="s">
        <v>566</v>
      </c>
      <c r="M88" s="118" t="s">
        <v>612</v>
      </c>
      <c r="N88" s="118" t="s">
        <v>613</v>
      </c>
      <c r="O88" s="118">
        <v>0</v>
      </c>
      <c r="P88" s="118">
        <v>0</v>
      </c>
      <c r="Q88" s="118"/>
    </row>
    <row r="89" spans="2:17">
      <c r="B89" s="118">
        <v>50331815</v>
      </c>
      <c r="C89" s="118" t="s">
        <v>572</v>
      </c>
      <c r="D89" s="118" t="s">
        <v>614</v>
      </c>
      <c r="E89" s="118"/>
      <c r="F89" s="118" t="s">
        <v>615</v>
      </c>
      <c r="G89" s="118" t="s">
        <v>615</v>
      </c>
      <c r="H89" s="118" t="s">
        <v>615</v>
      </c>
      <c r="I89" s="118"/>
      <c r="J89" s="118"/>
      <c r="K89" s="118"/>
      <c r="L89" s="118"/>
      <c r="M89" s="118"/>
      <c r="N89" s="118"/>
      <c r="O89" s="118">
        <v>1</v>
      </c>
      <c r="P89" s="118">
        <v>0</v>
      </c>
      <c r="Q89" s="118" t="s">
        <v>522</v>
      </c>
    </row>
    <row r="90" spans="2:17">
      <c r="B90" s="118">
        <v>50331817</v>
      </c>
      <c r="C90" s="118" t="s">
        <v>572</v>
      </c>
      <c r="D90" s="118" t="s">
        <v>616</v>
      </c>
      <c r="E90" s="118" t="s">
        <v>537</v>
      </c>
      <c r="F90" s="118" t="s">
        <v>617</v>
      </c>
      <c r="G90" s="118" t="s">
        <v>617</v>
      </c>
      <c r="H90" s="118" t="s">
        <v>617</v>
      </c>
      <c r="I90" s="118" t="s">
        <v>475</v>
      </c>
      <c r="J90" s="118" t="s">
        <v>476</v>
      </c>
      <c r="K90" s="118" t="s">
        <v>548</v>
      </c>
      <c r="L90" s="118" t="s">
        <v>566</v>
      </c>
      <c r="M90" s="118" t="s">
        <v>549</v>
      </c>
      <c r="N90" s="118" t="s">
        <v>479</v>
      </c>
      <c r="O90" s="118">
        <v>0</v>
      </c>
      <c r="P90" s="118">
        <v>0</v>
      </c>
      <c r="Q90" s="118"/>
    </row>
    <row r="91" spans="2:17">
      <c r="B91" s="118">
        <v>50331818</v>
      </c>
      <c r="C91" s="118" t="s">
        <v>572</v>
      </c>
      <c r="D91" s="118" t="s">
        <v>618</v>
      </c>
      <c r="E91" s="118" t="s">
        <v>537</v>
      </c>
      <c r="F91" s="118" t="s">
        <v>619</v>
      </c>
      <c r="G91" s="118" t="s">
        <v>619</v>
      </c>
      <c r="H91" s="118" t="s">
        <v>619</v>
      </c>
      <c r="I91" s="118" t="s">
        <v>475</v>
      </c>
      <c r="J91" s="118" t="s">
        <v>476</v>
      </c>
      <c r="K91" s="118" t="s">
        <v>548</v>
      </c>
      <c r="L91" s="118" t="s">
        <v>566</v>
      </c>
      <c r="M91" s="118" t="s">
        <v>549</v>
      </c>
      <c r="N91" s="118" t="s">
        <v>479</v>
      </c>
      <c r="O91" s="118">
        <v>0</v>
      </c>
      <c r="P91" s="118">
        <v>0</v>
      </c>
      <c r="Q91" s="118"/>
    </row>
    <row r="92" spans="2:17">
      <c r="B92" s="118">
        <v>50331819</v>
      </c>
      <c r="C92" s="118" t="s">
        <v>572</v>
      </c>
      <c r="D92" s="118" t="s">
        <v>620</v>
      </c>
      <c r="E92" s="118" t="s">
        <v>537</v>
      </c>
      <c r="F92" s="118" t="s">
        <v>621</v>
      </c>
      <c r="G92" s="118" t="s">
        <v>621</v>
      </c>
      <c r="H92" s="118" t="s">
        <v>621</v>
      </c>
      <c r="I92" s="118" t="s">
        <v>475</v>
      </c>
      <c r="J92" s="118" t="s">
        <v>476</v>
      </c>
      <c r="K92" s="118" t="s">
        <v>548</v>
      </c>
      <c r="L92" s="118" t="s">
        <v>566</v>
      </c>
      <c r="M92" s="118" t="s">
        <v>549</v>
      </c>
      <c r="N92" s="118" t="s">
        <v>479</v>
      </c>
      <c r="O92" s="118">
        <v>0</v>
      </c>
      <c r="P92" s="118">
        <v>0</v>
      </c>
      <c r="Q92" s="118"/>
    </row>
    <row r="93" spans="2:17">
      <c r="B93" s="118">
        <v>50331820</v>
      </c>
      <c r="C93" s="118" t="s">
        <v>572</v>
      </c>
      <c r="D93" s="118" t="s">
        <v>622</v>
      </c>
      <c r="E93" s="118" t="s">
        <v>537</v>
      </c>
      <c r="F93" s="118" t="s">
        <v>623</v>
      </c>
      <c r="G93" s="118" t="s">
        <v>623</v>
      </c>
      <c r="H93" s="118" t="s">
        <v>623</v>
      </c>
      <c r="I93" s="118" t="s">
        <v>475</v>
      </c>
      <c r="J93" s="118" t="s">
        <v>476</v>
      </c>
      <c r="K93" s="118" t="s">
        <v>548</v>
      </c>
      <c r="L93" s="118" t="s">
        <v>566</v>
      </c>
      <c r="M93" s="118" t="s">
        <v>549</v>
      </c>
      <c r="N93" s="118" t="s">
        <v>479</v>
      </c>
      <c r="O93" s="118">
        <v>0</v>
      </c>
      <c r="P93" s="118">
        <v>0</v>
      </c>
      <c r="Q93" s="118"/>
    </row>
    <row r="94" spans="2:17">
      <c r="B94" s="118">
        <v>50331821</v>
      </c>
      <c r="C94" s="118" t="s">
        <v>572</v>
      </c>
      <c r="D94" s="118" t="s">
        <v>624</v>
      </c>
      <c r="E94" s="118" t="s">
        <v>537</v>
      </c>
      <c r="F94" s="118" t="s">
        <v>625</v>
      </c>
      <c r="G94" s="118" t="s">
        <v>625</v>
      </c>
      <c r="H94" s="118" t="s">
        <v>625</v>
      </c>
      <c r="I94" s="118" t="s">
        <v>475</v>
      </c>
      <c r="J94" s="118" t="s">
        <v>476</v>
      </c>
      <c r="K94" s="118" t="s">
        <v>548</v>
      </c>
      <c r="L94" s="118" t="s">
        <v>566</v>
      </c>
      <c r="M94" s="118" t="s">
        <v>549</v>
      </c>
      <c r="N94" s="118" t="s">
        <v>479</v>
      </c>
      <c r="O94" s="118">
        <v>0</v>
      </c>
      <c r="P94" s="118">
        <v>0</v>
      </c>
      <c r="Q94" s="118"/>
    </row>
    <row r="95" spans="2:17">
      <c r="B95" s="118">
        <v>50331822</v>
      </c>
      <c r="C95" s="118" t="s">
        <v>572</v>
      </c>
      <c r="D95" s="118" t="s">
        <v>626</v>
      </c>
      <c r="E95" s="118"/>
      <c r="F95" s="118" t="s">
        <v>627</v>
      </c>
      <c r="G95" s="118" t="s">
        <v>627</v>
      </c>
      <c r="H95" s="118" t="s">
        <v>627</v>
      </c>
      <c r="I95" s="118" t="s">
        <v>575</v>
      </c>
      <c r="J95" s="118" t="s">
        <v>575</v>
      </c>
      <c r="K95" s="118"/>
      <c r="L95" s="118"/>
      <c r="M95" s="118"/>
      <c r="N95" s="118"/>
      <c r="O95" s="118">
        <v>0</v>
      </c>
      <c r="P95" s="118">
        <v>0</v>
      </c>
      <c r="Q95" s="118" t="s">
        <v>522</v>
      </c>
    </row>
    <row r="96" spans="2:17">
      <c r="B96" s="118">
        <v>50331823</v>
      </c>
      <c r="C96" s="118" t="s">
        <v>572</v>
      </c>
      <c r="D96" s="118" t="s">
        <v>628</v>
      </c>
      <c r="E96" s="118" t="s">
        <v>537</v>
      </c>
      <c r="F96" s="118" t="s">
        <v>629</v>
      </c>
      <c r="G96" s="118" t="s">
        <v>629</v>
      </c>
      <c r="H96" s="118" t="s">
        <v>629</v>
      </c>
      <c r="I96" s="118" t="s">
        <v>475</v>
      </c>
      <c r="J96" s="118" t="s">
        <v>476</v>
      </c>
      <c r="K96" s="118" t="s">
        <v>548</v>
      </c>
      <c r="L96" s="118" t="s">
        <v>566</v>
      </c>
      <c r="M96" s="118" t="s">
        <v>549</v>
      </c>
      <c r="N96" s="118" t="s">
        <v>479</v>
      </c>
      <c r="O96" s="118">
        <v>0</v>
      </c>
      <c r="P96" s="118">
        <v>0</v>
      </c>
      <c r="Q96" s="118"/>
    </row>
    <row r="97" spans="2:17">
      <c r="B97" s="118">
        <v>50331825</v>
      </c>
      <c r="C97" s="118" t="s">
        <v>572</v>
      </c>
      <c r="D97" s="118" t="s">
        <v>630</v>
      </c>
      <c r="E97" s="118" t="s">
        <v>631</v>
      </c>
      <c r="F97" s="118" t="s">
        <v>632</v>
      </c>
      <c r="G97" s="118" t="s">
        <v>632</v>
      </c>
      <c r="H97" s="118" t="s">
        <v>632</v>
      </c>
      <c r="I97" s="118" t="s">
        <v>475</v>
      </c>
      <c r="J97" s="118" t="s">
        <v>476</v>
      </c>
      <c r="K97" s="118" t="s">
        <v>548</v>
      </c>
      <c r="L97" s="118" t="s">
        <v>566</v>
      </c>
      <c r="M97" s="118" t="s">
        <v>549</v>
      </c>
      <c r="N97" s="118" t="s">
        <v>479</v>
      </c>
      <c r="O97" s="118">
        <v>0</v>
      </c>
      <c r="P97" s="118">
        <v>0</v>
      </c>
      <c r="Q97" s="118"/>
    </row>
    <row r="98" spans="2:17">
      <c r="B98" s="118">
        <v>50331826</v>
      </c>
      <c r="C98" s="118" t="s">
        <v>572</v>
      </c>
      <c r="D98" s="118" t="s">
        <v>633</v>
      </c>
      <c r="E98" s="118"/>
      <c r="F98" s="118" t="s">
        <v>634</v>
      </c>
      <c r="G98" s="118" t="s">
        <v>634</v>
      </c>
      <c r="H98" s="118" t="s">
        <v>634</v>
      </c>
      <c r="I98" s="118" t="s">
        <v>475</v>
      </c>
      <c r="J98" s="118" t="s">
        <v>635</v>
      </c>
      <c r="K98" s="118"/>
      <c r="L98" s="118"/>
      <c r="M98" s="118"/>
      <c r="N98" s="118"/>
      <c r="O98" s="118">
        <v>0</v>
      </c>
      <c r="P98" s="118">
        <v>0</v>
      </c>
      <c r="Q98" s="118" t="s">
        <v>522</v>
      </c>
    </row>
    <row r="99" spans="2:17">
      <c r="B99" s="118">
        <v>50331827</v>
      </c>
      <c r="C99" s="118" t="s">
        <v>572</v>
      </c>
      <c r="D99" s="118" t="s">
        <v>636</v>
      </c>
      <c r="E99" s="118"/>
      <c r="F99" s="118" t="s">
        <v>637</v>
      </c>
      <c r="G99" s="118" t="s">
        <v>637</v>
      </c>
      <c r="H99" s="118" t="s">
        <v>637</v>
      </c>
      <c r="I99" s="118" t="s">
        <v>475</v>
      </c>
      <c r="J99" s="118" t="s">
        <v>635</v>
      </c>
      <c r="K99" s="118"/>
      <c r="L99" s="118"/>
      <c r="M99" s="118"/>
      <c r="N99" s="118"/>
      <c r="O99" s="118">
        <v>0</v>
      </c>
      <c r="P99" s="118">
        <v>0</v>
      </c>
      <c r="Q99" s="118" t="s">
        <v>522</v>
      </c>
    </row>
    <row r="100" spans="2:17">
      <c r="B100" s="118">
        <v>50331828</v>
      </c>
      <c r="C100" s="118" t="s">
        <v>572</v>
      </c>
      <c r="D100" s="118" t="s">
        <v>638</v>
      </c>
      <c r="E100" s="118"/>
      <c r="F100" s="118" t="s">
        <v>639</v>
      </c>
      <c r="G100" s="118" t="s">
        <v>639</v>
      </c>
      <c r="H100" s="118" t="s">
        <v>639</v>
      </c>
      <c r="I100" s="118" t="s">
        <v>475</v>
      </c>
      <c r="J100" s="118" t="s">
        <v>635</v>
      </c>
      <c r="K100" s="118"/>
      <c r="L100" s="118"/>
      <c r="M100" s="118"/>
      <c r="N100" s="118"/>
      <c r="O100" s="118">
        <v>0</v>
      </c>
      <c r="P100" s="118">
        <v>0</v>
      </c>
      <c r="Q100" s="118" t="s">
        <v>522</v>
      </c>
    </row>
    <row r="101" spans="2:17">
      <c r="B101" s="118">
        <v>50331829</v>
      </c>
      <c r="C101" s="118" t="s">
        <v>572</v>
      </c>
      <c r="D101" s="118" t="s">
        <v>640</v>
      </c>
      <c r="E101" s="118" t="s">
        <v>641</v>
      </c>
      <c r="F101" s="118" t="s">
        <v>642</v>
      </c>
      <c r="G101" s="118" t="s">
        <v>642</v>
      </c>
      <c r="H101" s="118" t="s">
        <v>642</v>
      </c>
      <c r="I101" s="118" t="s">
        <v>475</v>
      </c>
      <c r="J101" s="118" t="s">
        <v>476</v>
      </c>
      <c r="K101" s="118" t="s">
        <v>548</v>
      </c>
      <c r="L101" s="118" t="s">
        <v>566</v>
      </c>
      <c r="M101" s="118" t="s">
        <v>643</v>
      </c>
      <c r="N101" s="118" t="s">
        <v>479</v>
      </c>
      <c r="O101" s="118">
        <v>0</v>
      </c>
      <c r="P101" s="118">
        <v>0</v>
      </c>
      <c r="Q101" s="118"/>
    </row>
    <row r="102" spans="2:17">
      <c r="B102" s="118">
        <v>50331830</v>
      </c>
      <c r="C102" s="118" t="s">
        <v>572</v>
      </c>
      <c r="D102" s="118" t="s">
        <v>644</v>
      </c>
      <c r="E102" s="118" t="s">
        <v>645</v>
      </c>
      <c r="F102" s="118" t="s">
        <v>646</v>
      </c>
      <c r="G102" s="118" t="s">
        <v>646</v>
      </c>
      <c r="H102" s="118" t="s">
        <v>646</v>
      </c>
      <c r="I102" s="118" t="s">
        <v>475</v>
      </c>
      <c r="J102" s="118" t="s">
        <v>476</v>
      </c>
      <c r="K102" s="118" t="s">
        <v>548</v>
      </c>
      <c r="L102" s="118" t="s">
        <v>566</v>
      </c>
      <c r="M102" s="118" t="s">
        <v>647</v>
      </c>
      <c r="N102" s="118" t="s">
        <v>479</v>
      </c>
      <c r="O102" s="118">
        <v>0</v>
      </c>
      <c r="P102" s="118">
        <v>0</v>
      </c>
      <c r="Q102" s="118"/>
    </row>
    <row r="103" spans="2:17">
      <c r="B103" s="118">
        <v>50331831</v>
      </c>
      <c r="C103" s="118" t="s">
        <v>572</v>
      </c>
      <c r="D103" s="118" t="s">
        <v>648</v>
      </c>
      <c r="E103" s="118" t="s">
        <v>649</v>
      </c>
      <c r="F103" s="118" t="s">
        <v>650</v>
      </c>
      <c r="G103" s="118" t="s">
        <v>650</v>
      </c>
      <c r="H103" s="118" t="s">
        <v>650</v>
      </c>
      <c r="I103" s="118" t="s">
        <v>56</v>
      </c>
      <c r="J103" s="118" t="s">
        <v>443</v>
      </c>
      <c r="K103" s="118" t="s">
        <v>565</v>
      </c>
      <c r="L103" s="118" t="s">
        <v>566</v>
      </c>
      <c r="M103" s="118" t="s">
        <v>567</v>
      </c>
      <c r="N103" s="118" t="s">
        <v>447</v>
      </c>
      <c r="O103" s="118">
        <v>0</v>
      </c>
      <c r="P103" s="118">
        <v>0</v>
      </c>
      <c r="Q103" s="118"/>
    </row>
    <row r="104" spans="2:17">
      <c r="B104" s="118">
        <v>50331832</v>
      </c>
      <c r="C104" s="118" t="s">
        <v>572</v>
      </c>
      <c r="D104" s="118" t="s">
        <v>651</v>
      </c>
      <c r="E104" s="118" t="s">
        <v>649</v>
      </c>
      <c r="F104" s="118" t="s">
        <v>652</v>
      </c>
      <c r="G104" s="118" t="s">
        <v>652</v>
      </c>
      <c r="H104" s="118" t="s">
        <v>652</v>
      </c>
      <c r="I104" s="118" t="s">
        <v>56</v>
      </c>
      <c r="J104" s="118" t="s">
        <v>443</v>
      </c>
      <c r="K104" s="118" t="s">
        <v>565</v>
      </c>
      <c r="L104" s="118" t="s">
        <v>566</v>
      </c>
      <c r="M104" s="118" t="s">
        <v>567</v>
      </c>
      <c r="N104" s="118" t="s">
        <v>447</v>
      </c>
      <c r="O104" s="118">
        <v>0</v>
      </c>
      <c r="P104" s="118">
        <v>0</v>
      </c>
      <c r="Q104" s="118"/>
    </row>
    <row r="105" spans="2:17">
      <c r="B105" s="118">
        <v>50331835</v>
      </c>
      <c r="C105" s="118" t="s">
        <v>572</v>
      </c>
      <c r="D105" s="118" t="s">
        <v>653</v>
      </c>
      <c r="E105" s="118" t="s">
        <v>649</v>
      </c>
      <c r="F105" s="118" t="s">
        <v>654</v>
      </c>
      <c r="G105" s="118" t="s">
        <v>654</v>
      </c>
      <c r="H105" s="118" t="s">
        <v>654</v>
      </c>
      <c r="I105" s="118" t="s">
        <v>56</v>
      </c>
      <c r="J105" s="118" t="s">
        <v>443</v>
      </c>
      <c r="K105" s="118" t="s">
        <v>565</v>
      </c>
      <c r="L105" s="118" t="s">
        <v>566</v>
      </c>
      <c r="M105" s="118" t="s">
        <v>567</v>
      </c>
      <c r="N105" s="118" t="s">
        <v>447</v>
      </c>
      <c r="O105" s="118">
        <v>0</v>
      </c>
      <c r="P105" s="118">
        <v>0</v>
      </c>
      <c r="Q105" s="118"/>
    </row>
    <row r="106" spans="2:17">
      <c r="B106" s="118">
        <v>50331836</v>
      </c>
      <c r="C106" s="118" t="s">
        <v>572</v>
      </c>
      <c r="D106" s="118" t="s">
        <v>655</v>
      </c>
      <c r="E106" s="118" t="s">
        <v>649</v>
      </c>
      <c r="F106" s="118" t="s">
        <v>656</v>
      </c>
      <c r="G106" s="118" t="s">
        <v>656</v>
      </c>
      <c r="H106" s="118" t="s">
        <v>656</v>
      </c>
      <c r="I106" s="118" t="s">
        <v>56</v>
      </c>
      <c r="J106" s="118" t="s">
        <v>443</v>
      </c>
      <c r="K106" s="118" t="s">
        <v>565</v>
      </c>
      <c r="L106" s="118" t="s">
        <v>566</v>
      </c>
      <c r="M106" s="118" t="s">
        <v>567</v>
      </c>
      <c r="N106" s="118" t="s">
        <v>447</v>
      </c>
      <c r="O106" s="118">
        <v>0</v>
      </c>
      <c r="P106" s="118">
        <v>0</v>
      </c>
      <c r="Q106" s="118"/>
    </row>
    <row r="107" spans="2:17">
      <c r="B107" s="118">
        <v>50331841</v>
      </c>
      <c r="C107" s="118" t="s">
        <v>572</v>
      </c>
      <c r="D107" s="118" t="s">
        <v>657</v>
      </c>
      <c r="E107" s="118" t="s">
        <v>649</v>
      </c>
      <c r="F107" s="118" t="s">
        <v>658</v>
      </c>
      <c r="G107" s="118" t="s">
        <v>658</v>
      </c>
      <c r="H107" s="118" t="s">
        <v>658</v>
      </c>
      <c r="I107" s="118" t="s">
        <v>56</v>
      </c>
      <c r="J107" s="118" t="s">
        <v>443</v>
      </c>
      <c r="K107" s="118" t="s">
        <v>565</v>
      </c>
      <c r="L107" s="118" t="s">
        <v>566</v>
      </c>
      <c r="M107" s="118" t="s">
        <v>567</v>
      </c>
      <c r="N107" s="118" t="s">
        <v>447</v>
      </c>
      <c r="O107" s="118">
        <v>0</v>
      </c>
      <c r="P107" s="118">
        <v>0</v>
      </c>
      <c r="Q107" s="118"/>
    </row>
    <row r="108" spans="2:17">
      <c r="B108" s="118">
        <v>50331842</v>
      </c>
      <c r="C108" s="118" t="s">
        <v>572</v>
      </c>
      <c r="D108" s="118" t="s">
        <v>659</v>
      </c>
      <c r="E108" s="118" t="s">
        <v>649</v>
      </c>
      <c r="F108" s="118" t="s">
        <v>660</v>
      </c>
      <c r="G108" s="118" t="s">
        <v>660</v>
      </c>
      <c r="H108" s="118" t="s">
        <v>660</v>
      </c>
      <c r="I108" s="118" t="s">
        <v>56</v>
      </c>
      <c r="J108" s="118" t="s">
        <v>443</v>
      </c>
      <c r="K108" s="118" t="s">
        <v>565</v>
      </c>
      <c r="L108" s="118" t="s">
        <v>566</v>
      </c>
      <c r="M108" s="118" t="s">
        <v>567</v>
      </c>
      <c r="N108" s="118" t="s">
        <v>447</v>
      </c>
      <c r="O108" s="118">
        <v>0</v>
      </c>
      <c r="P108" s="118">
        <v>0</v>
      </c>
      <c r="Q108" s="118"/>
    </row>
    <row r="109" spans="2:17">
      <c r="B109" s="118">
        <v>50331857</v>
      </c>
      <c r="C109" s="118" t="s">
        <v>572</v>
      </c>
      <c r="D109" s="118" t="s">
        <v>661</v>
      </c>
      <c r="E109" s="118" t="s">
        <v>649</v>
      </c>
      <c r="F109" s="118" t="s">
        <v>662</v>
      </c>
      <c r="G109" s="118" t="s">
        <v>662</v>
      </c>
      <c r="H109" s="118" t="s">
        <v>662</v>
      </c>
      <c r="I109" s="118" t="s">
        <v>56</v>
      </c>
      <c r="J109" s="118" t="s">
        <v>443</v>
      </c>
      <c r="K109" s="118" t="s">
        <v>565</v>
      </c>
      <c r="L109" s="118" t="s">
        <v>566</v>
      </c>
      <c r="M109" s="118" t="s">
        <v>567</v>
      </c>
      <c r="N109" s="118" t="s">
        <v>447</v>
      </c>
      <c r="O109" s="118">
        <v>0</v>
      </c>
      <c r="P109" s="118">
        <v>0</v>
      </c>
      <c r="Q109" s="118"/>
    </row>
    <row r="110" spans="2:17">
      <c r="B110" s="118">
        <v>50331871</v>
      </c>
      <c r="C110" s="118" t="s">
        <v>572</v>
      </c>
      <c r="D110" s="118" t="s">
        <v>545</v>
      </c>
      <c r="E110" s="118" t="s">
        <v>645</v>
      </c>
      <c r="F110" s="118" t="s">
        <v>663</v>
      </c>
      <c r="G110" s="118" t="s">
        <v>663</v>
      </c>
      <c r="H110" s="118" t="s">
        <v>663</v>
      </c>
      <c r="I110" s="118" t="s">
        <v>475</v>
      </c>
      <c r="J110" s="118" t="s">
        <v>476</v>
      </c>
      <c r="K110" s="118" t="s">
        <v>548</v>
      </c>
      <c r="L110" s="118" t="s">
        <v>566</v>
      </c>
      <c r="M110" s="118" t="s">
        <v>647</v>
      </c>
      <c r="N110" s="118" t="s">
        <v>479</v>
      </c>
      <c r="O110" s="118">
        <v>0</v>
      </c>
      <c r="P110" s="118">
        <v>0</v>
      </c>
      <c r="Q110" s="118"/>
    </row>
    <row r="111" spans="2:17">
      <c r="B111" s="118">
        <v>50331872</v>
      </c>
      <c r="C111" s="118" t="s">
        <v>572</v>
      </c>
      <c r="D111" s="118" t="s">
        <v>550</v>
      </c>
      <c r="E111" s="118" t="s">
        <v>645</v>
      </c>
      <c r="F111" s="118" t="s">
        <v>664</v>
      </c>
      <c r="G111" s="118" t="s">
        <v>664</v>
      </c>
      <c r="H111" s="118" t="s">
        <v>664</v>
      </c>
      <c r="I111" s="118" t="s">
        <v>475</v>
      </c>
      <c r="J111" s="118" t="s">
        <v>476</v>
      </c>
      <c r="K111" s="118" t="s">
        <v>548</v>
      </c>
      <c r="L111" s="118" t="s">
        <v>566</v>
      </c>
      <c r="M111" s="118" t="s">
        <v>647</v>
      </c>
      <c r="N111" s="118" t="s">
        <v>479</v>
      </c>
      <c r="O111" s="118">
        <v>0</v>
      </c>
      <c r="P111" s="118">
        <v>0</v>
      </c>
      <c r="Q111" s="118"/>
    </row>
    <row r="112" spans="2:17">
      <c r="B112" s="118">
        <v>50331873</v>
      </c>
      <c r="C112" s="118" t="s">
        <v>572</v>
      </c>
      <c r="D112" s="118" t="s">
        <v>552</v>
      </c>
      <c r="E112" s="118" t="s">
        <v>645</v>
      </c>
      <c r="F112" s="118" t="s">
        <v>665</v>
      </c>
      <c r="G112" s="118" t="s">
        <v>665</v>
      </c>
      <c r="H112" s="118" t="s">
        <v>665</v>
      </c>
      <c r="I112" s="118" t="s">
        <v>475</v>
      </c>
      <c r="J112" s="118" t="s">
        <v>476</v>
      </c>
      <c r="K112" s="118" t="s">
        <v>548</v>
      </c>
      <c r="L112" s="118" t="s">
        <v>566</v>
      </c>
      <c r="M112" s="118" t="s">
        <v>647</v>
      </c>
      <c r="N112" s="118" t="s">
        <v>479</v>
      </c>
      <c r="O112" s="118">
        <v>0</v>
      </c>
      <c r="P112" s="118">
        <v>0</v>
      </c>
      <c r="Q112" s="118"/>
    </row>
    <row r="113" spans="2:17">
      <c r="B113" s="118">
        <v>50331874</v>
      </c>
      <c r="C113" s="118" t="s">
        <v>572</v>
      </c>
      <c r="D113" s="118" t="s">
        <v>554</v>
      </c>
      <c r="E113" s="118" t="s">
        <v>645</v>
      </c>
      <c r="F113" s="118" t="s">
        <v>555</v>
      </c>
      <c r="G113" s="118" t="s">
        <v>555</v>
      </c>
      <c r="H113" s="118" t="s">
        <v>555</v>
      </c>
      <c r="I113" s="118" t="s">
        <v>475</v>
      </c>
      <c r="J113" s="118" t="s">
        <v>476</v>
      </c>
      <c r="K113" s="118" t="s">
        <v>548</v>
      </c>
      <c r="L113" s="118" t="s">
        <v>566</v>
      </c>
      <c r="M113" s="118" t="s">
        <v>647</v>
      </c>
      <c r="N113" s="118" t="s">
        <v>479</v>
      </c>
      <c r="O113" s="118">
        <v>0</v>
      </c>
      <c r="P113" s="118">
        <v>0</v>
      </c>
      <c r="Q113" s="118"/>
    </row>
    <row r="114" spans="2:17">
      <c r="B114" s="118">
        <v>50331875</v>
      </c>
      <c r="C114" s="118" t="s">
        <v>572</v>
      </c>
      <c r="D114" s="118" t="s">
        <v>556</v>
      </c>
      <c r="E114" s="118" t="s">
        <v>645</v>
      </c>
      <c r="F114" s="118" t="s">
        <v>557</v>
      </c>
      <c r="G114" s="118" t="s">
        <v>557</v>
      </c>
      <c r="H114" s="118" t="s">
        <v>557</v>
      </c>
      <c r="I114" s="118" t="s">
        <v>475</v>
      </c>
      <c r="J114" s="118" t="s">
        <v>476</v>
      </c>
      <c r="K114" s="118" t="s">
        <v>548</v>
      </c>
      <c r="L114" s="118" t="s">
        <v>566</v>
      </c>
      <c r="M114" s="118" t="s">
        <v>647</v>
      </c>
      <c r="N114" s="118" t="s">
        <v>479</v>
      </c>
      <c r="O114" s="118">
        <v>0</v>
      </c>
      <c r="P114" s="118">
        <v>0</v>
      </c>
      <c r="Q114" s="118"/>
    </row>
    <row r="115" spans="2:17">
      <c r="B115" s="118">
        <v>50331876</v>
      </c>
      <c r="C115" s="118" t="s">
        <v>572</v>
      </c>
      <c r="D115" s="118" t="s">
        <v>558</v>
      </c>
      <c r="E115" s="118" t="s">
        <v>645</v>
      </c>
      <c r="F115" s="118" t="s">
        <v>559</v>
      </c>
      <c r="G115" s="118" t="s">
        <v>559</v>
      </c>
      <c r="H115" s="118" t="s">
        <v>559</v>
      </c>
      <c r="I115" s="118" t="s">
        <v>475</v>
      </c>
      <c r="J115" s="118" t="s">
        <v>476</v>
      </c>
      <c r="K115" s="118" t="s">
        <v>548</v>
      </c>
      <c r="L115" s="118" t="s">
        <v>566</v>
      </c>
      <c r="M115" s="118" t="s">
        <v>647</v>
      </c>
      <c r="N115" s="118" t="s">
        <v>479</v>
      </c>
      <c r="O115" s="118">
        <v>0</v>
      </c>
      <c r="P115" s="118">
        <v>0</v>
      </c>
      <c r="Q115" s="118"/>
    </row>
    <row r="116" spans="2:17">
      <c r="B116" s="118">
        <v>50331877</v>
      </c>
      <c r="C116" s="118" t="s">
        <v>572</v>
      </c>
      <c r="D116" s="118" t="s">
        <v>560</v>
      </c>
      <c r="E116" s="118" t="s">
        <v>645</v>
      </c>
      <c r="F116" s="118" t="s">
        <v>561</v>
      </c>
      <c r="G116" s="118" t="s">
        <v>561</v>
      </c>
      <c r="H116" s="118" t="s">
        <v>561</v>
      </c>
      <c r="I116" s="118" t="s">
        <v>475</v>
      </c>
      <c r="J116" s="118" t="s">
        <v>476</v>
      </c>
      <c r="K116" s="118" t="s">
        <v>548</v>
      </c>
      <c r="L116" s="118" t="s">
        <v>566</v>
      </c>
      <c r="M116" s="118" t="s">
        <v>647</v>
      </c>
      <c r="N116" s="118" t="s">
        <v>479</v>
      </c>
      <c r="O116" s="118">
        <v>0</v>
      </c>
      <c r="P116" s="118">
        <v>0</v>
      </c>
      <c r="Q116" s="118"/>
    </row>
    <row r="117" spans="2:17">
      <c r="B117" s="118">
        <v>50331887</v>
      </c>
      <c r="C117" s="118" t="s">
        <v>572</v>
      </c>
      <c r="D117" s="118" t="s">
        <v>568</v>
      </c>
      <c r="E117" s="118" t="s">
        <v>645</v>
      </c>
      <c r="F117" s="118" t="s">
        <v>666</v>
      </c>
      <c r="G117" s="118" t="s">
        <v>666</v>
      </c>
      <c r="H117" s="118" t="s">
        <v>666</v>
      </c>
      <c r="I117" s="118" t="s">
        <v>475</v>
      </c>
      <c r="J117" s="118" t="s">
        <v>476</v>
      </c>
      <c r="K117" s="118" t="s">
        <v>548</v>
      </c>
      <c r="L117" s="118" t="s">
        <v>566</v>
      </c>
      <c r="M117" s="118" t="s">
        <v>647</v>
      </c>
      <c r="N117" s="118" t="s">
        <v>479</v>
      </c>
      <c r="O117" s="118">
        <v>0</v>
      </c>
      <c r="P117" s="118">
        <v>0</v>
      </c>
      <c r="Q117" s="118"/>
    </row>
    <row r="118" spans="2:17">
      <c r="B118" s="118">
        <v>50331888</v>
      </c>
      <c r="C118" s="118" t="s">
        <v>572</v>
      </c>
      <c r="D118" s="118" t="s">
        <v>667</v>
      </c>
      <c r="E118" s="118" t="s">
        <v>649</v>
      </c>
      <c r="F118" s="118" t="s">
        <v>668</v>
      </c>
      <c r="G118" s="118" t="s">
        <v>668</v>
      </c>
      <c r="H118" s="118" t="s">
        <v>668</v>
      </c>
      <c r="I118" s="118" t="s">
        <v>468</v>
      </c>
      <c r="J118" s="118" t="s">
        <v>469</v>
      </c>
      <c r="K118" s="118" t="s">
        <v>611</v>
      </c>
      <c r="L118" s="118" t="s">
        <v>566</v>
      </c>
      <c r="M118" s="118" t="s">
        <v>669</v>
      </c>
      <c r="N118" s="118" t="s">
        <v>500</v>
      </c>
      <c r="O118" s="118">
        <v>0</v>
      </c>
      <c r="P118" s="118">
        <v>0</v>
      </c>
      <c r="Q118" s="118"/>
    </row>
    <row r="119" spans="2:17">
      <c r="B119" s="118">
        <v>16777216</v>
      </c>
      <c r="C119" s="118" t="s">
        <v>670</v>
      </c>
      <c r="D119" s="118" t="s">
        <v>671</v>
      </c>
      <c r="E119" s="118" t="s">
        <v>672</v>
      </c>
      <c r="F119" s="118" t="s">
        <v>673</v>
      </c>
      <c r="G119" s="118" t="s">
        <v>673</v>
      </c>
      <c r="H119" s="118" t="s">
        <v>673</v>
      </c>
      <c r="I119" s="118" t="s">
        <v>475</v>
      </c>
      <c r="J119" s="118" t="s">
        <v>476</v>
      </c>
      <c r="K119" s="118" t="s">
        <v>548</v>
      </c>
      <c r="L119" s="118" t="s">
        <v>566</v>
      </c>
      <c r="M119" s="118" t="s">
        <v>647</v>
      </c>
      <c r="N119" s="118" t="s">
        <v>479</v>
      </c>
      <c r="O119" s="118">
        <v>0</v>
      </c>
      <c r="P119" s="118">
        <v>0</v>
      </c>
      <c r="Q119" s="118" t="s">
        <v>674</v>
      </c>
    </row>
    <row r="120" spans="2:17">
      <c r="B120" s="118">
        <v>16777217</v>
      </c>
      <c r="C120" s="118" t="s">
        <v>670</v>
      </c>
      <c r="D120" s="118" t="s">
        <v>675</v>
      </c>
      <c r="E120" s="118" t="s">
        <v>676</v>
      </c>
      <c r="F120" s="118" t="s">
        <v>677</v>
      </c>
      <c r="G120" s="118" t="s">
        <v>677</v>
      </c>
      <c r="H120" s="118" t="s">
        <v>677</v>
      </c>
      <c r="I120" s="118" t="s">
        <v>475</v>
      </c>
      <c r="J120" s="118" t="s">
        <v>476</v>
      </c>
      <c r="K120" s="118" t="s">
        <v>678</v>
      </c>
      <c r="L120" s="118" t="s">
        <v>679</v>
      </c>
      <c r="M120" s="118" t="s">
        <v>680</v>
      </c>
      <c r="N120" s="118" t="s">
        <v>479</v>
      </c>
      <c r="O120" s="118">
        <v>0</v>
      </c>
      <c r="P120" s="118">
        <v>0</v>
      </c>
      <c r="Q120" s="118"/>
    </row>
    <row r="121" spans="2:17">
      <c r="B121" s="118">
        <v>16777218</v>
      </c>
      <c r="C121" s="118" t="s">
        <v>670</v>
      </c>
      <c r="D121" s="118" t="s">
        <v>681</v>
      </c>
      <c r="E121" s="118" t="s">
        <v>682</v>
      </c>
      <c r="F121" s="118" t="s">
        <v>682</v>
      </c>
      <c r="G121" s="118" t="s">
        <v>682</v>
      </c>
      <c r="H121" s="118" t="s">
        <v>682</v>
      </c>
      <c r="I121" s="118"/>
      <c r="J121" s="118" t="s">
        <v>683</v>
      </c>
      <c r="K121" s="118"/>
      <c r="L121" s="118"/>
      <c r="M121" s="118"/>
      <c r="N121" s="118"/>
      <c r="O121" s="118">
        <v>1</v>
      </c>
      <c r="P121" s="118">
        <v>0</v>
      </c>
      <c r="Q121" s="118" t="s">
        <v>522</v>
      </c>
    </row>
    <row r="122" spans="2:17">
      <c r="B122" s="118">
        <v>16777219</v>
      </c>
      <c r="C122" s="118" t="s">
        <v>670</v>
      </c>
      <c r="D122" s="118" t="s">
        <v>684</v>
      </c>
      <c r="E122" s="118" t="s">
        <v>685</v>
      </c>
      <c r="F122" s="118" t="s">
        <v>685</v>
      </c>
      <c r="G122" s="118" t="s">
        <v>685</v>
      </c>
      <c r="H122" s="118" t="s">
        <v>685</v>
      </c>
      <c r="I122" s="118"/>
      <c r="J122" s="118" t="s">
        <v>683</v>
      </c>
      <c r="K122" s="118"/>
      <c r="L122" s="118"/>
      <c r="M122" s="118"/>
      <c r="N122" s="118"/>
      <c r="O122" s="118">
        <v>1</v>
      </c>
      <c r="P122" s="118">
        <v>0</v>
      </c>
      <c r="Q122" s="118" t="s">
        <v>522</v>
      </c>
    </row>
    <row r="123" spans="2:17">
      <c r="B123" s="118">
        <v>16777220</v>
      </c>
      <c r="C123" s="118" t="s">
        <v>670</v>
      </c>
      <c r="D123" s="118" t="s">
        <v>686</v>
      </c>
      <c r="E123" s="118" t="s">
        <v>687</v>
      </c>
      <c r="F123" s="118" t="s">
        <v>687</v>
      </c>
      <c r="G123" s="118" t="s">
        <v>687</v>
      </c>
      <c r="H123" s="118" t="s">
        <v>687</v>
      </c>
      <c r="I123" s="118"/>
      <c r="J123" s="118" t="s">
        <v>683</v>
      </c>
      <c r="K123" s="118"/>
      <c r="L123" s="118"/>
      <c r="M123" s="118"/>
      <c r="N123" s="118"/>
      <c r="O123" s="118">
        <v>1</v>
      </c>
      <c r="P123" s="118">
        <v>0</v>
      </c>
      <c r="Q123" s="118" t="s">
        <v>522</v>
      </c>
    </row>
    <row r="124" spans="2:17">
      <c r="B124" s="118">
        <v>16777221</v>
      </c>
      <c r="C124" s="118" t="s">
        <v>670</v>
      </c>
      <c r="D124" s="118" t="s">
        <v>688</v>
      </c>
      <c r="E124" s="118" t="s">
        <v>689</v>
      </c>
      <c r="F124" s="118" t="s">
        <v>690</v>
      </c>
      <c r="G124" s="118" t="s">
        <v>690</v>
      </c>
      <c r="H124" s="118" t="s">
        <v>690</v>
      </c>
      <c r="I124" s="118"/>
      <c r="J124" s="118" t="s">
        <v>683</v>
      </c>
      <c r="K124" s="118"/>
      <c r="L124" s="118"/>
      <c r="M124" s="118"/>
      <c r="N124" s="118"/>
      <c r="O124" s="118">
        <v>1</v>
      </c>
      <c r="P124" s="118">
        <v>0</v>
      </c>
      <c r="Q124" s="118" t="s">
        <v>522</v>
      </c>
    </row>
    <row r="125" spans="2:17">
      <c r="B125" s="118">
        <v>16777222</v>
      </c>
      <c r="C125" s="118" t="s">
        <v>670</v>
      </c>
      <c r="D125" s="118" t="s">
        <v>691</v>
      </c>
      <c r="E125" s="118" t="s">
        <v>676</v>
      </c>
      <c r="F125" s="118" t="s">
        <v>692</v>
      </c>
      <c r="G125" s="118" t="s">
        <v>692</v>
      </c>
      <c r="H125" s="118" t="s">
        <v>692</v>
      </c>
      <c r="I125" s="118" t="s">
        <v>475</v>
      </c>
      <c r="J125" s="118" t="s">
        <v>476</v>
      </c>
      <c r="K125" s="118" t="s">
        <v>678</v>
      </c>
      <c r="L125" s="118" t="s">
        <v>679</v>
      </c>
      <c r="M125" s="118" t="s">
        <v>680</v>
      </c>
      <c r="N125" s="118" t="s">
        <v>479</v>
      </c>
      <c r="O125" s="118">
        <v>0</v>
      </c>
      <c r="P125" s="118">
        <v>0</v>
      </c>
      <c r="Q125" s="118"/>
    </row>
    <row r="126" spans="2:17">
      <c r="B126" s="118">
        <v>16777223</v>
      </c>
      <c r="C126" s="118" t="s">
        <v>670</v>
      </c>
      <c r="D126" s="118" t="s">
        <v>693</v>
      </c>
      <c r="E126" s="118"/>
      <c r="F126" s="118" t="s">
        <v>694</v>
      </c>
      <c r="G126" s="118" t="s">
        <v>694</v>
      </c>
      <c r="H126" s="118" t="s">
        <v>694</v>
      </c>
      <c r="I126" s="118" t="s">
        <v>475</v>
      </c>
      <c r="J126" s="118" t="s">
        <v>683</v>
      </c>
      <c r="K126" s="118"/>
      <c r="L126" s="118"/>
      <c r="M126" s="118"/>
      <c r="N126" s="118"/>
      <c r="O126" s="118">
        <v>0</v>
      </c>
      <c r="P126" s="118">
        <v>0</v>
      </c>
      <c r="Q126" s="118" t="s">
        <v>522</v>
      </c>
    </row>
    <row r="127" spans="2:17">
      <c r="B127" s="118">
        <v>16777224</v>
      </c>
      <c r="C127" s="118" t="s">
        <v>670</v>
      </c>
      <c r="D127" s="118" t="s">
        <v>695</v>
      </c>
      <c r="E127" s="118" t="s">
        <v>676</v>
      </c>
      <c r="F127" s="118" t="s">
        <v>696</v>
      </c>
      <c r="G127" s="118" t="s">
        <v>696</v>
      </c>
      <c r="H127" s="118" t="s">
        <v>696</v>
      </c>
      <c r="I127" s="118" t="s">
        <v>475</v>
      </c>
      <c r="J127" s="118" t="s">
        <v>476</v>
      </c>
      <c r="K127" s="118" t="s">
        <v>678</v>
      </c>
      <c r="L127" s="118" t="s">
        <v>679</v>
      </c>
      <c r="M127" s="118" t="s">
        <v>680</v>
      </c>
      <c r="N127" s="118" t="s">
        <v>479</v>
      </c>
      <c r="O127" s="118">
        <v>0</v>
      </c>
      <c r="P127" s="118">
        <v>0</v>
      </c>
      <c r="Q127" s="118"/>
    </row>
    <row r="128" spans="2:17">
      <c r="B128" s="118">
        <v>16777225</v>
      </c>
      <c r="C128" s="118" t="s">
        <v>670</v>
      </c>
      <c r="D128" s="118" t="s">
        <v>697</v>
      </c>
      <c r="E128" s="118" t="s">
        <v>676</v>
      </c>
      <c r="F128" s="118" t="s">
        <v>698</v>
      </c>
      <c r="G128" s="118" t="s">
        <v>698</v>
      </c>
      <c r="H128" s="118" t="s">
        <v>698</v>
      </c>
      <c r="I128" s="118" t="s">
        <v>475</v>
      </c>
      <c r="J128" s="118" t="s">
        <v>476</v>
      </c>
      <c r="K128" s="118" t="s">
        <v>678</v>
      </c>
      <c r="L128" s="118" t="s">
        <v>679</v>
      </c>
      <c r="M128" s="118" t="s">
        <v>680</v>
      </c>
      <c r="N128" s="118" t="s">
        <v>479</v>
      </c>
      <c r="O128" s="118">
        <v>0</v>
      </c>
      <c r="P128" s="118">
        <v>0</v>
      </c>
      <c r="Q128" s="118"/>
    </row>
    <row r="129" spans="2:17">
      <c r="B129" s="118">
        <v>16777226</v>
      </c>
      <c r="C129" s="118" t="s">
        <v>670</v>
      </c>
      <c r="D129" s="118" t="s">
        <v>699</v>
      </c>
      <c r="E129" s="118" t="s">
        <v>700</v>
      </c>
      <c r="F129" s="118" t="s">
        <v>701</v>
      </c>
      <c r="G129" s="118" t="s">
        <v>701</v>
      </c>
      <c r="H129" s="118" t="s">
        <v>701</v>
      </c>
      <c r="I129" s="118" t="s">
        <v>475</v>
      </c>
      <c r="J129" s="118" t="s">
        <v>476</v>
      </c>
      <c r="K129" s="118" t="s">
        <v>548</v>
      </c>
      <c r="L129" s="118" t="s">
        <v>679</v>
      </c>
      <c r="M129" s="118" t="s">
        <v>702</v>
      </c>
      <c r="N129" s="118" t="s">
        <v>479</v>
      </c>
      <c r="O129" s="118">
        <v>0</v>
      </c>
      <c r="P129" s="118">
        <v>0</v>
      </c>
      <c r="Q129" s="118"/>
    </row>
    <row r="130" spans="2:17">
      <c r="B130" s="118">
        <v>16777227</v>
      </c>
      <c r="C130" s="118" t="s">
        <v>670</v>
      </c>
      <c r="D130" s="118" t="s">
        <v>703</v>
      </c>
      <c r="E130" s="118" t="s">
        <v>700</v>
      </c>
      <c r="F130" s="118" t="s">
        <v>704</v>
      </c>
      <c r="G130" s="118" t="s">
        <v>704</v>
      </c>
      <c r="H130" s="118" t="s">
        <v>704</v>
      </c>
      <c r="I130" s="118" t="s">
        <v>475</v>
      </c>
      <c r="J130" s="118" t="s">
        <v>476</v>
      </c>
      <c r="K130" s="118" t="s">
        <v>548</v>
      </c>
      <c r="L130" s="118" t="s">
        <v>679</v>
      </c>
      <c r="M130" s="118" t="s">
        <v>702</v>
      </c>
      <c r="N130" s="118" t="s">
        <v>479</v>
      </c>
      <c r="O130" s="118">
        <v>0</v>
      </c>
      <c r="P130" s="118">
        <v>0</v>
      </c>
      <c r="Q130" s="118"/>
    </row>
    <row r="131" spans="2:17">
      <c r="B131" s="118">
        <v>16777228</v>
      </c>
      <c r="C131" s="118" t="s">
        <v>670</v>
      </c>
      <c r="D131" s="118" t="s">
        <v>705</v>
      </c>
      <c r="E131" s="118" t="s">
        <v>706</v>
      </c>
      <c r="F131" s="118" t="s">
        <v>707</v>
      </c>
      <c r="G131" s="118" t="s">
        <v>707</v>
      </c>
      <c r="H131" s="118" t="s">
        <v>707</v>
      </c>
      <c r="I131" s="118" t="s">
        <v>475</v>
      </c>
      <c r="J131" s="118" t="s">
        <v>476</v>
      </c>
      <c r="K131" s="118" t="s">
        <v>548</v>
      </c>
      <c r="L131" s="118" t="s">
        <v>679</v>
      </c>
      <c r="M131" s="118" t="s">
        <v>702</v>
      </c>
      <c r="N131" s="118" t="s">
        <v>479</v>
      </c>
      <c r="O131" s="118">
        <v>0</v>
      </c>
      <c r="P131" s="118">
        <v>0</v>
      </c>
      <c r="Q131" s="118"/>
    </row>
    <row r="132" spans="2:17">
      <c r="B132" s="118">
        <v>16777229</v>
      </c>
      <c r="C132" s="118" t="s">
        <v>670</v>
      </c>
      <c r="D132" s="118" t="s">
        <v>708</v>
      </c>
      <c r="E132" s="118" t="s">
        <v>709</v>
      </c>
      <c r="F132" s="118" t="s">
        <v>710</v>
      </c>
      <c r="G132" s="118" t="s">
        <v>710</v>
      </c>
      <c r="H132" s="118" t="s">
        <v>710</v>
      </c>
      <c r="I132" s="118" t="s">
        <v>475</v>
      </c>
      <c r="J132" s="118" t="s">
        <v>476</v>
      </c>
      <c r="K132" s="118" t="s">
        <v>548</v>
      </c>
      <c r="L132" s="118" t="s">
        <v>679</v>
      </c>
      <c r="M132" s="118" t="s">
        <v>711</v>
      </c>
      <c r="N132" s="118" t="s">
        <v>479</v>
      </c>
      <c r="O132" s="118">
        <v>0</v>
      </c>
      <c r="P132" s="118">
        <v>0</v>
      </c>
      <c r="Q132" s="118"/>
    </row>
    <row r="133" spans="2:17">
      <c r="B133" s="118">
        <v>16777230</v>
      </c>
      <c r="C133" s="118" t="s">
        <v>670</v>
      </c>
      <c r="D133" s="118" t="s">
        <v>712</v>
      </c>
      <c r="E133" s="118" t="s">
        <v>709</v>
      </c>
      <c r="F133" s="118" t="s">
        <v>713</v>
      </c>
      <c r="G133" s="118" t="s">
        <v>713</v>
      </c>
      <c r="H133" s="118" t="s">
        <v>713</v>
      </c>
      <c r="I133" s="118" t="s">
        <v>475</v>
      </c>
      <c r="J133" s="118" t="s">
        <v>476</v>
      </c>
      <c r="K133" s="118" t="s">
        <v>548</v>
      </c>
      <c r="L133" s="118" t="s">
        <v>679</v>
      </c>
      <c r="M133" s="118" t="s">
        <v>711</v>
      </c>
      <c r="N133" s="118" t="s">
        <v>479</v>
      </c>
      <c r="O133" s="118">
        <v>0</v>
      </c>
      <c r="P133" s="118">
        <v>0</v>
      </c>
      <c r="Q133" s="118"/>
    </row>
    <row r="134" spans="2:17">
      <c r="B134" s="118">
        <v>16777231</v>
      </c>
      <c r="C134" s="118" t="s">
        <v>670</v>
      </c>
      <c r="D134" s="118" t="s">
        <v>714</v>
      </c>
      <c r="E134" s="118" t="s">
        <v>709</v>
      </c>
      <c r="F134" s="118" t="s">
        <v>715</v>
      </c>
      <c r="G134" s="118" t="s">
        <v>715</v>
      </c>
      <c r="H134" s="118" t="s">
        <v>715</v>
      </c>
      <c r="I134" s="118" t="s">
        <v>475</v>
      </c>
      <c r="J134" s="118" t="s">
        <v>476</v>
      </c>
      <c r="K134" s="118" t="s">
        <v>548</v>
      </c>
      <c r="L134" s="118" t="s">
        <v>679</v>
      </c>
      <c r="M134" s="118" t="s">
        <v>711</v>
      </c>
      <c r="N134" s="118" t="s">
        <v>479</v>
      </c>
      <c r="O134" s="118">
        <v>0</v>
      </c>
      <c r="P134" s="118">
        <v>0</v>
      </c>
      <c r="Q134" s="118"/>
    </row>
    <row r="135" spans="2:17">
      <c r="B135" s="118">
        <v>16777232</v>
      </c>
      <c r="C135" s="118" t="s">
        <v>670</v>
      </c>
      <c r="D135" s="118" t="s">
        <v>716</v>
      </c>
      <c r="E135" s="118"/>
      <c r="F135" s="118" t="s">
        <v>717</v>
      </c>
      <c r="G135" s="118" t="s">
        <v>717</v>
      </c>
      <c r="H135" s="118" t="s">
        <v>717</v>
      </c>
      <c r="I135" s="118"/>
      <c r="J135" s="118" t="s">
        <v>683</v>
      </c>
      <c r="K135" s="118"/>
      <c r="L135" s="118"/>
      <c r="M135" s="118"/>
      <c r="N135" s="118"/>
      <c r="O135" s="118">
        <v>1</v>
      </c>
      <c r="P135" s="118">
        <v>0</v>
      </c>
      <c r="Q135" s="118" t="s">
        <v>522</v>
      </c>
    </row>
    <row r="136" spans="2:17">
      <c r="B136" s="118">
        <v>16777233</v>
      </c>
      <c r="C136" s="118" t="s">
        <v>670</v>
      </c>
      <c r="D136" s="118" t="s">
        <v>718</v>
      </c>
      <c r="E136" s="118"/>
      <c r="F136" s="118" t="s">
        <v>719</v>
      </c>
      <c r="G136" s="118" t="s">
        <v>719</v>
      </c>
      <c r="H136" s="118" t="s">
        <v>719</v>
      </c>
      <c r="I136" s="118"/>
      <c r="J136" s="118" t="s">
        <v>683</v>
      </c>
      <c r="K136" s="118"/>
      <c r="L136" s="118"/>
      <c r="M136" s="118"/>
      <c r="N136" s="118"/>
      <c r="O136" s="118">
        <v>1</v>
      </c>
      <c r="P136" s="118">
        <v>0</v>
      </c>
      <c r="Q136" s="118" t="s">
        <v>522</v>
      </c>
    </row>
    <row r="137" spans="2:17">
      <c r="B137" s="118">
        <v>16777234</v>
      </c>
      <c r="C137" s="118" t="s">
        <v>670</v>
      </c>
      <c r="D137" s="118" t="s">
        <v>720</v>
      </c>
      <c r="E137" s="118"/>
      <c r="F137" s="118" t="s">
        <v>721</v>
      </c>
      <c r="G137" s="118" t="s">
        <v>721</v>
      </c>
      <c r="H137" s="118" t="s">
        <v>721</v>
      </c>
      <c r="I137" s="118"/>
      <c r="J137" s="118" t="s">
        <v>683</v>
      </c>
      <c r="K137" s="118"/>
      <c r="L137" s="118"/>
      <c r="M137" s="118"/>
      <c r="N137" s="118"/>
      <c r="O137" s="118">
        <v>1</v>
      </c>
      <c r="P137" s="118">
        <v>0</v>
      </c>
      <c r="Q137" s="118" t="s">
        <v>522</v>
      </c>
    </row>
    <row r="138" spans="2:17">
      <c r="B138" s="118">
        <v>16777235</v>
      </c>
      <c r="C138" s="118" t="s">
        <v>670</v>
      </c>
      <c r="D138" s="118" t="s">
        <v>722</v>
      </c>
      <c r="E138" s="118"/>
      <c r="F138" s="118" t="s">
        <v>723</v>
      </c>
      <c r="G138" s="118" t="s">
        <v>723</v>
      </c>
      <c r="H138" s="118" t="s">
        <v>723</v>
      </c>
      <c r="I138" s="118"/>
      <c r="J138" s="118" t="s">
        <v>683</v>
      </c>
      <c r="K138" s="118"/>
      <c r="L138" s="118"/>
      <c r="M138" s="118"/>
      <c r="N138" s="118"/>
      <c r="O138" s="118">
        <v>1</v>
      </c>
      <c r="P138" s="118">
        <v>0</v>
      </c>
      <c r="Q138" s="118" t="s">
        <v>522</v>
      </c>
    </row>
    <row r="139" spans="2:17">
      <c r="B139" s="128">
        <v>16777236</v>
      </c>
      <c r="C139" s="118" t="s">
        <v>670</v>
      </c>
      <c r="D139" s="118" t="s">
        <v>724</v>
      </c>
      <c r="E139" s="118"/>
      <c r="F139" s="118" t="s">
        <v>725</v>
      </c>
      <c r="G139" s="118" t="s">
        <v>725</v>
      </c>
      <c r="H139" s="118" t="s">
        <v>725</v>
      </c>
      <c r="I139" s="118"/>
      <c r="J139" s="118" t="s">
        <v>683</v>
      </c>
      <c r="K139" s="118"/>
      <c r="L139" s="118"/>
      <c r="M139" s="118"/>
      <c r="N139" s="118"/>
      <c r="O139" s="118">
        <v>1</v>
      </c>
      <c r="P139" s="118">
        <v>0</v>
      </c>
      <c r="Q139" s="118" t="s">
        <v>522</v>
      </c>
    </row>
    <row r="140" spans="2:17">
      <c r="B140" s="118">
        <v>16777237</v>
      </c>
      <c r="C140" s="118" t="s">
        <v>670</v>
      </c>
      <c r="D140" s="118" t="s">
        <v>726</v>
      </c>
      <c r="E140" s="118" t="s">
        <v>709</v>
      </c>
      <c r="F140" s="118" t="s">
        <v>727</v>
      </c>
      <c r="G140" s="118" t="s">
        <v>727</v>
      </c>
      <c r="H140" s="118" t="s">
        <v>727</v>
      </c>
      <c r="I140" s="118" t="s">
        <v>475</v>
      </c>
      <c r="J140" s="118" t="s">
        <v>476</v>
      </c>
      <c r="K140" s="118" t="s">
        <v>548</v>
      </c>
      <c r="L140" s="118" t="s">
        <v>728</v>
      </c>
      <c r="M140" s="118" t="s">
        <v>729</v>
      </c>
      <c r="N140" s="118" t="s">
        <v>479</v>
      </c>
      <c r="O140" s="118">
        <v>0</v>
      </c>
      <c r="P140" s="118">
        <v>1</v>
      </c>
      <c r="Q140" s="118"/>
    </row>
    <row r="141" spans="2:17">
      <c r="B141" s="118">
        <v>16777238</v>
      </c>
      <c r="C141" s="118" t="s">
        <v>670</v>
      </c>
      <c r="D141" s="118" t="s">
        <v>730</v>
      </c>
      <c r="E141" s="118"/>
      <c r="F141" s="118" t="s">
        <v>731</v>
      </c>
      <c r="G141" s="118" t="s">
        <v>731</v>
      </c>
      <c r="H141" s="118" t="s">
        <v>731</v>
      </c>
      <c r="I141" s="118"/>
      <c r="J141" s="118" t="s">
        <v>683</v>
      </c>
      <c r="K141" s="118"/>
      <c r="L141" s="118"/>
      <c r="M141" s="118"/>
      <c r="N141" s="118"/>
      <c r="O141" s="118">
        <v>1</v>
      </c>
      <c r="P141" s="118">
        <v>0</v>
      </c>
      <c r="Q141" s="118" t="s">
        <v>522</v>
      </c>
    </row>
    <row r="142" spans="2:17">
      <c r="B142" s="118">
        <v>16777239</v>
      </c>
      <c r="C142" s="118" t="s">
        <v>670</v>
      </c>
      <c r="D142" s="118" t="s">
        <v>732</v>
      </c>
      <c r="E142" s="118"/>
      <c r="F142" s="118" t="s">
        <v>733</v>
      </c>
      <c r="G142" s="118" t="s">
        <v>733</v>
      </c>
      <c r="H142" s="118" t="s">
        <v>733</v>
      </c>
      <c r="I142" s="118"/>
      <c r="J142" s="118" t="s">
        <v>683</v>
      </c>
      <c r="K142" s="118"/>
      <c r="L142" s="118"/>
      <c r="M142" s="118"/>
      <c r="N142" s="118"/>
      <c r="O142" s="118">
        <v>1</v>
      </c>
      <c r="P142" s="118">
        <v>0</v>
      </c>
      <c r="Q142" s="118" t="s">
        <v>522</v>
      </c>
    </row>
    <row r="143" spans="2:17">
      <c r="B143" s="118">
        <v>16777240</v>
      </c>
      <c r="C143" s="118" t="s">
        <v>670</v>
      </c>
      <c r="D143" s="118" t="s">
        <v>734</v>
      </c>
      <c r="E143" s="118"/>
      <c r="F143" s="118" t="s">
        <v>735</v>
      </c>
      <c r="G143" s="118" t="s">
        <v>735</v>
      </c>
      <c r="H143" s="118" t="s">
        <v>735</v>
      </c>
      <c r="I143" s="118"/>
      <c r="J143" s="118" t="s">
        <v>683</v>
      </c>
      <c r="K143" s="118"/>
      <c r="L143" s="118"/>
      <c r="M143" s="118"/>
      <c r="N143" s="118"/>
      <c r="O143" s="118">
        <v>1</v>
      </c>
      <c r="P143" s="118">
        <v>0</v>
      </c>
      <c r="Q143" s="118" t="s">
        <v>522</v>
      </c>
    </row>
    <row r="144" spans="2:17">
      <c r="B144" s="118">
        <v>16777241</v>
      </c>
      <c r="C144" s="118" t="s">
        <v>670</v>
      </c>
      <c r="D144" s="118" t="s">
        <v>736</v>
      </c>
      <c r="E144" s="118" t="s">
        <v>737</v>
      </c>
      <c r="F144" s="118" t="s">
        <v>738</v>
      </c>
      <c r="G144" s="118" t="s">
        <v>738</v>
      </c>
      <c r="H144" s="118" t="s">
        <v>738</v>
      </c>
      <c r="I144" s="118" t="s">
        <v>475</v>
      </c>
      <c r="J144" s="118" t="s">
        <v>476</v>
      </c>
      <c r="K144" s="118" t="s">
        <v>548</v>
      </c>
      <c r="L144" s="118" t="s">
        <v>728</v>
      </c>
      <c r="M144" s="118" t="s">
        <v>739</v>
      </c>
      <c r="N144" s="118" t="s">
        <v>479</v>
      </c>
      <c r="O144" s="118">
        <v>0</v>
      </c>
      <c r="P144" s="118">
        <v>0</v>
      </c>
      <c r="Q144" s="118"/>
    </row>
    <row r="145" spans="2:17">
      <c r="B145" s="118">
        <v>16777242</v>
      </c>
      <c r="C145" s="118" t="s">
        <v>670</v>
      </c>
      <c r="D145" s="118" t="s">
        <v>740</v>
      </c>
      <c r="E145" s="118" t="s">
        <v>709</v>
      </c>
      <c r="F145" s="118" t="s">
        <v>741</v>
      </c>
      <c r="G145" s="118" t="s">
        <v>741</v>
      </c>
      <c r="H145" s="118" t="s">
        <v>741</v>
      </c>
      <c r="I145" s="118" t="s">
        <v>475</v>
      </c>
      <c r="J145" s="118" t="s">
        <v>476</v>
      </c>
      <c r="K145" s="118" t="s">
        <v>548</v>
      </c>
      <c r="L145" s="118" t="s">
        <v>728</v>
      </c>
      <c r="M145" s="118" t="s">
        <v>742</v>
      </c>
      <c r="N145" s="118" t="s">
        <v>479</v>
      </c>
      <c r="O145" s="118">
        <v>0</v>
      </c>
      <c r="P145" s="118">
        <v>1</v>
      </c>
      <c r="Q145" s="118"/>
    </row>
    <row r="146" spans="2:17">
      <c r="B146" s="118">
        <v>16777243</v>
      </c>
      <c r="C146" s="118" t="s">
        <v>670</v>
      </c>
      <c r="D146" s="118" t="s">
        <v>743</v>
      </c>
      <c r="E146" s="118" t="s">
        <v>709</v>
      </c>
      <c r="F146" s="118" t="s">
        <v>744</v>
      </c>
      <c r="G146" s="118" t="s">
        <v>744</v>
      </c>
      <c r="H146" s="118" t="s">
        <v>744</v>
      </c>
      <c r="I146" s="118" t="s">
        <v>475</v>
      </c>
      <c r="J146" s="118" t="s">
        <v>476</v>
      </c>
      <c r="K146" s="118" t="s">
        <v>548</v>
      </c>
      <c r="L146" s="118" t="s">
        <v>728</v>
      </c>
      <c r="M146" s="118" t="s">
        <v>745</v>
      </c>
      <c r="N146" s="118" t="s">
        <v>479</v>
      </c>
      <c r="O146" s="118">
        <v>0</v>
      </c>
      <c r="P146" s="118">
        <v>1</v>
      </c>
      <c r="Q146" s="118"/>
    </row>
    <row r="147" spans="2:17">
      <c r="B147" s="118">
        <v>16777244</v>
      </c>
      <c r="C147" s="118" t="s">
        <v>670</v>
      </c>
      <c r="D147" s="118" t="s">
        <v>746</v>
      </c>
      <c r="E147" s="118"/>
      <c r="F147" s="118" t="s">
        <v>747</v>
      </c>
      <c r="G147" s="118" t="s">
        <v>747</v>
      </c>
      <c r="H147" s="118" t="s">
        <v>747</v>
      </c>
      <c r="I147" s="118"/>
      <c r="J147" s="118" t="s">
        <v>683</v>
      </c>
      <c r="K147" s="118"/>
      <c r="L147" s="118"/>
      <c r="M147" s="118"/>
      <c r="N147" s="118"/>
      <c r="O147" s="118">
        <v>1</v>
      </c>
      <c r="P147" s="118">
        <v>0</v>
      </c>
      <c r="Q147" s="118" t="s">
        <v>522</v>
      </c>
    </row>
    <row r="148" spans="2:17">
      <c r="B148" s="118">
        <v>16777245</v>
      </c>
      <c r="C148" s="118" t="s">
        <v>670</v>
      </c>
      <c r="D148" s="118" t="s">
        <v>748</v>
      </c>
      <c r="E148" s="118" t="s">
        <v>709</v>
      </c>
      <c r="F148" s="118" t="s">
        <v>749</v>
      </c>
      <c r="G148" s="118" t="s">
        <v>749</v>
      </c>
      <c r="H148" s="118" t="s">
        <v>749</v>
      </c>
      <c r="I148" s="118" t="s">
        <v>475</v>
      </c>
      <c r="J148" s="118" t="s">
        <v>476</v>
      </c>
      <c r="K148" s="118" t="s">
        <v>548</v>
      </c>
      <c r="L148" s="118" t="s">
        <v>728</v>
      </c>
      <c r="M148" s="118" t="s">
        <v>742</v>
      </c>
      <c r="N148" s="118" t="s">
        <v>479</v>
      </c>
      <c r="O148" s="118">
        <v>0</v>
      </c>
      <c r="P148" s="118">
        <v>1</v>
      </c>
      <c r="Q148" s="118"/>
    </row>
    <row r="149" spans="2:17">
      <c r="B149" s="118">
        <v>16777246</v>
      </c>
      <c r="C149" s="118" t="s">
        <v>670</v>
      </c>
      <c r="D149" s="118" t="s">
        <v>750</v>
      </c>
      <c r="E149" s="118" t="s">
        <v>709</v>
      </c>
      <c r="F149" s="118" t="s">
        <v>751</v>
      </c>
      <c r="G149" s="118" t="s">
        <v>751</v>
      </c>
      <c r="H149" s="118" t="s">
        <v>751</v>
      </c>
      <c r="I149" s="118" t="s">
        <v>475</v>
      </c>
      <c r="J149" s="118" t="s">
        <v>476</v>
      </c>
      <c r="K149" s="118" t="s">
        <v>548</v>
      </c>
      <c r="L149" s="118" t="s">
        <v>728</v>
      </c>
      <c r="M149" s="118" t="s">
        <v>742</v>
      </c>
      <c r="N149" s="118" t="s">
        <v>479</v>
      </c>
      <c r="O149" s="118">
        <v>0</v>
      </c>
      <c r="P149" s="118">
        <v>1</v>
      </c>
      <c r="Q149" s="118"/>
    </row>
    <row r="150" spans="2:17">
      <c r="B150" s="118">
        <v>16777247</v>
      </c>
      <c r="C150" s="118" t="s">
        <v>670</v>
      </c>
      <c r="D150" s="118" t="s">
        <v>752</v>
      </c>
      <c r="E150" s="118" t="s">
        <v>709</v>
      </c>
      <c r="F150" s="118" t="s">
        <v>753</v>
      </c>
      <c r="G150" s="118" t="s">
        <v>753</v>
      </c>
      <c r="H150" s="118" t="s">
        <v>753</v>
      </c>
      <c r="I150" s="118" t="s">
        <v>475</v>
      </c>
      <c r="J150" s="118" t="s">
        <v>476</v>
      </c>
      <c r="K150" s="118" t="s">
        <v>548</v>
      </c>
      <c r="L150" s="118" t="s">
        <v>728</v>
      </c>
      <c r="M150" s="118" t="s">
        <v>742</v>
      </c>
      <c r="N150" s="118" t="s">
        <v>479</v>
      </c>
      <c r="O150" s="118">
        <v>0</v>
      </c>
      <c r="P150" s="118">
        <v>1</v>
      </c>
      <c r="Q150" s="118"/>
    </row>
    <row r="151" spans="2:17">
      <c r="B151" s="118">
        <v>16777248</v>
      </c>
      <c r="C151" s="118" t="s">
        <v>670</v>
      </c>
      <c r="D151" s="118" t="s">
        <v>754</v>
      </c>
      <c r="E151" s="118" t="s">
        <v>755</v>
      </c>
      <c r="F151" s="118" t="s">
        <v>756</v>
      </c>
      <c r="G151" s="118" t="s">
        <v>756</v>
      </c>
      <c r="H151" s="118" t="s">
        <v>756</v>
      </c>
      <c r="I151" s="118" t="s">
        <v>56</v>
      </c>
      <c r="J151" s="118" t="s">
        <v>443</v>
      </c>
      <c r="K151" s="118" t="s">
        <v>565</v>
      </c>
      <c r="L151" s="118" t="s">
        <v>728</v>
      </c>
      <c r="M151" s="118" t="s">
        <v>757</v>
      </c>
      <c r="N151" s="118" t="s">
        <v>447</v>
      </c>
      <c r="O151" s="118">
        <v>0</v>
      </c>
      <c r="P151" s="118">
        <v>1</v>
      </c>
      <c r="Q151" s="118"/>
    </row>
    <row r="152" spans="2:17">
      <c r="B152" s="118">
        <v>16777249</v>
      </c>
      <c r="C152" s="118" t="s">
        <v>670</v>
      </c>
      <c r="D152" s="118" t="s">
        <v>758</v>
      </c>
      <c r="E152" s="118"/>
      <c r="F152" s="118" t="s">
        <v>759</v>
      </c>
      <c r="G152" s="118" t="s">
        <v>759</v>
      </c>
      <c r="H152" s="118" t="s">
        <v>759</v>
      </c>
      <c r="I152" s="118"/>
      <c r="J152" s="118" t="s">
        <v>683</v>
      </c>
      <c r="K152" s="118"/>
      <c r="L152" s="118"/>
      <c r="M152" s="118"/>
      <c r="N152" s="118"/>
      <c r="O152" s="118">
        <v>1</v>
      </c>
      <c r="P152" s="118">
        <v>0</v>
      </c>
      <c r="Q152" s="118" t="s">
        <v>522</v>
      </c>
    </row>
    <row r="153" spans="2:17">
      <c r="B153" s="118">
        <v>16777250</v>
      </c>
      <c r="C153" s="118" t="s">
        <v>670</v>
      </c>
      <c r="D153" s="118" t="s">
        <v>760</v>
      </c>
      <c r="E153" s="118"/>
      <c r="F153" s="118" t="s">
        <v>761</v>
      </c>
      <c r="G153" s="118" t="s">
        <v>761</v>
      </c>
      <c r="H153" s="118" t="s">
        <v>761</v>
      </c>
      <c r="I153" s="118"/>
      <c r="J153" s="118" t="s">
        <v>683</v>
      </c>
      <c r="K153" s="118"/>
      <c r="L153" s="118"/>
      <c r="M153" s="118"/>
      <c r="N153" s="118"/>
      <c r="O153" s="118">
        <v>1</v>
      </c>
      <c r="P153" s="118">
        <v>0</v>
      </c>
      <c r="Q153" s="118" t="s">
        <v>522</v>
      </c>
    </row>
    <row r="154" spans="2:17">
      <c r="B154" s="118">
        <v>16777251</v>
      </c>
      <c r="C154" s="118" t="s">
        <v>670</v>
      </c>
      <c r="D154" s="118" t="s">
        <v>762</v>
      </c>
      <c r="E154" s="118"/>
      <c r="F154" s="118" t="s">
        <v>763</v>
      </c>
      <c r="G154" s="118" t="s">
        <v>763</v>
      </c>
      <c r="H154" s="118" t="s">
        <v>763</v>
      </c>
      <c r="I154" s="118"/>
      <c r="J154" s="118" t="s">
        <v>683</v>
      </c>
      <c r="K154" s="118"/>
      <c r="L154" s="118"/>
      <c r="M154" s="118"/>
      <c r="N154" s="118"/>
      <c r="O154" s="118">
        <v>1</v>
      </c>
      <c r="P154" s="118">
        <v>0</v>
      </c>
      <c r="Q154" s="118" t="s">
        <v>522</v>
      </c>
    </row>
    <row r="155" spans="2:17">
      <c r="B155" s="118">
        <v>16777252</v>
      </c>
      <c r="C155" s="118" t="s">
        <v>670</v>
      </c>
      <c r="D155" s="118" t="s">
        <v>764</v>
      </c>
      <c r="E155" s="118"/>
      <c r="F155" s="118" t="s">
        <v>765</v>
      </c>
      <c r="G155" s="118" t="s">
        <v>765</v>
      </c>
      <c r="H155" s="118" t="s">
        <v>765</v>
      </c>
      <c r="I155" s="118"/>
      <c r="J155" s="118" t="s">
        <v>683</v>
      </c>
      <c r="K155" s="118"/>
      <c r="L155" s="118"/>
      <c r="M155" s="118"/>
      <c r="N155" s="118"/>
      <c r="O155" s="118">
        <v>1</v>
      </c>
      <c r="P155" s="118">
        <v>0</v>
      </c>
      <c r="Q155" s="118" t="s">
        <v>522</v>
      </c>
    </row>
    <row r="156" spans="2:17">
      <c r="B156" s="118">
        <v>16777253</v>
      </c>
      <c r="C156" s="118" t="s">
        <v>670</v>
      </c>
      <c r="D156" s="118" t="s">
        <v>766</v>
      </c>
      <c r="E156" s="118" t="s">
        <v>755</v>
      </c>
      <c r="F156" s="118" t="s">
        <v>654</v>
      </c>
      <c r="G156" s="118" t="s">
        <v>654</v>
      </c>
      <c r="H156" s="118" t="s">
        <v>654</v>
      </c>
      <c r="I156" s="118" t="s">
        <v>56</v>
      </c>
      <c r="J156" s="118" t="s">
        <v>443</v>
      </c>
      <c r="K156" s="118" t="s">
        <v>565</v>
      </c>
      <c r="L156" s="118" t="s">
        <v>728</v>
      </c>
      <c r="M156" s="118" t="s">
        <v>767</v>
      </c>
      <c r="N156" s="118" t="s">
        <v>447</v>
      </c>
      <c r="O156" s="118">
        <v>0</v>
      </c>
      <c r="P156" s="118">
        <v>1</v>
      </c>
      <c r="Q156" s="118"/>
    </row>
    <row r="157" spans="2:17">
      <c r="B157" s="118">
        <v>16777254</v>
      </c>
      <c r="C157" s="118" t="s">
        <v>670</v>
      </c>
      <c r="D157" s="118" t="s">
        <v>768</v>
      </c>
      <c r="E157" s="118" t="s">
        <v>577</v>
      </c>
      <c r="F157" s="118" t="s">
        <v>769</v>
      </c>
      <c r="G157" s="118" t="s">
        <v>769</v>
      </c>
      <c r="H157" s="118" t="s">
        <v>769</v>
      </c>
      <c r="I157" s="118" t="s">
        <v>56</v>
      </c>
      <c r="J157" s="118" t="s">
        <v>443</v>
      </c>
      <c r="K157" s="118" t="s">
        <v>444</v>
      </c>
      <c r="L157" s="118" t="s">
        <v>728</v>
      </c>
      <c r="M157" s="118" t="s">
        <v>770</v>
      </c>
      <c r="N157" s="118" t="s">
        <v>447</v>
      </c>
      <c r="O157" s="118">
        <v>0</v>
      </c>
      <c r="P157" s="118">
        <v>1</v>
      </c>
      <c r="Q157" s="118"/>
    </row>
    <row r="158" spans="2:17">
      <c r="B158" s="118">
        <v>16777472</v>
      </c>
      <c r="C158" s="118" t="s">
        <v>771</v>
      </c>
      <c r="D158" s="118" t="s">
        <v>772</v>
      </c>
      <c r="E158" s="118" t="s">
        <v>773</v>
      </c>
      <c r="F158" s="118" t="s">
        <v>774</v>
      </c>
      <c r="G158" s="118" t="s">
        <v>774</v>
      </c>
      <c r="H158" s="118" t="s">
        <v>774</v>
      </c>
      <c r="I158" s="118" t="s">
        <v>475</v>
      </c>
      <c r="J158" s="118" t="s">
        <v>476</v>
      </c>
      <c r="K158" s="118" t="s">
        <v>678</v>
      </c>
      <c r="L158" s="118" t="s">
        <v>728</v>
      </c>
      <c r="M158" s="118" t="s">
        <v>775</v>
      </c>
      <c r="N158" s="118" t="s">
        <v>479</v>
      </c>
      <c r="O158" s="118">
        <v>0</v>
      </c>
      <c r="P158" s="118">
        <v>0</v>
      </c>
      <c r="Q158" s="118"/>
    </row>
    <row r="159" spans="2:17">
      <c r="B159" s="118">
        <v>16777473</v>
      </c>
      <c r="C159" s="118" t="s">
        <v>771</v>
      </c>
      <c r="D159" s="118" t="s">
        <v>671</v>
      </c>
      <c r="E159" s="118" t="s">
        <v>776</v>
      </c>
      <c r="F159" s="118" t="s">
        <v>777</v>
      </c>
      <c r="G159" s="118" t="s">
        <v>777</v>
      </c>
      <c r="H159" s="118" t="s">
        <v>777</v>
      </c>
      <c r="I159" s="118" t="s">
        <v>475</v>
      </c>
      <c r="J159" s="118" t="s">
        <v>476</v>
      </c>
      <c r="K159" s="118" t="s">
        <v>678</v>
      </c>
      <c r="L159" s="118" t="s">
        <v>728</v>
      </c>
      <c r="M159" s="118" t="s">
        <v>775</v>
      </c>
      <c r="N159" s="118" t="s">
        <v>479</v>
      </c>
      <c r="O159" s="118">
        <v>0</v>
      </c>
      <c r="P159" s="118">
        <v>1</v>
      </c>
      <c r="Q159" s="118" t="s">
        <v>674</v>
      </c>
    </row>
    <row r="160" spans="2:17">
      <c r="B160" s="128">
        <v>16777728</v>
      </c>
      <c r="C160" s="118" t="s">
        <v>778</v>
      </c>
      <c r="D160" s="118" t="s">
        <v>779</v>
      </c>
      <c r="E160" s="118" t="s">
        <v>780</v>
      </c>
      <c r="F160" s="118" t="s">
        <v>780</v>
      </c>
      <c r="G160" s="118" t="s">
        <v>780</v>
      </c>
      <c r="H160" s="118" t="s">
        <v>780</v>
      </c>
      <c r="I160" s="118"/>
      <c r="J160" s="118" t="s">
        <v>781</v>
      </c>
      <c r="K160" s="118"/>
      <c r="L160" s="118"/>
      <c r="M160" s="118"/>
      <c r="N160" s="118"/>
      <c r="O160" s="118">
        <v>1</v>
      </c>
      <c r="P160" s="118">
        <v>0</v>
      </c>
      <c r="Q160" s="118" t="s">
        <v>522</v>
      </c>
    </row>
    <row r="161" spans="2:17">
      <c r="B161" s="118">
        <v>16777729</v>
      </c>
      <c r="C161" s="118" t="s">
        <v>778</v>
      </c>
      <c r="D161" s="118" t="s">
        <v>782</v>
      </c>
      <c r="E161" s="118" t="s">
        <v>783</v>
      </c>
      <c r="F161" s="118" t="s">
        <v>784</v>
      </c>
      <c r="G161" s="118" t="s">
        <v>784</v>
      </c>
      <c r="H161" s="118" t="s">
        <v>784</v>
      </c>
      <c r="I161" s="118" t="s">
        <v>56</v>
      </c>
      <c r="J161" s="118" t="s">
        <v>443</v>
      </c>
      <c r="K161" s="118" t="s">
        <v>444</v>
      </c>
      <c r="L161" s="118" t="s">
        <v>728</v>
      </c>
      <c r="M161" s="118" t="s">
        <v>785</v>
      </c>
      <c r="N161" s="118" t="s">
        <v>447</v>
      </c>
      <c r="O161" s="118">
        <v>0</v>
      </c>
      <c r="P161" s="118">
        <v>0</v>
      </c>
      <c r="Q161" s="118"/>
    </row>
    <row r="162" spans="2:17">
      <c r="B162" s="118">
        <v>16777730</v>
      </c>
      <c r="C162" s="118" t="s">
        <v>778</v>
      </c>
      <c r="D162" s="118" t="s">
        <v>786</v>
      </c>
      <c r="E162" s="118" t="s">
        <v>787</v>
      </c>
      <c r="F162" s="118" t="s">
        <v>787</v>
      </c>
      <c r="G162" s="118" t="s">
        <v>787</v>
      </c>
      <c r="H162" s="118" t="s">
        <v>787</v>
      </c>
      <c r="I162" s="118"/>
      <c r="J162" s="118" t="s">
        <v>781</v>
      </c>
      <c r="K162" s="118"/>
      <c r="L162" s="118"/>
      <c r="M162" s="118"/>
      <c r="N162" s="118"/>
      <c r="O162" s="118">
        <v>1</v>
      </c>
      <c r="P162" s="118">
        <v>0</v>
      </c>
      <c r="Q162" s="118" t="s">
        <v>522</v>
      </c>
    </row>
    <row r="163" spans="2:17">
      <c r="B163" s="118">
        <v>16777731</v>
      </c>
      <c r="C163" s="118" t="s">
        <v>778</v>
      </c>
      <c r="D163" s="118" t="s">
        <v>671</v>
      </c>
      <c r="E163" s="118" t="s">
        <v>788</v>
      </c>
      <c r="F163" s="118" t="s">
        <v>789</v>
      </c>
      <c r="G163" s="118" t="s">
        <v>789</v>
      </c>
      <c r="H163" s="118" t="s">
        <v>789</v>
      </c>
      <c r="I163" s="118" t="s">
        <v>475</v>
      </c>
      <c r="J163" s="118" t="s">
        <v>476</v>
      </c>
      <c r="K163" s="118" t="s">
        <v>548</v>
      </c>
      <c r="L163" s="118" t="s">
        <v>728</v>
      </c>
      <c r="M163" s="118" t="s">
        <v>742</v>
      </c>
      <c r="N163" s="118" t="s">
        <v>479</v>
      </c>
      <c r="O163" s="118">
        <v>0</v>
      </c>
      <c r="P163" s="118">
        <v>1</v>
      </c>
      <c r="Q163" s="118" t="s">
        <v>674</v>
      </c>
    </row>
    <row r="164" spans="2:17">
      <c r="B164" s="118">
        <v>16777732</v>
      </c>
      <c r="C164" s="118" t="s">
        <v>778</v>
      </c>
      <c r="D164" s="118" t="s">
        <v>790</v>
      </c>
      <c r="E164" s="118" t="s">
        <v>791</v>
      </c>
      <c r="F164" s="118" t="s">
        <v>792</v>
      </c>
      <c r="G164" s="118" t="s">
        <v>792</v>
      </c>
      <c r="H164" s="118" t="s">
        <v>792</v>
      </c>
      <c r="I164" s="118"/>
      <c r="J164" s="118" t="s">
        <v>793</v>
      </c>
      <c r="K164" s="118"/>
      <c r="L164" s="118"/>
      <c r="M164" s="118"/>
      <c r="N164" s="118"/>
      <c r="O164" s="118">
        <v>1</v>
      </c>
      <c r="P164" s="118">
        <v>0</v>
      </c>
      <c r="Q164" s="118" t="s">
        <v>522</v>
      </c>
    </row>
    <row r="165" spans="2:17">
      <c r="B165" s="118">
        <v>16777984</v>
      </c>
      <c r="C165" s="118" t="s">
        <v>794</v>
      </c>
      <c r="D165" s="118" t="s">
        <v>795</v>
      </c>
      <c r="E165" s="118" t="s">
        <v>788</v>
      </c>
      <c r="F165" s="118" t="s">
        <v>796</v>
      </c>
      <c r="G165" s="118" t="s">
        <v>796</v>
      </c>
      <c r="H165" s="118" t="s">
        <v>796</v>
      </c>
      <c r="I165" s="118" t="s">
        <v>475</v>
      </c>
      <c r="J165" s="118" t="s">
        <v>476</v>
      </c>
      <c r="K165" s="118" t="s">
        <v>548</v>
      </c>
      <c r="L165" s="118" t="s">
        <v>728</v>
      </c>
      <c r="M165" s="118" t="s">
        <v>742</v>
      </c>
      <c r="N165" s="118" t="s">
        <v>479</v>
      </c>
      <c r="O165" s="118">
        <v>0</v>
      </c>
      <c r="P165" s="118">
        <v>1</v>
      </c>
      <c r="Q165" s="118"/>
    </row>
    <row r="166" spans="2:17">
      <c r="B166" s="118">
        <v>16777985</v>
      </c>
      <c r="C166" s="118" t="s">
        <v>794</v>
      </c>
      <c r="D166" s="118" t="s">
        <v>797</v>
      </c>
      <c r="E166" s="118" t="s">
        <v>788</v>
      </c>
      <c r="F166" s="118" t="s">
        <v>798</v>
      </c>
      <c r="G166" s="118" t="s">
        <v>798</v>
      </c>
      <c r="H166" s="118" t="s">
        <v>798</v>
      </c>
      <c r="I166" s="118" t="s">
        <v>475</v>
      </c>
      <c r="J166" s="118" t="s">
        <v>476</v>
      </c>
      <c r="K166" s="118" t="s">
        <v>548</v>
      </c>
      <c r="L166" s="118" t="s">
        <v>728</v>
      </c>
      <c r="M166" s="118" t="s">
        <v>742</v>
      </c>
      <c r="N166" s="118" t="s">
        <v>479</v>
      </c>
      <c r="O166" s="118">
        <v>0</v>
      </c>
      <c r="P166" s="118">
        <v>1</v>
      </c>
      <c r="Q166" s="118"/>
    </row>
    <row r="167" spans="2:17">
      <c r="B167" s="118">
        <v>16777986</v>
      </c>
      <c r="C167" s="118" t="s">
        <v>794</v>
      </c>
      <c r="D167" s="118" t="s">
        <v>799</v>
      </c>
      <c r="E167" s="118" t="s">
        <v>788</v>
      </c>
      <c r="F167" s="118" t="s">
        <v>800</v>
      </c>
      <c r="G167" s="118" t="s">
        <v>800</v>
      </c>
      <c r="H167" s="118" t="s">
        <v>800</v>
      </c>
      <c r="I167" s="118" t="s">
        <v>475</v>
      </c>
      <c r="J167" s="118" t="s">
        <v>476</v>
      </c>
      <c r="K167" s="118" t="s">
        <v>548</v>
      </c>
      <c r="L167" s="118" t="s">
        <v>728</v>
      </c>
      <c r="M167" s="118" t="s">
        <v>742</v>
      </c>
      <c r="N167" s="118" t="s">
        <v>479</v>
      </c>
      <c r="O167" s="118">
        <v>0</v>
      </c>
      <c r="P167" s="118">
        <v>1</v>
      </c>
      <c r="Q167" s="118"/>
    </row>
    <row r="168" spans="2:17">
      <c r="B168" s="118">
        <v>16777987</v>
      </c>
      <c r="C168" s="118" t="s">
        <v>794</v>
      </c>
      <c r="D168" s="118" t="s">
        <v>801</v>
      </c>
      <c r="E168" s="118" t="s">
        <v>788</v>
      </c>
      <c r="F168" s="118" t="s">
        <v>802</v>
      </c>
      <c r="G168" s="118" t="s">
        <v>802</v>
      </c>
      <c r="H168" s="118" t="s">
        <v>802</v>
      </c>
      <c r="I168" s="118" t="s">
        <v>475</v>
      </c>
      <c r="J168" s="118" t="s">
        <v>476</v>
      </c>
      <c r="K168" s="118" t="s">
        <v>548</v>
      </c>
      <c r="L168" s="118" t="s">
        <v>728</v>
      </c>
      <c r="M168" s="118" t="s">
        <v>742</v>
      </c>
      <c r="N168" s="118" t="s">
        <v>479</v>
      </c>
      <c r="O168" s="118">
        <v>0</v>
      </c>
      <c r="P168" s="118">
        <v>1</v>
      </c>
      <c r="Q168" s="118"/>
    </row>
    <row r="169" spans="2:17">
      <c r="B169" s="118">
        <v>16777988</v>
      </c>
      <c r="C169" s="118" t="s">
        <v>794</v>
      </c>
      <c r="D169" s="118" t="s">
        <v>803</v>
      </c>
      <c r="E169" s="118" t="s">
        <v>788</v>
      </c>
      <c r="F169" s="118" t="s">
        <v>804</v>
      </c>
      <c r="G169" s="118" t="s">
        <v>804</v>
      </c>
      <c r="H169" s="118" t="s">
        <v>804</v>
      </c>
      <c r="I169" s="118" t="s">
        <v>475</v>
      </c>
      <c r="J169" s="118" t="s">
        <v>476</v>
      </c>
      <c r="K169" s="118" t="s">
        <v>548</v>
      </c>
      <c r="L169" s="118" t="s">
        <v>728</v>
      </c>
      <c r="M169" s="118" t="s">
        <v>742</v>
      </c>
      <c r="N169" s="118" t="s">
        <v>479</v>
      </c>
      <c r="O169" s="118">
        <v>0</v>
      </c>
      <c r="P169" s="118">
        <v>1</v>
      </c>
      <c r="Q169" s="118"/>
    </row>
    <row r="170" spans="2:17">
      <c r="B170" s="118">
        <v>16777989</v>
      </c>
      <c r="C170" s="118" t="s">
        <v>794</v>
      </c>
      <c r="D170" s="118" t="s">
        <v>805</v>
      </c>
      <c r="E170" s="118" t="s">
        <v>788</v>
      </c>
      <c r="F170" s="118" t="s">
        <v>806</v>
      </c>
      <c r="G170" s="118" t="s">
        <v>806</v>
      </c>
      <c r="H170" s="118" t="s">
        <v>806</v>
      </c>
      <c r="I170" s="118" t="s">
        <v>475</v>
      </c>
      <c r="J170" s="118" t="s">
        <v>476</v>
      </c>
      <c r="K170" s="118" t="s">
        <v>548</v>
      </c>
      <c r="L170" s="118" t="s">
        <v>728</v>
      </c>
      <c r="M170" s="118" t="s">
        <v>742</v>
      </c>
      <c r="N170" s="118" t="s">
        <v>479</v>
      </c>
      <c r="O170" s="118">
        <v>0</v>
      </c>
      <c r="P170" s="118">
        <v>1</v>
      </c>
      <c r="Q170" s="118"/>
    </row>
    <row r="171" spans="2:17">
      <c r="B171" s="118">
        <v>16777990</v>
      </c>
      <c r="C171" s="118" t="s">
        <v>794</v>
      </c>
      <c r="D171" s="118" t="s">
        <v>671</v>
      </c>
      <c r="E171" s="118" t="s">
        <v>788</v>
      </c>
      <c r="F171" s="118" t="s">
        <v>807</v>
      </c>
      <c r="G171" s="118" t="s">
        <v>807</v>
      </c>
      <c r="H171" s="118" t="s">
        <v>807</v>
      </c>
      <c r="I171" s="118" t="s">
        <v>475</v>
      </c>
      <c r="J171" s="118" t="s">
        <v>476</v>
      </c>
      <c r="K171" s="118" t="s">
        <v>548</v>
      </c>
      <c r="L171" s="118" t="s">
        <v>728</v>
      </c>
      <c r="M171" s="118" t="s">
        <v>742</v>
      </c>
      <c r="N171" s="118" t="s">
        <v>479</v>
      </c>
      <c r="O171" s="118">
        <v>0</v>
      </c>
      <c r="P171" s="118">
        <v>1</v>
      </c>
      <c r="Q171" s="118" t="s">
        <v>674</v>
      </c>
    </row>
    <row r="172" spans="2:17">
      <c r="B172" s="118">
        <v>16778240</v>
      </c>
      <c r="C172" s="118" t="s">
        <v>808</v>
      </c>
      <c r="D172" s="118" t="s">
        <v>809</v>
      </c>
      <c r="E172" s="118" t="s">
        <v>810</v>
      </c>
      <c r="F172" s="118" t="s">
        <v>811</v>
      </c>
      <c r="G172" s="118" t="s">
        <v>811</v>
      </c>
      <c r="H172" s="118" t="s">
        <v>811</v>
      </c>
      <c r="I172" s="118" t="s">
        <v>468</v>
      </c>
      <c r="J172" s="118" t="s">
        <v>469</v>
      </c>
      <c r="K172" s="118" t="s">
        <v>497</v>
      </c>
      <c r="L172" s="118" t="s">
        <v>728</v>
      </c>
      <c r="M172" s="118" t="s">
        <v>812</v>
      </c>
      <c r="N172" s="118" t="s">
        <v>500</v>
      </c>
      <c r="O172" s="118">
        <v>0</v>
      </c>
      <c r="P172" s="118">
        <v>1</v>
      </c>
      <c r="Q172" s="118"/>
    </row>
    <row r="173" spans="2:17">
      <c r="B173" s="118">
        <v>16778241</v>
      </c>
      <c r="C173" s="118" t="s">
        <v>808</v>
      </c>
      <c r="D173" s="118" t="s">
        <v>813</v>
      </c>
      <c r="E173" s="118" t="s">
        <v>810</v>
      </c>
      <c r="F173" s="118" t="s">
        <v>814</v>
      </c>
      <c r="G173" s="118" t="s">
        <v>814</v>
      </c>
      <c r="H173" s="118" t="s">
        <v>814</v>
      </c>
      <c r="I173" s="118" t="s">
        <v>468</v>
      </c>
      <c r="J173" s="118" t="s">
        <v>469</v>
      </c>
      <c r="K173" s="118" t="s">
        <v>611</v>
      </c>
      <c r="L173" s="118" t="s">
        <v>728</v>
      </c>
      <c r="M173" s="118" t="s">
        <v>815</v>
      </c>
      <c r="N173" s="118" t="s">
        <v>500</v>
      </c>
      <c r="O173" s="118">
        <v>0</v>
      </c>
      <c r="P173" s="118">
        <v>1</v>
      </c>
      <c r="Q173" s="118"/>
    </row>
    <row r="174" spans="2:17">
      <c r="B174" s="118">
        <v>16778242</v>
      </c>
      <c r="C174" s="118" t="s">
        <v>808</v>
      </c>
      <c r="D174" s="118" t="s">
        <v>816</v>
      </c>
      <c r="E174" s="118" t="s">
        <v>810</v>
      </c>
      <c r="F174" s="118" t="s">
        <v>817</v>
      </c>
      <c r="G174" s="118" t="s">
        <v>817</v>
      </c>
      <c r="H174" s="118" t="s">
        <v>817</v>
      </c>
      <c r="I174" s="118" t="s">
        <v>468</v>
      </c>
      <c r="J174" s="118" t="s">
        <v>469</v>
      </c>
      <c r="K174" s="118" t="s">
        <v>497</v>
      </c>
      <c r="L174" s="118" t="s">
        <v>728</v>
      </c>
      <c r="M174" s="118" t="s">
        <v>818</v>
      </c>
      <c r="N174" s="118" t="s">
        <v>500</v>
      </c>
      <c r="O174" s="118">
        <v>0</v>
      </c>
      <c r="P174" s="118">
        <v>1</v>
      </c>
      <c r="Q174" s="118"/>
    </row>
    <row r="175" spans="2:17">
      <c r="B175" s="118">
        <v>16778243</v>
      </c>
      <c r="C175" s="118" t="s">
        <v>808</v>
      </c>
      <c r="D175" s="118" t="s">
        <v>819</v>
      </c>
      <c r="E175" s="118" t="s">
        <v>810</v>
      </c>
      <c r="F175" s="118" t="s">
        <v>820</v>
      </c>
      <c r="G175" s="118" t="s">
        <v>820</v>
      </c>
      <c r="H175" s="118" t="s">
        <v>820</v>
      </c>
      <c r="I175" s="118" t="s">
        <v>475</v>
      </c>
      <c r="J175" s="118" t="s">
        <v>469</v>
      </c>
      <c r="K175" s="118" t="s">
        <v>497</v>
      </c>
      <c r="L175" s="118" t="s">
        <v>728</v>
      </c>
      <c r="M175" s="118" t="s">
        <v>821</v>
      </c>
      <c r="N175" s="118" t="s">
        <v>500</v>
      </c>
      <c r="O175" s="118">
        <v>0</v>
      </c>
      <c r="P175" s="118">
        <v>1</v>
      </c>
      <c r="Q175" s="118"/>
    </row>
    <row r="176" spans="2:17">
      <c r="B176" s="118">
        <v>16778244</v>
      </c>
      <c r="C176" s="118" t="s">
        <v>808</v>
      </c>
      <c r="D176" s="118" t="s">
        <v>671</v>
      </c>
      <c r="E176" s="118" t="s">
        <v>810</v>
      </c>
      <c r="F176" s="118" t="s">
        <v>822</v>
      </c>
      <c r="G176" s="118" t="s">
        <v>822</v>
      </c>
      <c r="H176" s="118" t="s">
        <v>822</v>
      </c>
      <c r="I176" s="118" t="s">
        <v>468</v>
      </c>
      <c r="J176" s="118" t="s">
        <v>469</v>
      </c>
      <c r="K176" s="118" t="s">
        <v>497</v>
      </c>
      <c r="L176" s="118" t="s">
        <v>728</v>
      </c>
      <c r="M176" s="118" t="s">
        <v>823</v>
      </c>
      <c r="N176" s="118" t="s">
        <v>500</v>
      </c>
      <c r="O176" s="118">
        <v>0</v>
      </c>
      <c r="P176" s="118">
        <v>1</v>
      </c>
      <c r="Q176" s="118" t="s">
        <v>674</v>
      </c>
    </row>
    <row r="177" spans="2:17">
      <c r="B177" s="118">
        <v>16778245</v>
      </c>
      <c r="C177" s="118" t="s">
        <v>808</v>
      </c>
      <c r="D177" s="118" t="s">
        <v>824</v>
      </c>
      <c r="E177" s="118" t="s">
        <v>825</v>
      </c>
      <c r="F177" s="118" t="s">
        <v>826</v>
      </c>
      <c r="G177" s="118" t="s">
        <v>826</v>
      </c>
      <c r="H177" s="118" t="s">
        <v>826</v>
      </c>
      <c r="I177" s="118" t="s">
        <v>475</v>
      </c>
      <c r="J177" s="118" t="s">
        <v>476</v>
      </c>
      <c r="K177" s="118" t="s">
        <v>678</v>
      </c>
      <c r="L177" s="118" t="s">
        <v>728</v>
      </c>
      <c r="M177" s="118" t="s">
        <v>827</v>
      </c>
      <c r="N177" s="118" t="s">
        <v>479</v>
      </c>
      <c r="O177" s="118">
        <v>0</v>
      </c>
      <c r="P177" s="118">
        <v>1</v>
      </c>
      <c r="Q177" s="118"/>
    </row>
  </sheetData>
  <mergeCells count="3">
    <mergeCell ref="B2:H2"/>
    <mergeCell ref="B6:H6"/>
    <mergeCell ref="B11:L11"/>
  </mergeCells>
  <dataValidations count="1">
    <dataValidation type="list" allowBlank="1" showInputMessage="1" showErrorMessage="1" sqref="E4">
      <formula1>"quarter,hour,day,week,month,year,维表"</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9"/>
  <sheetViews>
    <sheetView workbookViewId="0">
      <selection activeCell="E10" sqref="E10"/>
    </sheetView>
  </sheetViews>
  <sheetFormatPr defaultColWidth="9" defaultRowHeight="15.6"/>
  <cols>
    <col min="1" max="1" width="5" style="88" customWidth="1"/>
    <col min="2" max="2" width="16.3333333333333" style="88" customWidth="1"/>
    <col min="3" max="3" width="20.3333333333333" style="88" customWidth="1"/>
    <col min="4" max="4" width="20.4444444444444" style="88" customWidth="1"/>
    <col min="5" max="5" width="16.2222222222222" style="88" customWidth="1"/>
    <col min="6" max="6" width="23.2222222222222" style="88" customWidth="1"/>
    <col min="7" max="8" width="12.7777777777778" style="88" customWidth="1"/>
    <col min="9" max="9" width="8.66666666666667" style="88" customWidth="1"/>
    <col min="10" max="10" width="13" style="88" customWidth="1"/>
    <col min="11" max="11" width="8.66666666666667" style="88" customWidth="1"/>
    <col min="12" max="12" width="8.66666666666667" style="89" customWidth="1"/>
    <col min="13" max="16384" width="9" style="89"/>
  </cols>
  <sheetData>
    <row r="1" spans="2:8">
      <c r="B1" s="90" t="str">
        <f>HYPERLINK("#"&amp;"导航"&amp;"!B1","返回")</f>
        <v>返回</v>
      </c>
      <c r="C1" s="91"/>
      <c r="D1" s="91"/>
      <c r="E1" s="91"/>
      <c r="F1" s="91"/>
      <c r="G1" s="91"/>
      <c r="H1" s="91"/>
    </row>
    <row r="2" ht="17.4" spans="2:8">
      <c r="B2" s="92" t="s">
        <v>183</v>
      </c>
      <c r="C2" s="92"/>
      <c r="D2" s="92"/>
      <c r="E2" s="92"/>
      <c r="F2" s="92"/>
      <c r="G2" s="92"/>
      <c r="H2" s="92"/>
    </row>
    <row r="3" spans="2:8">
      <c r="B3" s="93" t="s">
        <v>4</v>
      </c>
      <c r="C3" s="93" t="s">
        <v>184</v>
      </c>
      <c r="D3" s="93" t="s">
        <v>185</v>
      </c>
      <c r="E3" s="93" t="s">
        <v>186</v>
      </c>
      <c r="F3" s="93" t="s">
        <v>187</v>
      </c>
      <c r="G3" s="93" t="s">
        <v>7</v>
      </c>
      <c r="H3" s="93" t="s">
        <v>188</v>
      </c>
    </row>
    <row r="4" ht="26.4" spans="2:14">
      <c r="B4" s="94"/>
      <c r="C4" s="56" t="s">
        <v>62</v>
      </c>
      <c r="D4" s="95" t="s">
        <v>63</v>
      </c>
      <c r="E4" s="96" t="s">
        <v>401</v>
      </c>
      <c r="F4" s="97" t="s">
        <v>828</v>
      </c>
      <c r="G4" s="96"/>
      <c r="H4" s="96"/>
      <c r="N4" s="88"/>
    </row>
    <row r="5" spans="2:8">
      <c r="B5" s="98"/>
      <c r="C5" s="98"/>
      <c r="D5" s="98"/>
      <c r="E5" s="98"/>
      <c r="F5" s="98"/>
      <c r="G5" s="98"/>
      <c r="H5" s="98"/>
    </row>
    <row r="6" ht="17.4" spans="2:8">
      <c r="B6" s="92" t="s">
        <v>190</v>
      </c>
      <c r="C6" s="92"/>
      <c r="D6" s="92"/>
      <c r="E6" s="92"/>
      <c r="F6" s="92"/>
      <c r="G6" s="92"/>
      <c r="H6" s="92"/>
    </row>
    <row r="7" spans="2:8">
      <c r="B7" s="99" t="s">
        <v>191</v>
      </c>
      <c r="C7" s="99" t="s">
        <v>192</v>
      </c>
      <c r="D7" s="99" t="s">
        <v>193</v>
      </c>
      <c r="E7" s="99" t="s">
        <v>194</v>
      </c>
      <c r="F7" s="99" t="s">
        <v>195</v>
      </c>
      <c r="G7" s="99" t="s">
        <v>17</v>
      </c>
      <c r="H7" s="99" t="s">
        <v>196</v>
      </c>
    </row>
    <row r="8" spans="2:8">
      <c r="B8" s="96"/>
      <c r="C8" s="95"/>
      <c r="D8" s="95"/>
      <c r="E8" s="96" t="s">
        <v>199</v>
      </c>
      <c r="F8" s="96"/>
      <c r="G8" s="56"/>
      <c r="H8" s="100" t="s">
        <v>90</v>
      </c>
    </row>
    <row r="9" spans="2:8">
      <c r="B9" s="96"/>
      <c r="C9" s="95"/>
      <c r="D9" s="95"/>
      <c r="E9" s="96" t="s">
        <v>202</v>
      </c>
      <c r="F9" s="96"/>
      <c r="G9" s="56"/>
      <c r="H9" s="100"/>
    </row>
    <row r="11" spans="2:12">
      <c r="B11" s="101" t="s">
        <v>204</v>
      </c>
      <c r="C11" s="102"/>
      <c r="D11" s="102"/>
      <c r="E11" s="102"/>
      <c r="F11" s="102"/>
      <c r="G11" s="102"/>
      <c r="H11" s="102"/>
      <c r="I11" s="102"/>
      <c r="J11" s="102"/>
      <c r="K11" s="102"/>
      <c r="L11" s="119"/>
    </row>
    <row r="12" spans="2:12">
      <c r="B12" s="103" t="s">
        <v>205</v>
      </c>
      <c r="C12" s="103" t="s">
        <v>206</v>
      </c>
      <c r="D12" s="103" t="s">
        <v>207</v>
      </c>
      <c r="E12" s="103" t="s">
        <v>208</v>
      </c>
      <c r="F12" s="103" t="s">
        <v>209</v>
      </c>
      <c r="G12" s="103" t="s">
        <v>210</v>
      </c>
      <c r="H12" s="103" t="s">
        <v>211</v>
      </c>
      <c r="I12" s="103" t="s">
        <v>17</v>
      </c>
      <c r="J12" s="103" t="s">
        <v>212</v>
      </c>
      <c r="K12" s="103" t="s">
        <v>213</v>
      </c>
      <c r="L12" s="103" t="s">
        <v>214</v>
      </c>
    </row>
    <row r="13" spans="2:13">
      <c r="B13" s="104" t="s">
        <v>829</v>
      </c>
      <c r="C13" s="105" t="s">
        <v>220</v>
      </c>
      <c r="D13" s="106" t="s">
        <v>829</v>
      </c>
      <c r="E13" s="107"/>
      <c r="F13" s="107"/>
      <c r="G13" s="107"/>
      <c r="H13" s="107"/>
      <c r="I13" s="107"/>
      <c r="J13" s="107"/>
      <c r="K13" s="107"/>
      <c r="L13" s="107"/>
      <c r="M13" s="16" t="str">
        <f>_xlfn.CONCAT("`",B13,"` ",C13,",")</f>
        <v>`cause_type` int,</v>
      </c>
    </row>
    <row r="14" ht="26.4" spans="2:13">
      <c r="B14" s="108" t="s">
        <v>830</v>
      </c>
      <c r="C14" s="105" t="s">
        <v>220</v>
      </c>
      <c r="D14" s="106" t="s">
        <v>403</v>
      </c>
      <c r="E14" s="107"/>
      <c r="F14" s="107"/>
      <c r="G14" s="107"/>
      <c r="H14" s="107"/>
      <c r="I14" s="107"/>
      <c r="J14" s="107"/>
      <c r="K14" s="107"/>
      <c r="L14" s="107"/>
      <c r="M14" s="16" t="str">
        <f t="shared" ref="M14:M22" si="0">_xlfn.CONCAT("`",B14,"` ",C14,",")</f>
        <v>`control_plane_code` int,</v>
      </c>
    </row>
    <row r="15" spans="2:13">
      <c r="B15" s="109" t="s">
        <v>831</v>
      </c>
      <c r="C15" s="105" t="s">
        <v>220</v>
      </c>
      <c r="D15" s="106" t="s">
        <v>832</v>
      </c>
      <c r="E15" s="107"/>
      <c r="F15" s="107"/>
      <c r="G15" s="107"/>
      <c r="H15" s="107"/>
      <c r="I15" s="107"/>
      <c r="J15" s="107"/>
      <c r="K15" s="107"/>
      <c r="L15" s="107"/>
      <c r="M15" s="16" t="str">
        <f t="shared" si="0"/>
        <v>`repeat_flag` int,</v>
      </c>
    </row>
    <row r="16" spans="2:13">
      <c r="B16" s="108" t="s">
        <v>833</v>
      </c>
      <c r="C16" s="107" t="s">
        <v>216</v>
      </c>
      <c r="D16" s="106" t="s">
        <v>834</v>
      </c>
      <c r="E16" s="107"/>
      <c r="F16" s="107"/>
      <c r="G16" s="107"/>
      <c r="H16" s="107"/>
      <c r="I16" s="107"/>
      <c r="J16" s="107"/>
      <c r="K16" s="107"/>
      <c r="L16" s="107"/>
      <c r="M16" s="16" t="str">
        <f t="shared" si="0"/>
        <v>`process_class` string,</v>
      </c>
    </row>
    <row r="17" spans="2:13">
      <c r="B17" s="109" t="s">
        <v>835</v>
      </c>
      <c r="C17" s="107" t="s">
        <v>216</v>
      </c>
      <c r="D17" s="106" t="s">
        <v>836</v>
      </c>
      <c r="E17" s="107"/>
      <c r="F17" s="107"/>
      <c r="G17" s="107"/>
      <c r="H17" s="107"/>
      <c r="I17" s="107"/>
      <c r="J17" s="107"/>
      <c r="K17" s="107"/>
      <c r="L17" s="107"/>
      <c r="M17" s="16" t="str">
        <f t="shared" si="0"/>
        <v>`reason_class` string,</v>
      </c>
    </row>
    <row r="18" ht="26.4" spans="2:13">
      <c r="B18" s="109" t="s">
        <v>416</v>
      </c>
      <c r="C18" s="107" t="s">
        <v>216</v>
      </c>
      <c r="D18" s="106" t="s">
        <v>417</v>
      </c>
      <c r="E18" s="107"/>
      <c r="F18" s="107"/>
      <c r="G18" s="107"/>
      <c r="H18" s="107"/>
      <c r="I18" s="107"/>
      <c r="J18" s="107"/>
      <c r="K18" s="107"/>
      <c r="L18" s="107"/>
      <c r="M18" s="16" t="str">
        <f t="shared" si="0"/>
        <v>`problem_demarcation` string,</v>
      </c>
    </row>
    <row r="19" ht="26.4" spans="2:13">
      <c r="B19" s="109" t="s">
        <v>418</v>
      </c>
      <c r="C19" s="107" t="s">
        <v>216</v>
      </c>
      <c r="D19" s="106" t="s">
        <v>419</v>
      </c>
      <c r="E19" s="107"/>
      <c r="F19" s="107"/>
      <c r="G19" s="107"/>
      <c r="H19" s="107"/>
      <c r="I19" s="107"/>
      <c r="J19" s="107"/>
      <c r="K19" s="107"/>
      <c r="L19" s="107"/>
      <c r="M19" s="16" t="str">
        <f t="shared" si="0"/>
        <v>`sub_problem_demarcation` string,</v>
      </c>
    </row>
    <row r="20" spans="2:13">
      <c r="B20" s="110" t="s">
        <v>406</v>
      </c>
      <c r="C20" s="107" t="s">
        <v>216</v>
      </c>
      <c r="D20" s="106" t="s">
        <v>407</v>
      </c>
      <c r="E20" s="107"/>
      <c r="F20" s="107"/>
      <c r="G20" s="107"/>
      <c r="H20" s="107"/>
      <c r="I20" s="107"/>
      <c r="J20" s="107"/>
      <c r="K20" s="107"/>
      <c r="L20" s="107"/>
      <c r="M20" s="16" t="str">
        <f t="shared" si="0"/>
        <v>`content` string,</v>
      </c>
    </row>
    <row r="21" spans="2:13">
      <c r="B21" s="110" t="s">
        <v>410</v>
      </c>
      <c r="C21" s="107" t="s">
        <v>216</v>
      </c>
      <c r="D21" s="106" t="s">
        <v>411</v>
      </c>
      <c r="E21" s="107"/>
      <c r="F21" s="107"/>
      <c r="G21" s="107"/>
      <c r="H21" s="107"/>
      <c r="I21" s="107"/>
      <c r="J21" s="107"/>
      <c r="K21" s="107"/>
      <c r="L21" s="107"/>
      <c r="M21" s="16" t="str">
        <f t="shared" si="0"/>
        <v>`fail_reason` string,</v>
      </c>
    </row>
    <row r="22" spans="2:13">
      <c r="B22" s="109" t="s">
        <v>431</v>
      </c>
      <c r="C22" s="107" t="s">
        <v>220</v>
      </c>
      <c r="D22" s="106" t="s">
        <v>438</v>
      </c>
      <c r="E22" s="107"/>
      <c r="F22" s="107"/>
      <c r="G22" s="107"/>
      <c r="H22" s="107"/>
      <c r="I22" s="107" t="s">
        <v>433</v>
      </c>
      <c r="J22" s="107"/>
      <c r="K22" s="107"/>
      <c r="L22" s="107"/>
      <c r="M22" s="16" t="str">
        <f t="shared" si="0"/>
        <v>`drop_flag` int,</v>
      </c>
    </row>
    <row r="25" spans="2:2">
      <c r="B25" s="111" t="s">
        <v>435</v>
      </c>
    </row>
    <row r="26" spans="2:5">
      <c r="B26" s="112" t="s">
        <v>436</v>
      </c>
      <c r="C26" s="112" t="s">
        <v>436</v>
      </c>
      <c r="E26" s="112" t="s">
        <v>436</v>
      </c>
    </row>
    <row r="27" s="87" customFormat="1" ht="26.4" spans="1:12">
      <c r="A27" s="113"/>
      <c r="B27" s="114" t="s">
        <v>829</v>
      </c>
      <c r="C27" s="115" t="s">
        <v>830</v>
      </c>
      <c r="D27" s="116" t="s">
        <v>831</v>
      </c>
      <c r="E27" s="115" t="s">
        <v>833</v>
      </c>
      <c r="F27" s="116" t="s">
        <v>835</v>
      </c>
      <c r="G27" s="116" t="s">
        <v>416</v>
      </c>
      <c r="H27" s="116" t="s">
        <v>418</v>
      </c>
      <c r="I27" s="120" t="s">
        <v>406</v>
      </c>
      <c r="J27" s="110" t="s">
        <v>410</v>
      </c>
      <c r="K27" s="116" t="s">
        <v>431</v>
      </c>
      <c r="L27" s="110" t="s">
        <v>428</v>
      </c>
    </row>
    <row r="28" spans="2:12">
      <c r="B28" s="117" t="s">
        <v>829</v>
      </c>
      <c r="C28" s="117" t="s">
        <v>403</v>
      </c>
      <c r="D28" s="117" t="s">
        <v>832</v>
      </c>
      <c r="E28" s="117" t="s">
        <v>834</v>
      </c>
      <c r="F28" s="117" t="s">
        <v>836</v>
      </c>
      <c r="G28" s="117" t="s">
        <v>417</v>
      </c>
      <c r="H28" s="117" t="s">
        <v>419</v>
      </c>
      <c r="I28" s="117" t="s">
        <v>407</v>
      </c>
      <c r="J28" s="117" t="s">
        <v>411</v>
      </c>
      <c r="K28" s="117" t="s">
        <v>438</v>
      </c>
      <c r="L28" s="117" t="s">
        <v>837</v>
      </c>
    </row>
    <row r="29" spans="2:12">
      <c r="B29" s="118">
        <v>1</v>
      </c>
      <c r="C29" s="118">
        <v>3</v>
      </c>
      <c r="D29" s="118">
        <v>2</v>
      </c>
      <c r="E29" s="118" t="s">
        <v>838</v>
      </c>
      <c r="F29" s="118" t="s">
        <v>838</v>
      </c>
      <c r="G29" s="118" t="s">
        <v>574</v>
      </c>
      <c r="H29" s="118"/>
      <c r="I29" s="118" t="s">
        <v>839</v>
      </c>
      <c r="J29" s="118"/>
      <c r="K29" s="118">
        <v>0</v>
      </c>
      <c r="L29" s="95">
        <v>0</v>
      </c>
    </row>
    <row r="30" spans="2:12">
      <c r="B30" s="118">
        <v>1</v>
      </c>
      <c r="C30" s="118">
        <v>5</v>
      </c>
      <c r="D30" s="118">
        <v>2</v>
      </c>
      <c r="E30" s="118" t="s">
        <v>838</v>
      </c>
      <c r="F30" s="118" t="s">
        <v>838</v>
      </c>
      <c r="G30" s="118" t="s">
        <v>56</v>
      </c>
      <c r="H30" s="118" t="s">
        <v>840</v>
      </c>
      <c r="I30" s="118" t="s">
        <v>841</v>
      </c>
      <c r="J30" s="118"/>
      <c r="K30" s="118">
        <v>0</v>
      </c>
      <c r="L30" s="95">
        <v>0</v>
      </c>
    </row>
    <row r="31" spans="2:12">
      <c r="B31" s="118">
        <v>1</v>
      </c>
      <c r="C31" s="118">
        <v>6</v>
      </c>
      <c r="D31" s="118">
        <v>2</v>
      </c>
      <c r="E31" s="118" t="s">
        <v>838</v>
      </c>
      <c r="F31" s="118" t="s">
        <v>838</v>
      </c>
      <c r="G31" s="118" t="s">
        <v>56</v>
      </c>
      <c r="H31" s="118" t="s">
        <v>840</v>
      </c>
      <c r="I31" s="118" t="s">
        <v>454</v>
      </c>
      <c r="J31" s="118"/>
      <c r="K31" s="118">
        <v>0</v>
      </c>
      <c r="L31" s="95">
        <v>0</v>
      </c>
    </row>
    <row r="32" spans="2:12">
      <c r="B32" s="118">
        <v>1</v>
      </c>
      <c r="C32" s="118">
        <v>7</v>
      </c>
      <c r="D32" s="118">
        <v>2</v>
      </c>
      <c r="E32" s="118" t="s">
        <v>838</v>
      </c>
      <c r="F32" s="118" t="s">
        <v>838</v>
      </c>
      <c r="G32" s="118" t="s">
        <v>468</v>
      </c>
      <c r="H32" s="118" t="s">
        <v>468</v>
      </c>
      <c r="I32" s="118" t="s">
        <v>842</v>
      </c>
      <c r="J32" s="118"/>
      <c r="K32" s="118">
        <v>0</v>
      </c>
      <c r="L32" s="95">
        <v>0</v>
      </c>
    </row>
    <row r="33" spans="2:12">
      <c r="B33" s="118">
        <v>1</v>
      </c>
      <c r="C33" s="118">
        <v>9</v>
      </c>
      <c r="D33" s="118">
        <v>2</v>
      </c>
      <c r="E33" s="118" t="s">
        <v>838</v>
      </c>
      <c r="F33" s="118" t="s">
        <v>838</v>
      </c>
      <c r="G33" s="118" t="s">
        <v>56</v>
      </c>
      <c r="H33" s="118" t="s">
        <v>840</v>
      </c>
      <c r="I33" s="118" t="s">
        <v>843</v>
      </c>
      <c r="J33" s="118"/>
      <c r="K33" s="118">
        <v>0</v>
      </c>
      <c r="L33" s="95">
        <v>0</v>
      </c>
    </row>
    <row r="34" spans="2:12">
      <c r="B34" s="118">
        <v>1</v>
      </c>
      <c r="C34" s="118">
        <v>10</v>
      </c>
      <c r="D34" s="118">
        <v>2</v>
      </c>
      <c r="E34" s="118" t="s">
        <v>838</v>
      </c>
      <c r="F34" s="118" t="s">
        <v>838</v>
      </c>
      <c r="G34" s="118" t="s">
        <v>468</v>
      </c>
      <c r="H34" s="118" t="s">
        <v>468</v>
      </c>
      <c r="I34" s="118" t="s">
        <v>844</v>
      </c>
      <c r="J34" s="118"/>
      <c r="K34" s="118">
        <v>0</v>
      </c>
      <c r="L34" s="95">
        <v>0</v>
      </c>
    </row>
    <row r="35" spans="2:12">
      <c r="B35" s="118">
        <v>1</v>
      </c>
      <c r="C35" s="118">
        <v>11</v>
      </c>
      <c r="D35" s="118">
        <v>2</v>
      </c>
      <c r="E35" s="118" t="s">
        <v>838</v>
      </c>
      <c r="F35" s="118" t="s">
        <v>838</v>
      </c>
      <c r="G35" s="118" t="s">
        <v>468</v>
      </c>
      <c r="H35" s="118" t="s">
        <v>468</v>
      </c>
      <c r="I35" s="118" t="s">
        <v>480</v>
      </c>
      <c r="J35" s="118"/>
      <c r="K35" s="118">
        <v>0</v>
      </c>
      <c r="L35" s="95">
        <v>0</v>
      </c>
    </row>
    <row r="36" spans="2:12">
      <c r="B36" s="118">
        <v>1</v>
      </c>
      <c r="C36" s="118">
        <v>12</v>
      </c>
      <c r="D36" s="118">
        <v>2</v>
      </c>
      <c r="E36" s="118" t="s">
        <v>838</v>
      </c>
      <c r="F36" s="118" t="s">
        <v>838</v>
      </c>
      <c r="G36" s="118" t="s">
        <v>468</v>
      </c>
      <c r="H36" s="118" t="s">
        <v>468</v>
      </c>
      <c r="I36" s="118" t="s">
        <v>845</v>
      </c>
      <c r="J36" s="118"/>
      <c r="K36" s="118">
        <v>0</v>
      </c>
      <c r="L36" s="95">
        <v>0</v>
      </c>
    </row>
    <row r="37" spans="2:12">
      <c r="B37" s="118">
        <v>1</v>
      </c>
      <c r="C37" s="118">
        <v>13</v>
      </c>
      <c r="D37" s="118">
        <v>2</v>
      </c>
      <c r="E37" s="118" t="s">
        <v>838</v>
      </c>
      <c r="F37" s="118" t="s">
        <v>838</v>
      </c>
      <c r="G37" s="118" t="s">
        <v>468</v>
      </c>
      <c r="H37" s="118" t="s">
        <v>468</v>
      </c>
      <c r="I37" s="118" t="s">
        <v>846</v>
      </c>
      <c r="J37" s="118"/>
      <c r="K37" s="118">
        <v>0</v>
      </c>
      <c r="L37" s="95">
        <v>0</v>
      </c>
    </row>
    <row r="38" spans="2:12">
      <c r="B38" s="118">
        <v>1</v>
      </c>
      <c r="C38" s="118">
        <v>15</v>
      </c>
      <c r="D38" s="118">
        <v>2</v>
      </c>
      <c r="E38" s="118" t="s">
        <v>838</v>
      </c>
      <c r="F38" s="118" t="s">
        <v>838</v>
      </c>
      <c r="G38" s="118" t="s">
        <v>475</v>
      </c>
      <c r="H38" s="118" t="s">
        <v>847</v>
      </c>
      <c r="I38" s="118" t="s">
        <v>848</v>
      </c>
      <c r="J38" s="118"/>
      <c r="K38" s="118">
        <v>0</v>
      </c>
      <c r="L38" s="95">
        <v>0</v>
      </c>
    </row>
    <row r="39" spans="2:12">
      <c r="B39" s="118">
        <v>1</v>
      </c>
      <c r="C39" s="118">
        <v>20</v>
      </c>
      <c r="D39" s="118">
        <v>2</v>
      </c>
      <c r="E39" s="118" t="s">
        <v>838</v>
      </c>
      <c r="F39" s="118" t="s">
        <v>838</v>
      </c>
      <c r="G39" s="118" t="s">
        <v>475</v>
      </c>
      <c r="H39" s="118" t="s">
        <v>847</v>
      </c>
      <c r="I39" s="118" t="s">
        <v>505</v>
      </c>
      <c r="J39" s="118"/>
      <c r="K39" s="118">
        <v>0</v>
      </c>
      <c r="L39" s="95">
        <v>0</v>
      </c>
    </row>
    <row r="40" spans="2:12">
      <c r="B40" s="118">
        <v>1</v>
      </c>
      <c r="C40" s="118">
        <v>21</v>
      </c>
      <c r="D40" s="118">
        <v>2</v>
      </c>
      <c r="E40" s="118" t="s">
        <v>838</v>
      </c>
      <c r="F40" s="118" t="s">
        <v>838</v>
      </c>
      <c r="G40" s="118" t="s">
        <v>475</v>
      </c>
      <c r="H40" s="118" t="s">
        <v>847</v>
      </c>
      <c r="I40" s="118" t="s">
        <v>508</v>
      </c>
      <c r="J40" s="118"/>
      <c r="K40" s="118">
        <v>0</v>
      </c>
      <c r="L40" s="95">
        <v>0</v>
      </c>
    </row>
    <row r="41" spans="2:12">
      <c r="B41" s="118">
        <v>1</v>
      </c>
      <c r="C41" s="118">
        <v>22</v>
      </c>
      <c r="D41" s="118">
        <v>3</v>
      </c>
      <c r="E41" s="118" t="s">
        <v>838</v>
      </c>
      <c r="F41" s="118" t="s">
        <v>838</v>
      </c>
      <c r="G41" s="118" t="s">
        <v>468</v>
      </c>
      <c r="H41" s="118" t="s">
        <v>468</v>
      </c>
      <c r="I41" s="118" t="s">
        <v>510</v>
      </c>
      <c r="J41" s="118"/>
      <c r="K41" s="118">
        <v>0</v>
      </c>
      <c r="L41" s="95">
        <v>0</v>
      </c>
    </row>
    <row r="42" spans="2:12">
      <c r="B42" s="118">
        <v>1</v>
      </c>
      <c r="C42" s="118">
        <v>23</v>
      </c>
      <c r="D42" s="118">
        <v>2</v>
      </c>
      <c r="E42" s="118" t="s">
        <v>838</v>
      </c>
      <c r="F42" s="118" t="s">
        <v>838</v>
      </c>
      <c r="G42" s="118" t="s">
        <v>56</v>
      </c>
      <c r="H42" s="118" t="s">
        <v>840</v>
      </c>
      <c r="I42" s="118" t="s">
        <v>849</v>
      </c>
      <c r="J42" s="118"/>
      <c r="K42" s="118">
        <v>0</v>
      </c>
      <c r="L42" s="95">
        <v>0</v>
      </c>
    </row>
    <row r="43" spans="2:12">
      <c r="B43" s="118">
        <v>1</v>
      </c>
      <c r="C43" s="118">
        <v>24</v>
      </c>
      <c r="D43" s="118">
        <v>2</v>
      </c>
      <c r="E43" s="118" t="s">
        <v>838</v>
      </c>
      <c r="F43" s="118" t="s">
        <v>838</v>
      </c>
      <c r="G43" s="118" t="s">
        <v>56</v>
      </c>
      <c r="H43" s="118" t="s">
        <v>840</v>
      </c>
      <c r="I43" s="118" t="s">
        <v>850</v>
      </c>
      <c r="J43" s="118"/>
      <c r="K43" s="118">
        <v>0</v>
      </c>
      <c r="L43" s="95">
        <v>0</v>
      </c>
    </row>
    <row r="44" spans="2:12">
      <c r="B44" s="118">
        <v>1</v>
      </c>
      <c r="C44" s="118">
        <v>26</v>
      </c>
      <c r="D44" s="118">
        <v>2</v>
      </c>
      <c r="E44" s="118" t="s">
        <v>838</v>
      </c>
      <c r="F44" s="118" t="s">
        <v>838</v>
      </c>
      <c r="G44" s="118" t="s">
        <v>56</v>
      </c>
      <c r="H44" s="118" t="s">
        <v>840</v>
      </c>
      <c r="I44" s="118" t="s">
        <v>851</v>
      </c>
      <c r="J44" s="118"/>
      <c r="K44" s="118">
        <v>0</v>
      </c>
      <c r="L44" s="95">
        <v>0</v>
      </c>
    </row>
    <row r="45" spans="2:12">
      <c r="B45" s="118">
        <v>1</v>
      </c>
      <c r="C45" s="118">
        <v>27</v>
      </c>
      <c r="D45" s="118">
        <v>2</v>
      </c>
      <c r="E45" s="118" t="s">
        <v>838</v>
      </c>
      <c r="F45" s="118" t="s">
        <v>838</v>
      </c>
      <c r="G45" s="118" t="s">
        <v>468</v>
      </c>
      <c r="H45" s="118" t="s">
        <v>468</v>
      </c>
      <c r="I45" s="118" t="s">
        <v>852</v>
      </c>
      <c r="J45" s="118"/>
      <c r="K45" s="118">
        <v>0</v>
      </c>
      <c r="L45" s="95">
        <v>0</v>
      </c>
    </row>
    <row r="46" spans="2:12">
      <c r="B46" s="118">
        <v>1</v>
      </c>
      <c r="C46" s="118">
        <v>28</v>
      </c>
      <c r="D46" s="118">
        <v>2</v>
      </c>
      <c r="E46" s="118" t="s">
        <v>838</v>
      </c>
      <c r="F46" s="118" t="s">
        <v>838</v>
      </c>
      <c r="G46" s="118" t="s">
        <v>475</v>
      </c>
      <c r="H46" s="118" t="s">
        <v>847</v>
      </c>
      <c r="I46" s="118" t="s">
        <v>853</v>
      </c>
      <c r="J46" s="118"/>
      <c r="K46" s="118">
        <v>0</v>
      </c>
      <c r="L46" s="95">
        <v>0</v>
      </c>
    </row>
    <row r="47" spans="2:12">
      <c r="B47" s="118">
        <v>1</v>
      </c>
      <c r="C47" s="118">
        <v>31</v>
      </c>
      <c r="D47" s="118">
        <v>2</v>
      </c>
      <c r="E47" s="118" t="s">
        <v>838</v>
      </c>
      <c r="F47" s="118" t="s">
        <v>838</v>
      </c>
      <c r="G47" s="118" t="s">
        <v>574</v>
      </c>
      <c r="H47" s="118"/>
      <c r="I47" s="118" t="s">
        <v>854</v>
      </c>
      <c r="J47" s="118"/>
      <c r="K47" s="118">
        <v>0</v>
      </c>
      <c r="L47" s="95">
        <v>0</v>
      </c>
    </row>
    <row r="48" spans="2:12">
      <c r="B48" s="118">
        <v>1</v>
      </c>
      <c r="C48" s="118">
        <v>36</v>
      </c>
      <c r="D48" s="118">
        <v>2</v>
      </c>
      <c r="E48" s="118" t="s">
        <v>838</v>
      </c>
      <c r="F48" s="118" t="s">
        <v>838</v>
      </c>
      <c r="G48" s="118" t="s">
        <v>574</v>
      </c>
      <c r="H48" s="118"/>
      <c r="I48" s="118" t="s">
        <v>855</v>
      </c>
      <c r="J48" s="118"/>
      <c r="K48" s="118">
        <v>0</v>
      </c>
      <c r="L48" s="95">
        <v>0</v>
      </c>
    </row>
    <row r="49" spans="2:12">
      <c r="B49" s="118">
        <v>1</v>
      </c>
      <c r="C49" s="118">
        <v>43</v>
      </c>
      <c r="D49" s="118">
        <v>2</v>
      </c>
      <c r="E49" s="118" t="s">
        <v>838</v>
      </c>
      <c r="F49" s="118" t="s">
        <v>838</v>
      </c>
      <c r="G49" s="118" t="s">
        <v>475</v>
      </c>
      <c r="H49" s="118" t="s">
        <v>847</v>
      </c>
      <c r="I49" s="118" t="s">
        <v>856</v>
      </c>
      <c r="J49" s="118"/>
      <c r="K49" s="118">
        <v>0</v>
      </c>
      <c r="L49" s="95">
        <v>0</v>
      </c>
    </row>
    <row r="50" spans="2:12">
      <c r="B50" s="118">
        <v>1</v>
      </c>
      <c r="C50" s="118">
        <v>62</v>
      </c>
      <c r="D50" s="118">
        <v>1</v>
      </c>
      <c r="E50" s="118" t="s">
        <v>838</v>
      </c>
      <c r="F50" s="118" t="s">
        <v>838</v>
      </c>
      <c r="G50" s="118" t="s">
        <v>574</v>
      </c>
      <c r="H50" s="118"/>
      <c r="I50" s="118" t="s">
        <v>857</v>
      </c>
      <c r="J50" s="118"/>
      <c r="K50" s="118">
        <v>0</v>
      </c>
      <c r="L50" s="95">
        <v>0</v>
      </c>
    </row>
    <row r="51" spans="2:12">
      <c r="B51" s="118">
        <v>1</v>
      </c>
      <c r="C51" s="118">
        <v>65</v>
      </c>
      <c r="D51" s="118">
        <v>1</v>
      </c>
      <c r="E51" s="118" t="s">
        <v>838</v>
      </c>
      <c r="F51" s="118" t="s">
        <v>838</v>
      </c>
      <c r="G51" s="118" t="s">
        <v>475</v>
      </c>
      <c r="H51" s="118" t="s">
        <v>847</v>
      </c>
      <c r="I51" s="118" t="s">
        <v>858</v>
      </c>
      <c r="J51" s="118"/>
      <c r="K51" s="118">
        <v>0</v>
      </c>
      <c r="L51" s="95">
        <v>0</v>
      </c>
    </row>
    <row r="52" spans="2:12">
      <c r="B52" s="118">
        <v>1</v>
      </c>
      <c r="C52" s="118">
        <v>67</v>
      </c>
      <c r="D52" s="118">
        <v>1</v>
      </c>
      <c r="E52" s="118" t="s">
        <v>838</v>
      </c>
      <c r="F52" s="118" t="s">
        <v>838</v>
      </c>
      <c r="G52" s="118" t="s">
        <v>475</v>
      </c>
      <c r="H52" s="118" t="s">
        <v>847</v>
      </c>
      <c r="I52" s="118" t="s">
        <v>859</v>
      </c>
      <c r="J52" s="118"/>
      <c r="K52" s="118">
        <v>0</v>
      </c>
      <c r="L52" s="95">
        <v>0</v>
      </c>
    </row>
    <row r="53" spans="2:12">
      <c r="B53" s="118">
        <v>1</v>
      </c>
      <c r="C53" s="118">
        <v>69</v>
      </c>
      <c r="D53" s="118">
        <v>1</v>
      </c>
      <c r="E53" s="118" t="s">
        <v>838</v>
      </c>
      <c r="F53" s="118" t="s">
        <v>838</v>
      </c>
      <c r="G53" s="118" t="s">
        <v>475</v>
      </c>
      <c r="H53" s="118" t="s">
        <v>847</v>
      </c>
      <c r="I53" s="118" t="s">
        <v>860</v>
      </c>
      <c r="J53" s="118"/>
      <c r="K53" s="118">
        <v>0</v>
      </c>
      <c r="L53" s="95">
        <v>0</v>
      </c>
    </row>
    <row r="54" spans="2:12">
      <c r="B54" s="118">
        <v>1</v>
      </c>
      <c r="C54" s="118">
        <v>71</v>
      </c>
      <c r="D54" s="118">
        <v>1</v>
      </c>
      <c r="E54" s="118" t="s">
        <v>838</v>
      </c>
      <c r="F54" s="118" t="s">
        <v>838</v>
      </c>
      <c r="G54" s="118" t="s">
        <v>468</v>
      </c>
      <c r="H54" s="118" t="s">
        <v>468</v>
      </c>
      <c r="I54" s="118" t="s">
        <v>861</v>
      </c>
      <c r="J54" s="118"/>
      <c r="K54" s="118">
        <v>0</v>
      </c>
      <c r="L54" s="95">
        <v>0</v>
      </c>
    </row>
    <row r="55" spans="2:12">
      <c r="B55" s="118">
        <v>1</v>
      </c>
      <c r="C55" s="118">
        <v>72</v>
      </c>
      <c r="D55" s="118">
        <v>1</v>
      </c>
      <c r="E55" s="118" t="s">
        <v>838</v>
      </c>
      <c r="F55" s="118" t="s">
        <v>838</v>
      </c>
      <c r="G55" s="118" t="s">
        <v>468</v>
      </c>
      <c r="H55" s="118" t="s">
        <v>468</v>
      </c>
      <c r="I55" s="118" t="s">
        <v>862</v>
      </c>
      <c r="J55" s="118"/>
      <c r="K55" s="118">
        <v>0</v>
      </c>
      <c r="L55" s="95">
        <v>0</v>
      </c>
    </row>
    <row r="56" spans="2:12">
      <c r="B56" s="118">
        <v>1</v>
      </c>
      <c r="C56" s="118">
        <v>73</v>
      </c>
      <c r="D56" s="118">
        <v>1</v>
      </c>
      <c r="E56" s="118" t="s">
        <v>838</v>
      </c>
      <c r="F56" s="118" t="s">
        <v>838</v>
      </c>
      <c r="G56" s="118" t="s">
        <v>468</v>
      </c>
      <c r="H56" s="118" t="s">
        <v>468</v>
      </c>
      <c r="I56" s="118" t="s">
        <v>863</v>
      </c>
      <c r="J56" s="118"/>
      <c r="K56" s="118">
        <v>0</v>
      </c>
      <c r="L56" s="95">
        <v>0</v>
      </c>
    </row>
    <row r="57" spans="2:12">
      <c r="B57" s="118">
        <v>1</v>
      </c>
      <c r="C57" s="118">
        <v>74</v>
      </c>
      <c r="D57" s="118">
        <v>1</v>
      </c>
      <c r="E57" s="118" t="s">
        <v>838</v>
      </c>
      <c r="F57" s="118" t="s">
        <v>838</v>
      </c>
      <c r="G57" s="118" t="s">
        <v>574</v>
      </c>
      <c r="H57" s="118"/>
      <c r="I57" s="118" t="s">
        <v>864</v>
      </c>
      <c r="J57" s="118"/>
      <c r="K57" s="118">
        <v>0</v>
      </c>
      <c r="L57" s="95">
        <v>0</v>
      </c>
    </row>
    <row r="58" spans="2:12">
      <c r="B58" s="118">
        <v>1</v>
      </c>
      <c r="C58" s="118">
        <v>75</v>
      </c>
      <c r="D58" s="118">
        <v>1</v>
      </c>
      <c r="E58" s="118" t="s">
        <v>838</v>
      </c>
      <c r="F58" s="118" t="s">
        <v>838</v>
      </c>
      <c r="G58" s="118" t="s">
        <v>574</v>
      </c>
      <c r="H58" s="118"/>
      <c r="I58" s="118" t="s">
        <v>865</v>
      </c>
      <c r="J58" s="118"/>
      <c r="K58" s="118">
        <v>0</v>
      </c>
      <c r="L58" s="95">
        <v>0</v>
      </c>
    </row>
    <row r="59" spans="2:12">
      <c r="B59" s="118">
        <v>1</v>
      </c>
      <c r="C59" s="118">
        <v>76</v>
      </c>
      <c r="D59" s="118">
        <v>1</v>
      </c>
      <c r="E59" s="118" t="s">
        <v>838</v>
      </c>
      <c r="F59" s="118" t="s">
        <v>838</v>
      </c>
      <c r="G59" s="118" t="s">
        <v>574</v>
      </c>
      <c r="H59" s="118"/>
      <c r="I59" s="118" t="s">
        <v>866</v>
      </c>
      <c r="J59" s="118"/>
      <c r="K59" s="118">
        <v>0</v>
      </c>
      <c r="L59" s="95">
        <v>0</v>
      </c>
    </row>
    <row r="60" spans="2:12">
      <c r="B60" s="118">
        <v>1</v>
      </c>
      <c r="C60" s="118">
        <v>77</v>
      </c>
      <c r="D60" s="118">
        <v>1</v>
      </c>
      <c r="E60" s="118" t="s">
        <v>838</v>
      </c>
      <c r="F60" s="118" t="s">
        <v>838</v>
      </c>
      <c r="G60" s="118" t="s">
        <v>574</v>
      </c>
      <c r="H60" s="118"/>
      <c r="I60" s="118" t="s">
        <v>867</v>
      </c>
      <c r="J60" s="118"/>
      <c r="K60" s="118">
        <v>0</v>
      </c>
      <c r="L60" s="95">
        <v>0</v>
      </c>
    </row>
    <row r="61" spans="2:12">
      <c r="B61" s="118">
        <v>1</v>
      </c>
      <c r="C61" s="118">
        <v>78</v>
      </c>
      <c r="D61" s="118">
        <v>1</v>
      </c>
      <c r="E61" s="118" t="s">
        <v>838</v>
      </c>
      <c r="F61" s="118" t="s">
        <v>838</v>
      </c>
      <c r="G61" s="118" t="s">
        <v>574</v>
      </c>
      <c r="H61" s="118"/>
      <c r="I61" s="118" t="s">
        <v>868</v>
      </c>
      <c r="J61" s="118"/>
      <c r="K61" s="118">
        <v>0</v>
      </c>
      <c r="L61" s="95">
        <v>0</v>
      </c>
    </row>
    <row r="62" spans="2:12">
      <c r="B62" s="118">
        <v>1</v>
      </c>
      <c r="C62" s="118">
        <v>79</v>
      </c>
      <c r="D62" s="118">
        <v>1</v>
      </c>
      <c r="E62" s="118" t="s">
        <v>838</v>
      </c>
      <c r="F62" s="118" t="s">
        <v>838</v>
      </c>
      <c r="G62" s="118" t="s">
        <v>574</v>
      </c>
      <c r="H62" s="118"/>
      <c r="I62" s="118" t="s">
        <v>869</v>
      </c>
      <c r="J62" s="118"/>
      <c r="K62" s="118">
        <v>0</v>
      </c>
      <c r="L62" s="95">
        <v>0</v>
      </c>
    </row>
    <row r="63" spans="2:12">
      <c r="B63" s="118">
        <v>1</v>
      </c>
      <c r="C63" s="118">
        <v>80</v>
      </c>
      <c r="D63" s="118">
        <v>1</v>
      </c>
      <c r="E63" s="118" t="s">
        <v>838</v>
      </c>
      <c r="F63" s="118" t="s">
        <v>838</v>
      </c>
      <c r="G63" s="118" t="s">
        <v>574</v>
      </c>
      <c r="H63" s="118"/>
      <c r="I63" s="118" t="s">
        <v>870</v>
      </c>
      <c r="J63" s="118"/>
      <c r="K63" s="118">
        <v>0</v>
      </c>
      <c r="L63" s="95">
        <v>0</v>
      </c>
    </row>
    <row r="64" spans="2:12">
      <c r="B64" s="118">
        <v>1</v>
      </c>
      <c r="C64" s="118">
        <v>81</v>
      </c>
      <c r="D64" s="118">
        <v>2</v>
      </c>
      <c r="E64" s="118" t="s">
        <v>838</v>
      </c>
      <c r="F64" s="118" t="s">
        <v>838</v>
      </c>
      <c r="G64" s="118" t="s">
        <v>574</v>
      </c>
      <c r="H64" s="118"/>
      <c r="I64" s="118" t="s">
        <v>871</v>
      </c>
      <c r="J64" s="118"/>
      <c r="K64" s="118">
        <v>0</v>
      </c>
      <c r="L64" s="95">
        <v>0</v>
      </c>
    </row>
    <row r="65" spans="2:12">
      <c r="B65" s="118">
        <v>1</v>
      </c>
      <c r="C65" s="118">
        <v>82</v>
      </c>
      <c r="D65" s="118">
        <v>1</v>
      </c>
      <c r="E65" s="118" t="s">
        <v>838</v>
      </c>
      <c r="F65" s="118" t="s">
        <v>838</v>
      </c>
      <c r="G65" s="118" t="s">
        <v>574</v>
      </c>
      <c r="H65" s="118"/>
      <c r="I65" s="118" t="s">
        <v>872</v>
      </c>
      <c r="J65" s="118"/>
      <c r="K65" s="118">
        <v>0</v>
      </c>
      <c r="L65" s="95">
        <v>0</v>
      </c>
    </row>
    <row r="66" spans="2:12">
      <c r="B66" s="118">
        <v>1</v>
      </c>
      <c r="C66" s="118">
        <v>90</v>
      </c>
      <c r="D66" s="118">
        <v>1</v>
      </c>
      <c r="E66" s="118" t="s">
        <v>838</v>
      </c>
      <c r="F66" s="118" t="s">
        <v>838</v>
      </c>
      <c r="G66" s="118" t="s">
        <v>475</v>
      </c>
      <c r="H66" s="118" t="s">
        <v>847</v>
      </c>
      <c r="I66" s="118" t="s">
        <v>873</v>
      </c>
      <c r="J66" s="118"/>
      <c r="K66" s="118">
        <v>0</v>
      </c>
      <c r="L66" s="95">
        <v>0</v>
      </c>
    </row>
    <row r="67" spans="2:12">
      <c r="B67" s="118">
        <v>1</v>
      </c>
      <c r="C67" s="118">
        <v>91</v>
      </c>
      <c r="D67" s="118">
        <v>1</v>
      </c>
      <c r="E67" s="118" t="s">
        <v>838</v>
      </c>
      <c r="F67" s="118" t="s">
        <v>838</v>
      </c>
      <c r="G67" s="118" t="s">
        <v>468</v>
      </c>
      <c r="H67" s="118" t="s">
        <v>468</v>
      </c>
      <c r="I67" s="118" t="s">
        <v>874</v>
      </c>
      <c r="J67" s="118"/>
      <c r="K67" s="118">
        <v>0</v>
      </c>
      <c r="L67" s="95">
        <v>0</v>
      </c>
    </row>
    <row r="68" spans="2:12">
      <c r="B68" s="118">
        <v>1</v>
      </c>
      <c r="C68" s="118">
        <v>92</v>
      </c>
      <c r="D68" s="118">
        <v>1</v>
      </c>
      <c r="E68" s="118" t="s">
        <v>838</v>
      </c>
      <c r="F68" s="118" t="s">
        <v>838</v>
      </c>
      <c r="G68" s="118" t="s">
        <v>475</v>
      </c>
      <c r="H68" s="118" t="s">
        <v>847</v>
      </c>
      <c r="I68" s="118" t="s">
        <v>875</v>
      </c>
      <c r="J68" s="118"/>
      <c r="K68" s="118">
        <v>0</v>
      </c>
      <c r="L68" s="95">
        <v>0</v>
      </c>
    </row>
    <row r="69" spans="2:12">
      <c r="B69" s="118">
        <v>1</v>
      </c>
      <c r="C69" s="118">
        <v>93</v>
      </c>
      <c r="D69" s="118">
        <v>1</v>
      </c>
      <c r="E69" s="118" t="s">
        <v>838</v>
      </c>
      <c r="F69" s="118" t="s">
        <v>838</v>
      </c>
      <c r="G69" s="118" t="s">
        <v>574</v>
      </c>
      <c r="H69" s="118"/>
      <c r="I69" s="118" t="s">
        <v>876</v>
      </c>
      <c r="J69" s="118"/>
      <c r="K69" s="118">
        <v>0</v>
      </c>
      <c r="L69" s="95">
        <v>0</v>
      </c>
    </row>
    <row r="70" spans="2:12">
      <c r="B70" s="118">
        <v>1</v>
      </c>
      <c r="C70" s="118">
        <v>94</v>
      </c>
      <c r="D70" s="118">
        <v>1</v>
      </c>
      <c r="E70" s="118" t="s">
        <v>838</v>
      </c>
      <c r="F70" s="118" t="s">
        <v>838</v>
      </c>
      <c r="G70" s="118" t="s">
        <v>574</v>
      </c>
      <c r="H70" s="118"/>
      <c r="I70" s="118" t="s">
        <v>877</v>
      </c>
      <c r="J70" s="118"/>
      <c r="K70" s="118">
        <v>0</v>
      </c>
      <c r="L70" s="95">
        <v>0</v>
      </c>
    </row>
    <row r="71" spans="2:12">
      <c r="B71" s="118">
        <v>1</v>
      </c>
      <c r="C71" s="118">
        <v>95</v>
      </c>
      <c r="D71" s="118">
        <v>2</v>
      </c>
      <c r="E71" s="118" t="s">
        <v>838</v>
      </c>
      <c r="F71" s="118" t="s">
        <v>838</v>
      </c>
      <c r="G71" s="118" t="s">
        <v>56</v>
      </c>
      <c r="H71" s="118" t="s">
        <v>840</v>
      </c>
      <c r="I71" s="118" t="s">
        <v>545</v>
      </c>
      <c r="J71" s="118"/>
      <c r="K71" s="118">
        <v>0</v>
      </c>
      <c r="L71" s="95">
        <v>0</v>
      </c>
    </row>
    <row r="72" spans="2:12">
      <c r="B72" s="118">
        <v>1</v>
      </c>
      <c r="C72" s="118">
        <v>96</v>
      </c>
      <c r="D72" s="118">
        <v>2</v>
      </c>
      <c r="E72" s="118" t="s">
        <v>838</v>
      </c>
      <c r="F72" s="118" t="s">
        <v>838</v>
      </c>
      <c r="G72" s="118" t="s">
        <v>56</v>
      </c>
      <c r="H72" s="118" t="s">
        <v>840</v>
      </c>
      <c r="I72" s="118" t="s">
        <v>550</v>
      </c>
      <c r="J72" s="118"/>
      <c r="K72" s="118">
        <v>0</v>
      </c>
      <c r="L72" s="95">
        <v>0</v>
      </c>
    </row>
    <row r="73" spans="2:12">
      <c r="B73" s="118">
        <v>1</v>
      </c>
      <c r="C73" s="118">
        <v>97</v>
      </c>
      <c r="D73" s="118">
        <v>2</v>
      </c>
      <c r="E73" s="118" t="s">
        <v>838</v>
      </c>
      <c r="F73" s="118" t="s">
        <v>838</v>
      </c>
      <c r="G73" s="118" t="s">
        <v>56</v>
      </c>
      <c r="H73" s="118" t="s">
        <v>840</v>
      </c>
      <c r="I73" s="118" t="s">
        <v>552</v>
      </c>
      <c r="J73" s="118"/>
      <c r="K73" s="118">
        <v>0</v>
      </c>
      <c r="L73" s="95">
        <v>0</v>
      </c>
    </row>
    <row r="74" spans="2:12">
      <c r="B74" s="118">
        <v>1</v>
      </c>
      <c r="C74" s="118">
        <v>98</v>
      </c>
      <c r="D74" s="118">
        <v>2</v>
      </c>
      <c r="E74" s="118" t="s">
        <v>838</v>
      </c>
      <c r="F74" s="118" t="s">
        <v>838</v>
      </c>
      <c r="G74" s="118" t="s">
        <v>56</v>
      </c>
      <c r="H74" s="118" t="s">
        <v>840</v>
      </c>
      <c r="I74" s="118" t="s">
        <v>554</v>
      </c>
      <c r="J74" s="118"/>
      <c r="K74" s="118">
        <v>0</v>
      </c>
      <c r="L74" s="95">
        <v>0</v>
      </c>
    </row>
    <row r="75" spans="2:12">
      <c r="B75" s="118">
        <v>1</v>
      </c>
      <c r="C75" s="118">
        <v>99</v>
      </c>
      <c r="D75" s="118">
        <v>2</v>
      </c>
      <c r="E75" s="118" t="s">
        <v>838</v>
      </c>
      <c r="F75" s="118" t="s">
        <v>838</v>
      </c>
      <c r="G75" s="118" t="s">
        <v>56</v>
      </c>
      <c r="H75" s="118" t="s">
        <v>840</v>
      </c>
      <c r="I75" s="118" t="s">
        <v>556</v>
      </c>
      <c r="J75" s="118"/>
      <c r="K75" s="118">
        <v>0</v>
      </c>
      <c r="L75" s="95">
        <v>0</v>
      </c>
    </row>
    <row r="76" spans="2:13">
      <c r="B76" s="118">
        <v>1</v>
      </c>
      <c r="C76" s="118">
        <v>100</v>
      </c>
      <c r="D76" s="118">
        <v>1</v>
      </c>
      <c r="E76" s="118" t="s">
        <v>838</v>
      </c>
      <c r="F76" s="118" t="s">
        <v>838</v>
      </c>
      <c r="G76" s="118" t="s">
        <v>56</v>
      </c>
      <c r="H76" s="118" t="s">
        <v>840</v>
      </c>
      <c r="I76" s="118" t="s">
        <v>558</v>
      </c>
      <c r="J76" s="118"/>
      <c r="K76" s="118">
        <v>0</v>
      </c>
      <c r="L76" s="95">
        <v>0</v>
      </c>
      <c r="M76" s="94"/>
    </row>
    <row r="77" spans="2:12">
      <c r="B77" s="118">
        <v>1</v>
      </c>
      <c r="C77" s="118">
        <v>101</v>
      </c>
      <c r="D77" s="118">
        <v>1</v>
      </c>
      <c r="E77" s="118" t="s">
        <v>838</v>
      </c>
      <c r="F77" s="118" t="s">
        <v>838</v>
      </c>
      <c r="G77" s="118" t="s">
        <v>56</v>
      </c>
      <c r="H77" s="118" t="s">
        <v>840</v>
      </c>
      <c r="I77" s="118" t="s">
        <v>560</v>
      </c>
      <c r="J77" s="118"/>
      <c r="K77" s="118">
        <v>0</v>
      </c>
      <c r="L77" s="95">
        <v>0</v>
      </c>
    </row>
    <row r="78" spans="2:12">
      <c r="B78" s="118">
        <v>1</v>
      </c>
      <c r="C78" s="118">
        <v>111</v>
      </c>
      <c r="D78" s="118">
        <v>2</v>
      </c>
      <c r="E78" s="118" t="s">
        <v>838</v>
      </c>
      <c r="F78" s="118" t="s">
        <v>838</v>
      </c>
      <c r="G78" s="118" t="s">
        <v>475</v>
      </c>
      <c r="H78" s="118" t="s">
        <v>847</v>
      </c>
      <c r="I78" s="118" t="s">
        <v>878</v>
      </c>
      <c r="J78" s="118"/>
      <c r="K78" s="118">
        <v>0</v>
      </c>
      <c r="L78" s="95">
        <v>0</v>
      </c>
    </row>
    <row r="79" spans="2:12">
      <c r="B79" s="118">
        <v>2</v>
      </c>
      <c r="C79" s="118">
        <v>8</v>
      </c>
      <c r="D79" s="118">
        <v>2</v>
      </c>
      <c r="E79" s="118" t="s">
        <v>879</v>
      </c>
      <c r="F79" s="118" t="s">
        <v>879</v>
      </c>
      <c r="G79" s="118" t="s">
        <v>574</v>
      </c>
      <c r="H79" s="118"/>
      <c r="I79" s="118" t="s">
        <v>880</v>
      </c>
      <c r="J79" s="118"/>
      <c r="K79" s="118">
        <v>0</v>
      </c>
      <c r="L79" s="95">
        <v>0</v>
      </c>
    </row>
    <row r="80" spans="2:12">
      <c r="B80" s="118">
        <v>2</v>
      </c>
      <c r="C80" s="118">
        <v>26</v>
      </c>
      <c r="D80" s="118">
        <v>1</v>
      </c>
      <c r="E80" s="118" t="s">
        <v>879</v>
      </c>
      <c r="F80" s="118" t="s">
        <v>879</v>
      </c>
      <c r="G80" s="118" t="s">
        <v>475</v>
      </c>
      <c r="H80" s="118" t="s">
        <v>847</v>
      </c>
      <c r="I80" s="118" t="s">
        <v>579</v>
      </c>
      <c r="J80" s="118"/>
      <c r="K80" s="118">
        <v>0</v>
      </c>
      <c r="L80" s="95">
        <v>0</v>
      </c>
    </row>
    <row r="81" spans="2:12">
      <c r="B81" s="118">
        <v>2</v>
      </c>
      <c r="C81" s="118">
        <v>27</v>
      </c>
      <c r="D81" s="118">
        <v>2</v>
      </c>
      <c r="E81" s="118" t="s">
        <v>879</v>
      </c>
      <c r="F81" s="118" t="s">
        <v>879</v>
      </c>
      <c r="G81" s="118" t="s">
        <v>468</v>
      </c>
      <c r="H81" s="118" t="s">
        <v>468</v>
      </c>
      <c r="I81" s="118" t="s">
        <v>881</v>
      </c>
      <c r="J81" s="118"/>
      <c r="K81" s="118">
        <v>0</v>
      </c>
      <c r="L81" s="95">
        <v>0</v>
      </c>
    </row>
    <row r="82" spans="2:12">
      <c r="B82" s="118">
        <v>2</v>
      </c>
      <c r="C82" s="118">
        <v>28</v>
      </c>
      <c r="D82" s="118">
        <v>2</v>
      </c>
      <c r="E82" s="118" t="s">
        <v>879</v>
      </c>
      <c r="F82" s="118" t="s">
        <v>879</v>
      </c>
      <c r="G82" s="118" t="s">
        <v>468</v>
      </c>
      <c r="H82" s="118" t="s">
        <v>468</v>
      </c>
      <c r="I82" s="118" t="s">
        <v>882</v>
      </c>
      <c r="J82" s="118"/>
      <c r="K82" s="118">
        <v>0</v>
      </c>
      <c r="L82" s="95">
        <v>0</v>
      </c>
    </row>
    <row r="83" spans="2:12">
      <c r="B83" s="118">
        <v>2</v>
      </c>
      <c r="C83" s="118">
        <v>29</v>
      </c>
      <c r="D83" s="118">
        <v>2</v>
      </c>
      <c r="E83" s="118" t="s">
        <v>879</v>
      </c>
      <c r="F83" s="118" t="s">
        <v>879</v>
      </c>
      <c r="G83" s="118" t="s">
        <v>56</v>
      </c>
      <c r="H83" s="118" t="s">
        <v>840</v>
      </c>
      <c r="I83" s="118" t="s">
        <v>883</v>
      </c>
      <c r="J83" s="118"/>
      <c r="K83" s="118">
        <v>0</v>
      </c>
      <c r="L83" s="95">
        <v>0</v>
      </c>
    </row>
    <row r="84" spans="2:12">
      <c r="B84" s="118">
        <v>2</v>
      </c>
      <c r="C84" s="118">
        <v>31</v>
      </c>
      <c r="D84" s="118">
        <v>1</v>
      </c>
      <c r="E84" s="118" t="s">
        <v>879</v>
      </c>
      <c r="F84" s="118" t="s">
        <v>879</v>
      </c>
      <c r="G84" s="118" t="s">
        <v>468</v>
      </c>
      <c r="H84" s="118" t="s">
        <v>468</v>
      </c>
      <c r="I84" s="118" t="s">
        <v>884</v>
      </c>
      <c r="J84" s="118"/>
      <c r="K84" s="118">
        <v>0</v>
      </c>
      <c r="L84" s="95">
        <v>0</v>
      </c>
    </row>
    <row r="85" spans="2:12">
      <c r="B85" s="118">
        <v>2</v>
      </c>
      <c r="C85" s="118">
        <v>32</v>
      </c>
      <c r="D85" s="118">
        <v>1</v>
      </c>
      <c r="E85" s="118" t="s">
        <v>879</v>
      </c>
      <c r="F85" s="118" t="s">
        <v>879</v>
      </c>
      <c r="G85" s="118" t="s">
        <v>574</v>
      </c>
      <c r="H85" s="118"/>
      <c r="I85" s="118" t="s">
        <v>596</v>
      </c>
      <c r="J85" s="118"/>
      <c r="K85" s="118">
        <v>0</v>
      </c>
      <c r="L85" s="95">
        <v>0</v>
      </c>
    </row>
    <row r="86" spans="2:12">
      <c r="B86" s="118">
        <v>2</v>
      </c>
      <c r="C86" s="118">
        <v>33</v>
      </c>
      <c r="D86" s="118">
        <v>1</v>
      </c>
      <c r="E86" s="118" t="s">
        <v>879</v>
      </c>
      <c r="F86" s="118" t="s">
        <v>879</v>
      </c>
      <c r="G86" s="118" t="s">
        <v>574</v>
      </c>
      <c r="H86" s="118"/>
      <c r="I86" s="118" t="s">
        <v>598</v>
      </c>
      <c r="J86" s="118"/>
      <c r="K86" s="118">
        <v>0</v>
      </c>
      <c r="L86" s="95">
        <v>0</v>
      </c>
    </row>
    <row r="87" spans="2:12">
      <c r="B87" s="118">
        <v>2</v>
      </c>
      <c r="C87" s="118">
        <v>35</v>
      </c>
      <c r="D87" s="118">
        <v>1</v>
      </c>
      <c r="E87" s="118" t="s">
        <v>879</v>
      </c>
      <c r="F87" s="118" t="s">
        <v>879</v>
      </c>
      <c r="G87" s="118" t="s">
        <v>468</v>
      </c>
      <c r="H87" s="118" t="s">
        <v>468</v>
      </c>
      <c r="I87" s="118" t="s">
        <v>604</v>
      </c>
      <c r="J87" s="118"/>
      <c r="K87" s="118">
        <v>0</v>
      </c>
      <c r="L87" s="95">
        <v>0</v>
      </c>
    </row>
    <row r="88" spans="2:12">
      <c r="B88" s="118">
        <v>2</v>
      </c>
      <c r="C88" s="118">
        <v>36</v>
      </c>
      <c r="D88" s="118">
        <v>1</v>
      </c>
      <c r="E88" s="118" t="s">
        <v>879</v>
      </c>
      <c r="F88" s="118" t="s">
        <v>879</v>
      </c>
      <c r="G88" s="118" t="s">
        <v>468</v>
      </c>
      <c r="H88" s="118" t="s">
        <v>468</v>
      </c>
      <c r="I88" s="118" t="s">
        <v>606</v>
      </c>
      <c r="J88" s="118"/>
      <c r="K88" s="118">
        <v>0</v>
      </c>
      <c r="L88" s="95">
        <v>0</v>
      </c>
    </row>
    <row r="89" spans="2:12">
      <c r="B89" s="118">
        <v>2</v>
      </c>
      <c r="C89" s="118">
        <v>37</v>
      </c>
      <c r="D89" s="118">
        <v>1</v>
      </c>
      <c r="E89" s="118" t="s">
        <v>879</v>
      </c>
      <c r="F89" s="118" t="s">
        <v>879</v>
      </c>
      <c r="G89" s="118" t="s">
        <v>574</v>
      </c>
      <c r="H89" s="118"/>
      <c r="I89" s="118" t="s">
        <v>885</v>
      </c>
      <c r="J89" s="118"/>
      <c r="K89" s="118">
        <v>0</v>
      </c>
      <c r="L89" s="95">
        <v>0</v>
      </c>
    </row>
    <row r="90" spans="2:12">
      <c r="B90" s="118">
        <v>2</v>
      </c>
      <c r="C90" s="118">
        <v>38</v>
      </c>
      <c r="D90" s="118">
        <v>2</v>
      </c>
      <c r="E90" s="118" t="s">
        <v>879</v>
      </c>
      <c r="F90" s="118" t="s">
        <v>879</v>
      </c>
      <c r="G90" s="118" t="s">
        <v>475</v>
      </c>
      <c r="H90" s="118" t="s">
        <v>847</v>
      </c>
      <c r="I90" s="118" t="s">
        <v>501</v>
      </c>
      <c r="J90" s="118"/>
      <c r="K90" s="118">
        <v>0</v>
      </c>
      <c r="L90" s="95">
        <v>0</v>
      </c>
    </row>
    <row r="91" spans="2:12">
      <c r="B91" s="118">
        <v>2</v>
      </c>
      <c r="C91" s="118">
        <v>39</v>
      </c>
      <c r="D91" s="118">
        <v>1</v>
      </c>
      <c r="E91" s="118" t="s">
        <v>879</v>
      </c>
      <c r="F91" s="118" t="s">
        <v>879</v>
      </c>
      <c r="G91" s="118" t="s">
        <v>468</v>
      </c>
      <c r="H91" s="118" t="s">
        <v>468</v>
      </c>
      <c r="I91" s="118" t="s">
        <v>614</v>
      </c>
      <c r="J91" s="118"/>
      <c r="K91" s="118">
        <v>0</v>
      </c>
      <c r="L91" s="95">
        <v>0</v>
      </c>
    </row>
    <row r="92" spans="2:12">
      <c r="B92" s="118">
        <v>2</v>
      </c>
      <c r="C92" s="118">
        <v>41</v>
      </c>
      <c r="D92" s="118">
        <v>2</v>
      </c>
      <c r="E92" s="118" t="s">
        <v>879</v>
      </c>
      <c r="F92" s="118" t="s">
        <v>879</v>
      </c>
      <c r="G92" s="118" t="s">
        <v>574</v>
      </c>
      <c r="H92" s="118"/>
      <c r="I92" s="118" t="s">
        <v>616</v>
      </c>
      <c r="J92" s="118"/>
      <c r="K92" s="118">
        <v>0</v>
      </c>
      <c r="L92" s="95">
        <v>0</v>
      </c>
    </row>
    <row r="93" spans="2:12">
      <c r="B93" s="118">
        <v>2</v>
      </c>
      <c r="C93" s="118">
        <v>42</v>
      </c>
      <c r="D93" s="118">
        <v>2</v>
      </c>
      <c r="E93" s="118" t="s">
        <v>879</v>
      </c>
      <c r="F93" s="118" t="s">
        <v>879</v>
      </c>
      <c r="G93" s="118" t="s">
        <v>574</v>
      </c>
      <c r="H93" s="118"/>
      <c r="I93" s="118" t="s">
        <v>618</v>
      </c>
      <c r="J93" s="118"/>
      <c r="K93" s="118">
        <v>0</v>
      </c>
      <c r="L93" s="95">
        <v>0</v>
      </c>
    </row>
    <row r="94" spans="2:12">
      <c r="B94" s="118">
        <v>2</v>
      </c>
      <c r="C94" s="118">
        <v>43</v>
      </c>
      <c r="D94" s="118">
        <v>1</v>
      </c>
      <c r="E94" s="118" t="s">
        <v>879</v>
      </c>
      <c r="F94" s="118" t="s">
        <v>879</v>
      </c>
      <c r="G94" s="118" t="s">
        <v>475</v>
      </c>
      <c r="H94" s="118" t="s">
        <v>847</v>
      </c>
      <c r="I94" s="118" t="s">
        <v>886</v>
      </c>
      <c r="J94" s="118"/>
      <c r="K94" s="118">
        <v>0</v>
      </c>
      <c r="L94" s="95">
        <v>0</v>
      </c>
    </row>
    <row r="95" spans="2:12">
      <c r="B95" s="118">
        <v>2</v>
      </c>
      <c r="C95" s="118">
        <v>44</v>
      </c>
      <c r="D95" s="118">
        <v>1</v>
      </c>
      <c r="E95" s="118" t="s">
        <v>879</v>
      </c>
      <c r="F95" s="118" t="s">
        <v>879</v>
      </c>
      <c r="G95" s="118" t="s">
        <v>468</v>
      </c>
      <c r="H95" s="118" t="s">
        <v>468</v>
      </c>
      <c r="I95" s="118" t="s">
        <v>622</v>
      </c>
      <c r="J95" s="118"/>
      <c r="K95" s="118">
        <v>0</v>
      </c>
      <c r="L95" s="95">
        <v>0</v>
      </c>
    </row>
    <row r="96" spans="2:12">
      <c r="B96" s="118">
        <v>2</v>
      </c>
      <c r="C96" s="118">
        <v>45</v>
      </c>
      <c r="D96" s="118">
        <v>1</v>
      </c>
      <c r="E96" s="118" t="s">
        <v>879</v>
      </c>
      <c r="F96" s="118" t="s">
        <v>879</v>
      </c>
      <c r="G96" s="118" t="s">
        <v>468</v>
      </c>
      <c r="H96" s="118" t="s">
        <v>468</v>
      </c>
      <c r="I96" s="118" t="s">
        <v>887</v>
      </c>
      <c r="J96" s="118"/>
      <c r="K96" s="118">
        <v>0</v>
      </c>
      <c r="L96" s="95">
        <v>0</v>
      </c>
    </row>
    <row r="97" spans="2:12">
      <c r="B97" s="118">
        <v>2</v>
      </c>
      <c r="C97" s="118">
        <v>46</v>
      </c>
      <c r="D97" s="118">
        <v>1</v>
      </c>
      <c r="E97" s="118" t="s">
        <v>879</v>
      </c>
      <c r="F97" s="118" t="s">
        <v>879</v>
      </c>
      <c r="G97" s="118" t="s">
        <v>574</v>
      </c>
      <c r="H97" s="118"/>
      <c r="I97" s="118" t="s">
        <v>888</v>
      </c>
      <c r="J97" s="118"/>
      <c r="K97" s="118">
        <v>0</v>
      </c>
      <c r="L97" s="95">
        <v>0</v>
      </c>
    </row>
    <row r="98" spans="2:12">
      <c r="B98" s="118">
        <v>2</v>
      </c>
      <c r="C98" s="118">
        <v>47</v>
      </c>
      <c r="D98" s="118">
        <v>2</v>
      </c>
      <c r="E98" s="118" t="s">
        <v>879</v>
      </c>
      <c r="F98" s="118" t="s">
        <v>879</v>
      </c>
      <c r="G98" s="118" t="s">
        <v>468</v>
      </c>
      <c r="H98" s="118" t="s">
        <v>468</v>
      </c>
      <c r="I98" s="118" t="s">
        <v>628</v>
      </c>
      <c r="J98" s="118"/>
      <c r="K98" s="118">
        <v>0</v>
      </c>
      <c r="L98" s="95">
        <v>0</v>
      </c>
    </row>
    <row r="99" spans="2:12">
      <c r="B99" s="118">
        <v>2</v>
      </c>
      <c r="C99" s="118">
        <v>50</v>
      </c>
      <c r="D99" s="118">
        <v>2</v>
      </c>
      <c r="E99" s="118" t="s">
        <v>879</v>
      </c>
      <c r="F99" s="118" t="s">
        <v>879</v>
      </c>
      <c r="G99" s="118" t="s">
        <v>468</v>
      </c>
      <c r="H99" s="118" t="s">
        <v>468</v>
      </c>
      <c r="I99" s="118" t="s">
        <v>889</v>
      </c>
      <c r="J99" s="118"/>
      <c r="K99" s="118">
        <v>0</v>
      </c>
      <c r="L99" s="95">
        <v>0</v>
      </c>
    </row>
    <row r="100" spans="2:12">
      <c r="B100" s="118">
        <v>2</v>
      </c>
      <c r="C100" s="118">
        <v>51</v>
      </c>
      <c r="D100" s="118">
        <v>1</v>
      </c>
      <c r="E100" s="118" t="s">
        <v>879</v>
      </c>
      <c r="F100" s="118" t="s">
        <v>879</v>
      </c>
      <c r="G100" s="118" t="s">
        <v>468</v>
      </c>
      <c r="H100" s="118" t="s">
        <v>468</v>
      </c>
      <c r="I100" s="118" t="s">
        <v>890</v>
      </c>
      <c r="J100" s="118"/>
      <c r="K100" s="118">
        <v>0</v>
      </c>
      <c r="L100" s="95">
        <v>0</v>
      </c>
    </row>
    <row r="101" spans="2:12">
      <c r="B101" s="118">
        <v>2</v>
      </c>
      <c r="C101" s="118">
        <v>54</v>
      </c>
      <c r="D101" s="118">
        <v>1</v>
      </c>
      <c r="E101" s="118" t="s">
        <v>879</v>
      </c>
      <c r="F101" s="118" t="s">
        <v>879</v>
      </c>
      <c r="G101" s="118" t="s">
        <v>468</v>
      </c>
      <c r="H101" s="118" t="s">
        <v>468</v>
      </c>
      <c r="I101" s="118" t="s">
        <v>891</v>
      </c>
      <c r="J101" s="118"/>
      <c r="K101" s="118">
        <v>0</v>
      </c>
      <c r="L101" s="95">
        <v>0</v>
      </c>
    </row>
    <row r="102" spans="2:12">
      <c r="B102" s="118">
        <v>2</v>
      </c>
      <c r="C102" s="118">
        <v>57</v>
      </c>
      <c r="D102" s="118">
        <v>1</v>
      </c>
      <c r="E102" s="118" t="s">
        <v>879</v>
      </c>
      <c r="F102" s="118" t="s">
        <v>879</v>
      </c>
      <c r="G102" s="118" t="s">
        <v>574</v>
      </c>
      <c r="H102" s="118"/>
      <c r="I102" s="118" t="s">
        <v>892</v>
      </c>
      <c r="J102" s="118"/>
      <c r="K102" s="118">
        <v>0</v>
      </c>
      <c r="L102" s="95">
        <v>0</v>
      </c>
    </row>
    <row r="103" spans="2:12">
      <c r="B103" s="118">
        <v>2</v>
      </c>
      <c r="C103" s="118">
        <v>58</v>
      </c>
      <c r="D103" s="118">
        <v>1</v>
      </c>
      <c r="E103" s="118" t="s">
        <v>879</v>
      </c>
      <c r="F103" s="118" t="s">
        <v>879</v>
      </c>
      <c r="G103" s="118" t="s">
        <v>574</v>
      </c>
      <c r="H103" s="118"/>
      <c r="I103" s="118" t="s">
        <v>893</v>
      </c>
      <c r="J103" s="118"/>
      <c r="K103" s="118">
        <v>0</v>
      </c>
      <c r="L103" s="95">
        <v>0</v>
      </c>
    </row>
    <row r="104" spans="2:12">
      <c r="B104" s="118">
        <v>2</v>
      </c>
      <c r="C104" s="118">
        <v>59</v>
      </c>
      <c r="D104" s="118">
        <v>1</v>
      </c>
      <c r="E104" s="118" t="s">
        <v>879</v>
      </c>
      <c r="F104" s="118" t="s">
        <v>879</v>
      </c>
      <c r="G104" s="118" t="s">
        <v>574</v>
      </c>
      <c r="H104" s="118"/>
      <c r="I104" s="118" t="s">
        <v>894</v>
      </c>
      <c r="J104" s="118"/>
      <c r="K104" s="118">
        <v>0</v>
      </c>
      <c r="L104" s="95">
        <v>0</v>
      </c>
    </row>
    <row r="105" spans="2:12">
      <c r="B105" s="118">
        <v>2</v>
      </c>
      <c r="C105" s="118">
        <v>61</v>
      </c>
      <c r="D105" s="118">
        <v>1</v>
      </c>
      <c r="E105" s="118" t="s">
        <v>879</v>
      </c>
      <c r="F105" s="118" t="s">
        <v>879</v>
      </c>
      <c r="G105" s="118" t="s">
        <v>574</v>
      </c>
      <c r="H105" s="118"/>
      <c r="I105" s="118" t="s">
        <v>895</v>
      </c>
      <c r="J105" s="118"/>
      <c r="K105" s="118">
        <v>0</v>
      </c>
      <c r="L105" s="95">
        <v>0</v>
      </c>
    </row>
    <row r="106" spans="2:12">
      <c r="B106" s="118">
        <v>2</v>
      </c>
      <c r="C106" s="118">
        <v>67</v>
      </c>
      <c r="D106" s="118">
        <v>1</v>
      </c>
      <c r="E106" s="118" t="s">
        <v>879</v>
      </c>
      <c r="F106" s="118" t="s">
        <v>879</v>
      </c>
      <c r="G106" s="118" t="s">
        <v>468</v>
      </c>
      <c r="H106" s="118" t="s">
        <v>468</v>
      </c>
      <c r="I106" s="118" t="s">
        <v>859</v>
      </c>
      <c r="J106" s="118"/>
      <c r="K106" s="118">
        <v>0</v>
      </c>
      <c r="L106" s="95">
        <v>0</v>
      </c>
    </row>
    <row r="107" spans="2:12">
      <c r="B107" s="118">
        <v>2</v>
      </c>
      <c r="C107" s="118">
        <v>68</v>
      </c>
      <c r="D107" s="118">
        <v>1</v>
      </c>
      <c r="E107" s="118" t="s">
        <v>879</v>
      </c>
      <c r="F107" s="118" t="s">
        <v>879</v>
      </c>
      <c r="G107" s="118" t="s">
        <v>468</v>
      </c>
      <c r="H107" s="118" t="s">
        <v>468</v>
      </c>
      <c r="I107" s="118" t="s">
        <v>896</v>
      </c>
      <c r="J107" s="118"/>
      <c r="K107" s="118">
        <v>0</v>
      </c>
      <c r="L107" s="95">
        <v>0</v>
      </c>
    </row>
    <row r="108" spans="2:12">
      <c r="B108" s="118">
        <v>2</v>
      </c>
      <c r="C108" s="118">
        <v>69</v>
      </c>
      <c r="D108" s="118">
        <v>2</v>
      </c>
      <c r="E108" s="118" t="s">
        <v>879</v>
      </c>
      <c r="F108" s="118" t="s">
        <v>879</v>
      </c>
      <c r="G108" s="118" t="s">
        <v>468</v>
      </c>
      <c r="H108" s="118" t="s">
        <v>468</v>
      </c>
      <c r="I108" s="118" t="s">
        <v>860</v>
      </c>
      <c r="J108" s="118"/>
      <c r="K108" s="118">
        <v>0</v>
      </c>
      <c r="L108" s="95">
        <v>0</v>
      </c>
    </row>
    <row r="109" spans="2:12">
      <c r="B109" s="118">
        <v>2</v>
      </c>
      <c r="C109" s="118">
        <v>70</v>
      </c>
      <c r="D109" s="118">
        <v>1</v>
      </c>
      <c r="E109" s="118" t="s">
        <v>879</v>
      </c>
      <c r="F109" s="118" t="s">
        <v>879</v>
      </c>
      <c r="G109" s="118" t="s">
        <v>468</v>
      </c>
      <c r="H109" s="118" t="s">
        <v>468</v>
      </c>
      <c r="I109" s="118" t="s">
        <v>897</v>
      </c>
      <c r="J109" s="118"/>
      <c r="K109" s="118">
        <v>0</v>
      </c>
      <c r="L109" s="95">
        <v>0</v>
      </c>
    </row>
    <row r="110" spans="2:12">
      <c r="B110" s="118">
        <v>2</v>
      </c>
      <c r="C110" s="118">
        <v>81</v>
      </c>
      <c r="D110" s="118">
        <v>2</v>
      </c>
      <c r="E110" s="118" t="s">
        <v>879</v>
      </c>
      <c r="F110" s="118" t="s">
        <v>879</v>
      </c>
      <c r="G110" s="118" t="s">
        <v>468</v>
      </c>
      <c r="H110" s="118" t="s">
        <v>468</v>
      </c>
      <c r="I110" s="118" t="s">
        <v>661</v>
      </c>
      <c r="J110" s="118"/>
      <c r="K110" s="118">
        <v>0</v>
      </c>
      <c r="L110" s="95">
        <v>0</v>
      </c>
    </row>
    <row r="111" spans="2:12">
      <c r="B111" s="118">
        <v>2</v>
      </c>
      <c r="C111" s="118">
        <v>82</v>
      </c>
      <c r="D111" s="118">
        <v>1</v>
      </c>
      <c r="E111" s="118" t="s">
        <v>879</v>
      </c>
      <c r="F111" s="118" t="s">
        <v>879</v>
      </c>
      <c r="G111" s="118" t="s">
        <v>468</v>
      </c>
      <c r="H111" s="118" t="s">
        <v>468</v>
      </c>
      <c r="I111" s="118" t="s">
        <v>898</v>
      </c>
      <c r="J111" s="118"/>
      <c r="K111" s="118">
        <v>0</v>
      </c>
      <c r="L111" s="95">
        <v>0</v>
      </c>
    </row>
    <row r="112" spans="2:12">
      <c r="B112" s="118">
        <v>2</v>
      </c>
      <c r="C112" s="118">
        <v>83</v>
      </c>
      <c r="D112" s="118">
        <v>1</v>
      </c>
      <c r="E112" s="118" t="s">
        <v>879</v>
      </c>
      <c r="F112" s="118" t="s">
        <v>879</v>
      </c>
      <c r="G112" s="118" t="s">
        <v>468</v>
      </c>
      <c r="H112" s="118" t="s">
        <v>468</v>
      </c>
      <c r="I112" s="118" t="s">
        <v>899</v>
      </c>
      <c r="J112" s="118"/>
      <c r="K112" s="118">
        <v>0</v>
      </c>
      <c r="L112" s="95">
        <v>0</v>
      </c>
    </row>
    <row r="113" spans="2:12">
      <c r="B113" s="118">
        <v>2</v>
      </c>
      <c r="C113" s="118">
        <v>84</v>
      </c>
      <c r="D113" s="118">
        <v>1</v>
      </c>
      <c r="E113" s="118" t="s">
        <v>879</v>
      </c>
      <c r="F113" s="118" t="s">
        <v>879</v>
      </c>
      <c r="G113" s="118" t="s">
        <v>468</v>
      </c>
      <c r="H113" s="118" t="s">
        <v>468</v>
      </c>
      <c r="I113" s="118" t="s">
        <v>900</v>
      </c>
      <c r="J113" s="118"/>
      <c r="K113" s="118">
        <v>0</v>
      </c>
      <c r="L113" s="95">
        <v>0</v>
      </c>
    </row>
    <row r="114" spans="2:12">
      <c r="B114" s="118">
        <v>2</v>
      </c>
      <c r="C114" s="118">
        <v>85</v>
      </c>
      <c r="D114" s="118">
        <v>1</v>
      </c>
      <c r="E114" s="118" t="s">
        <v>879</v>
      </c>
      <c r="F114" s="118" t="s">
        <v>879</v>
      </c>
      <c r="G114" s="118" t="s">
        <v>574</v>
      </c>
      <c r="H114" s="118"/>
      <c r="I114" s="118" t="s">
        <v>901</v>
      </c>
      <c r="J114" s="118"/>
      <c r="K114" s="118">
        <v>0</v>
      </c>
      <c r="L114" s="95">
        <v>0</v>
      </c>
    </row>
    <row r="115" spans="2:12">
      <c r="B115" s="118">
        <v>2</v>
      </c>
      <c r="C115" s="118">
        <v>86</v>
      </c>
      <c r="D115" s="118">
        <v>1</v>
      </c>
      <c r="E115" s="118" t="s">
        <v>879</v>
      </c>
      <c r="F115" s="118" t="s">
        <v>879</v>
      </c>
      <c r="G115" s="118" t="s">
        <v>574</v>
      </c>
      <c r="H115" s="118"/>
      <c r="I115" s="118" t="s">
        <v>869</v>
      </c>
      <c r="J115" s="118"/>
      <c r="K115" s="118">
        <v>0</v>
      </c>
      <c r="L115" s="95">
        <v>0</v>
      </c>
    </row>
    <row r="116" spans="2:12">
      <c r="B116" s="118">
        <v>2</v>
      </c>
      <c r="C116" s="118">
        <v>95</v>
      </c>
      <c r="D116" s="118">
        <v>2</v>
      </c>
      <c r="E116" s="118" t="s">
        <v>879</v>
      </c>
      <c r="F116" s="118" t="s">
        <v>879</v>
      </c>
      <c r="G116" s="118" t="s">
        <v>56</v>
      </c>
      <c r="H116" s="118" t="s">
        <v>840</v>
      </c>
      <c r="I116" s="118" t="s">
        <v>545</v>
      </c>
      <c r="J116" s="118"/>
      <c r="K116" s="118">
        <v>0</v>
      </c>
      <c r="L116" s="95">
        <v>0</v>
      </c>
    </row>
    <row r="117" spans="2:12">
      <c r="B117" s="118">
        <v>2</v>
      </c>
      <c r="C117" s="118">
        <v>96</v>
      </c>
      <c r="D117" s="118">
        <v>2</v>
      </c>
      <c r="E117" s="118" t="s">
        <v>879</v>
      </c>
      <c r="F117" s="118" t="s">
        <v>879</v>
      </c>
      <c r="G117" s="118" t="s">
        <v>56</v>
      </c>
      <c r="H117" s="118" t="s">
        <v>840</v>
      </c>
      <c r="I117" s="118" t="s">
        <v>550</v>
      </c>
      <c r="J117" s="118"/>
      <c r="K117" s="118">
        <v>0</v>
      </c>
      <c r="L117" s="95">
        <v>0</v>
      </c>
    </row>
    <row r="118" spans="2:12">
      <c r="B118" s="118">
        <v>2</v>
      </c>
      <c r="C118" s="118">
        <v>97</v>
      </c>
      <c r="D118" s="118">
        <v>2</v>
      </c>
      <c r="E118" s="118" t="s">
        <v>879</v>
      </c>
      <c r="F118" s="118" t="s">
        <v>879</v>
      </c>
      <c r="G118" s="118" t="s">
        <v>56</v>
      </c>
      <c r="H118" s="118" t="s">
        <v>840</v>
      </c>
      <c r="I118" s="118" t="s">
        <v>552</v>
      </c>
      <c r="J118" s="118"/>
      <c r="K118" s="118">
        <v>0</v>
      </c>
      <c r="L118" s="95">
        <v>0</v>
      </c>
    </row>
    <row r="119" spans="2:12">
      <c r="B119" s="118">
        <v>2</v>
      </c>
      <c r="C119" s="118">
        <v>98</v>
      </c>
      <c r="D119" s="118">
        <v>2</v>
      </c>
      <c r="E119" s="118" t="s">
        <v>879</v>
      </c>
      <c r="F119" s="118" t="s">
        <v>879</v>
      </c>
      <c r="G119" s="118" t="s">
        <v>56</v>
      </c>
      <c r="H119" s="118" t="s">
        <v>840</v>
      </c>
      <c r="I119" s="118" t="s">
        <v>554</v>
      </c>
      <c r="J119" s="118"/>
      <c r="K119" s="118">
        <v>0</v>
      </c>
      <c r="L119" s="95">
        <v>0</v>
      </c>
    </row>
    <row r="120" spans="2:12">
      <c r="B120" s="118">
        <v>2</v>
      </c>
      <c r="C120" s="118">
        <v>99</v>
      </c>
      <c r="D120" s="118">
        <v>2</v>
      </c>
      <c r="E120" s="118" t="s">
        <v>879</v>
      </c>
      <c r="F120" s="118" t="s">
        <v>879</v>
      </c>
      <c r="G120" s="118" t="s">
        <v>56</v>
      </c>
      <c r="H120" s="118" t="s">
        <v>840</v>
      </c>
      <c r="I120" s="118" t="s">
        <v>556</v>
      </c>
      <c r="J120" s="118"/>
      <c r="K120" s="118">
        <v>0</v>
      </c>
      <c r="L120" s="95">
        <v>0</v>
      </c>
    </row>
    <row r="121" spans="2:13">
      <c r="B121" s="118">
        <v>2</v>
      </c>
      <c r="C121" s="118">
        <v>100</v>
      </c>
      <c r="D121" s="118">
        <v>1</v>
      </c>
      <c r="E121" s="118" t="s">
        <v>879</v>
      </c>
      <c r="F121" s="118" t="s">
        <v>879</v>
      </c>
      <c r="G121" s="118" t="s">
        <v>56</v>
      </c>
      <c r="H121" s="118" t="s">
        <v>840</v>
      </c>
      <c r="I121" s="118" t="s">
        <v>558</v>
      </c>
      <c r="J121" s="118"/>
      <c r="K121" s="118">
        <v>0</v>
      </c>
      <c r="L121" s="95">
        <v>0</v>
      </c>
      <c r="M121" s="94"/>
    </row>
    <row r="122" spans="2:12">
      <c r="B122" s="118">
        <v>2</v>
      </c>
      <c r="C122" s="118">
        <v>101</v>
      </c>
      <c r="D122" s="118">
        <v>1</v>
      </c>
      <c r="E122" s="118" t="s">
        <v>879</v>
      </c>
      <c r="F122" s="118" t="s">
        <v>879</v>
      </c>
      <c r="G122" s="118" t="s">
        <v>56</v>
      </c>
      <c r="H122" s="118" t="s">
        <v>840</v>
      </c>
      <c r="I122" s="118" t="s">
        <v>560</v>
      </c>
      <c r="J122" s="118"/>
      <c r="K122" s="118">
        <v>0</v>
      </c>
      <c r="L122" s="95">
        <v>0</v>
      </c>
    </row>
    <row r="123" spans="2:12">
      <c r="B123" s="118">
        <v>2</v>
      </c>
      <c r="C123" s="118">
        <v>111</v>
      </c>
      <c r="D123" s="118">
        <v>2</v>
      </c>
      <c r="E123" s="118" t="s">
        <v>879</v>
      </c>
      <c r="F123" s="118" t="s">
        <v>879</v>
      </c>
      <c r="G123" s="118" t="s">
        <v>574</v>
      </c>
      <c r="H123" s="118" t="s">
        <v>574</v>
      </c>
      <c r="I123" s="118" t="s">
        <v>878</v>
      </c>
      <c r="J123" s="118"/>
      <c r="K123" s="118">
        <v>0</v>
      </c>
      <c r="L123" s="95">
        <v>0</v>
      </c>
    </row>
    <row r="124" spans="2:12">
      <c r="B124" s="118">
        <v>1</v>
      </c>
      <c r="C124" s="118">
        <v>0</v>
      </c>
      <c r="D124" s="118">
        <v>1</v>
      </c>
      <c r="E124" s="118" t="s">
        <v>902</v>
      </c>
      <c r="F124" s="118" t="s">
        <v>903</v>
      </c>
      <c r="G124" s="118" t="s">
        <v>475</v>
      </c>
      <c r="H124" s="118" t="s">
        <v>847</v>
      </c>
      <c r="I124" s="118" t="s">
        <v>671</v>
      </c>
      <c r="J124" s="118" t="s">
        <v>904</v>
      </c>
      <c r="K124" s="118">
        <v>1</v>
      </c>
      <c r="L124" s="95">
        <v>0</v>
      </c>
    </row>
    <row r="125" spans="2:12">
      <c r="B125" s="118">
        <v>1</v>
      </c>
      <c r="C125" s="118">
        <v>1</v>
      </c>
      <c r="D125" s="118">
        <v>1</v>
      </c>
      <c r="E125" s="118" t="s">
        <v>902</v>
      </c>
      <c r="F125" s="118" t="s">
        <v>903</v>
      </c>
      <c r="G125" s="118" t="s">
        <v>475</v>
      </c>
      <c r="H125" s="118" t="s">
        <v>847</v>
      </c>
      <c r="I125" s="118" t="s">
        <v>905</v>
      </c>
      <c r="J125" s="118" t="s">
        <v>906</v>
      </c>
      <c r="K125" s="118">
        <v>0</v>
      </c>
      <c r="L125" s="95">
        <v>0</v>
      </c>
    </row>
    <row r="126" spans="2:12">
      <c r="B126" s="118">
        <v>1</v>
      </c>
      <c r="C126" s="118">
        <v>2</v>
      </c>
      <c r="D126" s="118">
        <v>1</v>
      </c>
      <c r="E126" s="118" t="s">
        <v>902</v>
      </c>
      <c r="F126" s="118" t="s">
        <v>903</v>
      </c>
      <c r="G126" s="118"/>
      <c r="H126" s="118" t="s">
        <v>522</v>
      </c>
      <c r="I126" s="118" t="s">
        <v>681</v>
      </c>
      <c r="J126" s="118" t="s">
        <v>907</v>
      </c>
      <c r="K126" s="118">
        <v>0</v>
      </c>
      <c r="L126" s="95">
        <v>1</v>
      </c>
    </row>
    <row r="127" spans="2:12">
      <c r="B127" s="118">
        <v>1</v>
      </c>
      <c r="C127" s="118">
        <v>3</v>
      </c>
      <c r="D127" s="118">
        <v>2</v>
      </c>
      <c r="E127" s="118" t="s">
        <v>902</v>
      </c>
      <c r="F127" s="118" t="s">
        <v>903</v>
      </c>
      <c r="G127" s="118" t="s">
        <v>475</v>
      </c>
      <c r="H127" s="118" t="s">
        <v>847</v>
      </c>
      <c r="I127" s="118" t="s">
        <v>908</v>
      </c>
      <c r="J127" s="118" t="s">
        <v>909</v>
      </c>
      <c r="K127" s="118">
        <v>0</v>
      </c>
      <c r="L127" s="95">
        <v>0</v>
      </c>
    </row>
    <row r="128" spans="2:12">
      <c r="B128" s="118">
        <v>1</v>
      </c>
      <c r="C128" s="118">
        <v>4</v>
      </c>
      <c r="D128" s="118">
        <v>1</v>
      </c>
      <c r="E128" s="118" t="s">
        <v>902</v>
      </c>
      <c r="F128" s="118" t="s">
        <v>903</v>
      </c>
      <c r="G128" s="118" t="s">
        <v>475</v>
      </c>
      <c r="H128" s="118" t="s">
        <v>847</v>
      </c>
      <c r="I128" s="118" t="s">
        <v>910</v>
      </c>
      <c r="J128" s="118" t="s">
        <v>911</v>
      </c>
      <c r="K128" s="118">
        <v>0</v>
      </c>
      <c r="L128" s="95">
        <v>0</v>
      </c>
    </row>
    <row r="129" spans="2:12">
      <c r="B129" s="118">
        <v>1</v>
      </c>
      <c r="C129" s="118">
        <v>5</v>
      </c>
      <c r="D129" s="118">
        <v>2</v>
      </c>
      <c r="E129" s="118" t="s">
        <v>902</v>
      </c>
      <c r="F129" s="118" t="s">
        <v>903</v>
      </c>
      <c r="G129" s="118"/>
      <c r="H129" s="118" t="s">
        <v>522</v>
      </c>
      <c r="I129" s="118" t="s">
        <v>686</v>
      </c>
      <c r="J129" s="118" t="s">
        <v>912</v>
      </c>
      <c r="K129" s="118">
        <v>0</v>
      </c>
      <c r="L129" s="95">
        <v>1</v>
      </c>
    </row>
    <row r="130" spans="2:12">
      <c r="B130" s="118">
        <v>1</v>
      </c>
      <c r="C130" s="118">
        <v>6</v>
      </c>
      <c r="D130" s="118">
        <v>2</v>
      </c>
      <c r="E130" s="118" t="s">
        <v>902</v>
      </c>
      <c r="F130" s="118" t="s">
        <v>903</v>
      </c>
      <c r="G130" s="118"/>
      <c r="H130" s="118" t="s">
        <v>522</v>
      </c>
      <c r="I130" s="118" t="s">
        <v>688</v>
      </c>
      <c r="J130" s="118" t="s">
        <v>913</v>
      </c>
      <c r="K130" s="118">
        <v>0</v>
      </c>
      <c r="L130" s="95">
        <v>1</v>
      </c>
    </row>
    <row r="131" spans="2:12">
      <c r="B131" s="118">
        <v>1</v>
      </c>
      <c r="C131" s="118">
        <v>7</v>
      </c>
      <c r="D131" s="118">
        <v>2</v>
      </c>
      <c r="E131" s="118" t="s">
        <v>902</v>
      </c>
      <c r="F131" s="118" t="s">
        <v>903</v>
      </c>
      <c r="G131" s="118" t="s">
        <v>475</v>
      </c>
      <c r="H131" s="118" t="s">
        <v>847</v>
      </c>
      <c r="I131" s="118" t="s">
        <v>914</v>
      </c>
      <c r="J131" s="118" t="s">
        <v>915</v>
      </c>
      <c r="K131" s="118">
        <v>0</v>
      </c>
      <c r="L131" s="95">
        <v>0</v>
      </c>
    </row>
    <row r="132" spans="2:12">
      <c r="B132" s="118">
        <v>1</v>
      </c>
      <c r="C132" s="118">
        <v>8</v>
      </c>
      <c r="D132" s="118">
        <v>1</v>
      </c>
      <c r="E132" s="118" t="s">
        <v>902</v>
      </c>
      <c r="F132" s="118" t="s">
        <v>903</v>
      </c>
      <c r="G132" s="118" t="s">
        <v>475</v>
      </c>
      <c r="H132" s="118" t="s">
        <v>847</v>
      </c>
      <c r="I132" s="118" t="s">
        <v>693</v>
      </c>
      <c r="J132" s="118" t="s">
        <v>916</v>
      </c>
      <c r="K132" s="118">
        <v>0</v>
      </c>
      <c r="L132" s="95">
        <v>0</v>
      </c>
    </row>
    <row r="133" spans="2:12">
      <c r="B133" s="118">
        <v>1</v>
      </c>
      <c r="C133" s="118">
        <v>9</v>
      </c>
      <c r="D133" s="118">
        <v>2</v>
      </c>
      <c r="E133" s="118" t="s">
        <v>902</v>
      </c>
      <c r="F133" s="118" t="s">
        <v>903</v>
      </c>
      <c r="G133" s="118" t="s">
        <v>475</v>
      </c>
      <c r="H133" s="118" t="s">
        <v>847</v>
      </c>
      <c r="I133" s="118" t="s">
        <v>917</v>
      </c>
      <c r="J133" s="118" t="s">
        <v>918</v>
      </c>
      <c r="K133" s="118">
        <v>0</v>
      </c>
      <c r="L133" s="95">
        <v>0</v>
      </c>
    </row>
    <row r="134" spans="2:12">
      <c r="B134" s="118">
        <v>1</v>
      </c>
      <c r="C134" s="118">
        <v>10</v>
      </c>
      <c r="D134" s="118">
        <v>2</v>
      </c>
      <c r="E134" s="118" t="s">
        <v>902</v>
      </c>
      <c r="F134" s="118" t="s">
        <v>903</v>
      </c>
      <c r="G134" s="118" t="s">
        <v>475</v>
      </c>
      <c r="H134" s="118" t="s">
        <v>847</v>
      </c>
      <c r="I134" s="118" t="s">
        <v>919</v>
      </c>
      <c r="J134" s="118" t="s">
        <v>920</v>
      </c>
      <c r="K134" s="118">
        <v>0</v>
      </c>
      <c r="L134" s="95">
        <v>0</v>
      </c>
    </row>
    <row r="135" spans="2:12">
      <c r="B135" s="118">
        <v>1</v>
      </c>
      <c r="C135" s="118">
        <v>11</v>
      </c>
      <c r="D135" s="118">
        <v>2</v>
      </c>
      <c r="E135" s="118" t="s">
        <v>902</v>
      </c>
      <c r="F135" s="118" t="s">
        <v>903</v>
      </c>
      <c r="G135" s="118" t="s">
        <v>475</v>
      </c>
      <c r="H135" s="118" t="s">
        <v>847</v>
      </c>
      <c r="I135" s="118" t="s">
        <v>699</v>
      </c>
      <c r="J135" s="118" t="s">
        <v>921</v>
      </c>
      <c r="K135" s="118">
        <v>0</v>
      </c>
      <c r="L135" s="95">
        <v>0</v>
      </c>
    </row>
    <row r="136" spans="2:12">
      <c r="B136" s="118">
        <v>1</v>
      </c>
      <c r="C136" s="118">
        <v>12</v>
      </c>
      <c r="D136" s="118">
        <v>2</v>
      </c>
      <c r="E136" s="118" t="s">
        <v>902</v>
      </c>
      <c r="F136" s="118" t="s">
        <v>903</v>
      </c>
      <c r="G136" s="118" t="s">
        <v>475</v>
      </c>
      <c r="H136" s="118" t="s">
        <v>847</v>
      </c>
      <c r="I136" s="118" t="s">
        <v>703</v>
      </c>
      <c r="J136" s="118" t="s">
        <v>922</v>
      </c>
      <c r="K136" s="118">
        <v>0</v>
      </c>
      <c r="L136" s="95">
        <v>0</v>
      </c>
    </row>
    <row r="137" spans="2:12">
      <c r="B137" s="118">
        <v>1</v>
      </c>
      <c r="C137" s="118">
        <v>13</v>
      </c>
      <c r="D137" s="118">
        <v>2</v>
      </c>
      <c r="E137" s="118" t="s">
        <v>902</v>
      </c>
      <c r="F137" s="118" t="s">
        <v>903</v>
      </c>
      <c r="G137" s="118" t="s">
        <v>475</v>
      </c>
      <c r="H137" s="118" t="s">
        <v>847</v>
      </c>
      <c r="I137" s="118" t="s">
        <v>705</v>
      </c>
      <c r="J137" s="118" t="s">
        <v>923</v>
      </c>
      <c r="K137" s="118">
        <v>0</v>
      </c>
      <c r="L137" s="95">
        <v>0</v>
      </c>
    </row>
    <row r="138" spans="2:12">
      <c r="B138" s="118">
        <v>1</v>
      </c>
      <c r="C138" s="118">
        <v>14</v>
      </c>
      <c r="D138" s="118">
        <v>1</v>
      </c>
      <c r="E138" s="118" t="s">
        <v>902</v>
      </c>
      <c r="F138" s="118" t="s">
        <v>903</v>
      </c>
      <c r="G138" s="118" t="s">
        <v>475</v>
      </c>
      <c r="H138" s="118" t="s">
        <v>847</v>
      </c>
      <c r="I138" s="118" t="s">
        <v>924</v>
      </c>
      <c r="J138" s="118" t="s">
        <v>925</v>
      </c>
      <c r="K138" s="118">
        <v>0</v>
      </c>
      <c r="L138" s="95">
        <v>0</v>
      </c>
    </row>
    <row r="139" spans="2:12">
      <c r="B139" s="118">
        <v>1</v>
      </c>
      <c r="C139" s="118">
        <v>15</v>
      </c>
      <c r="D139" s="118">
        <v>2</v>
      </c>
      <c r="E139" s="118" t="s">
        <v>902</v>
      </c>
      <c r="F139" s="118" t="s">
        <v>903</v>
      </c>
      <c r="G139" s="118" t="s">
        <v>475</v>
      </c>
      <c r="H139" s="118" t="s">
        <v>847</v>
      </c>
      <c r="I139" s="118" t="s">
        <v>926</v>
      </c>
      <c r="J139" s="118" t="s">
        <v>927</v>
      </c>
      <c r="K139" s="118">
        <v>0</v>
      </c>
      <c r="L139" s="95">
        <v>0</v>
      </c>
    </row>
    <row r="140" spans="2:12">
      <c r="B140" s="118">
        <v>1</v>
      </c>
      <c r="C140" s="118">
        <v>16</v>
      </c>
      <c r="D140" s="118">
        <v>1</v>
      </c>
      <c r="E140" s="118" t="s">
        <v>902</v>
      </c>
      <c r="F140" s="118" t="s">
        <v>903</v>
      </c>
      <c r="G140" s="118"/>
      <c r="H140" s="118" t="s">
        <v>522</v>
      </c>
      <c r="I140" s="118" t="s">
        <v>716</v>
      </c>
      <c r="J140" s="118" t="s">
        <v>928</v>
      </c>
      <c r="K140" s="118">
        <v>0</v>
      </c>
      <c r="L140" s="95">
        <v>1</v>
      </c>
    </row>
    <row r="141" spans="2:12">
      <c r="B141" s="118">
        <v>1</v>
      </c>
      <c r="C141" s="118">
        <v>17</v>
      </c>
      <c r="D141" s="118">
        <v>2</v>
      </c>
      <c r="E141" s="118" t="s">
        <v>902</v>
      </c>
      <c r="F141" s="118" t="s">
        <v>903</v>
      </c>
      <c r="G141" s="118"/>
      <c r="H141" s="118" t="s">
        <v>522</v>
      </c>
      <c r="I141" s="118" t="s">
        <v>718</v>
      </c>
      <c r="J141" s="118" t="s">
        <v>929</v>
      </c>
      <c r="K141" s="118">
        <v>0</v>
      </c>
      <c r="L141" s="95">
        <v>1</v>
      </c>
    </row>
    <row r="142" spans="2:12">
      <c r="B142" s="118">
        <v>1</v>
      </c>
      <c r="C142" s="118">
        <v>18</v>
      </c>
      <c r="D142" s="118">
        <v>1</v>
      </c>
      <c r="E142" s="118" t="s">
        <v>902</v>
      </c>
      <c r="F142" s="118" t="s">
        <v>903</v>
      </c>
      <c r="G142" s="118"/>
      <c r="H142" s="118" t="s">
        <v>522</v>
      </c>
      <c r="I142" s="118" t="s">
        <v>720</v>
      </c>
      <c r="J142" s="118" t="s">
        <v>930</v>
      </c>
      <c r="K142" s="118">
        <v>0</v>
      </c>
      <c r="L142" s="95">
        <v>1</v>
      </c>
    </row>
    <row r="143" spans="2:12">
      <c r="B143" s="118">
        <v>1</v>
      </c>
      <c r="C143" s="118">
        <v>19</v>
      </c>
      <c r="D143" s="118">
        <v>1</v>
      </c>
      <c r="E143" s="118" t="s">
        <v>902</v>
      </c>
      <c r="F143" s="118" t="s">
        <v>903</v>
      </c>
      <c r="G143" s="118"/>
      <c r="H143" s="118" t="s">
        <v>522</v>
      </c>
      <c r="I143" s="118" t="s">
        <v>722</v>
      </c>
      <c r="J143" s="118" t="s">
        <v>931</v>
      </c>
      <c r="K143" s="118">
        <v>0</v>
      </c>
      <c r="L143" s="95">
        <v>1</v>
      </c>
    </row>
    <row r="144" spans="2:12">
      <c r="B144" s="118">
        <v>1</v>
      </c>
      <c r="C144" s="118">
        <v>20</v>
      </c>
      <c r="D144" s="118">
        <v>2</v>
      </c>
      <c r="E144" s="118" t="s">
        <v>902</v>
      </c>
      <c r="F144" s="118" t="s">
        <v>903</v>
      </c>
      <c r="G144" s="118"/>
      <c r="H144" s="118" t="s">
        <v>522</v>
      </c>
      <c r="I144" s="118" t="s">
        <v>724</v>
      </c>
      <c r="J144" s="118" t="s">
        <v>932</v>
      </c>
      <c r="K144" s="118">
        <v>0</v>
      </c>
      <c r="L144" s="95">
        <v>1</v>
      </c>
    </row>
    <row r="145" spans="2:12">
      <c r="B145" s="118">
        <v>1</v>
      </c>
      <c r="C145" s="118">
        <v>21</v>
      </c>
      <c r="D145" s="118">
        <v>2</v>
      </c>
      <c r="E145" s="118" t="s">
        <v>902</v>
      </c>
      <c r="F145" s="118" t="s">
        <v>903</v>
      </c>
      <c r="G145" s="118" t="s">
        <v>475</v>
      </c>
      <c r="H145" s="118" t="s">
        <v>847</v>
      </c>
      <c r="I145" s="118" t="s">
        <v>726</v>
      </c>
      <c r="J145" s="118" t="s">
        <v>933</v>
      </c>
      <c r="K145" s="118">
        <v>1</v>
      </c>
      <c r="L145" s="95">
        <v>0</v>
      </c>
    </row>
    <row r="146" spans="2:12">
      <c r="B146" s="118">
        <v>1</v>
      </c>
      <c r="C146" s="118">
        <v>22</v>
      </c>
      <c r="D146" s="118">
        <v>3</v>
      </c>
      <c r="E146" s="118" t="s">
        <v>902</v>
      </c>
      <c r="F146" s="118" t="s">
        <v>903</v>
      </c>
      <c r="G146" s="118" t="s">
        <v>475</v>
      </c>
      <c r="H146" s="118" t="s">
        <v>847</v>
      </c>
      <c r="I146" s="118" t="s">
        <v>736</v>
      </c>
      <c r="J146" s="118" t="s">
        <v>934</v>
      </c>
      <c r="K146" s="118">
        <v>1</v>
      </c>
      <c r="L146" s="95">
        <v>0</v>
      </c>
    </row>
    <row r="147" spans="2:12">
      <c r="B147" s="118">
        <v>1</v>
      </c>
      <c r="C147" s="118">
        <v>23</v>
      </c>
      <c r="D147" s="118">
        <v>2</v>
      </c>
      <c r="E147" s="118" t="s">
        <v>902</v>
      </c>
      <c r="F147" s="118" t="s">
        <v>903</v>
      </c>
      <c r="G147" s="118" t="s">
        <v>475</v>
      </c>
      <c r="H147" s="118" t="s">
        <v>847</v>
      </c>
      <c r="I147" s="118" t="s">
        <v>743</v>
      </c>
      <c r="J147" s="118" t="s">
        <v>935</v>
      </c>
      <c r="K147" s="118">
        <v>1</v>
      </c>
      <c r="L147" s="95">
        <v>0</v>
      </c>
    </row>
    <row r="148" spans="2:12">
      <c r="B148" s="118">
        <v>1</v>
      </c>
      <c r="C148" s="118">
        <v>24</v>
      </c>
      <c r="D148" s="118">
        <v>2</v>
      </c>
      <c r="E148" s="118" t="s">
        <v>902</v>
      </c>
      <c r="F148" s="118" t="s">
        <v>903</v>
      </c>
      <c r="G148" s="118" t="s">
        <v>475</v>
      </c>
      <c r="H148" s="118" t="s">
        <v>847</v>
      </c>
      <c r="I148" s="118" t="s">
        <v>740</v>
      </c>
      <c r="J148" s="118" t="s">
        <v>936</v>
      </c>
      <c r="K148" s="118">
        <v>1</v>
      </c>
      <c r="L148" s="95">
        <v>0</v>
      </c>
    </row>
    <row r="149" spans="2:12">
      <c r="B149" s="118">
        <v>1</v>
      </c>
      <c r="C149" s="118">
        <v>25</v>
      </c>
      <c r="D149" s="118">
        <v>1</v>
      </c>
      <c r="E149" s="118" t="s">
        <v>902</v>
      </c>
      <c r="F149" s="118" t="s">
        <v>903</v>
      </c>
      <c r="G149" s="118" t="s">
        <v>475</v>
      </c>
      <c r="H149" s="118" t="s">
        <v>847</v>
      </c>
      <c r="I149" s="118" t="s">
        <v>748</v>
      </c>
      <c r="J149" s="118" t="s">
        <v>937</v>
      </c>
      <c r="K149" s="118">
        <v>1</v>
      </c>
      <c r="L149" s="95">
        <v>0</v>
      </c>
    </row>
    <row r="150" spans="2:12">
      <c r="B150" s="118">
        <v>1</v>
      </c>
      <c r="C150" s="118">
        <v>26</v>
      </c>
      <c r="D150" s="118">
        <v>2</v>
      </c>
      <c r="E150" s="118" t="s">
        <v>902</v>
      </c>
      <c r="F150" s="118" t="s">
        <v>903</v>
      </c>
      <c r="G150" s="118" t="s">
        <v>475</v>
      </c>
      <c r="H150" s="118" t="s">
        <v>847</v>
      </c>
      <c r="I150" s="118" t="s">
        <v>938</v>
      </c>
      <c r="J150" s="118" t="s">
        <v>939</v>
      </c>
      <c r="K150" s="118">
        <v>1</v>
      </c>
      <c r="L150" s="95">
        <v>0</v>
      </c>
    </row>
    <row r="151" spans="2:12">
      <c r="B151" s="118">
        <v>1</v>
      </c>
      <c r="C151" s="118">
        <v>27</v>
      </c>
      <c r="D151" s="118">
        <v>2</v>
      </c>
      <c r="E151" s="118" t="s">
        <v>902</v>
      </c>
      <c r="F151" s="118" t="s">
        <v>903</v>
      </c>
      <c r="G151" s="118" t="s">
        <v>475</v>
      </c>
      <c r="H151" s="118" t="s">
        <v>847</v>
      </c>
      <c r="I151" s="118" t="s">
        <v>940</v>
      </c>
      <c r="J151" s="118" t="s">
        <v>941</v>
      </c>
      <c r="K151" s="118">
        <v>1</v>
      </c>
      <c r="L151" s="95">
        <v>0</v>
      </c>
    </row>
    <row r="152" spans="2:12">
      <c r="B152" s="118">
        <v>1</v>
      </c>
      <c r="C152" s="118">
        <v>28</v>
      </c>
      <c r="D152" s="118">
        <v>2</v>
      </c>
      <c r="E152" s="118" t="s">
        <v>902</v>
      </c>
      <c r="F152" s="118" t="s">
        <v>903</v>
      </c>
      <c r="G152" s="118" t="s">
        <v>468</v>
      </c>
      <c r="H152" s="118" t="s">
        <v>468</v>
      </c>
      <c r="I152" s="118" t="s">
        <v>942</v>
      </c>
      <c r="J152" s="118" t="s">
        <v>943</v>
      </c>
      <c r="K152" s="118">
        <v>0</v>
      </c>
      <c r="L152" s="95">
        <v>0</v>
      </c>
    </row>
    <row r="153" spans="2:12">
      <c r="B153" s="118">
        <v>1</v>
      </c>
      <c r="C153" s="118">
        <v>29</v>
      </c>
      <c r="D153" s="118">
        <v>1</v>
      </c>
      <c r="E153" s="118" t="s">
        <v>902</v>
      </c>
      <c r="F153" s="118" t="s">
        <v>903</v>
      </c>
      <c r="G153" s="118" t="s">
        <v>468</v>
      </c>
      <c r="H153" s="118" t="s">
        <v>468</v>
      </c>
      <c r="I153" s="118" t="s">
        <v>944</v>
      </c>
      <c r="J153" s="118" t="s">
        <v>945</v>
      </c>
      <c r="K153" s="118">
        <v>0</v>
      </c>
      <c r="L153" s="95">
        <v>0</v>
      </c>
    </row>
    <row r="154" spans="2:12">
      <c r="B154" s="118">
        <v>1</v>
      </c>
      <c r="C154" s="118">
        <v>30</v>
      </c>
      <c r="D154" s="118">
        <v>1</v>
      </c>
      <c r="E154" s="118" t="s">
        <v>902</v>
      </c>
      <c r="F154" s="118" t="s">
        <v>903</v>
      </c>
      <c r="G154" s="118" t="s">
        <v>475</v>
      </c>
      <c r="H154" s="118" t="s">
        <v>847</v>
      </c>
      <c r="I154" s="118" t="s">
        <v>754</v>
      </c>
      <c r="J154" s="118" t="s">
        <v>946</v>
      </c>
      <c r="K154" s="118">
        <v>1</v>
      </c>
      <c r="L154" s="95">
        <v>0</v>
      </c>
    </row>
    <row r="155" spans="2:12">
      <c r="B155" s="118">
        <v>1</v>
      </c>
      <c r="C155" s="118">
        <v>31</v>
      </c>
      <c r="D155" s="118">
        <v>2</v>
      </c>
      <c r="E155" s="118" t="s">
        <v>902</v>
      </c>
      <c r="F155" s="118" t="s">
        <v>903</v>
      </c>
      <c r="G155" s="118"/>
      <c r="H155" s="118" t="s">
        <v>522</v>
      </c>
      <c r="I155" s="118" t="s">
        <v>947</v>
      </c>
      <c r="J155" s="118" t="s">
        <v>948</v>
      </c>
      <c r="K155" s="118">
        <v>0</v>
      </c>
      <c r="L155" s="95">
        <v>1</v>
      </c>
    </row>
    <row r="156" spans="2:12">
      <c r="B156" s="118">
        <v>1</v>
      </c>
      <c r="C156" s="118">
        <v>32</v>
      </c>
      <c r="D156" s="118">
        <v>1</v>
      </c>
      <c r="E156" s="118" t="s">
        <v>902</v>
      </c>
      <c r="F156" s="118" t="s">
        <v>903</v>
      </c>
      <c r="G156" s="118"/>
      <c r="H156" s="118" t="s">
        <v>522</v>
      </c>
      <c r="I156" s="118" t="s">
        <v>949</v>
      </c>
      <c r="J156" s="118" t="s">
        <v>950</v>
      </c>
      <c r="K156" s="118">
        <v>0</v>
      </c>
      <c r="L156" s="95">
        <v>1</v>
      </c>
    </row>
    <row r="157" spans="2:12">
      <c r="B157" s="118">
        <v>1</v>
      </c>
      <c r="C157" s="118">
        <v>33</v>
      </c>
      <c r="D157" s="118">
        <v>1</v>
      </c>
      <c r="E157" s="118" t="s">
        <v>902</v>
      </c>
      <c r="F157" s="118" t="s">
        <v>903</v>
      </c>
      <c r="G157" s="118"/>
      <c r="H157" s="118" t="s">
        <v>522</v>
      </c>
      <c r="I157" s="118" t="s">
        <v>951</v>
      </c>
      <c r="J157" s="118" t="s">
        <v>952</v>
      </c>
      <c r="K157" s="118">
        <v>0</v>
      </c>
      <c r="L157" s="95">
        <v>1</v>
      </c>
    </row>
    <row r="158" spans="2:12">
      <c r="B158" s="118">
        <v>1</v>
      </c>
      <c r="C158" s="118">
        <v>34</v>
      </c>
      <c r="D158" s="118">
        <v>1</v>
      </c>
      <c r="E158" s="118" t="s">
        <v>902</v>
      </c>
      <c r="F158" s="118" t="s">
        <v>903</v>
      </c>
      <c r="G158" s="118" t="s">
        <v>475</v>
      </c>
      <c r="H158" s="118" t="s">
        <v>847</v>
      </c>
      <c r="I158" s="118" t="s">
        <v>953</v>
      </c>
      <c r="J158" s="118" t="s">
        <v>954</v>
      </c>
      <c r="K158" s="118">
        <v>1</v>
      </c>
      <c r="L158" s="95">
        <v>0</v>
      </c>
    </row>
    <row r="159" spans="2:12">
      <c r="B159" s="118">
        <v>1</v>
      </c>
      <c r="C159" s="118">
        <v>35</v>
      </c>
      <c r="D159" s="118">
        <v>1</v>
      </c>
      <c r="E159" s="118" t="s">
        <v>902</v>
      </c>
      <c r="F159" s="118" t="s">
        <v>903</v>
      </c>
      <c r="G159" s="118" t="s">
        <v>468</v>
      </c>
      <c r="H159" s="118" t="s">
        <v>468</v>
      </c>
      <c r="I159" s="118" t="s">
        <v>955</v>
      </c>
      <c r="J159" s="118" t="s">
        <v>956</v>
      </c>
      <c r="K159" s="118">
        <v>0</v>
      </c>
      <c r="L159" s="95">
        <v>0</v>
      </c>
    </row>
    <row r="160" spans="2:12">
      <c r="B160" s="118">
        <v>1</v>
      </c>
      <c r="C160" s="118">
        <v>36</v>
      </c>
      <c r="D160" s="118">
        <v>2</v>
      </c>
      <c r="E160" s="118" t="s">
        <v>902</v>
      </c>
      <c r="F160" s="118" t="s">
        <v>903</v>
      </c>
      <c r="G160" s="118"/>
      <c r="H160" s="118" t="s">
        <v>522</v>
      </c>
      <c r="I160" s="118" t="s">
        <v>957</v>
      </c>
      <c r="J160" s="118" t="s">
        <v>958</v>
      </c>
      <c r="K160" s="118">
        <v>0</v>
      </c>
      <c r="L160" s="95">
        <v>1</v>
      </c>
    </row>
    <row r="161" spans="2:12">
      <c r="B161" s="118">
        <v>1</v>
      </c>
      <c r="C161" s="118">
        <v>37</v>
      </c>
      <c r="D161" s="118">
        <v>1</v>
      </c>
      <c r="E161" s="118" t="s">
        <v>902</v>
      </c>
      <c r="F161" s="118" t="s">
        <v>903</v>
      </c>
      <c r="G161" s="118" t="s">
        <v>475</v>
      </c>
      <c r="H161" s="118" t="s">
        <v>847</v>
      </c>
      <c r="I161" s="118" t="s">
        <v>959</v>
      </c>
      <c r="J161" s="118" t="s">
        <v>960</v>
      </c>
      <c r="K161" s="118">
        <v>0</v>
      </c>
      <c r="L161" s="95">
        <v>0</v>
      </c>
    </row>
    <row r="162" spans="2:12">
      <c r="B162" s="118">
        <v>1</v>
      </c>
      <c r="C162" s="118">
        <v>38</v>
      </c>
      <c r="D162" s="118">
        <v>1</v>
      </c>
      <c r="E162" s="118" t="s">
        <v>902</v>
      </c>
      <c r="F162" s="118" t="s">
        <v>903</v>
      </c>
      <c r="G162" s="118" t="s">
        <v>475</v>
      </c>
      <c r="H162" s="118" t="s">
        <v>847</v>
      </c>
      <c r="I162" s="118" t="s">
        <v>961</v>
      </c>
      <c r="J162" s="118" t="s">
        <v>962</v>
      </c>
      <c r="K162" s="118">
        <v>0</v>
      </c>
      <c r="L162" s="95">
        <v>0</v>
      </c>
    </row>
    <row r="163" spans="2:12">
      <c r="B163" s="118">
        <v>1</v>
      </c>
      <c r="C163" s="118">
        <v>39</v>
      </c>
      <c r="D163" s="118">
        <v>1</v>
      </c>
      <c r="E163" s="118" t="s">
        <v>902</v>
      </c>
      <c r="F163" s="118" t="s">
        <v>903</v>
      </c>
      <c r="G163" s="118" t="s">
        <v>475</v>
      </c>
      <c r="H163" s="118" t="s">
        <v>847</v>
      </c>
      <c r="I163" s="118" t="s">
        <v>963</v>
      </c>
      <c r="J163" s="118" t="s">
        <v>964</v>
      </c>
      <c r="K163" s="118">
        <v>1</v>
      </c>
      <c r="L163" s="95">
        <v>0</v>
      </c>
    </row>
    <row r="164" spans="2:12">
      <c r="B164" s="118">
        <v>1</v>
      </c>
      <c r="C164" s="118">
        <v>40</v>
      </c>
      <c r="D164" s="118">
        <v>1</v>
      </c>
      <c r="E164" s="118" t="s">
        <v>902</v>
      </c>
      <c r="F164" s="118" t="s">
        <v>903</v>
      </c>
      <c r="G164" s="118" t="s">
        <v>475</v>
      </c>
      <c r="H164" s="118" t="s">
        <v>847</v>
      </c>
      <c r="I164" s="118" t="s">
        <v>965</v>
      </c>
      <c r="J164" s="118" t="s">
        <v>966</v>
      </c>
      <c r="K164" s="118">
        <v>1</v>
      </c>
      <c r="L164" s="95">
        <v>0</v>
      </c>
    </row>
    <row r="165" spans="2:12">
      <c r="B165" s="118">
        <v>1</v>
      </c>
      <c r="C165" s="118">
        <v>41</v>
      </c>
      <c r="D165" s="118">
        <v>1</v>
      </c>
      <c r="E165" s="118" t="s">
        <v>902</v>
      </c>
      <c r="F165" s="118" t="s">
        <v>903</v>
      </c>
      <c r="G165" s="118"/>
      <c r="H165" s="118" t="s">
        <v>522</v>
      </c>
      <c r="I165" s="118" t="s">
        <v>967</v>
      </c>
      <c r="J165" s="118" t="s">
        <v>968</v>
      </c>
      <c r="K165" s="118">
        <v>0</v>
      </c>
      <c r="L165" s="95">
        <v>1</v>
      </c>
    </row>
    <row r="166" spans="2:12">
      <c r="B166" s="118">
        <v>1</v>
      </c>
      <c r="C166" s="118">
        <v>42</v>
      </c>
      <c r="D166" s="118">
        <v>1</v>
      </c>
      <c r="E166" s="118" t="s">
        <v>902</v>
      </c>
      <c r="F166" s="118" t="s">
        <v>903</v>
      </c>
      <c r="G166" s="118" t="s">
        <v>475</v>
      </c>
      <c r="H166" s="118" t="s">
        <v>847</v>
      </c>
      <c r="I166" s="118" t="s">
        <v>969</v>
      </c>
      <c r="J166" s="118" t="s">
        <v>970</v>
      </c>
      <c r="K166" s="118">
        <v>1</v>
      </c>
      <c r="L166" s="95">
        <v>0</v>
      </c>
    </row>
    <row r="167" spans="2:12">
      <c r="B167" s="118">
        <v>1</v>
      </c>
      <c r="C167" s="118">
        <v>43</v>
      </c>
      <c r="D167" s="118">
        <v>2</v>
      </c>
      <c r="E167" s="118" t="s">
        <v>902</v>
      </c>
      <c r="F167" s="118" t="s">
        <v>903</v>
      </c>
      <c r="G167" s="118" t="s">
        <v>468</v>
      </c>
      <c r="H167" s="118" t="s">
        <v>468</v>
      </c>
      <c r="I167" s="118" t="s">
        <v>971</v>
      </c>
      <c r="J167" s="118" t="s">
        <v>972</v>
      </c>
      <c r="K167" s="118">
        <v>0</v>
      </c>
      <c r="L167" s="95">
        <v>0</v>
      </c>
    </row>
    <row r="168" spans="2:12">
      <c r="B168" s="118">
        <v>1</v>
      </c>
      <c r="C168" s="118">
        <v>44</v>
      </c>
      <c r="D168" s="118">
        <v>1</v>
      </c>
      <c r="E168" s="118" t="s">
        <v>902</v>
      </c>
      <c r="F168" s="118" t="s">
        <v>903</v>
      </c>
      <c r="G168" s="118" t="s">
        <v>468</v>
      </c>
      <c r="H168" s="118" t="s">
        <v>468</v>
      </c>
      <c r="I168" s="118" t="s">
        <v>973</v>
      </c>
      <c r="J168" s="118" t="s">
        <v>974</v>
      </c>
      <c r="K168" s="118">
        <v>0</v>
      </c>
      <c r="L168" s="95">
        <v>0</v>
      </c>
    </row>
    <row r="169" spans="2:12">
      <c r="B169" s="118">
        <v>2</v>
      </c>
      <c r="C169" s="118">
        <v>0</v>
      </c>
      <c r="D169" s="118">
        <v>1</v>
      </c>
      <c r="E169" s="118" t="s">
        <v>902</v>
      </c>
      <c r="F169" s="118" t="s">
        <v>975</v>
      </c>
      <c r="G169" s="118" t="s">
        <v>468</v>
      </c>
      <c r="H169" s="118" t="s">
        <v>468</v>
      </c>
      <c r="I169" s="118" t="s">
        <v>772</v>
      </c>
      <c r="J169" s="118" t="s">
        <v>976</v>
      </c>
      <c r="K169" s="118">
        <v>0</v>
      </c>
      <c r="L169" s="95">
        <v>0</v>
      </c>
    </row>
    <row r="170" spans="2:12">
      <c r="B170" s="118">
        <v>2</v>
      </c>
      <c r="C170" s="118">
        <v>1</v>
      </c>
      <c r="D170" s="118">
        <v>2</v>
      </c>
      <c r="E170" s="118" t="s">
        <v>902</v>
      </c>
      <c r="F170" s="118" t="s">
        <v>975</v>
      </c>
      <c r="G170" s="118" t="s">
        <v>574</v>
      </c>
      <c r="H170" s="118" t="s">
        <v>574</v>
      </c>
      <c r="I170" s="118" t="s">
        <v>671</v>
      </c>
      <c r="J170" s="118" t="s">
        <v>977</v>
      </c>
      <c r="K170" s="118">
        <v>1</v>
      </c>
      <c r="L170" s="95">
        <v>0</v>
      </c>
    </row>
    <row r="171" spans="2:12">
      <c r="B171" s="118">
        <v>3</v>
      </c>
      <c r="C171" s="118">
        <v>0</v>
      </c>
      <c r="D171" s="118">
        <v>1</v>
      </c>
      <c r="E171" s="118" t="s">
        <v>902</v>
      </c>
      <c r="F171" s="118" t="s">
        <v>978</v>
      </c>
      <c r="G171" s="118"/>
      <c r="H171" s="118" t="s">
        <v>522</v>
      </c>
      <c r="I171" s="118" t="s">
        <v>779</v>
      </c>
      <c r="J171" s="118" t="s">
        <v>979</v>
      </c>
      <c r="K171" s="118">
        <v>0</v>
      </c>
      <c r="L171" s="95">
        <v>1</v>
      </c>
    </row>
    <row r="172" spans="2:12">
      <c r="B172" s="118">
        <v>3</v>
      </c>
      <c r="C172" s="118">
        <v>1</v>
      </c>
      <c r="D172" s="118">
        <v>1</v>
      </c>
      <c r="E172" s="118" t="s">
        <v>902</v>
      </c>
      <c r="F172" s="118" t="s">
        <v>978</v>
      </c>
      <c r="G172" s="118" t="s">
        <v>56</v>
      </c>
      <c r="H172" s="118" t="s">
        <v>840</v>
      </c>
      <c r="I172" s="118" t="s">
        <v>782</v>
      </c>
      <c r="J172" s="118" t="s">
        <v>980</v>
      </c>
      <c r="K172" s="118">
        <v>0</v>
      </c>
      <c r="L172" s="95">
        <v>0</v>
      </c>
    </row>
    <row r="173" spans="2:12">
      <c r="B173" s="118">
        <v>3</v>
      </c>
      <c r="C173" s="118">
        <v>2</v>
      </c>
      <c r="D173" s="118">
        <v>1</v>
      </c>
      <c r="E173" s="118" t="s">
        <v>902</v>
      </c>
      <c r="F173" s="118" t="s">
        <v>978</v>
      </c>
      <c r="G173" s="118"/>
      <c r="H173" s="118" t="s">
        <v>522</v>
      </c>
      <c r="I173" s="118" t="s">
        <v>981</v>
      </c>
      <c r="J173" s="118" t="s">
        <v>982</v>
      </c>
      <c r="K173" s="118">
        <v>0</v>
      </c>
      <c r="L173" s="95">
        <v>1</v>
      </c>
    </row>
    <row r="174" spans="2:12">
      <c r="B174" s="118">
        <v>3</v>
      </c>
      <c r="C174" s="118">
        <v>3</v>
      </c>
      <c r="D174" s="118">
        <v>1</v>
      </c>
      <c r="E174" s="118" t="s">
        <v>902</v>
      </c>
      <c r="F174" s="118" t="s">
        <v>978</v>
      </c>
      <c r="G174" s="118" t="s">
        <v>574</v>
      </c>
      <c r="H174" s="118" t="s">
        <v>574</v>
      </c>
      <c r="I174" s="118" t="s">
        <v>671</v>
      </c>
      <c r="J174" s="118" t="s">
        <v>983</v>
      </c>
      <c r="K174" s="118">
        <v>1</v>
      </c>
      <c r="L174" s="95">
        <v>0</v>
      </c>
    </row>
    <row r="175" spans="2:12">
      <c r="B175" s="118">
        <v>4</v>
      </c>
      <c r="C175" s="118">
        <v>0</v>
      </c>
      <c r="D175" s="118">
        <v>1</v>
      </c>
      <c r="E175" s="118" t="s">
        <v>902</v>
      </c>
      <c r="F175" s="118" t="s">
        <v>984</v>
      </c>
      <c r="G175" s="118" t="s">
        <v>468</v>
      </c>
      <c r="H175" s="118" t="s">
        <v>468</v>
      </c>
      <c r="I175" s="118" t="s">
        <v>795</v>
      </c>
      <c r="J175" s="118" t="s">
        <v>985</v>
      </c>
      <c r="K175" s="118">
        <v>1</v>
      </c>
      <c r="L175" s="95">
        <v>0</v>
      </c>
    </row>
    <row r="176" spans="2:12">
      <c r="B176" s="118">
        <v>4</v>
      </c>
      <c r="C176" s="118">
        <v>1</v>
      </c>
      <c r="D176" s="118">
        <v>1</v>
      </c>
      <c r="E176" s="118" t="s">
        <v>902</v>
      </c>
      <c r="F176" s="118" t="s">
        <v>984</v>
      </c>
      <c r="G176" s="118" t="s">
        <v>468</v>
      </c>
      <c r="H176" s="118" t="s">
        <v>468</v>
      </c>
      <c r="I176" s="118" t="s">
        <v>797</v>
      </c>
      <c r="J176" s="118" t="s">
        <v>986</v>
      </c>
      <c r="K176" s="118">
        <v>1</v>
      </c>
      <c r="L176" s="95">
        <v>0</v>
      </c>
    </row>
    <row r="177" spans="2:12">
      <c r="B177" s="118">
        <v>4</v>
      </c>
      <c r="C177" s="118">
        <v>2</v>
      </c>
      <c r="D177" s="118">
        <v>1</v>
      </c>
      <c r="E177" s="118" t="s">
        <v>902</v>
      </c>
      <c r="F177" s="118" t="s">
        <v>984</v>
      </c>
      <c r="G177" s="118" t="s">
        <v>468</v>
      </c>
      <c r="H177" s="118" t="s">
        <v>468</v>
      </c>
      <c r="I177" s="118" t="s">
        <v>799</v>
      </c>
      <c r="J177" s="118" t="s">
        <v>987</v>
      </c>
      <c r="K177" s="118">
        <v>1</v>
      </c>
      <c r="L177" s="95">
        <v>0</v>
      </c>
    </row>
    <row r="178" spans="2:12">
      <c r="B178" s="118">
        <v>4</v>
      </c>
      <c r="C178" s="118">
        <v>3</v>
      </c>
      <c r="D178" s="118">
        <v>1</v>
      </c>
      <c r="E178" s="118" t="s">
        <v>902</v>
      </c>
      <c r="F178" s="118" t="s">
        <v>984</v>
      </c>
      <c r="G178" s="118" t="s">
        <v>468</v>
      </c>
      <c r="H178" s="118" t="s">
        <v>468</v>
      </c>
      <c r="I178" s="118" t="s">
        <v>801</v>
      </c>
      <c r="J178" s="118" t="s">
        <v>988</v>
      </c>
      <c r="K178" s="118">
        <v>1</v>
      </c>
      <c r="L178" s="95">
        <v>0</v>
      </c>
    </row>
    <row r="179" spans="2:12">
      <c r="B179" s="118">
        <v>4</v>
      </c>
      <c r="C179" s="118">
        <v>4</v>
      </c>
      <c r="D179" s="118">
        <v>1</v>
      </c>
      <c r="E179" s="118" t="s">
        <v>902</v>
      </c>
      <c r="F179" s="118" t="s">
        <v>984</v>
      </c>
      <c r="G179" s="118" t="s">
        <v>468</v>
      </c>
      <c r="H179" s="118" t="s">
        <v>468</v>
      </c>
      <c r="I179" s="118" t="s">
        <v>803</v>
      </c>
      <c r="J179" s="118" t="s">
        <v>989</v>
      </c>
      <c r="K179" s="118">
        <v>1</v>
      </c>
      <c r="L179" s="95">
        <v>0</v>
      </c>
    </row>
    <row r="180" spans="2:12">
      <c r="B180" s="118">
        <v>4</v>
      </c>
      <c r="C180" s="118">
        <v>5</v>
      </c>
      <c r="D180" s="118">
        <v>1</v>
      </c>
      <c r="E180" s="118" t="s">
        <v>902</v>
      </c>
      <c r="F180" s="118" t="s">
        <v>984</v>
      </c>
      <c r="G180" s="118" t="s">
        <v>468</v>
      </c>
      <c r="H180" s="118" t="s">
        <v>468</v>
      </c>
      <c r="I180" s="118" t="s">
        <v>805</v>
      </c>
      <c r="J180" s="118" t="s">
        <v>990</v>
      </c>
      <c r="K180" s="118">
        <v>1</v>
      </c>
      <c r="L180" s="95">
        <v>0</v>
      </c>
    </row>
    <row r="181" spans="2:12">
      <c r="B181" s="118">
        <v>4</v>
      </c>
      <c r="C181" s="118">
        <v>6</v>
      </c>
      <c r="D181" s="118">
        <v>1</v>
      </c>
      <c r="E181" s="118" t="s">
        <v>902</v>
      </c>
      <c r="F181" s="118" t="s">
        <v>984</v>
      </c>
      <c r="G181" s="118" t="s">
        <v>468</v>
      </c>
      <c r="H181" s="118" t="s">
        <v>468</v>
      </c>
      <c r="I181" s="118" t="s">
        <v>671</v>
      </c>
      <c r="J181" s="118" t="s">
        <v>991</v>
      </c>
      <c r="K181" s="118">
        <v>1</v>
      </c>
      <c r="L181" s="95">
        <v>0</v>
      </c>
    </row>
    <row r="182" spans="2:12">
      <c r="B182" s="118">
        <v>5</v>
      </c>
      <c r="C182" s="118">
        <v>0</v>
      </c>
      <c r="D182" s="118">
        <v>1</v>
      </c>
      <c r="E182" s="118" t="s">
        <v>902</v>
      </c>
      <c r="F182" s="118" t="s">
        <v>992</v>
      </c>
      <c r="G182" s="118" t="s">
        <v>468</v>
      </c>
      <c r="H182" s="118" t="s">
        <v>468</v>
      </c>
      <c r="I182" s="118" t="s">
        <v>809</v>
      </c>
      <c r="J182" s="118" t="s">
        <v>993</v>
      </c>
      <c r="K182" s="118">
        <v>0</v>
      </c>
      <c r="L182" s="95">
        <v>0</v>
      </c>
    </row>
    <row r="183" spans="2:12">
      <c r="B183" s="118">
        <v>5</v>
      </c>
      <c r="C183" s="118">
        <v>1</v>
      </c>
      <c r="D183" s="118">
        <v>1</v>
      </c>
      <c r="E183" s="118" t="s">
        <v>902</v>
      </c>
      <c r="F183" s="118" t="s">
        <v>992</v>
      </c>
      <c r="G183" s="118" t="s">
        <v>468</v>
      </c>
      <c r="H183" s="118" t="s">
        <v>468</v>
      </c>
      <c r="I183" s="118" t="s">
        <v>813</v>
      </c>
      <c r="J183" s="118" t="s">
        <v>994</v>
      </c>
      <c r="K183" s="118">
        <v>1</v>
      </c>
      <c r="L183" s="95">
        <v>0</v>
      </c>
    </row>
    <row r="184" spans="2:12">
      <c r="B184" s="118">
        <v>5</v>
      </c>
      <c r="C184" s="118">
        <v>2</v>
      </c>
      <c r="D184" s="118">
        <v>1</v>
      </c>
      <c r="E184" s="118" t="s">
        <v>902</v>
      </c>
      <c r="F184" s="118" t="s">
        <v>992</v>
      </c>
      <c r="G184" s="118" t="s">
        <v>468</v>
      </c>
      <c r="H184" s="118" t="s">
        <v>468</v>
      </c>
      <c r="I184" s="118" t="s">
        <v>816</v>
      </c>
      <c r="J184" s="118" t="s">
        <v>995</v>
      </c>
      <c r="K184" s="118">
        <v>1</v>
      </c>
      <c r="L184" s="95">
        <v>0</v>
      </c>
    </row>
    <row r="185" spans="2:12">
      <c r="B185" s="118">
        <v>5</v>
      </c>
      <c r="C185" s="118">
        <v>3</v>
      </c>
      <c r="D185" s="118">
        <v>1</v>
      </c>
      <c r="E185" s="118" t="s">
        <v>902</v>
      </c>
      <c r="F185" s="118" t="s">
        <v>992</v>
      </c>
      <c r="G185" s="118" t="s">
        <v>468</v>
      </c>
      <c r="H185" s="118" t="s">
        <v>468</v>
      </c>
      <c r="I185" s="118" t="s">
        <v>819</v>
      </c>
      <c r="J185" s="118" t="s">
        <v>996</v>
      </c>
      <c r="K185" s="118">
        <v>1</v>
      </c>
      <c r="L185" s="95">
        <v>0</v>
      </c>
    </row>
    <row r="186" spans="2:12">
      <c r="B186" s="118">
        <v>5</v>
      </c>
      <c r="C186" s="118">
        <v>4</v>
      </c>
      <c r="D186" s="118">
        <v>1</v>
      </c>
      <c r="E186" s="118" t="s">
        <v>902</v>
      </c>
      <c r="F186" s="118" t="s">
        <v>992</v>
      </c>
      <c r="G186" s="118" t="s">
        <v>468</v>
      </c>
      <c r="H186" s="118" t="s">
        <v>468</v>
      </c>
      <c r="I186" s="118" t="s">
        <v>824</v>
      </c>
      <c r="J186" s="118" t="s">
        <v>997</v>
      </c>
      <c r="K186" s="118">
        <v>1</v>
      </c>
      <c r="L186" s="95">
        <v>0</v>
      </c>
    </row>
    <row r="187" spans="2:12">
      <c r="B187" s="118">
        <v>5</v>
      </c>
      <c r="C187" s="118">
        <v>5</v>
      </c>
      <c r="D187" s="118">
        <v>1</v>
      </c>
      <c r="E187" s="118" t="s">
        <v>902</v>
      </c>
      <c r="F187" s="118" t="s">
        <v>992</v>
      </c>
      <c r="G187" s="118" t="s">
        <v>468</v>
      </c>
      <c r="H187" s="118" t="s">
        <v>468</v>
      </c>
      <c r="I187" s="118" t="s">
        <v>671</v>
      </c>
      <c r="J187" s="118" t="s">
        <v>998</v>
      </c>
      <c r="K187" s="118">
        <v>1</v>
      </c>
      <c r="L187" s="95">
        <v>0</v>
      </c>
    </row>
    <row r="188" spans="2:12">
      <c r="B188" s="118">
        <v>1</v>
      </c>
      <c r="C188" s="118">
        <v>17</v>
      </c>
      <c r="D188" s="118">
        <v>2</v>
      </c>
      <c r="E188" s="118" t="s">
        <v>999</v>
      </c>
      <c r="F188" s="118" t="s">
        <v>1000</v>
      </c>
      <c r="G188" s="118" t="s">
        <v>56</v>
      </c>
      <c r="H188" s="118" t="s">
        <v>56</v>
      </c>
      <c r="I188" s="118" t="s">
        <v>501</v>
      </c>
      <c r="J188" s="118" t="s">
        <v>1001</v>
      </c>
      <c r="K188" s="118">
        <v>0</v>
      </c>
      <c r="L188" s="95">
        <v>0</v>
      </c>
    </row>
    <row r="189" spans="2:12">
      <c r="B189" s="118">
        <v>1</v>
      </c>
      <c r="C189" s="118">
        <v>22</v>
      </c>
      <c r="D189" s="118">
        <v>3</v>
      </c>
      <c r="E189" s="118" t="s">
        <v>999</v>
      </c>
      <c r="F189" s="118" t="s">
        <v>1000</v>
      </c>
      <c r="G189" s="118" t="s">
        <v>56</v>
      </c>
      <c r="H189" s="118" t="s">
        <v>56</v>
      </c>
      <c r="I189" s="118" t="s">
        <v>510</v>
      </c>
      <c r="J189" s="118" t="s">
        <v>1002</v>
      </c>
      <c r="K189" s="118">
        <v>0</v>
      </c>
      <c r="L189" s="95">
        <v>0</v>
      </c>
    </row>
    <row r="190" spans="2:12">
      <c r="B190" s="118">
        <v>1</v>
      </c>
      <c r="C190" s="118">
        <v>81</v>
      </c>
      <c r="D190" s="118">
        <v>2</v>
      </c>
      <c r="E190" s="118" t="s">
        <v>999</v>
      </c>
      <c r="F190" s="118" t="s">
        <v>1000</v>
      </c>
      <c r="G190" s="118" t="s">
        <v>56</v>
      </c>
      <c r="H190" s="118" t="s">
        <v>56</v>
      </c>
      <c r="I190" s="118" t="s">
        <v>1003</v>
      </c>
      <c r="J190" s="118" t="s">
        <v>1004</v>
      </c>
      <c r="K190" s="118">
        <v>0</v>
      </c>
      <c r="L190" s="95">
        <v>0</v>
      </c>
    </row>
    <row r="191" spans="2:12">
      <c r="B191" s="118">
        <v>1</v>
      </c>
      <c r="C191" s="118">
        <v>95</v>
      </c>
      <c r="D191" s="118">
        <v>2</v>
      </c>
      <c r="E191" s="118" t="s">
        <v>999</v>
      </c>
      <c r="F191" s="118" t="s">
        <v>1000</v>
      </c>
      <c r="G191" s="118" t="s">
        <v>56</v>
      </c>
      <c r="H191" s="118" t="s">
        <v>56</v>
      </c>
      <c r="I191" s="118" t="s">
        <v>545</v>
      </c>
      <c r="J191" s="118" t="s">
        <v>1005</v>
      </c>
      <c r="K191" s="118">
        <v>0</v>
      </c>
      <c r="L191" s="95">
        <v>0</v>
      </c>
    </row>
    <row r="192" spans="2:12">
      <c r="B192" s="118">
        <v>1</v>
      </c>
      <c r="C192" s="118">
        <v>96</v>
      </c>
      <c r="D192" s="118">
        <v>2</v>
      </c>
      <c r="E192" s="118" t="s">
        <v>999</v>
      </c>
      <c r="F192" s="118" t="s">
        <v>1000</v>
      </c>
      <c r="G192" s="118" t="s">
        <v>56</v>
      </c>
      <c r="H192" s="118" t="s">
        <v>56</v>
      </c>
      <c r="I192" s="118" t="s">
        <v>550</v>
      </c>
      <c r="J192" s="118" t="s">
        <v>1006</v>
      </c>
      <c r="K192" s="118">
        <v>0</v>
      </c>
      <c r="L192" s="95">
        <v>0</v>
      </c>
    </row>
    <row r="193" spans="2:12">
      <c r="B193" s="118">
        <v>1</v>
      </c>
      <c r="C193" s="118">
        <v>97</v>
      </c>
      <c r="D193" s="118">
        <v>2</v>
      </c>
      <c r="E193" s="118" t="s">
        <v>999</v>
      </c>
      <c r="F193" s="118" t="s">
        <v>1000</v>
      </c>
      <c r="G193" s="118" t="s">
        <v>56</v>
      </c>
      <c r="H193" s="118" t="s">
        <v>56</v>
      </c>
      <c r="I193" s="118" t="s">
        <v>552</v>
      </c>
      <c r="J193" s="118" t="s">
        <v>1007</v>
      </c>
      <c r="K193" s="118">
        <v>0</v>
      </c>
      <c r="L193" s="95">
        <v>0</v>
      </c>
    </row>
    <row r="194" spans="2:12">
      <c r="B194" s="118">
        <v>1</v>
      </c>
      <c r="C194" s="118">
        <v>98</v>
      </c>
      <c r="D194" s="118">
        <v>2</v>
      </c>
      <c r="E194" s="118" t="s">
        <v>999</v>
      </c>
      <c r="F194" s="118" t="s">
        <v>1000</v>
      </c>
      <c r="G194" s="118" t="s">
        <v>56</v>
      </c>
      <c r="H194" s="118" t="s">
        <v>56</v>
      </c>
      <c r="I194" s="118" t="s">
        <v>1008</v>
      </c>
      <c r="J194" s="118"/>
      <c r="K194" s="118">
        <v>0</v>
      </c>
      <c r="L194" s="95">
        <v>0</v>
      </c>
    </row>
    <row r="195" spans="2:12">
      <c r="B195" s="118">
        <v>1</v>
      </c>
      <c r="C195" s="118">
        <v>99</v>
      </c>
      <c r="D195" s="118">
        <v>2</v>
      </c>
      <c r="E195" s="118" t="s">
        <v>999</v>
      </c>
      <c r="F195" s="118" t="s">
        <v>1000</v>
      </c>
      <c r="G195" s="118" t="s">
        <v>56</v>
      </c>
      <c r="H195" s="118" t="s">
        <v>56</v>
      </c>
      <c r="I195" s="118" t="s">
        <v>556</v>
      </c>
      <c r="J195" s="118"/>
      <c r="K195" s="118">
        <v>0</v>
      </c>
      <c r="L195" s="95">
        <v>0</v>
      </c>
    </row>
    <row r="196" spans="2:12">
      <c r="B196" s="118">
        <v>1</v>
      </c>
      <c r="C196" s="118">
        <v>111</v>
      </c>
      <c r="D196" s="118">
        <v>2</v>
      </c>
      <c r="E196" s="118" t="s">
        <v>999</v>
      </c>
      <c r="F196" s="118" t="s">
        <v>1000</v>
      </c>
      <c r="G196" s="118" t="s">
        <v>56</v>
      </c>
      <c r="H196" s="118" t="s">
        <v>56</v>
      </c>
      <c r="I196" s="118" t="s">
        <v>878</v>
      </c>
      <c r="J196" s="118"/>
      <c r="K196" s="118">
        <v>0</v>
      </c>
      <c r="L196" s="95">
        <v>0</v>
      </c>
    </row>
    <row r="197" spans="2:12">
      <c r="B197" s="118">
        <v>2</v>
      </c>
      <c r="C197" s="118">
        <v>1</v>
      </c>
      <c r="D197" s="118">
        <v>2</v>
      </c>
      <c r="E197" s="118" t="s">
        <v>999</v>
      </c>
      <c r="F197" s="118" t="s">
        <v>1009</v>
      </c>
      <c r="G197" s="118" t="s">
        <v>56</v>
      </c>
      <c r="H197" s="118" t="s">
        <v>56</v>
      </c>
      <c r="I197" s="118" t="s">
        <v>1010</v>
      </c>
      <c r="J197" s="118"/>
      <c r="K197" s="118">
        <v>0</v>
      </c>
      <c r="L197" s="95">
        <v>0</v>
      </c>
    </row>
    <row r="198" spans="2:12">
      <c r="B198" s="118">
        <v>2</v>
      </c>
      <c r="C198" s="118">
        <v>8</v>
      </c>
      <c r="D198" s="118">
        <v>2</v>
      </c>
      <c r="E198" s="118" t="s">
        <v>999</v>
      </c>
      <c r="F198" s="118" t="s">
        <v>1009</v>
      </c>
      <c r="G198" s="118" t="s">
        <v>56</v>
      </c>
      <c r="H198" s="118" t="s">
        <v>56</v>
      </c>
      <c r="I198" s="118" t="s">
        <v>880</v>
      </c>
      <c r="J198" s="118"/>
      <c r="K198" s="118">
        <v>0</v>
      </c>
      <c r="L198" s="95">
        <v>0</v>
      </c>
    </row>
    <row r="199" spans="2:12">
      <c r="B199" s="118">
        <v>2</v>
      </c>
      <c r="C199" s="118">
        <v>10</v>
      </c>
      <c r="D199" s="118">
        <v>1</v>
      </c>
      <c r="E199" s="118" t="s">
        <v>999</v>
      </c>
      <c r="F199" s="118" t="s">
        <v>1009</v>
      </c>
      <c r="G199" s="118" t="s">
        <v>56</v>
      </c>
      <c r="H199" s="118" t="s">
        <v>56</v>
      </c>
      <c r="I199" s="118" t="s">
        <v>1011</v>
      </c>
      <c r="J199" s="118"/>
      <c r="K199" s="118">
        <v>0</v>
      </c>
      <c r="L199" s="95">
        <v>0</v>
      </c>
    </row>
    <row r="200" spans="2:12">
      <c r="B200" s="118">
        <v>2</v>
      </c>
      <c r="C200" s="118">
        <v>11</v>
      </c>
      <c r="D200" s="118">
        <v>1</v>
      </c>
      <c r="E200" s="118" t="s">
        <v>999</v>
      </c>
      <c r="F200" s="118" t="s">
        <v>1009</v>
      </c>
      <c r="G200" s="118" t="s">
        <v>56</v>
      </c>
      <c r="H200" s="118" t="s">
        <v>56</v>
      </c>
      <c r="I200" s="118" t="s">
        <v>1012</v>
      </c>
      <c r="J200" s="118"/>
      <c r="K200" s="118">
        <v>0</v>
      </c>
      <c r="L200" s="95">
        <v>0</v>
      </c>
    </row>
    <row r="201" spans="2:12">
      <c r="B201" s="118">
        <v>2</v>
      </c>
      <c r="C201" s="118">
        <v>21</v>
      </c>
      <c r="D201" s="118">
        <v>1</v>
      </c>
      <c r="E201" s="118" t="s">
        <v>999</v>
      </c>
      <c r="F201" s="118" t="s">
        <v>1009</v>
      </c>
      <c r="G201" s="118" t="s">
        <v>56</v>
      </c>
      <c r="H201" s="118" t="s">
        <v>56</v>
      </c>
      <c r="I201" s="118" t="s">
        <v>1013</v>
      </c>
      <c r="J201" s="118"/>
      <c r="K201" s="118">
        <v>0</v>
      </c>
      <c r="L201" s="95">
        <v>0</v>
      </c>
    </row>
    <row r="202" spans="2:12">
      <c r="B202" s="118">
        <v>2</v>
      </c>
      <c r="C202" s="118">
        <v>27</v>
      </c>
      <c r="D202" s="118">
        <v>2</v>
      </c>
      <c r="E202" s="118" t="s">
        <v>999</v>
      </c>
      <c r="F202" s="118" t="s">
        <v>1009</v>
      </c>
      <c r="G202" s="118" t="s">
        <v>56</v>
      </c>
      <c r="H202" s="118" t="s">
        <v>56</v>
      </c>
      <c r="I202" s="118" t="s">
        <v>1014</v>
      </c>
      <c r="J202" s="118"/>
      <c r="K202" s="118">
        <v>0</v>
      </c>
      <c r="L202" s="95">
        <v>0</v>
      </c>
    </row>
    <row r="203" spans="2:12">
      <c r="B203" s="118">
        <v>2</v>
      </c>
      <c r="C203" s="118">
        <v>28</v>
      </c>
      <c r="D203" s="118">
        <v>2</v>
      </c>
      <c r="E203" s="118" t="s">
        <v>999</v>
      </c>
      <c r="F203" s="118" t="s">
        <v>1009</v>
      </c>
      <c r="G203" s="118" t="s">
        <v>56</v>
      </c>
      <c r="H203" s="118" t="s">
        <v>56</v>
      </c>
      <c r="I203" s="118" t="s">
        <v>1015</v>
      </c>
      <c r="J203" s="118"/>
      <c r="K203" s="118">
        <v>0</v>
      </c>
      <c r="L203" s="95">
        <v>0</v>
      </c>
    </row>
    <row r="204" spans="2:12">
      <c r="B204" s="118">
        <v>2</v>
      </c>
      <c r="C204" s="118">
        <v>29</v>
      </c>
      <c r="D204" s="118">
        <v>2</v>
      </c>
      <c r="E204" s="118" t="s">
        <v>999</v>
      </c>
      <c r="F204" s="118" t="s">
        <v>1009</v>
      </c>
      <c r="G204" s="118" t="s">
        <v>56</v>
      </c>
      <c r="H204" s="118" t="s">
        <v>56</v>
      </c>
      <c r="I204" s="118" t="s">
        <v>1016</v>
      </c>
      <c r="J204" s="118"/>
      <c r="K204" s="118">
        <v>0</v>
      </c>
      <c r="L204" s="95">
        <v>0</v>
      </c>
    </row>
    <row r="205" spans="2:12">
      <c r="B205" s="118">
        <v>2</v>
      </c>
      <c r="C205" s="118">
        <v>30</v>
      </c>
      <c r="D205" s="118">
        <v>1</v>
      </c>
      <c r="E205" s="118" t="s">
        <v>999</v>
      </c>
      <c r="F205" s="118" t="s">
        <v>1009</v>
      </c>
      <c r="G205" s="118" t="s">
        <v>56</v>
      </c>
      <c r="H205" s="118" t="s">
        <v>56</v>
      </c>
      <c r="I205" s="118" t="s">
        <v>1017</v>
      </c>
      <c r="J205" s="118"/>
      <c r="K205" s="118">
        <v>0</v>
      </c>
      <c r="L205" s="95">
        <v>0</v>
      </c>
    </row>
    <row r="206" spans="2:12">
      <c r="B206" s="118">
        <v>2</v>
      </c>
      <c r="C206" s="118">
        <v>38</v>
      </c>
      <c r="D206" s="118">
        <v>2</v>
      </c>
      <c r="E206" s="118" t="s">
        <v>999</v>
      </c>
      <c r="F206" s="118" t="s">
        <v>1009</v>
      </c>
      <c r="G206" s="118" t="s">
        <v>56</v>
      </c>
      <c r="H206" s="118" t="s">
        <v>56</v>
      </c>
      <c r="I206" s="118" t="s">
        <v>1018</v>
      </c>
      <c r="J206" s="118"/>
      <c r="K206" s="118">
        <v>0</v>
      </c>
      <c r="L206" s="95">
        <v>0</v>
      </c>
    </row>
    <row r="207" spans="2:12">
      <c r="B207" s="118">
        <v>2</v>
      </c>
      <c r="C207" s="118">
        <v>41</v>
      </c>
      <c r="D207" s="118">
        <v>2</v>
      </c>
      <c r="E207" s="118" t="s">
        <v>999</v>
      </c>
      <c r="F207" s="118" t="s">
        <v>1009</v>
      </c>
      <c r="G207" s="118" t="s">
        <v>56</v>
      </c>
      <c r="H207" s="118" t="s">
        <v>56</v>
      </c>
      <c r="I207" s="118" t="s">
        <v>1019</v>
      </c>
      <c r="J207" s="118"/>
      <c r="K207" s="118">
        <v>0</v>
      </c>
      <c r="L207" s="95">
        <v>0</v>
      </c>
    </row>
    <row r="208" spans="2:12">
      <c r="B208" s="118">
        <v>2</v>
      </c>
      <c r="C208" s="118">
        <v>42</v>
      </c>
      <c r="D208" s="118">
        <v>2</v>
      </c>
      <c r="E208" s="118" t="s">
        <v>999</v>
      </c>
      <c r="F208" s="118" t="s">
        <v>1009</v>
      </c>
      <c r="G208" s="118" t="s">
        <v>56</v>
      </c>
      <c r="H208" s="118" t="s">
        <v>56</v>
      </c>
      <c r="I208" s="118" t="s">
        <v>510</v>
      </c>
      <c r="J208" s="118"/>
      <c r="K208" s="118">
        <v>0</v>
      </c>
      <c r="L208" s="95">
        <v>0</v>
      </c>
    </row>
    <row r="209" spans="2:12">
      <c r="B209" s="118">
        <v>2</v>
      </c>
      <c r="C209" s="118">
        <v>47</v>
      </c>
      <c r="D209" s="118">
        <v>2</v>
      </c>
      <c r="E209" s="118" t="s">
        <v>999</v>
      </c>
      <c r="F209" s="118" t="s">
        <v>1009</v>
      </c>
      <c r="G209" s="118" t="s">
        <v>56</v>
      </c>
      <c r="H209" s="118" t="s">
        <v>56</v>
      </c>
      <c r="I209" s="118" t="s">
        <v>1020</v>
      </c>
      <c r="J209" s="118"/>
      <c r="K209" s="118">
        <v>0</v>
      </c>
      <c r="L209" s="95">
        <v>0</v>
      </c>
    </row>
    <row r="210" spans="2:12">
      <c r="B210" s="118">
        <v>2</v>
      </c>
      <c r="C210" s="118">
        <v>50</v>
      </c>
      <c r="D210" s="118">
        <v>2</v>
      </c>
      <c r="E210" s="118" t="s">
        <v>999</v>
      </c>
      <c r="F210" s="118" t="s">
        <v>1009</v>
      </c>
      <c r="G210" s="118" t="s">
        <v>56</v>
      </c>
      <c r="H210" s="118" t="s">
        <v>56</v>
      </c>
      <c r="I210" s="118" t="s">
        <v>1021</v>
      </c>
      <c r="J210" s="118"/>
      <c r="K210" s="118">
        <v>0</v>
      </c>
      <c r="L210" s="95">
        <v>0</v>
      </c>
    </row>
    <row r="211" spans="2:12">
      <c r="B211" s="118">
        <v>2</v>
      </c>
      <c r="C211" s="118">
        <v>69</v>
      </c>
      <c r="D211" s="118">
        <v>2</v>
      </c>
      <c r="E211" s="118" t="s">
        <v>999</v>
      </c>
      <c r="F211" s="118" t="s">
        <v>1009</v>
      </c>
      <c r="G211" s="118" t="s">
        <v>56</v>
      </c>
      <c r="H211" s="118" t="s">
        <v>56</v>
      </c>
      <c r="I211" s="118" t="s">
        <v>1022</v>
      </c>
      <c r="J211" s="118"/>
      <c r="K211" s="118">
        <v>0</v>
      </c>
      <c r="L211" s="95">
        <v>0</v>
      </c>
    </row>
    <row r="212" spans="2:12">
      <c r="B212" s="118">
        <v>2</v>
      </c>
      <c r="C212" s="118">
        <v>81</v>
      </c>
      <c r="D212" s="118">
        <v>2</v>
      </c>
      <c r="E212" s="118" t="s">
        <v>999</v>
      </c>
      <c r="F212" s="118" t="s">
        <v>1009</v>
      </c>
      <c r="G212" s="118" t="s">
        <v>56</v>
      </c>
      <c r="H212" s="118" t="s">
        <v>56</v>
      </c>
      <c r="I212" s="118" t="s">
        <v>1023</v>
      </c>
      <c r="J212" s="118"/>
      <c r="K212" s="118">
        <v>0</v>
      </c>
      <c r="L212" s="95">
        <v>0</v>
      </c>
    </row>
    <row r="213" spans="2:12">
      <c r="B213" s="118">
        <v>2</v>
      </c>
      <c r="C213" s="118">
        <v>95</v>
      </c>
      <c r="D213" s="118">
        <v>2</v>
      </c>
      <c r="E213" s="118" t="s">
        <v>999</v>
      </c>
      <c r="F213" s="118" t="s">
        <v>1009</v>
      </c>
      <c r="G213" s="118" t="s">
        <v>56</v>
      </c>
      <c r="H213" s="118" t="s">
        <v>56</v>
      </c>
      <c r="I213" s="118" t="s">
        <v>545</v>
      </c>
      <c r="J213" s="118"/>
      <c r="K213" s="118">
        <v>0</v>
      </c>
      <c r="L213" s="95">
        <v>0</v>
      </c>
    </row>
    <row r="214" spans="2:12">
      <c r="B214" s="118">
        <v>2</v>
      </c>
      <c r="C214" s="118">
        <v>96</v>
      </c>
      <c r="D214" s="118">
        <v>2</v>
      </c>
      <c r="E214" s="118" t="s">
        <v>999</v>
      </c>
      <c r="F214" s="118" t="s">
        <v>1009</v>
      </c>
      <c r="G214" s="118" t="s">
        <v>56</v>
      </c>
      <c r="H214" s="118" t="s">
        <v>56</v>
      </c>
      <c r="I214" s="118" t="s">
        <v>550</v>
      </c>
      <c r="J214" s="118"/>
      <c r="K214" s="118">
        <v>0</v>
      </c>
      <c r="L214" s="95">
        <v>0</v>
      </c>
    </row>
    <row r="215" spans="2:12">
      <c r="B215" s="118">
        <v>2</v>
      </c>
      <c r="C215" s="118">
        <v>97</v>
      </c>
      <c r="D215" s="118">
        <v>2</v>
      </c>
      <c r="E215" s="118" t="s">
        <v>999</v>
      </c>
      <c r="F215" s="118" t="s">
        <v>1009</v>
      </c>
      <c r="G215" s="118" t="s">
        <v>56</v>
      </c>
      <c r="H215" s="118" t="s">
        <v>56</v>
      </c>
      <c r="I215" s="118" t="s">
        <v>552</v>
      </c>
      <c r="J215" s="118"/>
      <c r="K215" s="118">
        <v>0</v>
      </c>
      <c r="L215" s="95">
        <v>0</v>
      </c>
    </row>
    <row r="216" spans="2:12">
      <c r="B216" s="118">
        <v>2</v>
      </c>
      <c r="C216" s="118">
        <v>98</v>
      </c>
      <c r="D216" s="118">
        <v>2</v>
      </c>
      <c r="E216" s="118" t="s">
        <v>999</v>
      </c>
      <c r="F216" s="118" t="s">
        <v>1009</v>
      </c>
      <c r="G216" s="118" t="s">
        <v>56</v>
      </c>
      <c r="H216" s="118" t="s">
        <v>56</v>
      </c>
      <c r="I216" s="118" t="s">
        <v>1024</v>
      </c>
      <c r="J216" s="118"/>
      <c r="K216" s="118">
        <v>0</v>
      </c>
      <c r="L216" s="95">
        <v>0</v>
      </c>
    </row>
    <row r="217" spans="2:12">
      <c r="B217" s="118">
        <v>2</v>
      </c>
      <c r="C217" s="118">
        <v>99</v>
      </c>
      <c r="D217" s="118">
        <v>2</v>
      </c>
      <c r="E217" s="118" t="s">
        <v>999</v>
      </c>
      <c r="F217" s="118" t="s">
        <v>1009</v>
      </c>
      <c r="G217" s="118" t="s">
        <v>56</v>
      </c>
      <c r="H217" s="118" t="s">
        <v>56</v>
      </c>
      <c r="I217" s="118" t="s">
        <v>556</v>
      </c>
      <c r="J217" s="118"/>
      <c r="K217" s="118">
        <v>0</v>
      </c>
      <c r="L217" s="95">
        <v>0</v>
      </c>
    </row>
    <row r="218" spans="2:12">
      <c r="B218" s="118">
        <v>2</v>
      </c>
      <c r="C218" s="118">
        <v>111</v>
      </c>
      <c r="D218" s="118">
        <v>2</v>
      </c>
      <c r="E218" s="118" t="s">
        <v>999</v>
      </c>
      <c r="F218" s="118" t="s">
        <v>1009</v>
      </c>
      <c r="G218" s="118" t="s">
        <v>56</v>
      </c>
      <c r="H218" s="118" t="s">
        <v>56</v>
      </c>
      <c r="I218" s="118" t="s">
        <v>878</v>
      </c>
      <c r="J218" s="118"/>
      <c r="K218" s="118">
        <v>0</v>
      </c>
      <c r="L218" s="95">
        <v>0</v>
      </c>
    </row>
    <row r="219" spans="2:12">
      <c r="B219" s="118">
        <v>2</v>
      </c>
      <c r="C219" s="118">
        <v>127</v>
      </c>
      <c r="D219" s="118">
        <v>1</v>
      </c>
      <c r="E219" s="118" t="s">
        <v>999</v>
      </c>
      <c r="F219" s="118" t="s">
        <v>1009</v>
      </c>
      <c r="G219" s="118" t="s">
        <v>56</v>
      </c>
      <c r="H219" s="118" t="s">
        <v>56</v>
      </c>
      <c r="I219" s="118" t="s">
        <v>1025</v>
      </c>
      <c r="J219" s="118"/>
      <c r="K219" s="118">
        <v>0</v>
      </c>
      <c r="L219" s="95">
        <v>0</v>
      </c>
    </row>
  </sheetData>
  <mergeCells count="3">
    <mergeCell ref="B2:H2"/>
    <mergeCell ref="B6:H6"/>
    <mergeCell ref="B11:L11"/>
  </mergeCells>
  <dataValidations count="1">
    <dataValidation type="list" allowBlank="1" showInputMessage="1" showErrorMessage="1" sqref="E4">
      <formula1>"quarter,hour,day,week,month,year,维表"</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6"/>
  <sheetViews>
    <sheetView zoomScale="85" zoomScaleNormal="85" workbookViewId="0">
      <pane ySplit="5" topLeftCell="A6" activePane="bottomLeft" state="frozen"/>
      <selection/>
      <selection pane="bottomLeft" activeCell="G21" sqref="G2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43.1111111111111" style="3" customWidth="1"/>
    <col min="8" max="8" width="14.4444444444444" style="3" customWidth="1"/>
    <col min="9" max="9" width="7.44444444444444"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64</v>
      </c>
      <c r="D5" s="35" t="s">
        <v>65</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1027</v>
      </c>
      <c r="D9" s="35" t="s">
        <v>1028</v>
      </c>
      <c r="E9" s="11" t="s">
        <v>199</v>
      </c>
      <c r="F9" s="11"/>
      <c r="G9" s="13"/>
      <c r="H9" s="15"/>
    </row>
    <row r="10" spans="2:8">
      <c r="B10" s="11"/>
      <c r="C10" s="10" t="s">
        <v>1029</v>
      </c>
      <c r="D10" s="10" t="s">
        <v>1030</v>
      </c>
      <c r="E10" s="11" t="s">
        <v>202</v>
      </c>
      <c r="F10" s="11"/>
      <c r="G10" s="52" t="s">
        <v>1031</v>
      </c>
      <c r="H10" s="15"/>
    </row>
    <row r="11" spans="2:8">
      <c r="B11" s="11"/>
      <c r="C11" s="10" t="s">
        <v>1032</v>
      </c>
      <c r="D11" s="10" t="s">
        <v>1033</v>
      </c>
      <c r="E11" s="11" t="s">
        <v>1034</v>
      </c>
      <c r="F11" s="38"/>
      <c r="G11" s="53"/>
      <c r="H11" s="11"/>
    </row>
    <row r="12" spans="7:7">
      <c r="G12" s="17"/>
    </row>
    <row r="13" spans="2:2">
      <c r="B13" s="3" t="s">
        <v>204</v>
      </c>
    </row>
    <row r="14" spans="2:12">
      <c r="B14" s="7" t="s">
        <v>204</v>
      </c>
      <c r="C14" s="7"/>
      <c r="D14" s="7"/>
      <c r="E14" s="7"/>
      <c r="F14" s="7"/>
      <c r="G14" s="7"/>
      <c r="H14" s="7"/>
      <c r="I14" s="7"/>
      <c r="J14" s="7"/>
      <c r="K14" s="7"/>
      <c r="L14" s="7"/>
    </row>
    <row r="15" ht="24" spans="2:12">
      <c r="B15" s="8" t="s">
        <v>205</v>
      </c>
      <c r="C15" s="8" t="s">
        <v>206</v>
      </c>
      <c r="D15" s="8" t="s">
        <v>207</v>
      </c>
      <c r="E15" s="8" t="s">
        <v>208</v>
      </c>
      <c r="F15" s="8" t="s">
        <v>209</v>
      </c>
      <c r="G15" s="8" t="s">
        <v>210</v>
      </c>
      <c r="H15" s="8" t="s">
        <v>211</v>
      </c>
      <c r="I15" s="8" t="s">
        <v>17</v>
      </c>
      <c r="J15" s="8" t="s">
        <v>212</v>
      </c>
      <c r="K15" s="8" t="s">
        <v>213</v>
      </c>
      <c r="L15" s="8" t="s">
        <v>214</v>
      </c>
    </row>
    <row r="16" s="50" customFormat="1" ht="26.4" spans="2:12">
      <c r="B16" s="57" t="s">
        <v>1035</v>
      </c>
      <c r="C16" s="57" t="s">
        <v>220</v>
      </c>
      <c r="D16" s="58" t="s">
        <v>1036</v>
      </c>
      <c r="E16" s="59" t="s">
        <v>1037</v>
      </c>
      <c r="F16" s="60" t="s">
        <v>1038</v>
      </c>
      <c r="G16" s="60" t="s">
        <v>218</v>
      </c>
      <c r="H16" s="61"/>
      <c r="I16" s="62" t="s">
        <v>1039</v>
      </c>
      <c r="J16" s="62"/>
      <c r="K16" s="62"/>
      <c r="L16" s="62"/>
    </row>
    <row r="17" s="50" customFormat="1" spans="2:12">
      <c r="B17" s="57" t="s">
        <v>1040</v>
      </c>
      <c r="C17" s="57" t="s">
        <v>220</v>
      </c>
      <c r="D17" s="58" t="s">
        <v>1041</v>
      </c>
      <c r="E17" s="59" t="s">
        <v>199</v>
      </c>
      <c r="F17" s="60" t="s">
        <v>252</v>
      </c>
      <c r="G17" s="60" t="s">
        <v>218</v>
      </c>
      <c r="H17" s="61"/>
      <c r="I17" s="62" t="s">
        <v>1039</v>
      </c>
      <c r="J17" s="62"/>
      <c r="K17" s="62"/>
      <c r="L17" s="62"/>
    </row>
    <row r="18" s="1" customFormat="1" spans="2:12">
      <c r="B18" s="32" t="s">
        <v>1042</v>
      </c>
      <c r="C18" s="32" t="s">
        <v>220</v>
      </c>
      <c r="D18" s="10" t="s">
        <v>1043</v>
      </c>
      <c r="E18" s="54"/>
      <c r="F18" s="39"/>
      <c r="G18" s="39"/>
      <c r="H18" s="55"/>
      <c r="I18" s="56"/>
      <c r="J18" s="56"/>
      <c r="K18" s="56"/>
      <c r="L18" s="56"/>
    </row>
    <row r="19" s="1" customFormat="1" spans="1:12">
      <c r="A19" s="40"/>
      <c r="B19" s="32" t="s">
        <v>1044</v>
      </c>
      <c r="C19" s="32" t="s">
        <v>220</v>
      </c>
      <c r="D19" s="10" t="s">
        <v>1045</v>
      </c>
      <c r="E19" s="54"/>
      <c r="F19" s="39"/>
      <c r="G19" s="39"/>
      <c r="H19" s="55"/>
      <c r="I19" s="80"/>
      <c r="J19" s="56"/>
      <c r="K19" s="56"/>
      <c r="L19" s="56"/>
    </row>
    <row r="20" s="1" customFormat="1" spans="1:12">
      <c r="A20" s="40"/>
      <c r="B20" s="32" t="s">
        <v>1046</v>
      </c>
      <c r="C20" s="32" t="s">
        <v>233</v>
      </c>
      <c r="D20" s="10" t="s">
        <v>1047</v>
      </c>
      <c r="E20" s="54"/>
      <c r="F20" s="39"/>
      <c r="G20" s="39"/>
      <c r="H20" s="55"/>
      <c r="I20" s="80"/>
      <c r="J20" s="56"/>
      <c r="K20" s="56"/>
      <c r="L20" s="56"/>
    </row>
    <row r="21" s="1" customFormat="1" spans="1:12">
      <c r="A21" s="40"/>
      <c r="B21" s="32" t="s">
        <v>1048</v>
      </c>
      <c r="C21" s="32" t="s">
        <v>216</v>
      </c>
      <c r="D21" s="10" t="s">
        <v>1049</v>
      </c>
      <c r="E21" s="54"/>
      <c r="F21" s="39"/>
      <c r="G21" s="39"/>
      <c r="H21" s="55"/>
      <c r="I21" s="80"/>
      <c r="J21" s="56"/>
      <c r="K21" s="56"/>
      <c r="L21" s="56"/>
    </row>
    <row r="22" s="1" customFormat="1" spans="1:12">
      <c r="A22" s="40"/>
      <c r="B22" s="11" t="s">
        <v>1050</v>
      </c>
      <c r="C22" s="11" t="s">
        <v>233</v>
      </c>
      <c r="D22" s="10" t="s">
        <v>1051</v>
      </c>
      <c r="E22" s="54"/>
      <c r="F22" s="10"/>
      <c r="G22" s="39"/>
      <c r="H22" s="55"/>
      <c r="I22" s="80"/>
      <c r="J22" s="56"/>
      <c r="K22" s="56"/>
      <c r="L22" s="56"/>
    </row>
    <row r="23" s="1" customFormat="1" spans="1:12">
      <c r="A23" s="40"/>
      <c r="B23" s="11" t="s">
        <v>224</v>
      </c>
      <c r="C23" s="11" t="s">
        <v>216</v>
      </c>
      <c r="D23" s="10" t="s">
        <v>1052</v>
      </c>
      <c r="E23" s="54"/>
      <c r="F23" s="10"/>
      <c r="G23" s="39"/>
      <c r="H23" s="55"/>
      <c r="I23" s="80"/>
      <c r="J23" s="56"/>
      <c r="K23" s="56"/>
      <c r="L23" s="56"/>
    </row>
    <row r="24" s="1" customFormat="1" spans="1:12">
      <c r="A24" s="40"/>
      <c r="B24" s="11" t="s">
        <v>1053</v>
      </c>
      <c r="C24" s="11" t="s">
        <v>216</v>
      </c>
      <c r="D24" s="10" t="s">
        <v>1054</v>
      </c>
      <c r="E24" s="54"/>
      <c r="F24" s="10"/>
      <c r="G24" s="39"/>
      <c r="H24" s="55"/>
      <c r="I24" s="80"/>
      <c r="J24" s="56"/>
      <c r="K24" s="56"/>
      <c r="L24" s="56"/>
    </row>
    <row r="25" s="1" customFormat="1" spans="1:12">
      <c r="A25" s="40"/>
      <c r="B25" s="11" t="s">
        <v>267</v>
      </c>
      <c r="C25" s="11" t="s">
        <v>216</v>
      </c>
      <c r="D25" s="10" t="s">
        <v>1055</v>
      </c>
      <c r="E25" s="54"/>
      <c r="F25" s="10"/>
      <c r="G25" s="39"/>
      <c r="H25" s="55"/>
      <c r="I25" s="80"/>
      <c r="J25" s="56"/>
      <c r="K25" s="56"/>
      <c r="L25" s="56"/>
    </row>
    <row r="26" s="1" customFormat="1" spans="1:12">
      <c r="A26" s="40"/>
      <c r="B26" s="11" t="s">
        <v>1056</v>
      </c>
      <c r="C26" s="11" t="s">
        <v>216</v>
      </c>
      <c r="D26" s="10" t="s">
        <v>1057</v>
      </c>
      <c r="E26" s="54"/>
      <c r="F26" s="10"/>
      <c r="G26" s="39"/>
      <c r="H26" s="55"/>
      <c r="I26" s="80"/>
      <c r="J26" s="56"/>
      <c r="K26" s="56"/>
      <c r="L26" s="56"/>
    </row>
    <row r="27" s="1" customFormat="1" spans="1:12">
      <c r="A27" s="40"/>
      <c r="B27" s="32" t="s">
        <v>1058</v>
      </c>
      <c r="C27" s="32" t="s">
        <v>216</v>
      </c>
      <c r="D27" s="10" t="s">
        <v>1059</v>
      </c>
      <c r="E27" s="54"/>
      <c r="F27" s="39"/>
      <c r="G27" s="39"/>
      <c r="H27" s="55"/>
      <c r="I27" s="80"/>
      <c r="J27" s="56"/>
      <c r="K27" s="56"/>
      <c r="L27" s="56"/>
    </row>
    <row r="28" s="1" customFormat="1" spans="1:12">
      <c r="A28" s="40"/>
      <c r="B28" s="11" t="s">
        <v>1060</v>
      </c>
      <c r="C28" s="11" t="s">
        <v>220</v>
      </c>
      <c r="D28" s="10" t="s">
        <v>1061</v>
      </c>
      <c r="E28" s="54"/>
      <c r="F28" s="39"/>
      <c r="G28" s="13"/>
      <c r="H28" s="55"/>
      <c r="I28" s="80"/>
      <c r="J28" s="56"/>
      <c r="K28" s="56"/>
      <c r="L28" s="56"/>
    </row>
    <row r="29" s="1" customFormat="1" spans="1:12">
      <c r="A29" s="40"/>
      <c r="B29" s="11" t="s">
        <v>1062</v>
      </c>
      <c r="C29" s="11" t="s">
        <v>220</v>
      </c>
      <c r="D29" s="10" t="s">
        <v>1063</v>
      </c>
      <c r="E29" s="54"/>
      <c r="F29" s="39"/>
      <c r="G29" s="13"/>
      <c r="H29" s="55"/>
      <c r="I29" s="80"/>
      <c r="J29" s="56"/>
      <c r="K29" s="56"/>
      <c r="L29" s="56"/>
    </row>
    <row r="30" s="50" customFormat="1" ht="26.4" spans="1:12">
      <c r="A30" s="73"/>
      <c r="B30" s="86" t="s">
        <v>1064</v>
      </c>
      <c r="C30" s="86" t="s">
        <v>220</v>
      </c>
      <c r="D30" s="58" t="s">
        <v>1065</v>
      </c>
      <c r="E30" s="59" t="s">
        <v>1037</v>
      </c>
      <c r="F30" s="60" t="s">
        <v>1066</v>
      </c>
      <c r="G30" s="60" t="s">
        <v>218</v>
      </c>
      <c r="H30" s="61"/>
      <c r="I30" s="62" t="s">
        <v>1039</v>
      </c>
      <c r="J30" s="62"/>
      <c r="K30" s="62"/>
      <c r="L30" s="62"/>
    </row>
    <row r="31" s="1" customFormat="1" spans="1:12">
      <c r="A31" s="40"/>
      <c r="B31" s="11" t="s">
        <v>1067</v>
      </c>
      <c r="C31" s="11" t="s">
        <v>275</v>
      </c>
      <c r="D31" s="10" t="s">
        <v>1068</v>
      </c>
      <c r="E31" s="54"/>
      <c r="F31" s="39"/>
      <c r="G31" s="13"/>
      <c r="H31" s="55"/>
      <c r="I31" s="80"/>
      <c r="J31" s="56"/>
      <c r="K31" s="56"/>
      <c r="L31" s="56"/>
    </row>
    <row r="32" s="1" customFormat="1" spans="1:12">
      <c r="A32" s="40"/>
      <c r="B32" s="32" t="s">
        <v>1069</v>
      </c>
      <c r="C32" s="32" t="s">
        <v>216</v>
      </c>
      <c r="D32" s="10" t="s">
        <v>1069</v>
      </c>
      <c r="E32" s="54"/>
      <c r="F32" s="39"/>
      <c r="G32" s="39"/>
      <c r="H32" s="55"/>
      <c r="I32" s="80"/>
      <c r="J32" s="56"/>
      <c r="K32" s="56"/>
      <c r="L32" s="56"/>
    </row>
    <row r="33" s="1" customFormat="1" spans="2:12">
      <c r="B33" s="32" t="s">
        <v>1070</v>
      </c>
      <c r="C33" s="32" t="s">
        <v>1071</v>
      </c>
      <c r="D33" s="10" t="s">
        <v>1072</v>
      </c>
      <c r="E33" s="54"/>
      <c r="F33" s="39"/>
      <c r="G33" s="39"/>
      <c r="H33" s="55"/>
      <c r="I33" s="56"/>
      <c r="J33" s="56"/>
      <c r="K33" s="56"/>
      <c r="L33" s="56"/>
    </row>
    <row r="34" s="1" customFormat="1" spans="2:12">
      <c r="B34" s="32" t="s">
        <v>1073</v>
      </c>
      <c r="C34" s="32" t="s">
        <v>1071</v>
      </c>
      <c r="D34" s="10" t="s">
        <v>1074</v>
      </c>
      <c r="E34" s="54"/>
      <c r="F34" s="39"/>
      <c r="G34" s="39"/>
      <c r="H34" s="55"/>
      <c r="I34" s="56"/>
      <c r="J34" s="56"/>
      <c r="K34" s="56"/>
      <c r="L34" s="56"/>
    </row>
    <row r="35" s="40" customFormat="1" spans="2:12">
      <c r="B35" s="32" t="s">
        <v>1075</v>
      </c>
      <c r="C35" s="32" t="s">
        <v>220</v>
      </c>
      <c r="D35" s="10" t="s">
        <v>1076</v>
      </c>
      <c r="E35" s="54"/>
      <c r="F35" s="19"/>
      <c r="G35" s="39"/>
      <c r="H35" s="55"/>
      <c r="I35" s="80"/>
      <c r="J35" s="56"/>
      <c r="K35" s="56"/>
      <c r="L35" s="56"/>
    </row>
    <row r="36" s="40" customFormat="1" spans="2:12">
      <c r="B36" s="32" t="s">
        <v>1077</v>
      </c>
      <c r="C36" s="32" t="s">
        <v>220</v>
      </c>
      <c r="D36" s="10" t="s">
        <v>1078</v>
      </c>
      <c r="E36" s="54"/>
      <c r="F36" s="19"/>
      <c r="G36" s="39"/>
      <c r="H36" s="55"/>
      <c r="I36" s="80"/>
      <c r="J36" s="56"/>
      <c r="K36" s="56"/>
      <c r="L36" s="56"/>
    </row>
    <row r="37" s="70" customFormat="1" spans="1:12">
      <c r="A37" s="75"/>
      <c r="B37" s="78" t="s">
        <v>1079</v>
      </c>
      <c r="C37" s="78" t="s">
        <v>216</v>
      </c>
      <c r="D37" s="10" t="s">
        <v>1080</v>
      </c>
      <c r="E37" s="54"/>
      <c r="F37" s="39"/>
      <c r="G37" s="39"/>
      <c r="H37" s="55"/>
      <c r="I37" s="81"/>
      <c r="J37" s="56"/>
      <c r="K37" s="56"/>
      <c r="L37" s="56"/>
    </row>
    <row r="38" s="1" customFormat="1" spans="1:12">
      <c r="A38" s="40"/>
      <c r="B38" s="11" t="s">
        <v>1081</v>
      </c>
      <c r="C38" s="11" t="s">
        <v>220</v>
      </c>
      <c r="D38" s="10" t="s">
        <v>1082</v>
      </c>
      <c r="E38" s="54"/>
      <c r="F38" s="39"/>
      <c r="G38" s="13"/>
      <c r="H38" s="55"/>
      <c r="I38" s="80"/>
      <c r="J38" s="56"/>
      <c r="K38" s="56"/>
      <c r="L38" s="56"/>
    </row>
    <row r="39" s="40" customFormat="1" spans="2:12">
      <c r="B39" s="32" t="s">
        <v>1083</v>
      </c>
      <c r="C39" s="32" t="s">
        <v>220</v>
      </c>
      <c r="D39" s="10" t="s">
        <v>1084</v>
      </c>
      <c r="E39" s="54"/>
      <c r="F39" s="39"/>
      <c r="G39" s="39"/>
      <c r="H39" s="55"/>
      <c r="I39" s="80"/>
      <c r="J39" s="56"/>
      <c r="K39" s="56"/>
      <c r="L39" s="56"/>
    </row>
    <row r="40" s="40" customFormat="1" spans="2:12">
      <c r="B40" s="32" t="s">
        <v>1085</v>
      </c>
      <c r="C40" s="32" t="s">
        <v>220</v>
      </c>
      <c r="D40" s="10" t="s">
        <v>1086</v>
      </c>
      <c r="E40" s="54"/>
      <c r="F40" s="39"/>
      <c r="G40" s="39"/>
      <c r="H40" s="55"/>
      <c r="I40" s="80"/>
      <c r="J40" s="56"/>
      <c r="K40" s="56"/>
      <c r="L40" s="56"/>
    </row>
    <row r="41" s="40" customFormat="1" spans="2:12">
      <c r="B41" s="32" t="s">
        <v>1087</v>
      </c>
      <c r="C41" s="32" t="s">
        <v>275</v>
      </c>
      <c r="D41" s="10" t="s">
        <v>1088</v>
      </c>
      <c r="E41" s="54"/>
      <c r="F41" s="39"/>
      <c r="G41" s="39"/>
      <c r="H41" s="55"/>
      <c r="I41" s="80"/>
      <c r="J41" s="56"/>
      <c r="K41" s="56"/>
      <c r="L41" s="56"/>
    </row>
    <row r="42" s="40" customFormat="1" spans="2:12">
      <c r="B42" s="32" t="s">
        <v>1089</v>
      </c>
      <c r="C42" s="79" t="s">
        <v>275</v>
      </c>
      <c r="D42" s="10" t="s">
        <v>1090</v>
      </c>
      <c r="E42" s="54"/>
      <c r="F42" s="39"/>
      <c r="G42" s="39"/>
      <c r="H42" s="55"/>
      <c r="I42" s="80"/>
      <c r="J42" s="56"/>
      <c r="K42" s="56"/>
      <c r="L42" s="56"/>
    </row>
    <row r="43" s="3" customFormat="1" spans="2:12">
      <c r="B43" s="32" t="s">
        <v>1091</v>
      </c>
      <c r="C43" s="79" t="s">
        <v>275</v>
      </c>
      <c r="D43" s="10" t="s">
        <v>1092</v>
      </c>
      <c r="E43" s="54"/>
      <c r="F43" s="39"/>
      <c r="G43" s="39"/>
      <c r="H43" s="55"/>
      <c r="I43" s="80"/>
      <c r="J43" s="56"/>
      <c r="K43" s="56"/>
      <c r="L43" s="56"/>
    </row>
    <row r="44" s="3" customFormat="1" spans="2:12">
      <c r="B44" s="32" t="s">
        <v>1093</v>
      </c>
      <c r="C44" s="79" t="s">
        <v>275</v>
      </c>
      <c r="D44" s="10" t="s">
        <v>1094</v>
      </c>
      <c r="E44" s="54"/>
      <c r="F44" s="39"/>
      <c r="G44" s="39"/>
      <c r="H44" s="55"/>
      <c r="I44" s="80"/>
      <c r="J44" s="56"/>
      <c r="K44" s="56"/>
      <c r="L44" s="56"/>
    </row>
    <row r="45" s="1" customFormat="1" spans="1:12">
      <c r="A45" s="40"/>
      <c r="B45" s="32" t="s">
        <v>1095</v>
      </c>
      <c r="C45" s="32" t="s">
        <v>275</v>
      </c>
      <c r="D45" s="10" t="s">
        <v>1096</v>
      </c>
      <c r="E45" s="54"/>
      <c r="F45" s="39"/>
      <c r="G45" s="39"/>
      <c r="H45" s="32"/>
      <c r="I45" s="80"/>
      <c r="J45" s="56"/>
      <c r="K45" s="56"/>
      <c r="L45" s="56"/>
    </row>
    <row r="46" s="3" customFormat="1" spans="2:12">
      <c r="B46" s="32" t="s">
        <v>1097</v>
      </c>
      <c r="C46" s="79" t="s">
        <v>275</v>
      </c>
      <c r="D46" s="10" t="s">
        <v>1098</v>
      </c>
      <c r="E46" s="54"/>
      <c r="F46" s="39"/>
      <c r="G46" s="39"/>
      <c r="H46" s="55"/>
      <c r="I46" s="80"/>
      <c r="J46" s="56"/>
      <c r="K46" s="56"/>
      <c r="L46" s="56"/>
    </row>
    <row r="47" s="3" customFormat="1" spans="2:12">
      <c r="B47" s="32" t="s">
        <v>1099</v>
      </c>
      <c r="C47" s="79" t="s">
        <v>275</v>
      </c>
      <c r="D47" s="10" t="s">
        <v>1100</v>
      </c>
      <c r="E47" s="54"/>
      <c r="F47" s="39"/>
      <c r="G47" s="39"/>
      <c r="H47" s="55"/>
      <c r="I47" s="80"/>
      <c r="J47" s="56"/>
      <c r="K47" s="56"/>
      <c r="L47" s="56"/>
    </row>
    <row r="48" s="3" customFormat="1" spans="2:12">
      <c r="B48" s="32" t="s">
        <v>1101</v>
      </c>
      <c r="C48" s="79" t="s">
        <v>275</v>
      </c>
      <c r="D48" s="10" t="s">
        <v>1102</v>
      </c>
      <c r="E48" s="54"/>
      <c r="F48" s="39"/>
      <c r="G48" s="39"/>
      <c r="H48" s="55"/>
      <c r="I48" s="80"/>
      <c r="J48" s="56"/>
      <c r="K48" s="56"/>
      <c r="L48" s="56"/>
    </row>
    <row r="49" s="3" customFormat="1" spans="2:12">
      <c r="B49" s="78" t="s">
        <v>1103</v>
      </c>
      <c r="C49" s="78" t="s">
        <v>275</v>
      </c>
      <c r="D49" s="10" t="s">
        <v>1104</v>
      </c>
      <c r="E49" s="54"/>
      <c r="F49" s="39"/>
      <c r="G49" s="39"/>
      <c r="H49" s="55"/>
      <c r="I49" s="81"/>
      <c r="J49" s="56"/>
      <c r="K49" s="56"/>
      <c r="L49" s="56"/>
    </row>
    <row r="50" s="70" customFormat="1" spans="1:12">
      <c r="A50" s="75"/>
      <c r="B50" s="78" t="s">
        <v>1105</v>
      </c>
      <c r="C50" s="78" t="s">
        <v>275</v>
      </c>
      <c r="D50" s="10" t="s">
        <v>1106</v>
      </c>
      <c r="E50" s="54"/>
      <c r="F50" s="39"/>
      <c r="G50" s="39"/>
      <c r="H50" s="55"/>
      <c r="I50" s="81"/>
      <c r="J50" s="56"/>
      <c r="K50" s="56"/>
      <c r="L50" s="56"/>
    </row>
    <row r="51" s="70" customFormat="1" spans="1:12">
      <c r="A51" s="75"/>
      <c r="B51" s="78" t="s">
        <v>1107</v>
      </c>
      <c r="C51" s="78" t="s">
        <v>275</v>
      </c>
      <c r="D51" s="10" t="s">
        <v>1108</v>
      </c>
      <c r="E51" s="54"/>
      <c r="F51" s="39"/>
      <c r="G51" s="39"/>
      <c r="H51" s="55"/>
      <c r="I51" s="81"/>
      <c r="J51" s="56"/>
      <c r="K51" s="56"/>
      <c r="L51" s="56"/>
    </row>
    <row r="52" s="70" customFormat="1" spans="1:12">
      <c r="A52" s="75"/>
      <c r="B52" s="78" t="s">
        <v>1109</v>
      </c>
      <c r="C52" s="78" t="s">
        <v>275</v>
      </c>
      <c r="D52" s="10" t="s">
        <v>1110</v>
      </c>
      <c r="E52" s="54"/>
      <c r="F52" s="39"/>
      <c r="G52" s="39"/>
      <c r="H52" s="55"/>
      <c r="I52" s="81"/>
      <c r="J52" s="56"/>
      <c r="K52" s="56"/>
      <c r="L52" s="56"/>
    </row>
    <row r="53" s="70" customFormat="1" spans="1:12">
      <c r="A53" s="75"/>
      <c r="B53" s="78" t="s">
        <v>1111</v>
      </c>
      <c r="C53" s="78" t="s">
        <v>233</v>
      </c>
      <c r="D53" s="10" t="s">
        <v>1112</v>
      </c>
      <c r="E53" s="54"/>
      <c r="F53" s="39"/>
      <c r="G53" s="39"/>
      <c r="H53" s="55"/>
      <c r="I53" s="81"/>
      <c r="J53" s="56"/>
      <c r="K53" s="56"/>
      <c r="L53" s="56"/>
    </row>
    <row r="54" s="70" customFormat="1" spans="1:12">
      <c r="A54" s="75"/>
      <c r="B54" s="78" t="s">
        <v>1113</v>
      </c>
      <c r="C54" s="78" t="s">
        <v>233</v>
      </c>
      <c r="D54" s="10" t="s">
        <v>1114</v>
      </c>
      <c r="E54" s="54"/>
      <c r="F54" s="39"/>
      <c r="G54" s="39"/>
      <c r="H54" s="55"/>
      <c r="I54" s="81"/>
      <c r="J54" s="56"/>
      <c r="K54" s="56"/>
      <c r="L54" s="56"/>
    </row>
    <row r="55" s="70" customFormat="1" spans="1:12">
      <c r="A55" s="75"/>
      <c r="B55" s="78" t="s">
        <v>1115</v>
      </c>
      <c r="C55" s="78" t="s">
        <v>233</v>
      </c>
      <c r="D55" s="10" t="s">
        <v>1116</v>
      </c>
      <c r="E55" s="54"/>
      <c r="F55" s="39"/>
      <c r="G55" s="39"/>
      <c r="H55" s="55"/>
      <c r="I55" s="81"/>
      <c r="J55" s="56"/>
      <c r="K55" s="56"/>
      <c r="L55" s="56"/>
    </row>
    <row r="56" s="70" customFormat="1" spans="1:12">
      <c r="A56" s="75"/>
      <c r="B56" s="78" t="s">
        <v>1117</v>
      </c>
      <c r="C56" s="78" t="s">
        <v>233</v>
      </c>
      <c r="D56" s="10" t="s">
        <v>1118</v>
      </c>
      <c r="E56" s="54"/>
      <c r="F56" s="39"/>
      <c r="G56" s="39"/>
      <c r="H56" s="55"/>
      <c r="I56" s="81"/>
      <c r="J56" s="56"/>
      <c r="K56" s="56"/>
      <c r="L56" s="56"/>
    </row>
    <row r="57" s="70" customFormat="1" spans="1:12">
      <c r="A57" s="75"/>
      <c r="B57" s="78" t="s">
        <v>1119</v>
      </c>
      <c r="C57" s="78" t="s">
        <v>233</v>
      </c>
      <c r="D57" s="10" t="s">
        <v>1120</v>
      </c>
      <c r="E57" s="54"/>
      <c r="F57" s="39"/>
      <c r="G57" s="39"/>
      <c r="H57" s="55"/>
      <c r="I57" s="81"/>
      <c r="J57" s="56"/>
      <c r="K57" s="56"/>
      <c r="L57" s="56"/>
    </row>
    <row r="58" s="70" customFormat="1" spans="1:12">
      <c r="A58" s="75"/>
      <c r="B58" s="78" t="s">
        <v>1121</v>
      </c>
      <c r="C58" s="78" t="s">
        <v>233</v>
      </c>
      <c r="D58" s="10" t="s">
        <v>1122</v>
      </c>
      <c r="E58" s="54"/>
      <c r="F58" s="39"/>
      <c r="G58" s="39"/>
      <c r="H58" s="55"/>
      <c r="I58" s="81"/>
      <c r="J58" s="56"/>
      <c r="K58" s="56"/>
      <c r="L58" s="56"/>
    </row>
    <row r="59" s="70" customFormat="1" spans="1:12">
      <c r="A59" s="75"/>
      <c r="B59" s="78" t="s">
        <v>1123</v>
      </c>
      <c r="C59" s="78" t="s">
        <v>233</v>
      </c>
      <c r="D59" s="10" t="s">
        <v>1124</v>
      </c>
      <c r="E59" s="54"/>
      <c r="F59" s="39"/>
      <c r="G59" s="39"/>
      <c r="H59" s="55"/>
      <c r="I59" s="81"/>
      <c r="J59" s="56"/>
      <c r="K59" s="56"/>
      <c r="L59" s="56"/>
    </row>
    <row r="60" s="70" customFormat="1" spans="1:12">
      <c r="A60" s="75"/>
      <c r="B60" s="78" t="s">
        <v>1125</v>
      </c>
      <c r="C60" s="78" t="s">
        <v>233</v>
      </c>
      <c r="D60" s="10" t="s">
        <v>1126</v>
      </c>
      <c r="E60" s="54"/>
      <c r="F60" s="39"/>
      <c r="G60" s="39"/>
      <c r="H60" s="55"/>
      <c r="I60" s="81"/>
      <c r="J60" s="56"/>
      <c r="K60" s="56"/>
      <c r="L60" s="56"/>
    </row>
    <row r="61" s="3" customFormat="1" spans="2:12">
      <c r="B61" s="32" t="s">
        <v>1127</v>
      </c>
      <c r="C61" s="79" t="s">
        <v>220</v>
      </c>
      <c r="D61" s="10" t="s">
        <v>296</v>
      </c>
      <c r="E61" s="54"/>
      <c r="F61" s="39"/>
      <c r="G61" s="39"/>
      <c r="H61" s="55"/>
      <c r="I61" s="80"/>
      <c r="J61" s="56"/>
      <c r="K61" s="56"/>
      <c r="L61" s="56"/>
    </row>
    <row r="62" spans="1:12">
      <c r="A62" s="4"/>
      <c r="B62" s="32" t="s">
        <v>1128</v>
      </c>
      <c r="C62" s="79" t="s">
        <v>220</v>
      </c>
      <c r="D62" s="10" t="s">
        <v>1129</v>
      </c>
      <c r="E62" s="54"/>
      <c r="F62" s="39"/>
      <c r="G62" s="39"/>
      <c r="H62" s="55"/>
      <c r="I62" s="56"/>
      <c r="J62" s="56"/>
      <c r="K62" s="56"/>
      <c r="L62" s="56"/>
    </row>
    <row r="63" spans="1:12">
      <c r="A63" s="4"/>
      <c r="B63" s="32" t="s">
        <v>1130</v>
      </c>
      <c r="C63" s="79" t="s">
        <v>220</v>
      </c>
      <c r="D63" s="10" t="s">
        <v>1131</v>
      </c>
      <c r="E63" s="54"/>
      <c r="F63" s="39"/>
      <c r="G63" s="39"/>
      <c r="H63" s="55"/>
      <c r="I63" s="56"/>
      <c r="J63" s="56"/>
      <c r="K63" s="56"/>
      <c r="L63" s="56"/>
    </row>
    <row r="64" spans="1:12">
      <c r="A64" s="4"/>
      <c r="B64" s="32" t="s">
        <v>1132</v>
      </c>
      <c r="C64" s="79" t="s">
        <v>275</v>
      </c>
      <c r="D64" s="10" t="s">
        <v>1133</v>
      </c>
      <c r="E64" s="54"/>
      <c r="F64" s="39"/>
      <c r="G64" s="39"/>
      <c r="H64" s="55"/>
      <c r="I64" s="56"/>
      <c r="J64" s="56"/>
      <c r="K64" s="56"/>
      <c r="L64" s="56"/>
    </row>
    <row r="65" spans="1:12">
      <c r="A65" s="4"/>
      <c r="B65" s="32" t="s">
        <v>1134</v>
      </c>
      <c r="C65" s="79" t="s">
        <v>275</v>
      </c>
      <c r="D65" s="10" t="s">
        <v>1135</v>
      </c>
      <c r="E65" s="54"/>
      <c r="F65" s="39"/>
      <c r="G65" s="39"/>
      <c r="H65" s="55"/>
      <c r="I65" s="56"/>
      <c r="J65" s="56"/>
      <c r="K65" s="56"/>
      <c r="L65" s="56"/>
    </row>
    <row r="66" s="1" customFormat="1" spans="1:12">
      <c r="A66" s="40"/>
      <c r="B66" s="32" t="s">
        <v>1136</v>
      </c>
      <c r="C66" s="79" t="s">
        <v>1071</v>
      </c>
      <c r="D66" s="10" t="s">
        <v>1137</v>
      </c>
      <c r="E66" s="54"/>
      <c r="F66" s="39"/>
      <c r="G66" s="39"/>
      <c r="H66" s="55"/>
      <c r="I66" s="80"/>
      <c r="J66" s="56"/>
      <c r="K66" s="56"/>
      <c r="L66" s="56"/>
    </row>
    <row r="67" spans="1:12">
      <c r="A67" s="4"/>
      <c r="B67" s="32" t="s">
        <v>1138</v>
      </c>
      <c r="C67" s="79" t="s">
        <v>220</v>
      </c>
      <c r="D67" s="10" t="s">
        <v>1139</v>
      </c>
      <c r="E67" s="54"/>
      <c r="F67" s="39"/>
      <c r="G67" s="39"/>
      <c r="H67" s="55"/>
      <c r="I67" s="56"/>
      <c r="J67" s="56"/>
      <c r="K67" s="56"/>
      <c r="L67" s="56"/>
    </row>
    <row r="68" s="1" customFormat="1" spans="1:12">
      <c r="A68" s="40"/>
      <c r="B68" s="32" t="s">
        <v>1140</v>
      </c>
      <c r="C68" s="79" t="s">
        <v>1071</v>
      </c>
      <c r="D68" s="10" t="s">
        <v>1141</v>
      </c>
      <c r="E68" s="54"/>
      <c r="F68" s="39"/>
      <c r="G68" s="39"/>
      <c r="H68" s="55"/>
      <c r="I68" s="80"/>
      <c r="J68" s="56"/>
      <c r="K68" s="56"/>
      <c r="L68" s="56"/>
    </row>
    <row r="69" s="1" customFormat="1" spans="1:12">
      <c r="A69" s="40"/>
      <c r="B69" s="32" t="s">
        <v>1142</v>
      </c>
      <c r="C69" s="79" t="s">
        <v>216</v>
      </c>
      <c r="D69" s="10" t="s">
        <v>1143</v>
      </c>
      <c r="E69" s="54"/>
      <c r="F69" s="39"/>
      <c r="G69" s="39"/>
      <c r="H69" s="55"/>
      <c r="I69" s="80"/>
      <c r="J69" s="56"/>
      <c r="K69" s="56"/>
      <c r="L69" s="56"/>
    </row>
    <row r="70" s="1" customFormat="1" spans="1:12">
      <c r="A70" s="40"/>
      <c r="B70" s="32" t="s">
        <v>1144</v>
      </c>
      <c r="C70" s="79" t="s">
        <v>275</v>
      </c>
      <c r="D70" s="10" t="s">
        <v>1145</v>
      </c>
      <c r="E70" s="54"/>
      <c r="F70" s="39"/>
      <c r="G70" s="39"/>
      <c r="H70" s="55"/>
      <c r="I70" s="80"/>
      <c r="J70" s="56"/>
      <c r="K70" s="56"/>
      <c r="L70" s="56"/>
    </row>
    <row r="71" s="1" customFormat="1" spans="1:12">
      <c r="A71" s="40"/>
      <c r="B71" s="32" t="s">
        <v>1146</v>
      </c>
      <c r="C71" s="79" t="s">
        <v>233</v>
      </c>
      <c r="D71" s="10" t="s">
        <v>1147</v>
      </c>
      <c r="E71" s="54"/>
      <c r="F71" s="39"/>
      <c r="G71" s="39"/>
      <c r="H71" s="55"/>
      <c r="I71" s="80"/>
      <c r="J71" s="56"/>
      <c r="K71" s="56"/>
      <c r="L71" s="56"/>
    </row>
    <row r="72" s="1" customFormat="1" spans="1:12">
      <c r="A72" s="40"/>
      <c r="B72" s="32" t="s">
        <v>1148</v>
      </c>
      <c r="C72" s="79" t="s">
        <v>1071</v>
      </c>
      <c r="D72" s="10" t="s">
        <v>1149</v>
      </c>
      <c r="E72" s="54"/>
      <c r="F72" s="39"/>
      <c r="G72" s="39"/>
      <c r="H72" s="55"/>
      <c r="I72" s="80"/>
      <c r="J72" s="56"/>
      <c r="K72" s="56"/>
      <c r="L72" s="56"/>
    </row>
    <row r="73" s="1" customFormat="1" spans="1:12">
      <c r="A73" s="40"/>
      <c r="B73" s="32" t="s">
        <v>1150</v>
      </c>
      <c r="C73" s="79" t="s">
        <v>275</v>
      </c>
      <c r="D73" s="10" t="s">
        <v>1151</v>
      </c>
      <c r="E73" s="54"/>
      <c r="F73" s="39"/>
      <c r="G73" s="39"/>
      <c r="H73" s="55"/>
      <c r="I73" s="80"/>
      <c r="J73" s="56"/>
      <c r="K73" s="56"/>
      <c r="L73" s="56"/>
    </row>
    <row r="74" s="70" customFormat="1" spans="1:12">
      <c r="A74" s="75"/>
      <c r="B74" s="32" t="s">
        <v>1152</v>
      </c>
      <c r="C74" s="78" t="s">
        <v>275</v>
      </c>
      <c r="D74" s="10" t="s">
        <v>1153</v>
      </c>
      <c r="E74" s="54"/>
      <c r="F74" s="39"/>
      <c r="G74" s="39"/>
      <c r="H74" s="55"/>
      <c r="I74" s="81"/>
      <c r="J74" s="56"/>
      <c r="K74" s="56"/>
      <c r="L74" s="56"/>
    </row>
    <row r="75" s="70" customFormat="1" spans="1:12">
      <c r="A75" s="75"/>
      <c r="B75" s="78" t="s">
        <v>1154</v>
      </c>
      <c r="C75" s="78" t="s">
        <v>275</v>
      </c>
      <c r="D75" s="10" t="s">
        <v>1155</v>
      </c>
      <c r="E75" s="54"/>
      <c r="F75" s="39"/>
      <c r="G75" s="39"/>
      <c r="H75" s="55"/>
      <c r="I75" s="81"/>
      <c r="J75" s="56"/>
      <c r="K75" s="56"/>
      <c r="L75" s="56"/>
    </row>
    <row r="76" s="70" customFormat="1" spans="1:12">
      <c r="A76" s="75"/>
      <c r="B76" s="78" t="s">
        <v>1156</v>
      </c>
      <c r="C76" s="78" t="s">
        <v>275</v>
      </c>
      <c r="D76" s="10" t="s">
        <v>1157</v>
      </c>
      <c r="E76" s="54"/>
      <c r="F76" s="39"/>
      <c r="G76" s="39"/>
      <c r="H76" s="55"/>
      <c r="I76" s="81"/>
      <c r="J76" s="56"/>
      <c r="K76" s="56"/>
      <c r="L76" s="56"/>
    </row>
    <row r="77" s="70" customFormat="1" spans="1:12">
      <c r="A77" s="75"/>
      <c r="B77" s="78" t="s">
        <v>1158</v>
      </c>
      <c r="C77" s="78" t="s">
        <v>216</v>
      </c>
      <c r="D77" s="10" t="s">
        <v>1159</v>
      </c>
      <c r="E77" s="54"/>
      <c r="F77" s="39"/>
      <c r="G77" s="39"/>
      <c r="H77" s="55"/>
      <c r="I77" s="81"/>
      <c r="J77" s="56"/>
      <c r="K77" s="56"/>
      <c r="L77" s="56"/>
    </row>
    <row r="78" s="70" customFormat="1" spans="1:12">
      <c r="A78" s="75"/>
      <c r="B78" s="78" t="s">
        <v>1160</v>
      </c>
      <c r="C78" s="78" t="s">
        <v>275</v>
      </c>
      <c r="D78" s="10" t="s">
        <v>1161</v>
      </c>
      <c r="E78" s="54"/>
      <c r="F78" s="39"/>
      <c r="G78" s="39"/>
      <c r="H78" s="55"/>
      <c r="I78" s="81"/>
      <c r="J78" s="56"/>
      <c r="K78" s="56"/>
      <c r="L78" s="56"/>
    </row>
    <row r="79" s="70" customFormat="1" spans="1:12">
      <c r="A79" s="75"/>
      <c r="B79" s="78" t="s">
        <v>1162</v>
      </c>
      <c r="C79" s="78" t="s">
        <v>275</v>
      </c>
      <c r="D79" s="10" t="s">
        <v>1163</v>
      </c>
      <c r="E79" s="54"/>
      <c r="F79" s="39"/>
      <c r="G79" s="39"/>
      <c r="H79" s="55"/>
      <c r="I79" s="81"/>
      <c r="J79" s="56"/>
      <c r="K79" s="56"/>
      <c r="L79" s="56"/>
    </row>
    <row r="80" s="70" customFormat="1" spans="1:12">
      <c r="A80" s="75"/>
      <c r="B80" s="78" t="s">
        <v>1164</v>
      </c>
      <c r="C80" s="78" t="s">
        <v>275</v>
      </c>
      <c r="D80" s="10" t="s">
        <v>1165</v>
      </c>
      <c r="E80" s="54"/>
      <c r="F80" s="39"/>
      <c r="G80" s="39"/>
      <c r="H80" s="55"/>
      <c r="I80" s="81"/>
      <c r="J80" s="56"/>
      <c r="K80" s="56"/>
      <c r="L80" s="56"/>
    </row>
    <row r="81" s="70" customFormat="1" spans="1:12">
      <c r="A81" s="75"/>
      <c r="B81" s="78" t="s">
        <v>1166</v>
      </c>
      <c r="C81" s="78" t="s">
        <v>275</v>
      </c>
      <c r="D81" s="10" t="s">
        <v>1167</v>
      </c>
      <c r="E81" s="54"/>
      <c r="F81" s="39"/>
      <c r="G81" s="39"/>
      <c r="H81" s="55"/>
      <c r="I81" s="81"/>
      <c r="J81" s="56"/>
      <c r="K81" s="56"/>
      <c r="L81" s="56"/>
    </row>
    <row r="82" s="70" customFormat="1" spans="1:12">
      <c r="A82" s="75"/>
      <c r="B82" s="78" t="s">
        <v>1168</v>
      </c>
      <c r="C82" s="78" t="s">
        <v>275</v>
      </c>
      <c r="D82" s="10" t="s">
        <v>1169</v>
      </c>
      <c r="E82" s="54"/>
      <c r="F82" s="39"/>
      <c r="G82" s="39"/>
      <c r="H82" s="55"/>
      <c r="I82" s="81"/>
      <c r="J82" s="56"/>
      <c r="K82" s="56"/>
      <c r="L82" s="56"/>
    </row>
    <row r="83" s="70" customFormat="1" spans="1:12">
      <c r="A83" s="75"/>
      <c r="B83" s="78" t="s">
        <v>1170</v>
      </c>
      <c r="C83" s="78" t="s">
        <v>275</v>
      </c>
      <c r="D83" s="10" t="s">
        <v>1171</v>
      </c>
      <c r="E83" s="54"/>
      <c r="F83" s="39"/>
      <c r="G83" s="39"/>
      <c r="H83" s="55"/>
      <c r="I83" s="81"/>
      <c r="J83" s="56"/>
      <c r="K83" s="56"/>
      <c r="L83" s="56"/>
    </row>
    <row r="84" s="70" customFormat="1" spans="1:12">
      <c r="A84" s="75"/>
      <c r="B84" s="78" t="s">
        <v>1172</v>
      </c>
      <c r="C84" s="78" t="s">
        <v>216</v>
      </c>
      <c r="D84" s="10" t="s">
        <v>1173</v>
      </c>
      <c r="E84" s="54"/>
      <c r="F84" s="39"/>
      <c r="G84" s="39"/>
      <c r="H84" s="55"/>
      <c r="I84" s="81"/>
      <c r="J84" s="56"/>
      <c r="K84" s="56"/>
      <c r="L84" s="56"/>
    </row>
    <row r="85" s="70" customFormat="1" spans="1:12">
      <c r="A85" s="75"/>
      <c r="B85" s="78" t="s">
        <v>1174</v>
      </c>
      <c r="C85" s="78" t="s">
        <v>216</v>
      </c>
      <c r="D85" s="10" t="s">
        <v>1175</v>
      </c>
      <c r="E85" s="54"/>
      <c r="F85" s="39"/>
      <c r="G85" s="39"/>
      <c r="H85" s="55"/>
      <c r="I85" s="81"/>
      <c r="J85" s="56"/>
      <c r="K85" s="56"/>
      <c r="L85" s="56"/>
    </row>
    <row r="86" s="70" customFormat="1" spans="1:12">
      <c r="A86" s="75"/>
      <c r="B86" s="78" t="s">
        <v>1176</v>
      </c>
      <c r="C86" s="78" t="s">
        <v>275</v>
      </c>
      <c r="D86" s="10" t="s">
        <v>1177</v>
      </c>
      <c r="E86" s="54"/>
      <c r="F86" s="39"/>
      <c r="G86" s="39"/>
      <c r="H86" s="55"/>
      <c r="I86" s="81"/>
      <c r="J86" s="56"/>
      <c r="K86" s="56"/>
      <c r="L86" s="56"/>
    </row>
    <row r="87" s="70" customFormat="1" spans="1:12">
      <c r="A87" s="75"/>
      <c r="B87" s="78" t="s">
        <v>1178</v>
      </c>
      <c r="C87" s="78" t="s">
        <v>216</v>
      </c>
      <c r="D87" s="10" t="s">
        <v>1179</v>
      </c>
      <c r="E87" s="54"/>
      <c r="F87" s="39"/>
      <c r="G87" s="39"/>
      <c r="H87" s="55"/>
      <c r="I87" s="81"/>
      <c r="J87" s="56"/>
      <c r="K87" s="56"/>
      <c r="L87" s="56"/>
    </row>
    <row r="88" s="70" customFormat="1" spans="1:12">
      <c r="A88" s="75"/>
      <c r="B88" s="78" t="s">
        <v>1180</v>
      </c>
      <c r="C88" s="78" t="s">
        <v>216</v>
      </c>
      <c r="D88" s="10" t="s">
        <v>1181</v>
      </c>
      <c r="E88" s="54"/>
      <c r="F88" s="39"/>
      <c r="G88" s="39"/>
      <c r="H88" s="55"/>
      <c r="I88" s="81"/>
      <c r="J88" s="56"/>
      <c r="K88" s="56"/>
      <c r="L88" s="56"/>
    </row>
    <row r="89" s="70" customFormat="1" spans="1:12">
      <c r="A89" s="75"/>
      <c r="B89" s="78" t="s">
        <v>1182</v>
      </c>
      <c r="C89" s="78" t="s">
        <v>216</v>
      </c>
      <c r="D89" s="10" t="s">
        <v>1183</v>
      </c>
      <c r="E89" s="54"/>
      <c r="F89" s="39"/>
      <c r="G89" s="39"/>
      <c r="H89" s="55"/>
      <c r="I89" s="81"/>
      <c r="J89" s="56"/>
      <c r="K89" s="56"/>
      <c r="L89" s="56"/>
    </row>
    <row r="90" s="70" customFormat="1" spans="1:12">
      <c r="A90" s="75"/>
      <c r="B90" s="78" t="s">
        <v>1184</v>
      </c>
      <c r="C90" s="78" t="s">
        <v>216</v>
      </c>
      <c r="D90" s="10" t="s">
        <v>1185</v>
      </c>
      <c r="E90" s="54"/>
      <c r="F90" s="39"/>
      <c r="G90" s="39"/>
      <c r="H90" s="55"/>
      <c r="I90" s="81"/>
      <c r="J90" s="56"/>
      <c r="K90" s="56"/>
      <c r="L90" s="56"/>
    </row>
    <row r="91" s="70" customFormat="1" spans="1:12">
      <c r="A91" s="75"/>
      <c r="B91" s="78" t="s">
        <v>1186</v>
      </c>
      <c r="C91" s="78" t="s">
        <v>216</v>
      </c>
      <c r="D91" s="10" t="s">
        <v>1187</v>
      </c>
      <c r="E91" s="54"/>
      <c r="F91" s="39"/>
      <c r="G91" s="39"/>
      <c r="H91" s="55"/>
      <c r="I91" s="81"/>
      <c r="J91" s="56"/>
      <c r="K91" s="56"/>
      <c r="L91" s="56"/>
    </row>
    <row r="92" s="70" customFormat="1" spans="1:12">
      <c r="A92" s="75"/>
      <c r="B92" s="78" t="s">
        <v>1188</v>
      </c>
      <c r="C92" s="78" t="s">
        <v>216</v>
      </c>
      <c r="D92" s="10" t="s">
        <v>1189</v>
      </c>
      <c r="E92" s="54"/>
      <c r="F92" s="39"/>
      <c r="G92" s="39"/>
      <c r="H92" s="55"/>
      <c r="I92" s="81"/>
      <c r="J92" s="56"/>
      <c r="K92" s="56"/>
      <c r="L92" s="56"/>
    </row>
    <row r="93" s="70" customFormat="1" spans="1:12">
      <c r="A93" s="75"/>
      <c r="B93" s="78" t="s">
        <v>1190</v>
      </c>
      <c r="C93" s="78" t="s">
        <v>240</v>
      </c>
      <c r="D93" s="10" t="s">
        <v>1191</v>
      </c>
      <c r="E93" s="54"/>
      <c r="F93" s="39"/>
      <c r="G93" s="39"/>
      <c r="H93" s="55"/>
      <c r="I93" s="81"/>
      <c r="J93" s="56"/>
      <c r="K93" s="56"/>
      <c r="L93" s="56"/>
    </row>
    <row r="94" s="70" customFormat="1" spans="1:12">
      <c r="A94" s="75"/>
      <c r="B94" s="78" t="s">
        <v>1192</v>
      </c>
      <c r="C94" s="78" t="s">
        <v>240</v>
      </c>
      <c r="D94" s="10" t="s">
        <v>356</v>
      </c>
      <c r="E94" s="54"/>
      <c r="F94" s="39"/>
      <c r="G94" s="39"/>
      <c r="H94" s="55"/>
      <c r="I94" s="81"/>
      <c r="J94" s="56"/>
      <c r="K94" s="56"/>
      <c r="L94" s="56"/>
    </row>
    <row r="95" s="70" customFormat="1" spans="1:12">
      <c r="A95" s="75"/>
      <c r="B95" s="78" t="s">
        <v>246</v>
      </c>
      <c r="C95" s="78" t="s">
        <v>220</v>
      </c>
      <c r="D95" s="10" t="s">
        <v>1193</v>
      </c>
      <c r="E95" s="54"/>
      <c r="F95" s="39"/>
      <c r="G95" s="39"/>
      <c r="H95" s="54"/>
      <c r="I95" s="81"/>
      <c r="J95" s="56"/>
      <c r="K95" s="56"/>
      <c r="L95" s="56"/>
    </row>
    <row r="96" s="70" customFormat="1" spans="1:12">
      <c r="A96" s="75"/>
      <c r="B96" s="78" t="s">
        <v>1194</v>
      </c>
      <c r="C96" s="78" t="s">
        <v>220</v>
      </c>
      <c r="D96" s="10" t="s">
        <v>1195</v>
      </c>
      <c r="E96" s="54"/>
      <c r="F96" s="39"/>
      <c r="G96" s="39"/>
      <c r="H96" s="54"/>
      <c r="I96" s="81"/>
      <c r="J96" s="56"/>
      <c r="K96" s="56"/>
      <c r="L96" s="56"/>
    </row>
    <row r="97" s="70" customFormat="1" spans="1:12">
      <c r="A97" s="75"/>
      <c r="B97" s="78" t="s">
        <v>1196</v>
      </c>
      <c r="C97" s="78" t="s">
        <v>220</v>
      </c>
      <c r="D97" s="10" t="s">
        <v>1197</v>
      </c>
      <c r="E97" s="54"/>
      <c r="F97" s="39"/>
      <c r="G97" s="39"/>
      <c r="H97" s="54"/>
      <c r="I97" s="81"/>
      <c r="J97" s="56"/>
      <c r="K97" s="56"/>
      <c r="L97" s="56"/>
    </row>
    <row r="98" s="70" customFormat="1" spans="1:12">
      <c r="A98" s="75"/>
      <c r="B98" s="78" t="s">
        <v>1198</v>
      </c>
      <c r="C98" s="78" t="s">
        <v>343</v>
      </c>
      <c r="D98" s="10" t="s">
        <v>1199</v>
      </c>
      <c r="E98" s="54"/>
      <c r="F98" s="39"/>
      <c r="G98" s="39"/>
      <c r="H98" s="54"/>
      <c r="I98" s="81"/>
      <c r="J98" s="56"/>
      <c r="K98" s="56"/>
      <c r="L98" s="56"/>
    </row>
    <row r="99" s="70" customFormat="1" spans="1:12">
      <c r="A99" s="75"/>
      <c r="B99" s="78" t="s">
        <v>1200</v>
      </c>
      <c r="C99" s="78" t="s">
        <v>275</v>
      </c>
      <c r="D99" s="10" t="s">
        <v>1201</v>
      </c>
      <c r="E99" s="54"/>
      <c r="F99" s="39"/>
      <c r="G99" s="39"/>
      <c r="H99" s="54"/>
      <c r="I99" s="81"/>
      <c r="J99" s="56"/>
      <c r="K99" s="56"/>
      <c r="L99" s="56"/>
    </row>
    <row r="100" s="70" customFormat="1" spans="1:12">
      <c r="A100" s="75"/>
      <c r="B100" s="78" t="s">
        <v>1202</v>
      </c>
      <c r="C100" s="78" t="s">
        <v>275</v>
      </c>
      <c r="D100" s="10" t="s">
        <v>1203</v>
      </c>
      <c r="E100" s="54"/>
      <c r="F100" s="39"/>
      <c r="G100" s="39"/>
      <c r="H100" s="54"/>
      <c r="I100" s="81"/>
      <c r="J100" s="56"/>
      <c r="K100" s="56"/>
      <c r="L100" s="56"/>
    </row>
    <row r="101" s="70" customFormat="1" spans="1:12">
      <c r="A101" s="75"/>
      <c r="B101" s="78" t="s">
        <v>1204</v>
      </c>
      <c r="C101" s="78" t="s">
        <v>275</v>
      </c>
      <c r="D101" s="10" t="s">
        <v>1205</v>
      </c>
      <c r="E101" s="54"/>
      <c r="F101" s="39"/>
      <c r="G101" s="39"/>
      <c r="H101" s="55"/>
      <c r="I101" s="81"/>
      <c r="J101" s="56"/>
      <c r="K101" s="56"/>
      <c r="L101" s="56"/>
    </row>
    <row r="102" s="70" customFormat="1" spans="1:12">
      <c r="A102" s="75"/>
      <c r="B102" s="78" t="s">
        <v>1206</v>
      </c>
      <c r="C102" s="78" t="s">
        <v>275</v>
      </c>
      <c r="D102" s="10" t="s">
        <v>1207</v>
      </c>
      <c r="E102" s="54"/>
      <c r="F102" s="39"/>
      <c r="G102" s="39"/>
      <c r="H102" s="55"/>
      <c r="I102" s="81"/>
      <c r="J102" s="56"/>
      <c r="K102" s="56"/>
      <c r="L102" s="56"/>
    </row>
    <row r="103" s="70" customFormat="1" spans="1:21">
      <c r="A103" s="75"/>
      <c r="B103" s="78" t="s">
        <v>1208</v>
      </c>
      <c r="C103" s="78" t="s">
        <v>240</v>
      </c>
      <c r="D103" s="10" t="s">
        <v>1209</v>
      </c>
      <c r="E103" s="54"/>
      <c r="F103" s="39"/>
      <c r="G103" s="39"/>
      <c r="H103" s="55"/>
      <c r="I103" s="81"/>
      <c r="J103" s="56"/>
      <c r="K103" s="56"/>
      <c r="L103" s="56"/>
      <c r="P103" s="70" t="s">
        <v>1210</v>
      </c>
      <c r="S103" s="70" t="s">
        <v>1211</v>
      </c>
      <c r="T103" s="70" t="s">
        <v>155</v>
      </c>
      <c r="U103" s="70" t="s">
        <v>235</v>
      </c>
    </row>
    <row r="104" s="70" customFormat="1" spans="1:21">
      <c r="A104" s="75"/>
      <c r="B104" s="78" t="s">
        <v>1212</v>
      </c>
      <c r="C104" s="78" t="s">
        <v>240</v>
      </c>
      <c r="D104" s="10" t="s">
        <v>1213</v>
      </c>
      <c r="E104" s="54"/>
      <c r="F104" s="39"/>
      <c r="G104" s="39"/>
      <c r="H104" s="55"/>
      <c r="I104" s="81"/>
      <c r="J104" s="56"/>
      <c r="K104" s="56"/>
      <c r="L104" s="56"/>
      <c r="P104" s="70" t="s">
        <v>1214</v>
      </c>
      <c r="S104" s="70" t="s">
        <v>1211</v>
      </c>
      <c r="T104" s="70" t="s">
        <v>155</v>
      </c>
      <c r="U104" s="70" t="s">
        <v>235</v>
      </c>
    </row>
    <row r="105" s="70" customFormat="1" spans="1:21">
      <c r="A105" s="75"/>
      <c r="B105" s="78" t="s">
        <v>1215</v>
      </c>
      <c r="C105" s="78" t="s">
        <v>240</v>
      </c>
      <c r="D105" s="10" t="s">
        <v>1216</v>
      </c>
      <c r="E105" s="54"/>
      <c r="F105" s="39"/>
      <c r="G105" s="39"/>
      <c r="H105" s="55"/>
      <c r="I105" s="81"/>
      <c r="J105" s="56"/>
      <c r="K105" s="56"/>
      <c r="L105" s="56"/>
      <c r="P105" s="70" t="s">
        <v>1217</v>
      </c>
      <c r="S105" s="70" t="s">
        <v>1211</v>
      </c>
      <c r="T105" s="70" t="s">
        <v>155</v>
      </c>
      <c r="U105" s="70" t="s">
        <v>235</v>
      </c>
    </row>
    <row r="106" s="70" customFormat="1" spans="1:12">
      <c r="A106" s="75"/>
      <c r="B106" s="78" t="s">
        <v>1218</v>
      </c>
      <c r="C106" s="78" t="s">
        <v>240</v>
      </c>
      <c r="D106" s="10" t="s">
        <v>1219</v>
      </c>
      <c r="E106" s="54"/>
      <c r="F106" s="39"/>
      <c r="G106" s="39"/>
      <c r="H106" s="55"/>
      <c r="I106" s="81"/>
      <c r="J106" s="56"/>
      <c r="K106" s="56"/>
      <c r="L106" s="56"/>
    </row>
    <row r="107" s="70" customFormat="1" spans="1:12">
      <c r="A107" s="75"/>
      <c r="B107" s="78" t="s">
        <v>1220</v>
      </c>
      <c r="C107" s="78" t="s">
        <v>240</v>
      </c>
      <c r="D107" s="10" t="s">
        <v>1221</v>
      </c>
      <c r="E107" s="54"/>
      <c r="F107" s="39"/>
      <c r="G107" s="39"/>
      <c r="H107" s="55"/>
      <c r="I107" s="81"/>
      <c r="J107" s="56"/>
      <c r="K107" s="56"/>
      <c r="L107" s="56"/>
    </row>
    <row r="108" s="70" customFormat="1" spans="1:12">
      <c r="A108" s="75"/>
      <c r="B108" s="78" t="s">
        <v>1222</v>
      </c>
      <c r="C108" s="78" t="s">
        <v>240</v>
      </c>
      <c r="D108" s="10" t="s">
        <v>1223</v>
      </c>
      <c r="E108" s="54"/>
      <c r="F108" s="39"/>
      <c r="G108" s="39"/>
      <c r="H108" s="55"/>
      <c r="I108" s="81"/>
      <c r="J108" s="56"/>
      <c r="K108" s="56"/>
      <c r="L108" s="56"/>
    </row>
    <row r="109" s="70" customFormat="1" spans="1:12">
      <c r="A109" s="75"/>
      <c r="B109" s="78" t="s">
        <v>1224</v>
      </c>
      <c r="C109" s="78" t="s">
        <v>240</v>
      </c>
      <c r="D109" s="10" t="s">
        <v>1225</v>
      </c>
      <c r="E109" s="54"/>
      <c r="F109" s="39"/>
      <c r="G109" s="39"/>
      <c r="H109" s="55"/>
      <c r="I109" s="81"/>
      <c r="J109" s="56"/>
      <c r="K109" s="56"/>
      <c r="L109" s="56"/>
    </row>
    <row r="110" s="70" customFormat="1" spans="1:12">
      <c r="A110" s="75"/>
      <c r="B110" s="78" t="s">
        <v>1226</v>
      </c>
      <c r="C110" s="78" t="s">
        <v>240</v>
      </c>
      <c r="D110" s="10" t="s">
        <v>1227</v>
      </c>
      <c r="E110" s="54"/>
      <c r="F110" s="39"/>
      <c r="G110" s="39"/>
      <c r="H110" s="55"/>
      <c r="I110" s="81"/>
      <c r="J110" s="56"/>
      <c r="K110" s="56"/>
      <c r="L110" s="56"/>
    </row>
    <row r="111" s="70" customFormat="1" spans="1:12">
      <c r="A111" s="75"/>
      <c r="B111" s="78" t="s">
        <v>1228</v>
      </c>
      <c r="C111" s="78" t="s">
        <v>240</v>
      </c>
      <c r="D111" s="10" t="s">
        <v>1229</v>
      </c>
      <c r="E111" s="54"/>
      <c r="F111" s="39"/>
      <c r="G111" s="39"/>
      <c r="H111" s="55"/>
      <c r="I111" s="81"/>
      <c r="J111" s="56"/>
      <c r="K111" s="56"/>
      <c r="L111" s="56"/>
    </row>
    <row r="112" s="70" customFormat="1" spans="1:12">
      <c r="A112" s="75"/>
      <c r="B112" s="78" t="s">
        <v>1230</v>
      </c>
      <c r="C112" s="78" t="s">
        <v>240</v>
      </c>
      <c r="D112" s="10" t="s">
        <v>1231</v>
      </c>
      <c r="E112" s="54"/>
      <c r="F112" s="39"/>
      <c r="G112" s="39"/>
      <c r="H112" s="55"/>
      <c r="I112" s="81"/>
      <c r="J112" s="56"/>
      <c r="K112" s="56"/>
      <c r="L112" s="56"/>
    </row>
    <row r="113" s="70" customFormat="1" spans="1:21">
      <c r="A113" s="75"/>
      <c r="B113" s="78" t="s">
        <v>1232</v>
      </c>
      <c r="C113" s="78" t="s">
        <v>240</v>
      </c>
      <c r="D113" s="10" t="s">
        <v>1233</v>
      </c>
      <c r="E113" s="54"/>
      <c r="F113" s="39"/>
      <c r="G113" s="39"/>
      <c r="H113" s="55"/>
      <c r="I113" s="81"/>
      <c r="J113" s="56"/>
      <c r="K113" s="56"/>
      <c r="L113" s="56"/>
      <c r="P113" s="70" t="s">
        <v>1234</v>
      </c>
      <c r="S113" s="70" t="s">
        <v>1211</v>
      </c>
      <c r="T113" s="70" t="s">
        <v>155</v>
      </c>
      <c r="U113" s="70" t="s">
        <v>235</v>
      </c>
    </row>
    <row r="114" s="70" customFormat="1" spans="1:21">
      <c r="A114" s="75"/>
      <c r="B114" s="78" t="s">
        <v>1235</v>
      </c>
      <c r="C114" s="78" t="s">
        <v>240</v>
      </c>
      <c r="D114" s="10" t="s">
        <v>1236</v>
      </c>
      <c r="E114" s="54"/>
      <c r="F114" s="39"/>
      <c r="G114" s="39"/>
      <c r="H114" s="55"/>
      <c r="I114" s="81"/>
      <c r="J114" s="56"/>
      <c r="K114" s="56"/>
      <c r="L114" s="56"/>
      <c r="P114" s="70" t="s">
        <v>1237</v>
      </c>
      <c r="S114" s="70" t="s">
        <v>1211</v>
      </c>
      <c r="T114" s="70" t="s">
        <v>155</v>
      </c>
      <c r="U114" s="70" t="s">
        <v>235</v>
      </c>
    </row>
    <row r="115" s="70" customFormat="1" spans="1:21">
      <c r="A115" s="75"/>
      <c r="B115" s="78" t="s">
        <v>1238</v>
      </c>
      <c r="C115" s="78" t="s">
        <v>240</v>
      </c>
      <c r="D115" s="10" t="s">
        <v>1239</v>
      </c>
      <c r="E115" s="54"/>
      <c r="F115" s="39"/>
      <c r="G115" s="39"/>
      <c r="H115" s="55"/>
      <c r="I115" s="81"/>
      <c r="J115" s="56"/>
      <c r="K115" s="56"/>
      <c r="L115" s="56"/>
      <c r="P115" s="70" t="s">
        <v>1240</v>
      </c>
      <c r="S115" s="70" t="s">
        <v>1211</v>
      </c>
      <c r="T115" s="70" t="s">
        <v>155</v>
      </c>
      <c r="U115" s="70" t="s">
        <v>235</v>
      </c>
    </row>
    <row r="116" s="70" customFormat="1" spans="1:12">
      <c r="A116" s="75"/>
      <c r="B116" s="78" t="s">
        <v>1241</v>
      </c>
      <c r="C116" s="78" t="s">
        <v>240</v>
      </c>
      <c r="D116" s="10" t="s">
        <v>1242</v>
      </c>
      <c r="E116" s="54"/>
      <c r="F116" s="39"/>
      <c r="G116" s="39"/>
      <c r="H116" s="55"/>
      <c r="I116" s="81"/>
      <c r="J116" s="56"/>
      <c r="K116" s="56"/>
      <c r="L116" s="56"/>
    </row>
    <row r="117" s="70" customFormat="1" spans="1:21">
      <c r="A117" s="75"/>
      <c r="B117" s="78" t="s">
        <v>1243</v>
      </c>
      <c r="C117" s="78" t="s">
        <v>240</v>
      </c>
      <c r="D117" s="10" t="s">
        <v>1244</v>
      </c>
      <c r="E117" s="54"/>
      <c r="F117" s="39"/>
      <c r="G117" s="39"/>
      <c r="H117" s="55"/>
      <c r="I117" s="81"/>
      <c r="J117" s="56"/>
      <c r="K117" s="56"/>
      <c r="L117" s="56"/>
      <c r="P117" s="70" t="s">
        <v>1245</v>
      </c>
      <c r="S117" s="70" t="s">
        <v>1211</v>
      </c>
      <c r="T117" s="70" t="s">
        <v>155</v>
      </c>
      <c r="U117" s="70" t="s">
        <v>235</v>
      </c>
    </row>
    <row r="118" s="70" customFormat="1" spans="1:12">
      <c r="A118" s="75"/>
      <c r="B118" s="78" t="s">
        <v>1246</v>
      </c>
      <c r="C118" s="78" t="s">
        <v>240</v>
      </c>
      <c r="D118" s="10" t="s">
        <v>1247</v>
      </c>
      <c r="E118" s="54"/>
      <c r="F118" s="39"/>
      <c r="G118" s="39"/>
      <c r="H118" s="55"/>
      <c r="I118" s="81"/>
      <c r="J118" s="56"/>
      <c r="K118" s="56"/>
      <c r="L118" s="56"/>
    </row>
    <row r="119" s="70" customFormat="1" spans="1:12">
      <c r="A119" s="75"/>
      <c r="B119" s="78" t="s">
        <v>1248</v>
      </c>
      <c r="C119" s="78" t="s">
        <v>240</v>
      </c>
      <c r="D119" s="10" t="s">
        <v>1249</v>
      </c>
      <c r="E119" s="54"/>
      <c r="F119" s="39"/>
      <c r="G119" s="39"/>
      <c r="H119" s="55"/>
      <c r="I119" s="81"/>
      <c r="J119" s="56"/>
      <c r="K119" s="56"/>
      <c r="L119" s="56"/>
    </row>
    <row r="120" s="70" customFormat="1" spans="1:12">
      <c r="A120" s="75"/>
      <c r="B120" s="78" t="s">
        <v>1250</v>
      </c>
      <c r="C120" s="78" t="s">
        <v>240</v>
      </c>
      <c r="D120" s="10" t="s">
        <v>1251</v>
      </c>
      <c r="E120" s="54"/>
      <c r="F120" s="39"/>
      <c r="G120" s="39"/>
      <c r="H120" s="55"/>
      <c r="I120" s="81"/>
      <c r="J120" s="56"/>
      <c r="K120" s="56"/>
      <c r="L120" s="56"/>
    </row>
    <row r="121" s="70" customFormat="1" spans="1:12">
      <c r="A121" s="75"/>
      <c r="B121" s="78" t="s">
        <v>1252</v>
      </c>
      <c r="C121" s="78" t="s">
        <v>240</v>
      </c>
      <c r="D121" s="10" t="s">
        <v>1253</v>
      </c>
      <c r="E121" s="54"/>
      <c r="F121" s="39"/>
      <c r="G121" s="39"/>
      <c r="H121" s="55"/>
      <c r="I121" s="81"/>
      <c r="J121" s="56"/>
      <c r="K121" s="56"/>
      <c r="L121" s="56"/>
    </row>
    <row r="122" s="70" customFormat="1" spans="1:12">
      <c r="A122" s="75"/>
      <c r="B122" s="78" t="s">
        <v>1254</v>
      </c>
      <c r="C122" s="78" t="s">
        <v>240</v>
      </c>
      <c r="D122" s="10" t="s">
        <v>1255</v>
      </c>
      <c r="E122" s="54"/>
      <c r="F122" s="39"/>
      <c r="G122" s="39"/>
      <c r="H122" s="55"/>
      <c r="I122" s="81"/>
      <c r="J122" s="56"/>
      <c r="K122" s="56"/>
      <c r="L122" s="56"/>
    </row>
    <row r="123" s="70" customFormat="1" spans="1:12">
      <c r="A123" s="75"/>
      <c r="B123" s="78" t="s">
        <v>1256</v>
      </c>
      <c r="C123" s="78" t="s">
        <v>240</v>
      </c>
      <c r="D123" s="10" t="s">
        <v>1257</v>
      </c>
      <c r="E123" s="54"/>
      <c r="F123" s="39"/>
      <c r="G123" s="39"/>
      <c r="H123" s="55"/>
      <c r="I123" s="81"/>
      <c r="J123" s="56"/>
      <c r="K123" s="56"/>
      <c r="L123" s="56"/>
    </row>
    <row r="124" s="70" customFormat="1" spans="1:12">
      <c r="A124" s="75"/>
      <c r="B124" s="78" t="s">
        <v>1258</v>
      </c>
      <c r="C124" s="78" t="s">
        <v>220</v>
      </c>
      <c r="D124" s="10" t="s">
        <v>1259</v>
      </c>
      <c r="E124" s="54"/>
      <c r="F124" s="39"/>
      <c r="G124" s="39"/>
      <c r="H124" s="55"/>
      <c r="I124" s="81"/>
      <c r="J124" s="56"/>
      <c r="K124" s="56"/>
      <c r="L124" s="56"/>
    </row>
    <row r="125" s="70" customFormat="1" spans="1:12">
      <c r="A125" s="75"/>
      <c r="B125" s="78" t="s">
        <v>1260</v>
      </c>
      <c r="C125" s="78" t="s">
        <v>220</v>
      </c>
      <c r="D125" s="10" t="s">
        <v>1261</v>
      </c>
      <c r="E125" s="54"/>
      <c r="F125" s="39"/>
      <c r="G125" s="39"/>
      <c r="H125" s="55"/>
      <c r="I125" s="81"/>
      <c r="J125" s="56"/>
      <c r="K125" s="56"/>
      <c r="L125" s="56"/>
    </row>
    <row r="126" s="70" customFormat="1" spans="1:12">
      <c r="A126" s="75"/>
      <c r="B126" s="78" t="s">
        <v>1262</v>
      </c>
      <c r="C126" s="78" t="s">
        <v>220</v>
      </c>
      <c r="D126" s="10" t="s">
        <v>1263</v>
      </c>
      <c r="E126" s="54"/>
      <c r="F126" s="39"/>
      <c r="G126" s="39"/>
      <c r="H126" s="55"/>
      <c r="I126" s="81"/>
      <c r="J126" s="56"/>
      <c r="K126" s="56"/>
      <c r="L126" s="56"/>
    </row>
    <row r="127" s="70" customFormat="1" spans="1:12">
      <c r="A127" s="75"/>
      <c r="B127" s="78" t="s">
        <v>1264</v>
      </c>
      <c r="C127" s="78" t="s">
        <v>220</v>
      </c>
      <c r="D127" s="10" t="s">
        <v>1265</v>
      </c>
      <c r="E127" s="54"/>
      <c r="F127" s="39"/>
      <c r="G127" s="39"/>
      <c r="H127" s="55"/>
      <c r="I127" s="81"/>
      <c r="J127" s="56"/>
      <c r="K127" s="56"/>
      <c r="L127" s="56"/>
    </row>
    <row r="128" s="70" customFormat="1" spans="1:12">
      <c r="A128" s="75"/>
      <c r="B128" s="78" t="s">
        <v>1266</v>
      </c>
      <c r="C128" s="78" t="s">
        <v>220</v>
      </c>
      <c r="D128" s="10" t="s">
        <v>1267</v>
      </c>
      <c r="E128" s="54"/>
      <c r="F128" s="39"/>
      <c r="G128" s="39"/>
      <c r="H128" s="55"/>
      <c r="I128" s="81"/>
      <c r="J128" s="56"/>
      <c r="K128" s="56"/>
      <c r="L128" s="56"/>
    </row>
    <row r="129" s="70" customFormat="1" spans="1:12">
      <c r="A129" s="75"/>
      <c r="B129" s="78" t="s">
        <v>1268</v>
      </c>
      <c r="C129" s="78" t="s">
        <v>220</v>
      </c>
      <c r="D129" s="10" t="s">
        <v>1269</v>
      </c>
      <c r="E129" s="54"/>
      <c r="F129" s="39"/>
      <c r="G129" s="39"/>
      <c r="H129" s="55"/>
      <c r="I129" s="81"/>
      <c r="J129" s="56"/>
      <c r="K129" s="56"/>
      <c r="L129" s="56"/>
    </row>
    <row r="130" s="70" customFormat="1" spans="1:12">
      <c r="A130" s="75"/>
      <c r="B130" s="78" t="s">
        <v>1270</v>
      </c>
      <c r="C130" s="78" t="s">
        <v>275</v>
      </c>
      <c r="D130" s="10" t="s">
        <v>1271</v>
      </c>
      <c r="E130" s="54"/>
      <c r="F130" s="39"/>
      <c r="G130" s="39"/>
      <c r="H130" s="55"/>
      <c r="I130" s="81"/>
      <c r="J130" s="56"/>
      <c r="K130" s="56"/>
      <c r="L130" s="56"/>
    </row>
    <row r="131" s="70" customFormat="1" spans="1:12">
      <c r="A131" s="75"/>
      <c r="B131" s="78" t="s">
        <v>1272</v>
      </c>
      <c r="C131" s="78" t="s">
        <v>275</v>
      </c>
      <c r="D131" s="10" t="s">
        <v>1273</v>
      </c>
      <c r="E131" s="54"/>
      <c r="F131" s="39"/>
      <c r="G131" s="39"/>
      <c r="H131" s="55"/>
      <c r="I131" s="81"/>
      <c r="J131" s="56"/>
      <c r="K131" s="56"/>
      <c r="L131" s="56"/>
    </row>
    <row r="132" s="70" customFormat="1" spans="1:12">
      <c r="A132" s="75"/>
      <c r="B132" s="78" t="s">
        <v>1274</v>
      </c>
      <c r="C132" s="78" t="s">
        <v>275</v>
      </c>
      <c r="D132" s="10" t="s">
        <v>1275</v>
      </c>
      <c r="E132" s="54"/>
      <c r="F132" s="39"/>
      <c r="G132" s="39"/>
      <c r="H132" s="55"/>
      <c r="I132" s="81"/>
      <c r="J132" s="56"/>
      <c r="K132" s="56"/>
      <c r="L132" s="56"/>
    </row>
    <row r="133" s="70" customFormat="1" spans="1:12">
      <c r="A133" s="75"/>
      <c r="B133" s="78" t="s">
        <v>1276</v>
      </c>
      <c r="C133" s="78" t="s">
        <v>275</v>
      </c>
      <c r="D133" s="10" t="s">
        <v>1277</v>
      </c>
      <c r="E133" s="54"/>
      <c r="F133" s="39"/>
      <c r="G133" s="39"/>
      <c r="H133" s="55"/>
      <c r="I133" s="81"/>
      <c r="J133" s="56"/>
      <c r="K133" s="56"/>
      <c r="L133" s="56"/>
    </row>
    <row r="134" s="70" customFormat="1" spans="1:12">
      <c r="A134" s="75"/>
      <c r="B134" s="78" t="s">
        <v>1278</v>
      </c>
      <c r="C134" s="78" t="s">
        <v>275</v>
      </c>
      <c r="D134" s="10" t="s">
        <v>1279</v>
      </c>
      <c r="E134" s="54"/>
      <c r="F134" s="39"/>
      <c r="G134" s="39"/>
      <c r="H134" s="55"/>
      <c r="I134" s="81"/>
      <c r="J134" s="56"/>
      <c r="K134" s="56"/>
      <c r="L134" s="56"/>
    </row>
    <row r="135" s="70" customFormat="1" spans="1:12">
      <c r="A135" s="75"/>
      <c r="B135" s="78" t="s">
        <v>1280</v>
      </c>
      <c r="C135" s="78" t="s">
        <v>275</v>
      </c>
      <c r="D135" s="10" t="s">
        <v>1281</v>
      </c>
      <c r="E135" s="54"/>
      <c r="F135" s="39"/>
      <c r="G135" s="39"/>
      <c r="H135" s="55"/>
      <c r="I135" s="81"/>
      <c r="J135" s="56"/>
      <c r="K135" s="56"/>
      <c r="L135" s="56"/>
    </row>
    <row r="136" s="70" customFormat="1" spans="1:12">
      <c r="A136" s="75"/>
      <c r="B136" s="78" t="s">
        <v>1282</v>
      </c>
      <c r="C136" s="78" t="s">
        <v>275</v>
      </c>
      <c r="D136" s="10" t="s">
        <v>1283</v>
      </c>
      <c r="E136" s="54"/>
      <c r="F136" s="39"/>
      <c r="G136" s="39"/>
      <c r="H136" s="55"/>
      <c r="I136" s="81"/>
      <c r="J136" s="56"/>
      <c r="K136" s="56"/>
      <c r="L136" s="56"/>
    </row>
    <row r="137" s="70" customFormat="1" spans="1:12">
      <c r="A137" s="75"/>
      <c r="B137" s="78" t="s">
        <v>1284</v>
      </c>
      <c r="C137" s="78" t="s">
        <v>275</v>
      </c>
      <c r="D137" s="10" t="s">
        <v>1285</v>
      </c>
      <c r="E137" s="54"/>
      <c r="F137" s="39"/>
      <c r="G137" s="39"/>
      <c r="H137" s="55"/>
      <c r="I137" s="81"/>
      <c r="J137" s="56"/>
      <c r="K137" s="56"/>
      <c r="L137" s="56"/>
    </row>
    <row r="138" s="70" customFormat="1" spans="1:12">
      <c r="A138" s="75"/>
      <c r="B138" s="78" t="s">
        <v>1286</v>
      </c>
      <c r="C138" s="78" t="s">
        <v>216</v>
      </c>
      <c r="D138" s="10" t="s">
        <v>1286</v>
      </c>
      <c r="E138" s="54"/>
      <c r="F138" s="39"/>
      <c r="G138" s="39"/>
      <c r="H138" s="55"/>
      <c r="I138" s="81"/>
      <c r="J138" s="56"/>
      <c r="K138" s="56"/>
      <c r="L138" s="56"/>
    </row>
    <row r="139" s="70" customFormat="1" spans="1:12">
      <c r="A139" s="75"/>
      <c r="B139" s="78" t="s">
        <v>1287</v>
      </c>
      <c r="C139" s="78" t="s">
        <v>216</v>
      </c>
      <c r="D139" s="10" t="s">
        <v>1288</v>
      </c>
      <c r="E139" s="54"/>
      <c r="F139" s="39"/>
      <c r="G139" s="39"/>
      <c r="H139" s="55"/>
      <c r="I139" s="81"/>
      <c r="J139" s="56"/>
      <c r="K139" s="56"/>
      <c r="L139" s="56"/>
    </row>
    <row r="140" s="70" customFormat="1" spans="1:12">
      <c r="A140" s="75"/>
      <c r="B140" s="78" t="s">
        <v>1289</v>
      </c>
      <c r="C140" s="78" t="s">
        <v>216</v>
      </c>
      <c r="D140" s="10" t="s">
        <v>1290</v>
      </c>
      <c r="E140" s="54"/>
      <c r="F140" s="39"/>
      <c r="G140" s="39"/>
      <c r="H140" s="55"/>
      <c r="I140" s="81"/>
      <c r="J140" s="56"/>
      <c r="K140" s="56"/>
      <c r="L140" s="56"/>
    </row>
    <row r="141" s="70" customFormat="1" spans="1:12">
      <c r="A141" s="75"/>
      <c r="B141" s="78" t="s">
        <v>1291</v>
      </c>
      <c r="C141" s="78" t="s">
        <v>275</v>
      </c>
      <c r="D141" s="10" t="s">
        <v>1292</v>
      </c>
      <c r="E141" s="54"/>
      <c r="F141" s="39"/>
      <c r="G141" s="39"/>
      <c r="H141" s="55"/>
      <c r="I141" s="81"/>
      <c r="J141" s="56"/>
      <c r="K141" s="56"/>
      <c r="L141" s="56"/>
    </row>
    <row r="142" s="70" customFormat="1" spans="1:12">
      <c r="A142" s="75"/>
      <c r="B142" s="78" t="s">
        <v>1293</v>
      </c>
      <c r="C142" s="78" t="s">
        <v>275</v>
      </c>
      <c r="D142" s="10" t="s">
        <v>1294</v>
      </c>
      <c r="E142" s="54"/>
      <c r="F142" s="39"/>
      <c r="G142" s="39"/>
      <c r="H142" s="55"/>
      <c r="I142" s="81"/>
      <c r="J142" s="56"/>
      <c r="K142" s="56"/>
      <c r="L142" s="56"/>
    </row>
    <row r="143" s="51" customFormat="1" ht="92.4" spans="1:12">
      <c r="A143" s="63"/>
      <c r="B143" s="64" t="s">
        <v>1295</v>
      </c>
      <c r="C143" s="64" t="s">
        <v>220</v>
      </c>
      <c r="D143" s="29" t="s">
        <v>1296</v>
      </c>
      <c r="E143" s="65" t="s">
        <v>199</v>
      </c>
      <c r="F143" s="66"/>
      <c r="G143" s="66" t="s">
        <v>1297</v>
      </c>
      <c r="H143" s="67"/>
      <c r="I143" s="68" t="s">
        <v>1211</v>
      </c>
      <c r="J143" s="69" t="s">
        <v>345</v>
      </c>
      <c r="K143" s="69" t="s">
        <v>323</v>
      </c>
      <c r="L143" s="69" t="s">
        <v>394</v>
      </c>
    </row>
    <row r="144" s="37" customFormat="1" spans="1:12">
      <c r="A144" s="42"/>
      <c r="B144" s="43" t="s">
        <v>252</v>
      </c>
      <c r="C144" s="43" t="s">
        <v>220</v>
      </c>
      <c r="D144" s="44" t="s">
        <v>254</v>
      </c>
      <c r="E144" s="45"/>
      <c r="F144" s="46"/>
      <c r="G144" s="46"/>
      <c r="H144" s="47"/>
      <c r="I144" s="48"/>
      <c r="J144" s="49"/>
      <c r="K144" s="49"/>
      <c r="L144" s="49"/>
    </row>
    <row r="145" s="37" customFormat="1" spans="1:12">
      <c r="A145" s="42"/>
      <c r="B145" s="43" t="s">
        <v>1298</v>
      </c>
      <c r="C145" s="43" t="s">
        <v>216</v>
      </c>
      <c r="D145" s="44" t="s">
        <v>256</v>
      </c>
      <c r="E145" s="45"/>
      <c r="F145" s="46"/>
      <c r="G145" s="46"/>
      <c r="H145" s="47"/>
      <c r="I145" s="48"/>
      <c r="J145" s="49"/>
      <c r="K145" s="49"/>
      <c r="L145" s="49"/>
    </row>
    <row r="146" s="37" customFormat="1" spans="1:12">
      <c r="A146" s="42"/>
      <c r="B146" s="43" t="s">
        <v>1299</v>
      </c>
      <c r="C146" s="43" t="s">
        <v>216</v>
      </c>
      <c r="D146" s="44" t="s">
        <v>258</v>
      </c>
      <c r="E146" s="45"/>
      <c r="F146" s="46"/>
      <c r="G146" s="46"/>
      <c r="H146" s="47"/>
      <c r="I146" s="48"/>
      <c r="J146" s="49"/>
      <c r="K146" s="49"/>
      <c r="L146" s="49"/>
    </row>
  </sheetData>
  <autoFilter xmlns:etc="http://www.wps.cn/officeDocument/2017/etCustomData" ref="A15:N146" etc:filterBottomFollowUsedRange="0">
    <extLst/>
  </autoFilter>
  <mergeCells count="5">
    <mergeCell ref="B2:H2"/>
    <mergeCell ref="B3:H3"/>
    <mergeCell ref="B7:H7"/>
    <mergeCell ref="B14:L14"/>
    <mergeCell ref="G10:G11"/>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94"/>
  <sheetViews>
    <sheetView zoomScale="85" zoomScaleNormal="85" workbookViewId="0">
      <pane ySplit="5" topLeftCell="A275" activePane="bottomLeft" state="frozen"/>
      <selection/>
      <selection pane="bottomLeft" activeCell="B291" sqref="B29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16.2222222222222"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71</v>
      </c>
      <c r="D5" s="35" t="s">
        <v>72</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64</v>
      </c>
      <c r="D9" s="35" t="s">
        <v>65</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2">
      <c r="B16" s="19" t="s">
        <v>1300</v>
      </c>
      <c r="C16" s="19" t="s">
        <v>1071</v>
      </c>
      <c r="D16" s="10" t="s">
        <v>1301</v>
      </c>
      <c r="E16" s="20"/>
      <c r="F16" s="19"/>
      <c r="G16" s="19"/>
      <c r="H16" s="20"/>
      <c r="I16" s="23"/>
      <c r="J16" s="23"/>
      <c r="K16" s="23"/>
      <c r="L16" s="23"/>
    </row>
    <row r="17" s="1" customFormat="1" spans="2:12">
      <c r="B17" s="19" t="s">
        <v>1302</v>
      </c>
      <c r="C17" s="19" t="s">
        <v>220</v>
      </c>
      <c r="D17" s="10" t="s">
        <v>1303</v>
      </c>
      <c r="E17" s="20"/>
      <c r="F17" s="19"/>
      <c r="G17" s="19"/>
      <c r="H17" s="20"/>
      <c r="I17" s="23"/>
      <c r="J17" s="23"/>
      <c r="K17" s="23"/>
      <c r="L17" s="23"/>
    </row>
    <row r="18" s="1" customFormat="1" spans="2:12">
      <c r="B18" s="19" t="s">
        <v>1304</v>
      </c>
      <c r="C18" s="19" t="s">
        <v>220</v>
      </c>
      <c r="D18" s="10" t="s">
        <v>1305</v>
      </c>
      <c r="E18" s="20"/>
      <c r="F18" s="19"/>
      <c r="G18" s="19"/>
      <c r="H18" s="20"/>
      <c r="I18" s="23"/>
      <c r="J18" s="23"/>
      <c r="K18" s="23"/>
      <c r="L18" s="23"/>
    </row>
    <row r="19" s="1" customFormat="1" spans="1:12">
      <c r="A19" s="40"/>
      <c r="B19" s="19" t="s">
        <v>1306</v>
      </c>
      <c r="C19" s="19" t="s">
        <v>220</v>
      </c>
      <c r="D19" s="10" t="s">
        <v>1307</v>
      </c>
      <c r="E19" s="20"/>
      <c r="F19" s="19"/>
      <c r="G19" s="19"/>
      <c r="H19" s="20"/>
      <c r="I19" s="23"/>
      <c r="J19" s="23"/>
      <c r="K19" s="23"/>
      <c r="L19" s="23"/>
    </row>
    <row r="20" s="1" customFormat="1" spans="1:12">
      <c r="A20" s="40"/>
      <c r="B20" s="19" t="s">
        <v>302</v>
      </c>
      <c r="C20" s="19" t="s">
        <v>220</v>
      </c>
      <c r="D20" s="10" t="s">
        <v>1051</v>
      </c>
      <c r="E20" s="20"/>
      <c r="F20" s="19"/>
      <c r="G20" s="19"/>
      <c r="H20" s="20"/>
      <c r="I20" s="23"/>
      <c r="J20" s="23"/>
      <c r="K20" s="23"/>
      <c r="L20" s="23"/>
    </row>
    <row r="21" s="1" customFormat="1" spans="1:12">
      <c r="A21" s="40"/>
      <c r="B21" s="19" t="s">
        <v>1308</v>
      </c>
      <c r="C21" s="19" t="s">
        <v>275</v>
      </c>
      <c r="D21" s="10" t="s">
        <v>1309</v>
      </c>
      <c r="E21" s="20"/>
      <c r="F21" s="19"/>
      <c r="G21" s="19"/>
      <c r="H21" s="20"/>
      <c r="I21" s="23"/>
      <c r="J21" s="23"/>
      <c r="K21" s="23"/>
      <c r="L21" s="23"/>
    </row>
    <row r="22" s="1" customFormat="1" spans="1:12">
      <c r="A22" s="40"/>
      <c r="B22" s="10" t="s">
        <v>222</v>
      </c>
      <c r="C22" s="10" t="s">
        <v>275</v>
      </c>
      <c r="D22" s="10" t="s">
        <v>298</v>
      </c>
      <c r="E22" s="20"/>
      <c r="F22" s="10"/>
      <c r="G22" s="19"/>
      <c r="H22" s="20"/>
      <c r="I22" s="23"/>
      <c r="J22" s="23"/>
      <c r="K22" s="23"/>
      <c r="L22" s="23"/>
    </row>
    <row r="23" s="1" customFormat="1" spans="1:12">
      <c r="A23" s="40"/>
      <c r="B23" s="10" t="s">
        <v>1310</v>
      </c>
      <c r="C23" s="10" t="s">
        <v>216</v>
      </c>
      <c r="D23" s="10" t="s">
        <v>1311</v>
      </c>
      <c r="E23" s="20"/>
      <c r="F23" s="10"/>
      <c r="G23" s="19"/>
      <c r="H23" s="20"/>
      <c r="I23" s="23"/>
      <c r="J23" s="23"/>
      <c r="K23" s="23"/>
      <c r="L23" s="23"/>
    </row>
    <row r="24" s="1" customFormat="1" spans="1:12">
      <c r="A24" s="40"/>
      <c r="B24" s="10" t="s">
        <v>267</v>
      </c>
      <c r="C24" s="10" t="s">
        <v>216</v>
      </c>
      <c r="D24" s="10" t="s">
        <v>294</v>
      </c>
      <c r="E24" s="20"/>
      <c r="F24" s="10"/>
      <c r="G24" s="19"/>
      <c r="H24" s="20"/>
      <c r="I24" s="23"/>
      <c r="J24" s="23"/>
      <c r="K24" s="23"/>
      <c r="L24" s="23"/>
    </row>
    <row r="25" s="1" customFormat="1" spans="1:12">
      <c r="A25" s="40"/>
      <c r="B25" s="10" t="s">
        <v>1176</v>
      </c>
      <c r="C25" s="10" t="s">
        <v>220</v>
      </c>
      <c r="D25" s="10" t="s">
        <v>1312</v>
      </c>
      <c r="E25" s="20"/>
      <c r="F25" s="10"/>
      <c r="G25" s="19"/>
      <c r="H25" s="20"/>
      <c r="I25" s="23"/>
      <c r="J25" s="23"/>
      <c r="K25" s="23"/>
      <c r="L25" s="23"/>
    </row>
    <row r="26" s="33" customFormat="1" spans="1:12">
      <c r="A26" s="85"/>
      <c r="B26" s="29" t="s">
        <v>1313</v>
      </c>
      <c r="C26" s="58" t="s">
        <v>216</v>
      </c>
      <c r="D26" s="29" t="s">
        <v>1314</v>
      </c>
      <c r="E26" s="30"/>
      <c r="F26" s="29"/>
      <c r="G26" s="28"/>
      <c r="H26" s="30"/>
      <c r="I26" s="34" t="s">
        <v>1315</v>
      </c>
      <c r="J26" s="34"/>
      <c r="K26" s="34"/>
      <c r="L26" s="34"/>
    </row>
    <row r="27" s="1" customFormat="1" spans="1:12">
      <c r="A27" s="40"/>
      <c r="B27" s="19" t="s">
        <v>1316</v>
      </c>
      <c r="C27" s="19" t="s">
        <v>220</v>
      </c>
      <c r="D27" s="10" t="s">
        <v>1317</v>
      </c>
      <c r="E27" s="20"/>
      <c r="F27" s="19"/>
      <c r="G27" s="19"/>
      <c r="H27" s="20"/>
      <c r="I27" s="23"/>
      <c r="J27" s="23"/>
      <c r="K27" s="23"/>
      <c r="L27" s="23"/>
    </row>
    <row r="28" s="1" customFormat="1" spans="1:12">
      <c r="A28" s="40"/>
      <c r="B28" s="10" t="s">
        <v>1318</v>
      </c>
      <c r="C28" s="10" t="s">
        <v>220</v>
      </c>
      <c r="D28" s="10" t="s">
        <v>1319</v>
      </c>
      <c r="E28" s="20"/>
      <c r="F28" s="19"/>
      <c r="G28" s="10"/>
      <c r="H28" s="20"/>
      <c r="I28" s="23"/>
      <c r="J28" s="23"/>
      <c r="K28" s="23"/>
      <c r="L28" s="23"/>
    </row>
    <row r="29" s="1" customFormat="1" spans="1:12">
      <c r="A29" s="40"/>
      <c r="B29" s="10" t="s">
        <v>1064</v>
      </c>
      <c r="C29" s="10" t="s">
        <v>220</v>
      </c>
      <c r="D29" s="10" t="s">
        <v>1320</v>
      </c>
      <c r="E29" s="20"/>
      <c r="F29" s="19"/>
      <c r="G29" s="10"/>
      <c r="H29" s="20"/>
      <c r="I29" s="23"/>
      <c r="J29" s="23"/>
      <c r="K29" s="23"/>
      <c r="L29" s="23"/>
    </row>
    <row r="30" s="1" customFormat="1" spans="1:12">
      <c r="A30" s="40"/>
      <c r="B30" s="10" t="s">
        <v>1321</v>
      </c>
      <c r="C30" s="10" t="s">
        <v>275</v>
      </c>
      <c r="D30" s="10" t="s">
        <v>1322</v>
      </c>
      <c r="E30" s="20"/>
      <c r="F30" s="19"/>
      <c r="G30" s="10"/>
      <c r="H30" s="20"/>
      <c r="I30" s="23"/>
      <c r="J30" s="23"/>
      <c r="K30" s="23"/>
      <c r="L30" s="23"/>
    </row>
    <row r="31" s="1" customFormat="1" spans="1:12">
      <c r="A31" s="40"/>
      <c r="B31" s="10" t="s">
        <v>1323</v>
      </c>
      <c r="C31" s="10" t="s">
        <v>275</v>
      </c>
      <c r="D31" s="10" t="s">
        <v>1324</v>
      </c>
      <c r="E31" s="20"/>
      <c r="F31" s="19"/>
      <c r="G31" s="10"/>
      <c r="H31" s="20"/>
      <c r="I31" s="23"/>
      <c r="J31" s="23"/>
      <c r="K31" s="23"/>
      <c r="L31" s="23"/>
    </row>
    <row r="32" s="1" customFormat="1" spans="1:12">
      <c r="A32" s="40"/>
      <c r="B32" s="19" t="s">
        <v>1325</v>
      </c>
      <c r="C32" s="19" t="s">
        <v>275</v>
      </c>
      <c r="D32" s="10" t="s">
        <v>1326</v>
      </c>
      <c r="E32" s="20"/>
      <c r="F32" s="19"/>
      <c r="G32" s="19"/>
      <c r="H32" s="20"/>
      <c r="I32" s="23"/>
      <c r="J32" s="23"/>
      <c r="K32" s="23"/>
      <c r="L32" s="23"/>
    </row>
    <row r="33" s="1" customFormat="1" spans="2:12">
      <c r="B33" s="19" t="s">
        <v>1327</v>
      </c>
      <c r="C33" s="19" t="s">
        <v>275</v>
      </c>
      <c r="D33" s="10" t="s">
        <v>1328</v>
      </c>
      <c r="E33" s="20"/>
      <c r="F33" s="19"/>
      <c r="G33" s="19"/>
      <c r="H33" s="20"/>
      <c r="I33" s="23"/>
      <c r="J33" s="23"/>
      <c r="K33" s="23"/>
      <c r="L33" s="23"/>
    </row>
    <row r="34" s="1" customFormat="1" spans="2:12">
      <c r="B34" s="19" t="s">
        <v>1329</v>
      </c>
      <c r="C34" s="19" t="s">
        <v>275</v>
      </c>
      <c r="D34" s="10" t="s">
        <v>1330</v>
      </c>
      <c r="E34" s="20"/>
      <c r="F34" s="19"/>
      <c r="G34" s="19"/>
      <c r="H34" s="20"/>
      <c r="I34" s="23"/>
      <c r="J34" s="23"/>
      <c r="K34" s="23"/>
      <c r="L34" s="23"/>
    </row>
    <row r="35" s="40" customFormat="1" spans="2:12">
      <c r="B35" s="19" t="s">
        <v>1331</v>
      </c>
      <c r="C35" s="19" t="s">
        <v>275</v>
      </c>
      <c r="D35" s="10" t="s">
        <v>1332</v>
      </c>
      <c r="E35" s="20"/>
      <c r="F35" s="19"/>
      <c r="G35" s="19"/>
      <c r="H35" s="20"/>
      <c r="I35" s="23"/>
      <c r="J35" s="23"/>
      <c r="K35" s="23"/>
      <c r="L35" s="23"/>
    </row>
    <row r="36" s="40" customFormat="1" spans="2:12">
      <c r="B36" s="19" t="s">
        <v>1333</v>
      </c>
      <c r="C36" s="19" t="s">
        <v>275</v>
      </c>
      <c r="D36" s="10" t="s">
        <v>1334</v>
      </c>
      <c r="E36" s="20"/>
      <c r="F36" s="19"/>
      <c r="G36" s="19"/>
      <c r="H36" s="20"/>
      <c r="I36" s="23"/>
      <c r="J36" s="23"/>
      <c r="K36" s="23"/>
      <c r="L36" s="23"/>
    </row>
    <row r="37" s="70" customFormat="1" spans="1:12">
      <c r="A37" s="75"/>
      <c r="B37" s="76" t="s">
        <v>1335</v>
      </c>
      <c r="C37" s="76" t="s">
        <v>275</v>
      </c>
      <c r="D37" s="10" t="s">
        <v>1336</v>
      </c>
      <c r="E37" s="20"/>
      <c r="F37" s="19"/>
      <c r="G37" s="19"/>
      <c r="H37" s="20"/>
      <c r="I37" s="77"/>
      <c r="J37" s="23"/>
      <c r="K37" s="23"/>
      <c r="L37" s="23"/>
    </row>
    <row r="38" s="1" customFormat="1" spans="1:12">
      <c r="A38" s="40"/>
      <c r="B38" s="10" t="s">
        <v>1337</v>
      </c>
      <c r="C38" s="10" t="s">
        <v>275</v>
      </c>
      <c r="D38" s="10" t="s">
        <v>1338</v>
      </c>
      <c r="E38" s="20"/>
      <c r="F38" s="19"/>
      <c r="G38" s="10"/>
      <c r="H38" s="20"/>
      <c r="I38" s="23"/>
      <c r="J38" s="23"/>
      <c r="K38" s="23"/>
      <c r="L38" s="23"/>
    </row>
    <row r="39" s="40" customFormat="1" spans="2:12">
      <c r="B39" s="19" t="s">
        <v>1339</v>
      </c>
      <c r="C39" s="19" t="s">
        <v>275</v>
      </c>
      <c r="D39" s="10" t="s">
        <v>1340</v>
      </c>
      <c r="E39" s="20"/>
      <c r="F39" s="19"/>
      <c r="G39" s="19"/>
      <c r="H39" s="20"/>
      <c r="I39" s="23"/>
      <c r="J39" s="23"/>
      <c r="K39" s="23"/>
      <c r="L39" s="23"/>
    </row>
    <row r="40" s="40" customFormat="1" spans="2:12">
      <c r="B40" s="19" t="s">
        <v>1341</v>
      </c>
      <c r="C40" s="19" t="s">
        <v>275</v>
      </c>
      <c r="D40" s="10" t="s">
        <v>1342</v>
      </c>
      <c r="E40" s="20"/>
      <c r="F40" s="19"/>
      <c r="G40" s="19"/>
      <c r="H40" s="20"/>
      <c r="I40" s="23"/>
      <c r="J40" s="23"/>
      <c r="K40" s="23"/>
      <c r="L40" s="23"/>
    </row>
    <row r="41" s="40" customFormat="1" ht="26.4" spans="2:12">
      <c r="B41" s="19" t="s">
        <v>1343</v>
      </c>
      <c r="C41" s="19" t="s">
        <v>275</v>
      </c>
      <c r="D41" s="10" t="s">
        <v>1104</v>
      </c>
      <c r="E41" s="20"/>
      <c r="F41" s="19"/>
      <c r="G41" s="19"/>
      <c r="H41" s="20"/>
      <c r="I41" s="23"/>
      <c r="J41" s="23"/>
      <c r="K41" s="23"/>
      <c r="L41" s="23"/>
    </row>
    <row r="42" s="40" customFormat="1" spans="2:12">
      <c r="B42" s="19" t="s">
        <v>1344</v>
      </c>
      <c r="C42" s="19" t="s">
        <v>275</v>
      </c>
      <c r="D42" s="10" t="s">
        <v>1106</v>
      </c>
      <c r="E42" s="20"/>
      <c r="F42" s="19"/>
      <c r="G42" s="19"/>
      <c r="H42" s="20"/>
      <c r="I42" s="23"/>
      <c r="J42" s="23"/>
      <c r="K42" s="23"/>
      <c r="L42" s="23"/>
    </row>
    <row r="43" s="3" customFormat="1" spans="2:12">
      <c r="B43" s="19" t="s">
        <v>1345</v>
      </c>
      <c r="C43" s="19" t="s">
        <v>275</v>
      </c>
      <c r="D43" s="10" t="s">
        <v>1346</v>
      </c>
      <c r="E43" s="20"/>
      <c r="F43" s="19"/>
      <c r="G43" s="19"/>
      <c r="H43" s="20"/>
      <c r="I43" s="23"/>
      <c r="J43" s="23"/>
      <c r="K43" s="23"/>
      <c r="L43" s="23"/>
    </row>
    <row r="44" s="3" customFormat="1" ht="26.4" spans="2:12">
      <c r="B44" s="19" t="s">
        <v>1347</v>
      </c>
      <c r="C44" s="19" t="s">
        <v>275</v>
      </c>
      <c r="D44" s="10" t="s">
        <v>1348</v>
      </c>
      <c r="E44" s="20"/>
      <c r="F44" s="19"/>
      <c r="G44" s="19"/>
      <c r="H44" s="20"/>
      <c r="I44" s="23"/>
      <c r="J44" s="23"/>
      <c r="K44" s="23"/>
      <c r="L44" s="23"/>
    </row>
    <row r="45" s="1" customFormat="1" ht="26.4" spans="1:12">
      <c r="A45" s="40"/>
      <c r="B45" s="19" t="s">
        <v>1349</v>
      </c>
      <c r="C45" s="19" t="s">
        <v>275</v>
      </c>
      <c r="D45" s="10" t="s">
        <v>1350</v>
      </c>
      <c r="E45" s="20"/>
      <c r="F45" s="19"/>
      <c r="G45" s="19"/>
      <c r="H45" s="19"/>
      <c r="I45" s="23"/>
      <c r="J45" s="23"/>
      <c r="K45" s="23"/>
      <c r="L45" s="23"/>
    </row>
    <row r="46" s="3" customFormat="1" spans="2:12">
      <c r="B46" s="19" t="s">
        <v>1351</v>
      </c>
      <c r="C46" s="19" t="s">
        <v>275</v>
      </c>
      <c r="D46" s="10" t="s">
        <v>1352</v>
      </c>
      <c r="E46" s="20"/>
      <c r="F46" s="19"/>
      <c r="G46" s="19"/>
      <c r="H46" s="20"/>
      <c r="I46" s="23"/>
      <c r="J46" s="23"/>
      <c r="K46" s="23"/>
      <c r="L46" s="23"/>
    </row>
    <row r="47" s="3" customFormat="1" ht="26.4" spans="2:12">
      <c r="B47" s="19" t="s">
        <v>1353</v>
      </c>
      <c r="C47" s="19" t="s">
        <v>275</v>
      </c>
      <c r="D47" s="10" t="s">
        <v>1354</v>
      </c>
      <c r="E47" s="20"/>
      <c r="F47" s="19"/>
      <c r="G47" s="19"/>
      <c r="H47" s="20"/>
      <c r="I47" s="23"/>
      <c r="J47" s="23"/>
      <c r="K47" s="23"/>
      <c r="L47" s="23"/>
    </row>
    <row r="48" s="3" customFormat="1" spans="2:12">
      <c r="B48" s="19" t="s">
        <v>1355</v>
      </c>
      <c r="C48" s="19" t="s">
        <v>275</v>
      </c>
      <c r="D48" s="10" t="s">
        <v>1356</v>
      </c>
      <c r="E48" s="20"/>
      <c r="F48" s="19"/>
      <c r="G48" s="19"/>
      <c r="H48" s="20"/>
      <c r="I48" s="23"/>
      <c r="J48" s="23"/>
      <c r="K48" s="23"/>
      <c r="L48" s="23"/>
    </row>
    <row r="49" s="3" customFormat="1" spans="2:12">
      <c r="B49" s="76" t="s">
        <v>1357</v>
      </c>
      <c r="C49" s="76" t="s">
        <v>275</v>
      </c>
      <c r="D49" s="10" t="s">
        <v>1358</v>
      </c>
      <c r="E49" s="20"/>
      <c r="F49" s="19"/>
      <c r="G49" s="19"/>
      <c r="H49" s="20"/>
      <c r="I49" s="77"/>
      <c r="J49" s="23"/>
      <c r="K49" s="23"/>
      <c r="L49" s="23"/>
    </row>
    <row r="50" s="70" customFormat="1" spans="1:12">
      <c r="A50" s="75"/>
      <c r="B50" s="76" t="s">
        <v>1359</v>
      </c>
      <c r="C50" s="76" t="s">
        <v>275</v>
      </c>
      <c r="D50" s="10" t="s">
        <v>1360</v>
      </c>
      <c r="E50" s="20"/>
      <c r="F50" s="19"/>
      <c r="G50" s="19"/>
      <c r="H50" s="20"/>
      <c r="I50" s="77"/>
      <c r="J50" s="23"/>
      <c r="K50" s="23"/>
      <c r="L50" s="23"/>
    </row>
    <row r="51" s="70" customFormat="1" spans="1:12">
      <c r="A51" s="75"/>
      <c r="B51" s="76" t="s">
        <v>1361</v>
      </c>
      <c r="C51" s="76" t="s">
        <v>275</v>
      </c>
      <c r="D51" s="10" t="s">
        <v>1362</v>
      </c>
      <c r="E51" s="20"/>
      <c r="F51" s="19"/>
      <c r="G51" s="19"/>
      <c r="H51" s="20"/>
      <c r="I51" s="77"/>
      <c r="J51" s="23"/>
      <c r="K51" s="23"/>
      <c r="L51" s="23"/>
    </row>
    <row r="52" s="70" customFormat="1" ht="26.4" spans="1:12">
      <c r="A52" s="75"/>
      <c r="B52" s="76" t="s">
        <v>1363</v>
      </c>
      <c r="C52" s="76" t="s">
        <v>275</v>
      </c>
      <c r="D52" s="10" t="s">
        <v>1364</v>
      </c>
      <c r="E52" s="20"/>
      <c r="F52" s="19"/>
      <c r="G52" s="19"/>
      <c r="H52" s="20"/>
      <c r="I52" s="77"/>
      <c r="J52" s="23"/>
      <c r="K52" s="23"/>
      <c r="L52" s="23"/>
    </row>
    <row r="53" s="70" customFormat="1" ht="26.4" spans="1:12">
      <c r="A53" s="75"/>
      <c r="B53" s="76" t="s">
        <v>1365</v>
      </c>
      <c r="C53" s="76" t="s">
        <v>275</v>
      </c>
      <c r="D53" s="10" t="s">
        <v>1366</v>
      </c>
      <c r="E53" s="20"/>
      <c r="F53" s="19"/>
      <c r="G53" s="19"/>
      <c r="H53" s="20"/>
      <c r="I53" s="77"/>
      <c r="J53" s="23"/>
      <c r="K53" s="23"/>
      <c r="L53" s="23"/>
    </row>
    <row r="54" s="70" customFormat="1" ht="26.4" spans="1:12">
      <c r="A54" s="75"/>
      <c r="B54" s="76" t="s">
        <v>1367</v>
      </c>
      <c r="C54" s="76" t="s">
        <v>275</v>
      </c>
      <c r="D54" s="10" t="s">
        <v>1368</v>
      </c>
      <c r="E54" s="20"/>
      <c r="F54" s="19"/>
      <c r="G54" s="19"/>
      <c r="H54" s="20"/>
      <c r="I54" s="77"/>
      <c r="J54" s="23"/>
      <c r="K54" s="23"/>
      <c r="L54" s="23"/>
    </row>
    <row r="55" s="70" customFormat="1" ht="26.4" spans="1:12">
      <c r="A55" s="75"/>
      <c r="B55" s="76" t="s">
        <v>1369</v>
      </c>
      <c r="C55" s="76" t="s">
        <v>275</v>
      </c>
      <c r="D55" s="10" t="s">
        <v>1370</v>
      </c>
      <c r="E55" s="20"/>
      <c r="F55" s="19"/>
      <c r="G55" s="19"/>
      <c r="H55" s="20"/>
      <c r="I55" s="77"/>
      <c r="J55" s="23"/>
      <c r="K55" s="23"/>
      <c r="L55" s="23"/>
    </row>
    <row r="56" s="70" customFormat="1" ht="26.4" spans="1:12">
      <c r="A56" s="75"/>
      <c r="B56" s="76" t="s">
        <v>1371</v>
      </c>
      <c r="C56" s="76" t="s">
        <v>275</v>
      </c>
      <c r="D56" s="10" t="s">
        <v>1372</v>
      </c>
      <c r="E56" s="20"/>
      <c r="F56" s="19"/>
      <c r="G56" s="19"/>
      <c r="H56" s="20"/>
      <c r="I56" s="77"/>
      <c r="J56" s="23"/>
      <c r="K56" s="23"/>
      <c r="L56" s="23"/>
    </row>
    <row r="57" s="70" customFormat="1" ht="26.4" spans="1:12">
      <c r="A57" s="75"/>
      <c r="B57" s="76" t="s">
        <v>1373</v>
      </c>
      <c r="C57" s="76" t="s">
        <v>275</v>
      </c>
      <c r="D57" s="10" t="s">
        <v>1374</v>
      </c>
      <c r="E57" s="20"/>
      <c r="F57" s="19"/>
      <c r="G57" s="19"/>
      <c r="H57" s="20"/>
      <c r="I57" s="77"/>
      <c r="J57" s="23"/>
      <c r="K57" s="23"/>
      <c r="L57" s="23"/>
    </row>
    <row r="58" s="70" customFormat="1" ht="26.4" spans="1:12">
      <c r="A58" s="75"/>
      <c r="B58" s="76" t="s">
        <v>1375</v>
      </c>
      <c r="C58" s="76" t="s">
        <v>275</v>
      </c>
      <c r="D58" s="10" t="s">
        <v>1376</v>
      </c>
      <c r="E58" s="20"/>
      <c r="F58" s="19"/>
      <c r="G58" s="19"/>
      <c r="H58" s="20"/>
      <c r="I58" s="77"/>
      <c r="J58" s="23"/>
      <c r="K58" s="23"/>
      <c r="L58" s="23"/>
    </row>
    <row r="59" s="70" customFormat="1" ht="26.4" spans="1:12">
      <c r="A59" s="75"/>
      <c r="B59" s="76" t="s">
        <v>1377</v>
      </c>
      <c r="C59" s="76" t="s">
        <v>275</v>
      </c>
      <c r="D59" s="10" t="s">
        <v>1378</v>
      </c>
      <c r="E59" s="20"/>
      <c r="F59" s="19"/>
      <c r="G59" s="19"/>
      <c r="H59" s="20"/>
      <c r="I59" s="77"/>
      <c r="J59" s="23"/>
      <c r="K59" s="23"/>
      <c r="L59" s="23"/>
    </row>
    <row r="60" s="70" customFormat="1" spans="1:12">
      <c r="A60" s="75"/>
      <c r="B60" s="76" t="s">
        <v>1379</v>
      </c>
      <c r="C60" s="76" t="s">
        <v>275</v>
      </c>
      <c r="D60" s="10" t="s">
        <v>1380</v>
      </c>
      <c r="E60" s="20"/>
      <c r="F60" s="19"/>
      <c r="G60" s="19"/>
      <c r="H60" s="20"/>
      <c r="I60" s="77"/>
      <c r="J60" s="23"/>
      <c r="K60" s="23"/>
      <c r="L60" s="23"/>
    </row>
    <row r="61" s="3" customFormat="1" spans="2:12">
      <c r="B61" s="19" t="s">
        <v>1381</v>
      </c>
      <c r="C61" s="19" t="s">
        <v>275</v>
      </c>
      <c r="D61" s="10" t="s">
        <v>1382</v>
      </c>
      <c r="E61" s="20"/>
      <c r="F61" s="19"/>
      <c r="G61" s="19"/>
      <c r="H61" s="20"/>
      <c r="I61" s="23"/>
      <c r="J61" s="23"/>
      <c r="K61" s="23"/>
      <c r="L61" s="23"/>
    </row>
    <row r="62" spans="1:12">
      <c r="A62" s="4"/>
      <c r="B62" s="19" t="s">
        <v>1383</v>
      </c>
      <c r="C62" s="19" t="s">
        <v>275</v>
      </c>
      <c r="D62" s="10" t="s">
        <v>1384</v>
      </c>
      <c r="E62" s="20"/>
      <c r="F62" s="19"/>
      <c r="G62" s="19"/>
      <c r="H62" s="20"/>
      <c r="I62" s="23"/>
      <c r="J62" s="23"/>
      <c r="K62" s="23"/>
      <c r="L62" s="23"/>
    </row>
    <row r="63" spans="1:12">
      <c r="A63" s="4"/>
      <c r="B63" s="19" t="s">
        <v>1385</v>
      </c>
      <c r="C63" s="19" t="s">
        <v>275</v>
      </c>
      <c r="D63" s="10" t="s">
        <v>1386</v>
      </c>
      <c r="E63" s="20"/>
      <c r="F63" s="19"/>
      <c r="G63" s="19"/>
      <c r="H63" s="20"/>
      <c r="I63" s="23"/>
      <c r="J63" s="23"/>
      <c r="K63" s="23"/>
      <c r="L63" s="23"/>
    </row>
    <row r="64" spans="1:12">
      <c r="A64" s="4"/>
      <c r="B64" s="19" t="s">
        <v>1387</v>
      </c>
      <c r="C64" s="19" t="s">
        <v>275</v>
      </c>
      <c r="D64" s="10" t="s">
        <v>1388</v>
      </c>
      <c r="E64" s="20"/>
      <c r="F64" s="19"/>
      <c r="G64" s="19"/>
      <c r="H64" s="20"/>
      <c r="I64" s="23"/>
      <c r="J64" s="23"/>
      <c r="K64" s="23"/>
      <c r="L64" s="23"/>
    </row>
    <row r="65" spans="1:12">
      <c r="A65" s="4"/>
      <c r="B65" s="19" t="s">
        <v>1389</v>
      </c>
      <c r="C65" s="19" t="s">
        <v>275</v>
      </c>
      <c r="D65" s="10" t="s">
        <v>1390</v>
      </c>
      <c r="E65" s="20"/>
      <c r="F65" s="19"/>
      <c r="G65" s="19"/>
      <c r="H65" s="20"/>
      <c r="I65" s="23"/>
      <c r="J65" s="23"/>
      <c r="K65" s="23"/>
      <c r="L65" s="23"/>
    </row>
    <row r="66" s="1" customFormat="1" spans="1:12">
      <c r="A66" s="40"/>
      <c r="B66" s="19" t="s">
        <v>1391</v>
      </c>
      <c r="C66" s="19" t="s">
        <v>275</v>
      </c>
      <c r="D66" s="10" t="s">
        <v>1392</v>
      </c>
      <c r="E66" s="20"/>
      <c r="F66" s="19"/>
      <c r="G66" s="19"/>
      <c r="H66" s="20"/>
      <c r="I66" s="23"/>
      <c r="J66" s="23"/>
      <c r="K66" s="23"/>
      <c r="L66" s="23"/>
    </row>
    <row r="67" spans="1:12">
      <c r="A67" s="4"/>
      <c r="B67" s="19" t="s">
        <v>1393</v>
      </c>
      <c r="C67" s="19" t="s">
        <v>275</v>
      </c>
      <c r="D67" s="10" t="s">
        <v>1394</v>
      </c>
      <c r="E67" s="20"/>
      <c r="F67" s="19"/>
      <c r="G67" s="19"/>
      <c r="H67" s="20"/>
      <c r="I67" s="23"/>
      <c r="J67" s="23"/>
      <c r="K67" s="23"/>
      <c r="L67" s="23"/>
    </row>
    <row r="68" s="1" customFormat="1" spans="1:12">
      <c r="A68" s="40"/>
      <c r="B68" s="19" t="s">
        <v>1395</v>
      </c>
      <c r="C68" s="19" t="s">
        <v>275</v>
      </c>
      <c r="D68" s="10" t="s">
        <v>1396</v>
      </c>
      <c r="E68" s="20"/>
      <c r="F68" s="19"/>
      <c r="G68" s="19"/>
      <c r="H68" s="20"/>
      <c r="I68" s="23"/>
      <c r="J68" s="23"/>
      <c r="K68" s="23"/>
      <c r="L68" s="23"/>
    </row>
    <row r="69" s="1" customFormat="1" spans="1:12">
      <c r="A69" s="40"/>
      <c r="B69" s="19" t="s">
        <v>1397</v>
      </c>
      <c r="C69" s="19" t="s">
        <v>275</v>
      </c>
      <c r="D69" s="10" t="s">
        <v>1398</v>
      </c>
      <c r="E69" s="20"/>
      <c r="F69" s="19"/>
      <c r="G69" s="19"/>
      <c r="H69" s="20"/>
      <c r="I69" s="23"/>
      <c r="J69" s="23"/>
      <c r="K69" s="23"/>
      <c r="L69" s="23"/>
    </row>
    <row r="70" s="1" customFormat="1" spans="1:12">
      <c r="A70" s="40"/>
      <c r="B70" s="19" t="s">
        <v>1399</v>
      </c>
      <c r="C70" s="19" t="s">
        <v>275</v>
      </c>
      <c r="D70" s="10" t="s">
        <v>1400</v>
      </c>
      <c r="E70" s="20"/>
      <c r="F70" s="19"/>
      <c r="G70" s="19"/>
      <c r="H70" s="20"/>
      <c r="I70" s="23"/>
      <c r="J70" s="23"/>
      <c r="K70" s="23"/>
      <c r="L70" s="23"/>
    </row>
    <row r="71" s="1" customFormat="1" spans="1:12">
      <c r="A71" s="40"/>
      <c r="B71" s="19" t="s">
        <v>1401</v>
      </c>
      <c r="C71" s="19" t="s">
        <v>275</v>
      </c>
      <c r="D71" s="10" t="s">
        <v>1402</v>
      </c>
      <c r="E71" s="20"/>
      <c r="F71" s="19"/>
      <c r="G71" s="19"/>
      <c r="H71" s="20"/>
      <c r="I71" s="23"/>
      <c r="J71" s="23"/>
      <c r="K71" s="23"/>
      <c r="L71" s="23"/>
    </row>
    <row r="72" s="1" customFormat="1" spans="1:12">
      <c r="A72" s="40"/>
      <c r="B72" s="19" t="s">
        <v>1403</v>
      </c>
      <c r="C72" s="19" t="s">
        <v>275</v>
      </c>
      <c r="D72" s="10" t="s">
        <v>1404</v>
      </c>
      <c r="E72" s="20"/>
      <c r="F72" s="19"/>
      <c r="G72" s="19"/>
      <c r="H72" s="20"/>
      <c r="I72" s="23"/>
      <c r="J72" s="23"/>
      <c r="K72" s="23"/>
      <c r="L72" s="23"/>
    </row>
    <row r="73" s="1" customFormat="1" spans="1:12">
      <c r="A73" s="40"/>
      <c r="B73" s="19" t="s">
        <v>1405</v>
      </c>
      <c r="C73" s="19" t="s">
        <v>275</v>
      </c>
      <c r="D73" s="10" t="s">
        <v>1406</v>
      </c>
      <c r="E73" s="20"/>
      <c r="F73" s="19"/>
      <c r="G73" s="19"/>
      <c r="H73" s="20"/>
      <c r="I73" s="23"/>
      <c r="J73" s="23"/>
      <c r="K73" s="23"/>
      <c r="L73" s="23"/>
    </row>
    <row r="74" s="70" customFormat="1" spans="1:12">
      <c r="A74" s="75"/>
      <c r="B74" s="19" t="s">
        <v>1284</v>
      </c>
      <c r="C74" s="76" t="s">
        <v>275</v>
      </c>
      <c r="D74" s="10" t="s">
        <v>1285</v>
      </c>
      <c r="E74" s="20"/>
      <c r="F74" s="19"/>
      <c r="G74" s="19"/>
      <c r="H74" s="20"/>
      <c r="I74" s="77"/>
      <c r="J74" s="23"/>
      <c r="K74" s="23"/>
      <c r="L74" s="23"/>
    </row>
    <row r="75" s="70" customFormat="1" spans="1:12">
      <c r="A75" s="75"/>
      <c r="B75" s="76" t="s">
        <v>1407</v>
      </c>
      <c r="C75" s="76" t="s">
        <v>275</v>
      </c>
      <c r="D75" s="10" t="s">
        <v>1408</v>
      </c>
      <c r="E75" s="20"/>
      <c r="F75" s="19"/>
      <c r="G75" s="19"/>
      <c r="H75" s="20"/>
      <c r="I75" s="77"/>
      <c r="J75" s="23"/>
      <c r="K75" s="23"/>
      <c r="L75" s="23"/>
    </row>
    <row r="76" s="70" customFormat="1" spans="1:12">
      <c r="A76" s="75"/>
      <c r="B76" s="76" t="s">
        <v>1409</v>
      </c>
      <c r="C76" s="76" t="s">
        <v>275</v>
      </c>
      <c r="D76" s="10" t="s">
        <v>1410</v>
      </c>
      <c r="E76" s="20"/>
      <c r="F76" s="19"/>
      <c r="G76" s="19"/>
      <c r="H76" s="20"/>
      <c r="I76" s="77"/>
      <c r="J76" s="23"/>
      <c r="K76" s="23"/>
      <c r="L76" s="23"/>
    </row>
    <row r="77" s="70" customFormat="1" spans="1:12">
      <c r="A77" s="75"/>
      <c r="B77" s="76" t="s">
        <v>1411</v>
      </c>
      <c r="C77" s="76" t="s">
        <v>275</v>
      </c>
      <c r="D77" s="10" t="s">
        <v>1412</v>
      </c>
      <c r="E77" s="20"/>
      <c r="F77" s="19"/>
      <c r="G77" s="19"/>
      <c r="H77" s="20"/>
      <c r="I77" s="77"/>
      <c r="J77" s="23"/>
      <c r="K77" s="23"/>
      <c r="L77" s="23"/>
    </row>
    <row r="78" s="70" customFormat="1" ht="26.4" spans="1:12">
      <c r="A78" s="75"/>
      <c r="B78" s="76" t="s">
        <v>1413</v>
      </c>
      <c r="C78" s="76" t="s">
        <v>275</v>
      </c>
      <c r="D78" s="10" t="s">
        <v>1414</v>
      </c>
      <c r="E78" s="20"/>
      <c r="F78" s="19"/>
      <c r="G78" s="19"/>
      <c r="H78" s="20"/>
      <c r="I78" s="77"/>
      <c r="J78" s="23"/>
      <c r="K78" s="23"/>
      <c r="L78" s="23"/>
    </row>
    <row r="79" s="70" customFormat="1" spans="1:12">
      <c r="A79" s="75"/>
      <c r="B79" s="76" t="s">
        <v>1415</v>
      </c>
      <c r="C79" s="76" t="s">
        <v>275</v>
      </c>
      <c r="D79" s="10" t="s">
        <v>1416</v>
      </c>
      <c r="E79" s="20"/>
      <c r="F79" s="19"/>
      <c r="G79" s="19"/>
      <c r="H79" s="20"/>
      <c r="I79" s="77"/>
      <c r="J79" s="23"/>
      <c r="K79" s="23"/>
      <c r="L79" s="23"/>
    </row>
    <row r="80" s="70" customFormat="1" spans="1:12">
      <c r="A80" s="75"/>
      <c r="B80" s="76" t="s">
        <v>1417</v>
      </c>
      <c r="C80" s="76" t="s">
        <v>275</v>
      </c>
      <c r="D80" s="10" t="s">
        <v>1418</v>
      </c>
      <c r="E80" s="20"/>
      <c r="F80" s="19"/>
      <c r="G80" s="19"/>
      <c r="H80" s="20"/>
      <c r="I80" s="77"/>
      <c r="J80" s="23"/>
      <c r="K80" s="23"/>
      <c r="L80" s="23"/>
    </row>
    <row r="81" s="70" customFormat="1" spans="1:12">
      <c r="A81" s="75"/>
      <c r="B81" s="76" t="s">
        <v>1419</v>
      </c>
      <c r="C81" s="76" t="s">
        <v>275</v>
      </c>
      <c r="D81" s="10" t="s">
        <v>1420</v>
      </c>
      <c r="E81" s="20"/>
      <c r="F81" s="19"/>
      <c r="G81" s="19"/>
      <c r="H81" s="20"/>
      <c r="I81" s="77"/>
      <c r="J81" s="23"/>
      <c r="K81" s="23"/>
      <c r="L81" s="23"/>
    </row>
    <row r="82" s="70" customFormat="1" spans="1:12">
      <c r="A82" s="75"/>
      <c r="B82" s="76" t="s">
        <v>1274</v>
      </c>
      <c r="C82" s="76" t="s">
        <v>275</v>
      </c>
      <c r="D82" s="10" t="s">
        <v>1421</v>
      </c>
      <c r="E82" s="20"/>
      <c r="F82" s="19"/>
      <c r="G82" s="19"/>
      <c r="H82" s="20"/>
      <c r="I82" s="77"/>
      <c r="J82" s="23"/>
      <c r="K82" s="23"/>
      <c r="L82" s="23"/>
    </row>
    <row r="83" s="70" customFormat="1" spans="1:12">
      <c r="A83" s="75"/>
      <c r="B83" s="76" t="s">
        <v>1422</v>
      </c>
      <c r="C83" s="76" t="s">
        <v>275</v>
      </c>
      <c r="D83" s="10" t="s">
        <v>1283</v>
      </c>
      <c r="E83" s="20"/>
      <c r="F83" s="19"/>
      <c r="G83" s="19"/>
      <c r="H83" s="20"/>
      <c r="I83" s="77"/>
      <c r="J83" s="23"/>
      <c r="K83" s="23"/>
      <c r="L83" s="23"/>
    </row>
    <row r="84" s="70" customFormat="1" spans="1:12">
      <c r="A84" s="75"/>
      <c r="B84" s="76" t="s">
        <v>1280</v>
      </c>
      <c r="C84" s="76" t="s">
        <v>275</v>
      </c>
      <c r="D84" s="10" t="s">
        <v>1423</v>
      </c>
      <c r="E84" s="20"/>
      <c r="F84" s="19"/>
      <c r="G84" s="19"/>
      <c r="H84" s="20"/>
      <c r="I84" s="77"/>
      <c r="J84" s="23"/>
      <c r="K84" s="23"/>
      <c r="L84" s="23"/>
    </row>
    <row r="85" s="70" customFormat="1" spans="1:12">
      <c r="A85" s="75"/>
      <c r="B85" s="76" t="s">
        <v>1270</v>
      </c>
      <c r="C85" s="76" t="s">
        <v>275</v>
      </c>
      <c r="D85" s="10" t="s">
        <v>1271</v>
      </c>
      <c r="E85" s="20"/>
      <c r="F85" s="19"/>
      <c r="G85" s="19"/>
      <c r="H85" s="20"/>
      <c r="I85" s="77"/>
      <c r="J85" s="23"/>
      <c r="K85" s="23"/>
      <c r="L85" s="23"/>
    </row>
    <row r="86" s="70" customFormat="1" spans="1:12">
      <c r="A86" s="75"/>
      <c r="B86" s="76" t="s">
        <v>1424</v>
      </c>
      <c r="C86" s="76" t="s">
        <v>275</v>
      </c>
      <c r="D86" s="10" t="s">
        <v>1273</v>
      </c>
      <c r="E86" s="20"/>
      <c r="F86" s="19"/>
      <c r="G86" s="19"/>
      <c r="H86" s="20"/>
      <c r="I86" s="77"/>
      <c r="J86" s="23"/>
      <c r="K86" s="23"/>
      <c r="L86" s="23"/>
    </row>
    <row r="87" s="70" customFormat="1" spans="1:12">
      <c r="A87" s="75"/>
      <c r="B87" s="76" t="s">
        <v>1425</v>
      </c>
      <c r="C87" s="76" t="s">
        <v>275</v>
      </c>
      <c r="D87" s="10" t="s">
        <v>1426</v>
      </c>
      <c r="E87" s="20"/>
      <c r="F87" s="19"/>
      <c r="G87" s="19"/>
      <c r="H87" s="20"/>
      <c r="I87" s="77"/>
      <c r="J87" s="23"/>
      <c r="K87" s="23"/>
      <c r="L87" s="23"/>
    </row>
    <row r="88" s="70" customFormat="1" spans="1:12">
      <c r="A88" s="75"/>
      <c r="B88" s="76" t="s">
        <v>1427</v>
      </c>
      <c r="C88" s="76" t="s">
        <v>275</v>
      </c>
      <c r="D88" s="10" t="s">
        <v>1428</v>
      </c>
      <c r="E88" s="20"/>
      <c r="F88" s="19"/>
      <c r="G88" s="19"/>
      <c r="H88" s="20"/>
      <c r="I88" s="77"/>
      <c r="J88" s="23"/>
      <c r="K88" s="23"/>
      <c r="L88" s="23"/>
    </row>
    <row r="89" s="70" customFormat="1" spans="1:12">
      <c r="A89" s="75"/>
      <c r="B89" s="76" t="s">
        <v>1429</v>
      </c>
      <c r="C89" s="76" t="s">
        <v>275</v>
      </c>
      <c r="D89" s="10" t="s">
        <v>1430</v>
      </c>
      <c r="E89" s="20"/>
      <c r="F89" s="19"/>
      <c r="G89" s="19"/>
      <c r="H89" s="20"/>
      <c r="I89" s="77"/>
      <c r="J89" s="23"/>
      <c r="K89" s="23"/>
      <c r="L89" s="23"/>
    </row>
    <row r="90" s="70" customFormat="1" ht="26.4" spans="1:12">
      <c r="A90" s="75"/>
      <c r="B90" s="76" t="s">
        <v>1431</v>
      </c>
      <c r="C90" s="76" t="s">
        <v>275</v>
      </c>
      <c r="D90" s="10" t="s">
        <v>1432</v>
      </c>
      <c r="E90" s="20"/>
      <c r="F90" s="19"/>
      <c r="G90" s="19"/>
      <c r="H90" s="20"/>
      <c r="I90" s="77"/>
      <c r="J90" s="23"/>
      <c r="K90" s="23"/>
      <c r="L90" s="23"/>
    </row>
    <row r="91" s="70" customFormat="1" spans="1:12">
      <c r="A91" s="75"/>
      <c r="B91" s="76" t="s">
        <v>1433</v>
      </c>
      <c r="C91" s="76" t="s">
        <v>275</v>
      </c>
      <c r="D91" s="10" t="s">
        <v>1434</v>
      </c>
      <c r="E91" s="20"/>
      <c r="F91" s="19"/>
      <c r="G91" s="19"/>
      <c r="H91" s="20"/>
      <c r="I91" s="77"/>
      <c r="J91" s="23"/>
      <c r="K91" s="23"/>
      <c r="L91" s="23"/>
    </row>
    <row r="92" s="70" customFormat="1" spans="1:12">
      <c r="A92" s="75"/>
      <c r="B92" s="76" t="s">
        <v>1435</v>
      </c>
      <c r="C92" s="76" t="s">
        <v>275</v>
      </c>
      <c r="D92" s="10" t="s">
        <v>1436</v>
      </c>
      <c r="E92" s="20"/>
      <c r="F92" s="19"/>
      <c r="G92" s="19"/>
      <c r="H92" s="20"/>
      <c r="I92" s="77"/>
      <c r="J92" s="23"/>
      <c r="K92" s="23"/>
      <c r="L92" s="23"/>
    </row>
    <row r="93" s="70" customFormat="1" spans="1:12">
      <c r="A93" s="75"/>
      <c r="B93" s="76" t="s">
        <v>1437</v>
      </c>
      <c r="C93" s="76" t="s">
        <v>275</v>
      </c>
      <c r="D93" s="10" t="s">
        <v>1438</v>
      </c>
      <c r="E93" s="20"/>
      <c r="F93" s="19"/>
      <c r="G93" s="19"/>
      <c r="H93" s="20"/>
      <c r="I93" s="77"/>
      <c r="J93" s="23"/>
      <c r="K93" s="23"/>
      <c r="L93" s="23"/>
    </row>
    <row r="94" s="70" customFormat="1" spans="1:12">
      <c r="A94" s="75"/>
      <c r="B94" s="76" t="s">
        <v>1439</v>
      </c>
      <c r="C94" s="76" t="s">
        <v>275</v>
      </c>
      <c r="D94" s="10" t="s">
        <v>1440</v>
      </c>
      <c r="E94" s="20"/>
      <c r="F94" s="19"/>
      <c r="G94" s="19"/>
      <c r="H94" s="20"/>
      <c r="I94" s="77"/>
      <c r="J94" s="23"/>
      <c r="K94" s="23"/>
      <c r="L94" s="23"/>
    </row>
    <row r="95" s="70" customFormat="1" spans="1:12">
      <c r="A95" s="75"/>
      <c r="B95" s="76" t="s">
        <v>1441</v>
      </c>
      <c r="C95" s="76" t="s">
        <v>275</v>
      </c>
      <c r="D95" s="10" t="s">
        <v>1442</v>
      </c>
      <c r="E95" s="20"/>
      <c r="F95" s="19"/>
      <c r="G95" s="19"/>
      <c r="H95" s="20"/>
      <c r="I95" s="77"/>
      <c r="J95" s="23"/>
      <c r="K95" s="23"/>
      <c r="L95" s="23"/>
    </row>
    <row r="96" s="70" customFormat="1" spans="1:12">
      <c r="A96" s="75"/>
      <c r="B96" s="76" t="s">
        <v>1443</v>
      </c>
      <c r="C96" s="76" t="s">
        <v>275</v>
      </c>
      <c r="D96" s="10" t="s">
        <v>1444</v>
      </c>
      <c r="E96" s="20"/>
      <c r="F96" s="19"/>
      <c r="G96" s="19"/>
      <c r="H96" s="20"/>
      <c r="I96" s="77"/>
      <c r="J96" s="23"/>
      <c r="K96" s="23"/>
      <c r="L96" s="23"/>
    </row>
    <row r="97" s="70" customFormat="1" spans="1:12">
      <c r="A97" s="75"/>
      <c r="B97" s="76" t="s">
        <v>1445</v>
      </c>
      <c r="C97" s="76" t="s">
        <v>275</v>
      </c>
      <c r="D97" s="10" t="s">
        <v>1446</v>
      </c>
      <c r="E97" s="20"/>
      <c r="F97" s="19"/>
      <c r="G97" s="19"/>
      <c r="H97" s="20"/>
      <c r="I97" s="77"/>
      <c r="J97" s="23"/>
      <c r="K97" s="23"/>
      <c r="L97" s="23"/>
    </row>
    <row r="98" s="70" customFormat="1" spans="1:12">
      <c r="A98" s="75"/>
      <c r="B98" s="76" t="s">
        <v>1447</v>
      </c>
      <c r="C98" s="76" t="s">
        <v>275</v>
      </c>
      <c r="D98" s="10" t="s">
        <v>1448</v>
      </c>
      <c r="E98" s="20"/>
      <c r="F98" s="19"/>
      <c r="G98" s="19"/>
      <c r="H98" s="20"/>
      <c r="I98" s="77"/>
      <c r="J98" s="23"/>
      <c r="K98" s="23"/>
      <c r="L98" s="23"/>
    </row>
    <row r="99" s="70" customFormat="1" spans="1:12">
      <c r="A99" s="75"/>
      <c r="B99" s="76" t="s">
        <v>1449</v>
      </c>
      <c r="C99" s="76" t="s">
        <v>275</v>
      </c>
      <c r="D99" s="10" t="s">
        <v>1450</v>
      </c>
      <c r="E99" s="20"/>
      <c r="F99" s="19"/>
      <c r="G99" s="19"/>
      <c r="H99" s="20"/>
      <c r="I99" s="77"/>
      <c r="J99" s="23"/>
      <c r="K99" s="23"/>
      <c r="L99" s="23"/>
    </row>
    <row r="100" s="70" customFormat="1" spans="1:12">
      <c r="A100" s="75"/>
      <c r="B100" s="76" t="s">
        <v>1451</v>
      </c>
      <c r="C100" s="76" t="s">
        <v>275</v>
      </c>
      <c r="D100" s="10" t="s">
        <v>1452</v>
      </c>
      <c r="E100" s="20"/>
      <c r="F100" s="19"/>
      <c r="G100" s="19"/>
      <c r="H100" s="20"/>
      <c r="I100" s="77"/>
      <c r="J100" s="23"/>
      <c r="K100" s="23"/>
      <c r="L100" s="23"/>
    </row>
    <row r="101" s="70" customFormat="1" spans="1:12">
      <c r="A101" s="75"/>
      <c r="B101" s="76" t="s">
        <v>1453</v>
      </c>
      <c r="C101" s="76" t="s">
        <v>275</v>
      </c>
      <c r="D101" s="10" t="s">
        <v>1454</v>
      </c>
      <c r="E101" s="20"/>
      <c r="F101" s="19"/>
      <c r="G101" s="19"/>
      <c r="H101" s="20"/>
      <c r="I101" s="77"/>
      <c r="J101" s="23"/>
      <c r="K101" s="23"/>
      <c r="L101" s="23"/>
    </row>
    <row r="102" s="70" customFormat="1" spans="1:12">
      <c r="A102" s="75"/>
      <c r="B102" s="76" t="s">
        <v>1455</v>
      </c>
      <c r="C102" s="76" t="s">
        <v>275</v>
      </c>
      <c r="D102" s="10" t="s">
        <v>1456</v>
      </c>
      <c r="E102" s="20"/>
      <c r="F102" s="19"/>
      <c r="G102" s="19"/>
      <c r="H102" s="20"/>
      <c r="I102" s="77"/>
      <c r="J102" s="23"/>
      <c r="K102" s="23"/>
      <c r="L102" s="23"/>
    </row>
    <row r="103" s="70" customFormat="1" spans="1:12">
      <c r="A103" s="75"/>
      <c r="B103" s="76" t="s">
        <v>1457</v>
      </c>
      <c r="C103" s="76" t="s">
        <v>275</v>
      </c>
      <c r="D103" s="10" t="s">
        <v>1458</v>
      </c>
      <c r="E103" s="20"/>
      <c r="F103" s="19"/>
      <c r="G103" s="19"/>
      <c r="H103" s="20"/>
      <c r="I103" s="77"/>
      <c r="J103" s="23"/>
      <c r="K103" s="23"/>
      <c r="L103" s="23"/>
    </row>
    <row r="104" s="70" customFormat="1" spans="1:12">
      <c r="A104" s="75"/>
      <c r="B104" s="76" t="s">
        <v>1459</v>
      </c>
      <c r="C104" s="76" t="s">
        <v>275</v>
      </c>
      <c r="D104" s="10" t="s">
        <v>1460</v>
      </c>
      <c r="E104" s="20"/>
      <c r="F104" s="19"/>
      <c r="G104" s="19"/>
      <c r="H104" s="20"/>
      <c r="I104" s="77"/>
      <c r="J104" s="23"/>
      <c r="K104" s="23"/>
      <c r="L104" s="23"/>
    </row>
    <row r="105" s="70" customFormat="1" spans="1:12">
      <c r="A105" s="75"/>
      <c r="B105" s="76" t="s">
        <v>1461</v>
      </c>
      <c r="C105" s="76" t="s">
        <v>275</v>
      </c>
      <c r="D105" s="10" t="s">
        <v>1462</v>
      </c>
      <c r="E105" s="20"/>
      <c r="F105" s="19"/>
      <c r="G105" s="19"/>
      <c r="H105" s="20"/>
      <c r="I105" s="77"/>
      <c r="J105" s="23"/>
      <c r="K105" s="23"/>
      <c r="L105" s="23"/>
    </row>
    <row r="106" s="70" customFormat="1" spans="1:12">
      <c r="A106" s="75"/>
      <c r="B106" s="76" t="s">
        <v>1463</v>
      </c>
      <c r="C106" s="76" t="s">
        <v>275</v>
      </c>
      <c r="D106" s="10" t="s">
        <v>1464</v>
      </c>
      <c r="E106" s="20"/>
      <c r="F106" s="19"/>
      <c r="G106" s="19"/>
      <c r="H106" s="20"/>
      <c r="I106" s="77"/>
      <c r="J106" s="23"/>
      <c r="K106" s="23"/>
      <c r="L106" s="23"/>
    </row>
    <row r="107" s="70" customFormat="1" ht="26.4" spans="1:12">
      <c r="A107" s="75"/>
      <c r="B107" s="76" t="s">
        <v>1465</v>
      </c>
      <c r="C107" s="76" t="s">
        <v>275</v>
      </c>
      <c r="D107" s="10" t="s">
        <v>1466</v>
      </c>
      <c r="E107" s="20"/>
      <c r="F107" s="19"/>
      <c r="G107" s="19"/>
      <c r="H107" s="20"/>
      <c r="I107" s="77"/>
      <c r="J107" s="23"/>
      <c r="K107" s="23"/>
      <c r="L107" s="23"/>
    </row>
    <row r="108" s="70" customFormat="1" ht="26.4" spans="1:12">
      <c r="A108" s="75"/>
      <c r="B108" s="76" t="s">
        <v>1467</v>
      </c>
      <c r="C108" s="76" t="s">
        <v>275</v>
      </c>
      <c r="D108" s="10" t="s">
        <v>1468</v>
      </c>
      <c r="E108" s="20"/>
      <c r="F108" s="19"/>
      <c r="G108" s="19"/>
      <c r="H108" s="20"/>
      <c r="I108" s="77"/>
      <c r="J108" s="23"/>
      <c r="K108" s="23"/>
      <c r="L108" s="23"/>
    </row>
    <row r="109" s="70" customFormat="1" ht="26.4" spans="1:12">
      <c r="A109" s="75"/>
      <c r="B109" s="76" t="s">
        <v>1469</v>
      </c>
      <c r="C109" s="76" t="s">
        <v>275</v>
      </c>
      <c r="D109" s="10" t="s">
        <v>1470</v>
      </c>
      <c r="E109" s="20"/>
      <c r="F109" s="19"/>
      <c r="G109" s="19"/>
      <c r="H109" s="20"/>
      <c r="I109" s="77"/>
      <c r="J109" s="23"/>
      <c r="K109" s="23"/>
      <c r="L109" s="23"/>
    </row>
    <row r="110" s="70" customFormat="1" ht="26.4" spans="1:12">
      <c r="A110" s="75"/>
      <c r="B110" s="76" t="s">
        <v>1471</v>
      </c>
      <c r="C110" s="76" t="s">
        <v>275</v>
      </c>
      <c r="D110" s="10" t="s">
        <v>1472</v>
      </c>
      <c r="E110" s="20"/>
      <c r="F110" s="19"/>
      <c r="G110" s="19"/>
      <c r="H110" s="20"/>
      <c r="I110" s="77"/>
      <c r="J110" s="23"/>
      <c r="K110" s="23"/>
      <c r="L110" s="23"/>
    </row>
    <row r="111" s="70" customFormat="1" ht="26.4" spans="1:12">
      <c r="A111" s="75"/>
      <c r="B111" s="76" t="s">
        <v>1473</v>
      </c>
      <c r="C111" s="76" t="s">
        <v>275</v>
      </c>
      <c r="D111" s="10" t="s">
        <v>1474</v>
      </c>
      <c r="E111" s="20"/>
      <c r="F111" s="19"/>
      <c r="G111" s="19"/>
      <c r="H111" s="20"/>
      <c r="I111" s="77"/>
      <c r="J111" s="23"/>
      <c r="K111" s="23"/>
      <c r="L111" s="23"/>
    </row>
    <row r="112" s="70" customFormat="1" spans="1:12">
      <c r="A112" s="75"/>
      <c r="B112" s="76" t="s">
        <v>1475</v>
      </c>
      <c r="C112" s="76" t="s">
        <v>275</v>
      </c>
      <c r="D112" s="10" t="s">
        <v>1476</v>
      </c>
      <c r="E112" s="20"/>
      <c r="F112" s="19"/>
      <c r="G112" s="19"/>
      <c r="H112" s="20"/>
      <c r="I112" s="77"/>
      <c r="J112" s="23"/>
      <c r="K112" s="23"/>
      <c r="L112" s="23"/>
    </row>
    <row r="113" s="70" customFormat="1" spans="1:21">
      <c r="A113" s="75"/>
      <c r="B113" s="76" t="s">
        <v>1477</v>
      </c>
      <c r="C113" s="76" t="s">
        <v>275</v>
      </c>
      <c r="D113" s="10" t="s">
        <v>1478</v>
      </c>
      <c r="E113" s="20"/>
      <c r="F113" s="19"/>
      <c r="G113" s="19"/>
      <c r="H113" s="20"/>
      <c r="I113" s="77"/>
      <c r="J113" s="23"/>
      <c r="K113" s="23"/>
      <c r="L113" s="23"/>
      <c r="P113" s="70" t="s">
        <v>1234</v>
      </c>
      <c r="S113" s="70" t="s">
        <v>1211</v>
      </c>
      <c r="T113" s="70" t="s">
        <v>155</v>
      </c>
      <c r="U113" s="70" t="s">
        <v>235</v>
      </c>
    </row>
    <row r="114" s="70" customFormat="1" spans="1:21">
      <c r="A114" s="75"/>
      <c r="B114" s="76" t="s">
        <v>1479</v>
      </c>
      <c r="C114" s="76" t="s">
        <v>275</v>
      </c>
      <c r="D114" s="10" t="s">
        <v>1480</v>
      </c>
      <c r="E114" s="20"/>
      <c r="F114" s="19"/>
      <c r="G114" s="19"/>
      <c r="H114" s="20"/>
      <c r="I114" s="77"/>
      <c r="J114" s="23"/>
      <c r="K114" s="23"/>
      <c r="L114" s="23"/>
      <c r="P114" s="70" t="s">
        <v>1237</v>
      </c>
      <c r="S114" s="70" t="s">
        <v>1211</v>
      </c>
      <c r="T114" s="70" t="s">
        <v>155</v>
      </c>
      <c r="U114" s="70" t="s">
        <v>235</v>
      </c>
    </row>
    <row r="115" s="70" customFormat="1" spans="1:21">
      <c r="A115" s="75"/>
      <c r="B115" s="76" t="s">
        <v>1481</v>
      </c>
      <c r="C115" s="76" t="s">
        <v>275</v>
      </c>
      <c r="D115" s="10" t="s">
        <v>1482</v>
      </c>
      <c r="E115" s="20"/>
      <c r="F115" s="19"/>
      <c r="G115" s="19"/>
      <c r="H115" s="20"/>
      <c r="I115" s="77"/>
      <c r="J115" s="23"/>
      <c r="K115" s="23"/>
      <c r="L115" s="23"/>
      <c r="P115" s="70" t="s">
        <v>1240</v>
      </c>
      <c r="S115" s="70" t="s">
        <v>1211</v>
      </c>
      <c r="T115" s="70" t="s">
        <v>155</v>
      </c>
      <c r="U115" s="70" t="s">
        <v>235</v>
      </c>
    </row>
    <row r="116" s="70" customFormat="1" spans="1:12">
      <c r="A116" s="75"/>
      <c r="B116" s="76" t="s">
        <v>1483</v>
      </c>
      <c r="C116" s="76" t="s">
        <v>275</v>
      </c>
      <c r="D116" s="10" t="s">
        <v>1484</v>
      </c>
      <c r="E116" s="20"/>
      <c r="F116" s="19"/>
      <c r="G116" s="19"/>
      <c r="H116" s="20"/>
      <c r="I116" s="77"/>
      <c r="J116" s="23"/>
      <c r="K116" s="23"/>
      <c r="L116" s="23"/>
    </row>
    <row r="117" s="70" customFormat="1" spans="1:21">
      <c r="A117" s="75"/>
      <c r="B117" s="76" t="s">
        <v>1485</v>
      </c>
      <c r="C117" s="76" t="s">
        <v>275</v>
      </c>
      <c r="D117" s="10" t="s">
        <v>1486</v>
      </c>
      <c r="E117" s="20"/>
      <c r="F117" s="19"/>
      <c r="G117" s="19"/>
      <c r="H117" s="20"/>
      <c r="I117" s="77"/>
      <c r="J117" s="23"/>
      <c r="K117" s="23"/>
      <c r="L117" s="23"/>
      <c r="P117" s="70" t="s">
        <v>1245</v>
      </c>
      <c r="S117" s="70" t="s">
        <v>1211</v>
      </c>
      <c r="T117" s="70" t="s">
        <v>155</v>
      </c>
      <c r="U117" s="70" t="s">
        <v>235</v>
      </c>
    </row>
    <row r="118" s="70" customFormat="1" spans="1:12">
      <c r="A118" s="75"/>
      <c r="B118" s="76" t="s">
        <v>1487</v>
      </c>
      <c r="C118" s="76" t="s">
        <v>275</v>
      </c>
      <c r="D118" s="10" t="s">
        <v>1488</v>
      </c>
      <c r="E118" s="20"/>
      <c r="F118" s="19"/>
      <c r="G118" s="19"/>
      <c r="H118" s="20"/>
      <c r="I118" s="77"/>
      <c r="J118" s="23"/>
      <c r="K118" s="23"/>
      <c r="L118" s="23"/>
    </row>
    <row r="119" s="70" customFormat="1" spans="1:12">
      <c r="A119" s="75"/>
      <c r="B119" s="76" t="s">
        <v>1489</v>
      </c>
      <c r="C119" s="76" t="s">
        <v>275</v>
      </c>
      <c r="D119" s="10" t="s">
        <v>1490</v>
      </c>
      <c r="E119" s="20"/>
      <c r="F119" s="19"/>
      <c r="G119" s="19"/>
      <c r="H119" s="20"/>
      <c r="I119" s="77"/>
      <c r="J119" s="23"/>
      <c r="K119" s="23"/>
      <c r="L119" s="23"/>
    </row>
    <row r="120" s="70" customFormat="1" spans="1:12">
      <c r="A120" s="75"/>
      <c r="B120" s="76" t="s">
        <v>1491</v>
      </c>
      <c r="C120" s="76" t="s">
        <v>275</v>
      </c>
      <c r="D120" s="10" t="s">
        <v>1492</v>
      </c>
      <c r="E120" s="20"/>
      <c r="F120" s="19"/>
      <c r="G120" s="19"/>
      <c r="H120" s="20"/>
      <c r="I120" s="77"/>
      <c r="J120" s="23"/>
      <c r="K120" s="23"/>
      <c r="L120" s="23"/>
    </row>
    <row r="121" s="70" customFormat="1" spans="1:12">
      <c r="A121" s="75"/>
      <c r="B121" s="76" t="s">
        <v>1493</v>
      </c>
      <c r="C121" s="76" t="s">
        <v>275</v>
      </c>
      <c r="D121" s="10" t="s">
        <v>1494</v>
      </c>
      <c r="E121" s="20"/>
      <c r="F121" s="19"/>
      <c r="G121" s="19"/>
      <c r="H121" s="20"/>
      <c r="I121" s="77"/>
      <c r="J121" s="23"/>
      <c r="K121" s="23"/>
      <c r="L121" s="23"/>
    </row>
    <row r="122" s="70" customFormat="1" spans="1:12">
      <c r="A122" s="75"/>
      <c r="B122" s="76" t="s">
        <v>1495</v>
      </c>
      <c r="C122" s="76" t="s">
        <v>275</v>
      </c>
      <c r="D122" s="10" t="s">
        <v>1496</v>
      </c>
      <c r="E122" s="20"/>
      <c r="F122" s="19"/>
      <c r="G122" s="19"/>
      <c r="H122" s="20"/>
      <c r="I122" s="77"/>
      <c r="J122" s="23"/>
      <c r="K122" s="23"/>
      <c r="L122" s="23"/>
    </row>
    <row r="123" s="70" customFormat="1" spans="1:12">
      <c r="A123" s="75"/>
      <c r="B123" s="76" t="s">
        <v>1497</v>
      </c>
      <c r="C123" s="76" t="s">
        <v>275</v>
      </c>
      <c r="D123" s="10" t="s">
        <v>1498</v>
      </c>
      <c r="E123" s="20"/>
      <c r="F123" s="19"/>
      <c r="G123" s="19"/>
      <c r="H123" s="20"/>
      <c r="I123" s="77"/>
      <c r="J123" s="23"/>
      <c r="K123" s="23"/>
      <c r="L123" s="23"/>
    </row>
    <row r="124" s="70" customFormat="1" ht="26.4" spans="1:12">
      <c r="A124" s="75"/>
      <c r="B124" s="76" t="s">
        <v>1499</v>
      </c>
      <c r="C124" s="76" t="s">
        <v>275</v>
      </c>
      <c r="D124" s="10" t="s">
        <v>1500</v>
      </c>
      <c r="E124" s="20"/>
      <c r="F124" s="19"/>
      <c r="G124" s="19"/>
      <c r="H124" s="20"/>
      <c r="I124" s="77"/>
      <c r="J124" s="23"/>
      <c r="K124" s="23"/>
      <c r="L124" s="23"/>
    </row>
    <row r="125" s="70" customFormat="1" ht="26.4" spans="1:12">
      <c r="A125" s="75"/>
      <c r="B125" s="76" t="s">
        <v>1501</v>
      </c>
      <c r="C125" s="76" t="s">
        <v>275</v>
      </c>
      <c r="D125" s="10" t="s">
        <v>1502</v>
      </c>
      <c r="E125" s="20"/>
      <c r="F125" s="19"/>
      <c r="G125" s="19"/>
      <c r="H125" s="20"/>
      <c r="I125" s="77"/>
      <c r="J125" s="23"/>
      <c r="K125" s="23"/>
      <c r="L125" s="23"/>
    </row>
    <row r="126" s="70" customFormat="1" ht="26.4" spans="1:12">
      <c r="A126" s="75"/>
      <c r="B126" s="76" t="s">
        <v>1503</v>
      </c>
      <c r="C126" s="76" t="s">
        <v>275</v>
      </c>
      <c r="D126" s="10" t="s">
        <v>1504</v>
      </c>
      <c r="E126" s="20"/>
      <c r="F126" s="19"/>
      <c r="G126" s="19"/>
      <c r="H126" s="20"/>
      <c r="I126" s="77"/>
      <c r="J126" s="23"/>
      <c r="K126" s="23"/>
      <c r="L126" s="23"/>
    </row>
    <row r="127" s="70" customFormat="1" ht="26.4" spans="1:12">
      <c r="A127" s="75"/>
      <c r="B127" s="76" t="s">
        <v>1505</v>
      </c>
      <c r="C127" s="76" t="s">
        <v>275</v>
      </c>
      <c r="D127" s="10" t="s">
        <v>1506</v>
      </c>
      <c r="E127" s="20"/>
      <c r="F127" s="19"/>
      <c r="G127" s="19"/>
      <c r="H127" s="20"/>
      <c r="I127" s="77"/>
      <c r="J127" s="23"/>
      <c r="K127" s="23"/>
      <c r="L127" s="23"/>
    </row>
    <row r="128" s="70" customFormat="1" ht="26.4" spans="1:12">
      <c r="A128" s="75"/>
      <c r="B128" s="76" t="s">
        <v>1507</v>
      </c>
      <c r="C128" s="76" t="s">
        <v>275</v>
      </c>
      <c r="D128" s="10" t="s">
        <v>1508</v>
      </c>
      <c r="E128" s="20"/>
      <c r="F128" s="19"/>
      <c r="G128" s="19"/>
      <c r="H128" s="20"/>
      <c r="I128" s="77"/>
      <c r="J128" s="23"/>
      <c r="K128" s="23"/>
      <c r="L128" s="23"/>
    </row>
    <row r="129" s="70" customFormat="1" ht="26.4" spans="1:12">
      <c r="A129" s="75"/>
      <c r="B129" s="76" t="s">
        <v>1509</v>
      </c>
      <c r="C129" s="76" t="s">
        <v>275</v>
      </c>
      <c r="D129" s="10" t="s">
        <v>1510</v>
      </c>
      <c r="E129" s="20"/>
      <c r="F129" s="19"/>
      <c r="G129" s="19"/>
      <c r="H129" s="20"/>
      <c r="I129" s="77"/>
      <c r="J129" s="23"/>
      <c r="K129" s="23"/>
      <c r="L129" s="23"/>
    </row>
    <row r="130" s="70" customFormat="1" ht="26.4" spans="1:12">
      <c r="A130" s="75"/>
      <c r="B130" s="76" t="s">
        <v>1511</v>
      </c>
      <c r="C130" s="76" t="s">
        <v>275</v>
      </c>
      <c r="D130" s="10" t="s">
        <v>1512</v>
      </c>
      <c r="E130" s="20"/>
      <c r="F130" s="19"/>
      <c r="G130" s="19"/>
      <c r="H130" s="20"/>
      <c r="I130" s="77"/>
      <c r="J130" s="23"/>
      <c r="K130" s="23"/>
      <c r="L130" s="23"/>
    </row>
    <row r="131" s="70" customFormat="1" ht="26.4" spans="1:12">
      <c r="A131" s="75"/>
      <c r="B131" s="76" t="s">
        <v>1513</v>
      </c>
      <c r="C131" s="76" t="s">
        <v>275</v>
      </c>
      <c r="D131" s="10" t="s">
        <v>1514</v>
      </c>
      <c r="E131" s="20"/>
      <c r="F131" s="19"/>
      <c r="G131" s="19"/>
      <c r="H131" s="20"/>
      <c r="I131" s="77"/>
      <c r="J131" s="23"/>
      <c r="K131" s="23"/>
      <c r="L131" s="23"/>
    </row>
    <row r="132" s="70" customFormat="1" ht="26.4" spans="1:12">
      <c r="A132" s="75"/>
      <c r="B132" s="76" t="s">
        <v>1515</v>
      </c>
      <c r="C132" s="76" t="s">
        <v>275</v>
      </c>
      <c r="D132" s="10" t="s">
        <v>1516</v>
      </c>
      <c r="E132" s="20"/>
      <c r="F132" s="19"/>
      <c r="G132" s="19"/>
      <c r="H132" s="20"/>
      <c r="I132" s="77"/>
      <c r="J132" s="23"/>
      <c r="K132" s="23"/>
      <c r="L132" s="23"/>
    </row>
    <row r="133" s="70" customFormat="1" ht="26.4" spans="1:12">
      <c r="A133" s="75"/>
      <c r="B133" s="76" t="s">
        <v>1517</v>
      </c>
      <c r="C133" s="76" t="s">
        <v>275</v>
      </c>
      <c r="D133" s="10" t="s">
        <v>1518</v>
      </c>
      <c r="E133" s="20"/>
      <c r="F133" s="19"/>
      <c r="G133" s="19"/>
      <c r="H133" s="20"/>
      <c r="I133" s="77"/>
      <c r="J133" s="23"/>
      <c r="K133" s="23"/>
      <c r="L133" s="23"/>
    </row>
    <row r="134" s="70" customFormat="1" ht="26.4" spans="1:12">
      <c r="A134" s="75"/>
      <c r="B134" s="76" t="s">
        <v>1519</v>
      </c>
      <c r="C134" s="76" t="s">
        <v>275</v>
      </c>
      <c r="D134" s="10" t="s">
        <v>1520</v>
      </c>
      <c r="E134" s="20"/>
      <c r="F134" s="19"/>
      <c r="G134" s="19"/>
      <c r="H134" s="20"/>
      <c r="I134" s="77"/>
      <c r="J134" s="23"/>
      <c r="K134" s="23"/>
      <c r="L134" s="23"/>
    </row>
    <row r="135" s="70" customFormat="1" ht="26.4" spans="1:12">
      <c r="A135" s="75"/>
      <c r="B135" s="76" t="s">
        <v>1521</v>
      </c>
      <c r="C135" s="76" t="s">
        <v>275</v>
      </c>
      <c r="D135" s="10" t="s">
        <v>1522</v>
      </c>
      <c r="E135" s="20"/>
      <c r="F135" s="19"/>
      <c r="G135" s="19"/>
      <c r="H135" s="20"/>
      <c r="I135" s="77"/>
      <c r="J135" s="23"/>
      <c r="K135" s="23"/>
      <c r="L135" s="23"/>
    </row>
    <row r="136" s="70" customFormat="1" spans="1:12">
      <c r="A136" s="75"/>
      <c r="B136" s="76" t="s">
        <v>1523</v>
      </c>
      <c r="C136" s="76" t="s">
        <v>275</v>
      </c>
      <c r="D136" s="10" t="s">
        <v>1524</v>
      </c>
      <c r="E136" s="20"/>
      <c r="F136" s="19"/>
      <c r="G136" s="19"/>
      <c r="H136" s="20"/>
      <c r="I136" s="77"/>
      <c r="J136" s="23"/>
      <c r="K136" s="23"/>
      <c r="L136" s="23"/>
    </row>
    <row r="137" s="70" customFormat="1" spans="1:12">
      <c r="A137" s="75"/>
      <c r="B137" s="76" t="s">
        <v>1525</v>
      </c>
      <c r="C137" s="76" t="s">
        <v>275</v>
      </c>
      <c r="D137" s="10" t="s">
        <v>1526</v>
      </c>
      <c r="E137" s="20"/>
      <c r="F137" s="19"/>
      <c r="G137" s="19"/>
      <c r="H137" s="20"/>
      <c r="I137" s="77"/>
      <c r="J137" s="23"/>
      <c r="K137" s="23"/>
      <c r="L137" s="23"/>
    </row>
    <row r="138" s="70" customFormat="1" spans="1:12">
      <c r="A138" s="75"/>
      <c r="B138" s="76" t="s">
        <v>1527</v>
      </c>
      <c r="C138" s="76" t="s">
        <v>275</v>
      </c>
      <c r="D138" s="10" t="s">
        <v>1528</v>
      </c>
      <c r="E138" s="20"/>
      <c r="F138" s="19"/>
      <c r="G138" s="19"/>
      <c r="H138" s="20"/>
      <c r="I138" s="77"/>
      <c r="J138" s="23"/>
      <c r="K138" s="23"/>
      <c r="L138" s="23"/>
    </row>
    <row r="139" s="70" customFormat="1" spans="1:12">
      <c r="A139" s="75"/>
      <c r="B139" s="76" t="s">
        <v>1529</v>
      </c>
      <c r="C139" s="76" t="s">
        <v>275</v>
      </c>
      <c r="D139" s="10" t="s">
        <v>1530</v>
      </c>
      <c r="E139" s="20"/>
      <c r="F139" s="19"/>
      <c r="G139" s="19"/>
      <c r="H139" s="20"/>
      <c r="I139" s="77"/>
      <c r="J139" s="23"/>
      <c r="K139" s="23"/>
      <c r="L139" s="23"/>
    </row>
    <row r="140" s="70" customFormat="1" spans="1:12">
      <c r="A140" s="75"/>
      <c r="B140" s="76" t="s">
        <v>1531</v>
      </c>
      <c r="C140" s="76" t="s">
        <v>275</v>
      </c>
      <c r="D140" s="10" t="s">
        <v>1532</v>
      </c>
      <c r="E140" s="20"/>
      <c r="F140" s="19"/>
      <c r="G140" s="19"/>
      <c r="H140" s="20"/>
      <c r="I140" s="77"/>
      <c r="J140" s="23"/>
      <c r="K140" s="23"/>
      <c r="L140" s="23"/>
    </row>
    <row r="141" s="70" customFormat="1" spans="1:12">
      <c r="A141" s="75"/>
      <c r="B141" s="76" t="s">
        <v>1533</v>
      </c>
      <c r="C141" s="76" t="s">
        <v>275</v>
      </c>
      <c r="D141" s="10" t="s">
        <v>1534</v>
      </c>
      <c r="E141" s="20"/>
      <c r="F141" s="19"/>
      <c r="G141" s="19"/>
      <c r="H141" s="20"/>
      <c r="I141" s="77"/>
      <c r="J141" s="23"/>
      <c r="K141" s="23"/>
      <c r="L141" s="23"/>
    </row>
    <row r="142" s="70" customFormat="1" spans="1:12">
      <c r="A142" s="75"/>
      <c r="B142" s="76" t="s">
        <v>1535</v>
      </c>
      <c r="C142" s="76" t="s">
        <v>275</v>
      </c>
      <c r="D142" s="10" t="s">
        <v>1536</v>
      </c>
      <c r="E142" s="20"/>
      <c r="F142" s="19"/>
      <c r="G142" s="19"/>
      <c r="H142" s="20"/>
      <c r="I142" s="77"/>
      <c r="J142" s="23"/>
      <c r="K142" s="23"/>
      <c r="L142" s="23"/>
    </row>
    <row r="143" s="70" customFormat="1" spans="1:12">
      <c r="A143" s="75"/>
      <c r="B143" s="76" t="s">
        <v>1537</v>
      </c>
      <c r="C143" s="76" t="s">
        <v>275</v>
      </c>
      <c r="D143" s="10" t="s">
        <v>1538</v>
      </c>
      <c r="E143" s="20"/>
      <c r="F143" s="19"/>
      <c r="G143" s="19"/>
      <c r="H143" s="20"/>
      <c r="I143" s="77"/>
      <c r="J143" s="23"/>
      <c r="K143" s="23"/>
      <c r="L143" s="23"/>
    </row>
    <row r="144" s="70" customFormat="1" spans="1:12">
      <c r="A144" s="75"/>
      <c r="B144" s="76" t="s">
        <v>1539</v>
      </c>
      <c r="C144" s="76" t="s">
        <v>275</v>
      </c>
      <c r="D144" s="10" t="s">
        <v>1540</v>
      </c>
      <c r="E144" s="20"/>
      <c r="F144" s="19"/>
      <c r="G144" s="19"/>
      <c r="H144" s="20"/>
      <c r="I144" s="77"/>
      <c r="J144" s="23"/>
      <c r="K144" s="23"/>
      <c r="L144" s="23"/>
    </row>
    <row r="145" s="70" customFormat="1" spans="1:12">
      <c r="A145" s="75"/>
      <c r="B145" s="76" t="s">
        <v>1541</v>
      </c>
      <c r="C145" s="76" t="s">
        <v>275</v>
      </c>
      <c r="D145" s="10" t="s">
        <v>1542</v>
      </c>
      <c r="E145" s="20"/>
      <c r="F145" s="19"/>
      <c r="G145" s="19"/>
      <c r="H145" s="20"/>
      <c r="I145" s="77"/>
      <c r="J145" s="23"/>
      <c r="K145" s="23"/>
      <c r="L145" s="23"/>
    </row>
    <row r="146" s="70" customFormat="1" spans="1:12">
      <c r="A146" s="75"/>
      <c r="B146" s="76" t="s">
        <v>1543</v>
      </c>
      <c r="C146" s="76" t="s">
        <v>275</v>
      </c>
      <c r="D146" s="10" t="s">
        <v>1544</v>
      </c>
      <c r="E146" s="20"/>
      <c r="F146" s="19"/>
      <c r="G146" s="19"/>
      <c r="H146" s="20"/>
      <c r="I146" s="77"/>
      <c r="J146" s="23"/>
      <c r="K146" s="23"/>
      <c r="L146" s="23"/>
    </row>
    <row r="147" spans="2:12">
      <c r="B147" s="10" t="s">
        <v>1545</v>
      </c>
      <c r="C147" s="10" t="s">
        <v>275</v>
      </c>
      <c r="D147" s="10" t="s">
        <v>1546</v>
      </c>
      <c r="E147" s="10"/>
      <c r="F147" s="10"/>
      <c r="G147" s="10"/>
      <c r="H147" s="10"/>
      <c r="I147" s="10"/>
      <c r="J147" s="10"/>
      <c r="K147" s="10"/>
      <c r="L147" s="10"/>
    </row>
    <row r="148" spans="2:12">
      <c r="B148" s="10" t="s">
        <v>1547</v>
      </c>
      <c r="C148" s="10" t="s">
        <v>275</v>
      </c>
      <c r="D148" s="10" t="s">
        <v>1548</v>
      </c>
      <c r="E148" s="10"/>
      <c r="F148" s="10"/>
      <c r="G148" s="10"/>
      <c r="H148" s="10"/>
      <c r="I148" s="10"/>
      <c r="J148" s="10"/>
      <c r="K148" s="10"/>
      <c r="L148" s="10"/>
    </row>
    <row r="149" spans="2:12">
      <c r="B149" s="10" t="s">
        <v>1549</v>
      </c>
      <c r="C149" s="10" t="s">
        <v>275</v>
      </c>
      <c r="D149" s="10" t="s">
        <v>1550</v>
      </c>
      <c r="E149" s="10"/>
      <c r="F149" s="10"/>
      <c r="G149" s="10"/>
      <c r="H149" s="10"/>
      <c r="I149" s="10"/>
      <c r="J149" s="10"/>
      <c r="K149" s="10"/>
      <c r="L149" s="10"/>
    </row>
    <row r="150" spans="2:12">
      <c r="B150" s="10" t="s">
        <v>1551</v>
      </c>
      <c r="C150" s="10" t="s">
        <v>275</v>
      </c>
      <c r="D150" s="10" t="s">
        <v>1552</v>
      </c>
      <c r="E150" s="10"/>
      <c r="F150" s="10"/>
      <c r="G150" s="10"/>
      <c r="H150" s="10"/>
      <c r="I150" s="10"/>
      <c r="J150" s="10"/>
      <c r="K150" s="10"/>
      <c r="L150" s="10"/>
    </row>
    <row r="151" spans="2:12">
      <c r="B151" s="10" t="s">
        <v>1553</v>
      </c>
      <c r="C151" s="10" t="s">
        <v>275</v>
      </c>
      <c r="D151" s="10" t="s">
        <v>1554</v>
      </c>
      <c r="E151" s="10"/>
      <c r="F151" s="10"/>
      <c r="G151" s="10"/>
      <c r="H151" s="10"/>
      <c r="I151" s="10"/>
      <c r="J151" s="10"/>
      <c r="K151" s="10"/>
      <c r="L151" s="10"/>
    </row>
    <row r="152" spans="2:12">
      <c r="B152" s="10" t="s">
        <v>1555</v>
      </c>
      <c r="C152" s="10" t="s">
        <v>275</v>
      </c>
      <c r="D152" s="10" t="s">
        <v>1556</v>
      </c>
      <c r="E152" s="10"/>
      <c r="F152" s="10"/>
      <c r="G152" s="10"/>
      <c r="H152" s="10"/>
      <c r="I152" s="10"/>
      <c r="J152" s="10"/>
      <c r="K152" s="10"/>
      <c r="L152" s="10"/>
    </row>
    <row r="153" spans="2:12">
      <c r="B153" s="10" t="s">
        <v>1557</v>
      </c>
      <c r="C153" s="10" t="s">
        <v>275</v>
      </c>
      <c r="D153" s="10" t="s">
        <v>1558</v>
      </c>
      <c r="E153" s="10"/>
      <c r="F153" s="10"/>
      <c r="G153" s="10"/>
      <c r="H153" s="10"/>
      <c r="I153" s="10"/>
      <c r="J153" s="10"/>
      <c r="K153" s="10"/>
      <c r="L153" s="10"/>
    </row>
    <row r="154" spans="2:12">
      <c r="B154" s="10" t="s">
        <v>1559</v>
      </c>
      <c r="C154" s="10" t="s">
        <v>275</v>
      </c>
      <c r="D154" s="10" t="s">
        <v>1560</v>
      </c>
      <c r="E154" s="10"/>
      <c r="F154" s="10"/>
      <c r="G154" s="10"/>
      <c r="H154" s="10"/>
      <c r="I154" s="10"/>
      <c r="J154" s="10"/>
      <c r="K154" s="10"/>
      <c r="L154" s="10"/>
    </row>
    <row r="155" spans="2:12">
      <c r="B155" s="10" t="s">
        <v>1561</v>
      </c>
      <c r="C155" s="10" t="s">
        <v>275</v>
      </c>
      <c r="D155" s="10" t="s">
        <v>1562</v>
      </c>
      <c r="E155" s="10"/>
      <c r="F155" s="10"/>
      <c r="G155" s="10"/>
      <c r="H155" s="10"/>
      <c r="I155" s="10"/>
      <c r="J155" s="10"/>
      <c r="K155" s="10"/>
      <c r="L155" s="10"/>
    </row>
    <row r="156" spans="2:12">
      <c r="B156" s="10" t="s">
        <v>1563</v>
      </c>
      <c r="C156" s="10" t="s">
        <v>275</v>
      </c>
      <c r="D156" s="10" t="s">
        <v>1564</v>
      </c>
      <c r="E156" s="10"/>
      <c r="F156" s="10"/>
      <c r="G156" s="10"/>
      <c r="H156" s="10"/>
      <c r="I156" s="10"/>
      <c r="J156" s="10"/>
      <c r="K156" s="10"/>
      <c r="L156" s="10"/>
    </row>
    <row r="157" spans="2:12">
      <c r="B157" s="10" t="s">
        <v>1565</v>
      </c>
      <c r="C157" s="10" t="s">
        <v>275</v>
      </c>
      <c r="D157" s="10" t="s">
        <v>1566</v>
      </c>
      <c r="E157" s="10"/>
      <c r="F157" s="10"/>
      <c r="G157" s="10"/>
      <c r="H157" s="10"/>
      <c r="I157" s="10"/>
      <c r="J157" s="10"/>
      <c r="K157" s="10"/>
      <c r="L157" s="10"/>
    </row>
    <row r="158" spans="2:12">
      <c r="B158" s="10" t="s">
        <v>1567</v>
      </c>
      <c r="C158" s="10" t="s">
        <v>275</v>
      </c>
      <c r="D158" s="10" t="s">
        <v>1568</v>
      </c>
      <c r="E158" s="10"/>
      <c r="F158" s="10"/>
      <c r="G158" s="10"/>
      <c r="H158" s="10"/>
      <c r="I158" s="10"/>
      <c r="J158" s="10"/>
      <c r="K158" s="10"/>
      <c r="L158" s="10"/>
    </row>
    <row r="159" spans="2:12">
      <c r="B159" s="10" t="s">
        <v>1569</v>
      </c>
      <c r="C159" s="10" t="s">
        <v>275</v>
      </c>
      <c r="D159" s="10" t="s">
        <v>1570</v>
      </c>
      <c r="E159" s="10"/>
      <c r="F159" s="10"/>
      <c r="G159" s="10"/>
      <c r="H159" s="10"/>
      <c r="I159" s="10"/>
      <c r="J159" s="10"/>
      <c r="K159" s="10"/>
      <c r="L159" s="10"/>
    </row>
    <row r="160" spans="2:12">
      <c r="B160" s="10" t="s">
        <v>1571</v>
      </c>
      <c r="C160" s="10" t="s">
        <v>275</v>
      </c>
      <c r="D160" s="10" t="s">
        <v>1572</v>
      </c>
      <c r="E160" s="10"/>
      <c r="F160" s="10"/>
      <c r="G160" s="10"/>
      <c r="H160" s="10"/>
      <c r="I160" s="10"/>
      <c r="J160" s="10"/>
      <c r="K160" s="10"/>
      <c r="L160" s="10"/>
    </row>
    <row r="161" spans="2:12">
      <c r="B161" s="10" t="s">
        <v>1573</v>
      </c>
      <c r="C161" s="10" t="s">
        <v>275</v>
      </c>
      <c r="D161" s="10" t="s">
        <v>1574</v>
      </c>
      <c r="E161" s="10"/>
      <c r="F161" s="10"/>
      <c r="G161" s="10"/>
      <c r="H161" s="10"/>
      <c r="I161" s="10"/>
      <c r="J161" s="10"/>
      <c r="K161" s="10"/>
      <c r="L161" s="10"/>
    </row>
    <row r="162" spans="2:12">
      <c r="B162" s="10" t="s">
        <v>1575</v>
      </c>
      <c r="C162" s="10" t="s">
        <v>275</v>
      </c>
      <c r="D162" s="10" t="s">
        <v>1576</v>
      </c>
      <c r="E162" s="10"/>
      <c r="F162" s="10"/>
      <c r="G162" s="10"/>
      <c r="H162" s="10"/>
      <c r="I162" s="10"/>
      <c r="J162" s="10"/>
      <c r="K162" s="10"/>
      <c r="L162" s="10"/>
    </row>
    <row r="163" spans="2:12">
      <c r="B163" s="10" t="s">
        <v>1577</v>
      </c>
      <c r="C163" s="10" t="s">
        <v>275</v>
      </c>
      <c r="D163" s="10" t="s">
        <v>1578</v>
      </c>
      <c r="E163" s="10"/>
      <c r="F163" s="10"/>
      <c r="G163" s="10"/>
      <c r="H163" s="10"/>
      <c r="I163" s="10"/>
      <c r="J163" s="10"/>
      <c r="K163" s="10"/>
      <c r="L163" s="10"/>
    </row>
    <row r="164" spans="2:12">
      <c r="B164" s="10" t="s">
        <v>1579</v>
      </c>
      <c r="C164" s="10" t="s">
        <v>275</v>
      </c>
      <c r="D164" s="10" t="s">
        <v>1580</v>
      </c>
      <c r="E164" s="10"/>
      <c r="F164" s="10"/>
      <c r="G164" s="10"/>
      <c r="H164" s="10"/>
      <c r="I164" s="10"/>
      <c r="J164" s="10"/>
      <c r="K164" s="10"/>
      <c r="L164" s="10"/>
    </row>
    <row r="165" spans="2:12">
      <c r="B165" s="10" t="s">
        <v>1581</v>
      </c>
      <c r="C165" s="10" t="s">
        <v>275</v>
      </c>
      <c r="D165" s="10" t="s">
        <v>1582</v>
      </c>
      <c r="E165" s="10"/>
      <c r="F165" s="10"/>
      <c r="G165" s="10"/>
      <c r="H165" s="10"/>
      <c r="I165" s="10"/>
      <c r="J165" s="10"/>
      <c r="K165" s="10"/>
      <c r="L165" s="10"/>
    </row>
    <row r="166" spans="2:12">
      <c r="B166" s="10" t="s">
        <v>1583</v>
      </c>
      <c r="C166" s="10" t="s">
        <v>275</v>
      </c>
      <c r="D166" s="10" t="s">
        <v>1584</v>
      </c>
      <c r="E166" s="10"/>
      <c r="F166" s="10"/>
      <c r="G166" s="10"/>
      <c r="H166" s="10"/>
      <c r="I166" s="10"/>
      <c r="J166" s="10"/>
      <c r="K166" s="10"/>
      <c r="L166" s="10"/>
    </row>
    <row r="167" spans="2:12">
      <c r="B167" s="10" t="s">
        <v>1585</v>
      </c>
      <c r="C167" s="10" t="s">
        <v>275</v>
      </c>
      <c r="D167" s="10" t="s">
        <v>1586</v>
      </c>
      <c r="E167" s="10"/>
      <c r="F167" s="10"/>
      <c r="G167" s="10"/>
      <c r="H167" s="10"/>
      <c r="I167" s="10"/>
      <c r="J167" s="10"/>
      <c r="K167" s="10"/>
      <c r="L167" s="10"/>
    </row>
    <row r="168" spans="2:12">
      <c r="B168" s="10" t="s">
        <v>1587</v>
      </c>
      <c r="C168" s="10" t="s">
        <v>275</v>
      </c>
      <c r="D168" s="10" t="s">
        <v>1588</v>
      </c>
      <c r="E168" s="10"/>
      <c r="F168" s="10"/>
      <c r="G168" s="10"/>
      <c r="H168" s="10"/>
      <c r="I168" s="10"/>
      <c r="J168" s="10"/>
      <c r="K168" s="10"/>
      <c r="L168" s="10"/>
    </row>
    <row r="169" spans="2:12">
      <c r="B169" s="10" t="s">
        <v>1589</v>
      </c>
      <c r="C169" s="10" t="s">
        <v>275</v>
      </c>
      <c r="D169" s="10" t="s">
        <v>1590</v>
      </c>
      <c r="E169" s="10"/>
      <c r="F169" s="10"/>
      <c r="G169" s="10"/>
      <c r="H169" s="10"/>
      <c r="I169" s="10"/>
      <c r="J169" s="10"/>
      <c r="K169" s="10"/>
      <c r="L169" s="10"/>
    </row>
    <row r="170" spans="2:12">
      <c r="B170" s="10" t="s">
        <v>1591</v>
      </c>
      <c r="C170" s="10" t="s">
        <v>275</v>
      </c>
      <c r="D170" s="10" t="s">
        <v>1592</v>
      </c>
      <c r="E170" s="10"/>
      <c r="F170" s="10"/>
      <c r="G170" s="10"/>
      <c r="H170" s="10"/>
      <c r="I170" s="10"/>
      <c r="J170" s="10"/>
      <c r="K170" s="10"/>
      <c r="L170" s="10"/>
    </row>
    <row r="171" spans="2:12">
      <c r="B171" s="10" t="s">
        <v>1593</v>
      </c>
      <c r="C171" s="10" t="s">
        <v>275</v>
      </c>
      <c r="D171" s="10" t="s">
        <v>1594</v>
      </c>
      <c r="E171" s="10"/>
      <c r="F171" s="10"/>
      <c r="G171" s="10"/>
      <c r="H171" s="10"/>
      <c r="I171" s="10"/>
      <c r="J171" s="10"/>
      <c r="K171" s="10"/>
      <c r="L171" s="10"/>
    </row>
    <row r="172" spans="2:12">
      <c r="B172" s="10" t="s">
        <v>1595</v>
      </c>
      <c r="C172" s="10" t="s">
        <v>275</v>
      </c>
      <c r="D172" s="10" t="s">
        <v>1596</v>
      </c>
      <c r="E172" s="10"/>
      <c r="F172" s="10"/>
      <c r="G172" s="10"/>
      <c r="H172" s="10"/>
      <c r="I172" s="10"/>
      <c r="J172" s="10"/>
      <c r="K172" s="10"/>
      <c r="L172" s="10"/>
    </row>
    <row r="173" spans="2:12">
      <c r="B173" s="10" t="s">
        <v>1597</v>
      </c>
      <c r="C173" s="10" t="s">
        <v>275</v>
      </c>
      <c r="D173" s="10" t="s">
        <v>1598</v>
      </c>
      <c r="E173" s="10"/>
      <c r="F173" s="10"/>
      <c r="G173" s="10"/>
      <c r="H173" s="10"/>
      <c r="I173" s="10"/>
      <c r="J173" s="10"/>
      <c r="K173" s="10"/>
      <c r="L173" s="10"/>
    </row>
    <row r="174" spans="2:12">
      <c r="B174" s="10" t="s">
        <v>1599</v>
      </c>
      <c r="C174" s="10" t="s">
        <v>275</v>
      </c>
      <c r="D174" s="10" t="s">
        <v>1600</v>
      </c>
      <c r="E174" s="10"/>
      <c r="F174" s="10"/>
      <c r="G174" s="10"/>
      <c r="H174" s="10"/>
      <c r="I174" s="10"/>
      <c r="J174" s="10"/>
      <c r="K174" s="10"/>
      <c r="L174" s="10"/>
    </row>
    <row r="175" spans="2:12">
      <c r="B175" s="10" t="s">
        <v>1601</v>
      </c>
      <c r="C175" s="10" t="s">
        <v>275</v>
      </c>
      <c r="D175" s="10" t="s">
        <v>1602</v>
      </c>
      <c r="E175" s="10"/>
      <c r="F175" s="10"/>
      <c r="G175" s="10"/>
      <c r="H175" s="10"/>
      <c r="I175" s="10"/>
      <c r="J175" s="10"/>
      <c r="K175" s="10"/>
      <c r="L175" s="10"/>
    </row>
    <row r="176" spans="2:12">
      <c r="B176" s="10" t="s">
        <v>1603</v>
      </c>
      <c r="C176" s="10" t="s">
        <v>275</v>
      </c>
      <c r="D176" s="10" t="s">
        <v>1604</v>
      </c>
      <c r="E176" s="10"/>
      <c r="F176" s="10"/>
      <c r="G176" s="10"/>
      <c r="H176" s="10"/>
      <c r="I176" s="10"/>
      <c r="J176" s="10"/>
      <c r="K176" s="10"/>
      <c r="L176" s="10"/>
    </row>
    <row r="177" spans="2:12">
      <c r="B177" s="10" t="s">
        <v>1605</v>
      </c>
      <c r="C177" s="10" t="s">
        <v>275</v>
      </c>
      <c r="D177" s="10" t="s">
        <v>1606</v>
      </c>
      <c r="E177" s="10"/>
      <c r="F177" s="10"/>
      <c r="G177" s="10"/>
      <c r="H177" s="10"/>
      <c r="I177" s="10"/>
      <c r="J177" s="10"/>
      <c r="K177" s="10"/>
      <c r="L177" s="10"/>
    </row>
    <row r="178" spans="2:12">
      <c r="B178" s="10" t="s">
        <v>1607</v>
      </c>
      <c r="C178" s="10" t="s">
        <v>275</v>
      </c>
      <c r="D178" s="10" t="s">
        <v>1608</v>
      </c>
      <c r="E178" s="10"/>
      <c r="F178" s="10"/>
      <c r="G178" s="10"/>
      <c r="H178" s="10"/>
      <c r="I178" s="10"/>
      <c r="J178" s="10"/>
      <c r="K178" s="10"/>
      <c r="L178" s="10"/>
    </row>
    <row r="179" spans="2:12">
      <c r="B179" s="10" t="s">
        <v>1609</v>
      </c>
      <c r="C179" s="10" t="s">
        <v>275</v>
      </c>
      <c r="D179" s="10" t="s">
        <v>1610</v>
      </c>
      <c r="E179" s="10"/>
      <c r="F179" s="10"/>
      <c r="G179" s="10"/>
      <c r="H179" s="10"/>
      <c r="I179" s="10"/>
      <c r="J179" s="10"/>
      <c r="K179" s="10"/>
      <c r="L179" s="10"/>
    </row>
    <row r="180" spans="2:12">
      <c r="B180" s="10" t="s">
        <v>1611</v>
      </c>
      <c r="C180" s="10" t="s">
        <v>275</v>
      </c>
      <c r="D180" s="10" t="s">
        <v>1612</v>
      </c>
      <c r="E180" s="10"/>
      <c r="F180" s="10"/>
      <c r="G180" s="10"/>
      <c r="H180" s="10"/>
      <c r="I180" s="10"/>
      <c r="J180" s="10"/>
      <c r="K180" s="10"/>
      <c r="L180" s="10"/>
    </row>
    <row r="181" spans="2:12">
      <c r="B181" s="10" t="s">
        <v>1613</v>
      </c>
      <c r="C181" s="10" t="s">
        <v>275</v>
      </c>
      <c r="D181" s="10" t="s">
        <v>1614</v>
      </c>
      <c r="E181" s="10"/>
      <c r="F181" s="10"/>
      <c r="G181" s="10"/>
      <c r="H181" s="10"/>
      <c r="I181" s="10"/>
      <c r="J181" s="10"/>
      <c r="K181" s="10"/>
      <c r="L181" s="10"/>
    </row>
    <row r="182" spans="2:12">
      <c r="B182" s="10" t="s">
        <v>1615</v>
      </c>
      <c r="C182" s="10" t="s">
        <v>275</v>
      </c>
      <c r="D182" s="10" t="s">
        <v>1616</v>
      </c>
      <c r="E182" s="10"/>
      <c r="F182" s="10"/>
      <c r="G182" s="10"/>
      <c r="H182" s="10"/>
      <c r="I182" s="10"/>
      <c r="J182" s="10"/>
      <c r="K182" s="10"/>
      <c r="L182" s="10"/>
    </row>
    <row r="183" spans="2:12">
      <c r="B183" s="10" t="s">
        <v>1617</v>
      </c>
      <c r="C183" s="10" t="s">
        <v>275</v>
      </c>
      <c r="D183" s="10" t="s">
        <v>1618</v>
      </c>
      <c r="E183" s="10"/>
      <c r="F183" s="10"/>
      <c r="G183" s="10"/>
      <c r="H183" s="10"/>
      <c r="I183" s="10"/>
      <c r="J183" s="10"/>
      <c r="K183" s="10"/>
      <c r="L183" s="10"/>
    </row>
    <row r="184" spans="2:12">
      <c r="B184" s="10" t="s">
        <v>1619</v>
      </c>
      <c r="C184" s="10" t="s">
        <v>275</v>
      </c>
      <c r="D184" s="10" t="s">
        <v>1620</v>
      </c>
      <c r="E184" s="10"/>
      <c r="F184" s="10"/>
      <c r="G184" s="10"/>
      <c r="H184" s="10"/>
      <c r="I184" s="10"/>
      <c r="J184" s="10"/>
      <c r="K184" s="10"/>
      <c r="L184" s="10"/>
    </row>
    <row r="185" spans="2:12">
      <c r="B185" s="10" t="s">
        <v>1621</v>
      </c>
      <c r="C185" s="10" t="s">
        <v>275</v>
      </c>
      <c r="D185" s="10" t="s">
        <v>1622</v>
      </c>
      <c r="E185" s="10"/>
      <c r="F185" s="10"/>
      <c r="G185" s="10"/>
      <c r="H185" s="10"/>
      <c r="I185" s="10"/>
      <c r="J185" s="10"/>
      <c r="K185" s="10"/>
      <c r="L185" s="10"/>
    </row>
    <row r="186" spans="2:12">
      <c r="B186" s="10" t="s">
        <v>1623</v>
      </c>
      <c r="C186" s="10" t="s">
        <v>275</v>
      </c>
      <c r="D186" s="10" t="s">
        <v>1624</v>
      </c>
      <c r="E186" s="10"/>
      <c r="F186" s="10"/>
      <c r="G186" s="10"/>
      <c r="H186" s="10"/>
      <c r="I186" s="10"/>
      <c r="J186" s="10"/>
      <c r="K186" s="10"/>
      <c r="L186" s="10"/>
    </row>
    <row r="187" spans="2:12">
      <c r="B187" s="10" t="s">
        <v>1625</v>
      </c>
      <c r="C187" s="10" t="s">
        <v>275</v>
      </c>
      <c r="D187" s="10" t="s">
        <v>1626</v>
      </c>
      <c r="E187" s="10"/>
      <c r="F187" s="10"/>
      <c r="G187" s="10"/>
      <c r="H187" s="10"/>
      <c r="I187" s="10"/>
      <c r="J187" s="10"/>
      <c r="K187" s="10"/>
      <c r="L187" s="10"/>
    </row>
    <row r="188" spans="2:12">
      <c r="B188" s="10" t="s">
        <v>1627</v>
      </c>
      <c r="C188" s="10" t="s">
        <v>275</v>
      </c>
      <c r="D188" s="10" t="s">
        <v>1628</v>
      </c>
      <c r="E188" s="10"/>
      <c r="F188" s="10"/>
      <c r="G188" s="10"/>
      <c r="H188" s="10"/>
      <c r="I188" s="10"/>
      <c r="J188" s="10"/>
      <c r="K188" s="10"/>
      <c r="L188" s="10"/>
    </row>
    <row r="189" spans="2:12">
      <c r="B189" s="10" t="s">
        <v>1629</v>
      </c>
      <c r="C189" s="10" t="s">
        <v>275</v>
      </c>
      <c r="D189" s="10" t="s">
        <v>1630</v>
      </c>
      <c r="E189" s="10"/>
      <c r="F189" s="10"/>
      <c r="G189" s="10"/>
      <c r="H189" s="10"/>
      <c r="I189" s="10"/>
      <c r="J189" s="10"/>
      <c r="K189" s="10"/>
      <c r="L189" s="10"/>
    </row>
    <row r="190" spans="2:12">
      <c r="B190" s="10" t="s">
        <v>1631</v>
      </c>
      <c r="C190" s="10" t="s">
        <v>275</v>
      </c>
      <c r="D190" s="10" t="s">
        <v>1632</v>
      </c>
      <c r="E190" s="10"/>
      <c r="F190" s="10"/>
      <c r="G190" s="10"/>
      <c r="H190" s="10"/>
      <c r="I190" s="10"/>
      <c r="J190" s="10"/>
      <c r="K190" s="10"/>
      <c r="L190" s="10"/>
    </row>
    <row r="191" spans="2:12">
      <c r="B191" s="10" t="s">
        <v>1633</v>
      </c>
      <c r="C191" s="10" t="s">
        <v>275</v>
      </c>
      <c r="D191" s="10" t="s">
        <v>1634</v>
      </c>
      <c r="E191" s="10"/>
      <c r="F191" s="10"/>
      <c r="G191" s="10"/>
      <c r="H191" s="10"/>
      <c r="I191" s="10"/>
      <c r="J191" s="10"/>
      <c r="K191" s="10"/>
      <c r="L191" s="10"/>
    </row>
    <row r="192" spans="2:12">
      <c r="B192" s="10" t="s">
        <v>1635</v>
      </c>
      <c r="C192" s="10" t="s">
        <v>275</v>
      </c>
      <c r="D192" s="10" t="s">
        <v>1636</v>
      </c>
      <c r="E192" s="10"/>
      <c r="F192" s="10"/>
      <c r="G192" s="10"/>
      <c r="H192" s="10"/>
      <c r="I192" s="10"/>
      <c r="J192" s="10"/>
      <c r="K192" s="10"/>
      <c r="L192" s="10"/>
    </row>
    <row r="193" spans="2:12">
      <c r="B193" s="10" t="s">
        <v>1637</v>
      </c>
      <c r="C193" s="10" t="s">
        <v>275</v>
      </c>
      <c r="D193" s="10" t="s">
        <v>1638</v>
      </c>
      <c r="E193" s="10"/>
      <c r="F193" s="10"/>
      <c r="G193" s="10"/>
      <c r="H193" s="10"/>
      <c r="I193" s="10"/>
      <c r="J193" s="10"/>
      <c r="K193" s="10"/>
      <c r="L193" s="10"/>
    </row>
    <row r="194" spans="2:12">
      <c r="B194" s="10" t="s">
        <v>1639</v>
      </c>
      <c r="C194" s="10" t="s">
        <v>275</v>
      </c>
      <c r="D194" s="10" t="s">
        <v>1640</v>
      </c>
      <c r="E194" s="10"/>
      <c r="F194" s="10"/>
      <c r="G194" s="10"/>
      <c r="H194" s="10"/>
      <c r="I194" s="10"/>
      <c r="J194" s="10"/>
      <c r="K194" s="10"/>
      <c r="L194" s="10"/>
    </row>
    <row r="195" spans="2:12">
      <c r="B195" s="10" t="s">
        <v>1641</v>
      </c>
      <c r="C195" s="10" t="s">
        <v>275</v>
      </c>
      <c r="D195" s="10" t="s">
        <v>1642</v>
      </c>
      <c r="E195" s="10"/>
      <c r="F195" s="10"/>
      <c r="G195" s="10"/>
      <c r="H195" s="10"/>
      <c r="I195" s="10"/>
      <c r="J195" s="10"/>
      <c r="K195" s="10"/>
      <c r="L195" s="10"/>
    </row>
    <row r="196" spans="2:12">
      <c r="B196" s="10" t="s">
        <v>1643</v>
      </c>
      <c r="C196" s="10" t="s">
        <v>275</v>
      </c>
      <c r="D196" s="10" t="s">
        <v>1644</v>
      </c>
      <c r="E196" s="10"/>
      <c r="F196" s="10"/>
      <c r="G196" s="10"/>
      <c r="H196" s="10"/>
      <c r="I196" s="10"/>
      <c r="J196" s="10"/>
      <c r="K196" s="10"/>
      <c r="L196" s="10"/>
    </row>
    <row r="197" spans="2:12">
      <c r="B197" s="10" t="s">
        <v>1645</v>
      </c>
      <c r="C197" s="10" t="s">
        <v>275</v>
      </c>
      <c r="D197" s="10" t="s">
        <v>1646</v>
      </c>
      <c r="E197" s="10"/>
      <c r="F197" s="10"/>
      <c r="G197" s="10"/>
      <c r="H197" s="10"/>
      <c r="I197" s="10"/>
      <c r="J197" s="10"/>
      <c r="K197" s="10"/>
      <c r="L197" s="10"/>
    </row>
    <row r="198" spans="2:12">
      <c r="B198" s="10" t="s">
        <v>1647</v>
      </c>
      <c r="C198" s="10" t="s">
        <v>275</v>
      </c>
      <c r="D198" s="10" t="s">
        <v>1648</v>
      </c>
      <c r="E198" s="10"/>
      <c r="F198" s="10"/>
      <c r="G198" s="10"/>
      <c r="H198" s="10"/>
      <c r="I198" s="10"/>
      <c r="J198" s="10"/>
      <c r="K198" s="10"/>
      <c r="L198" s="10"/>
    </row>
    <row r="199" spans="2:12">
      <c r="B199" s="10" t="s">
        <v>1649</v>
      </c>
      <c r="C199" s="10" t="s">
        <v>275</v>
      </c>
      <c r="D199" s="10" t="s">
        <v>1650</v>
      </c>
      <c r="E199" s="10"/>
      <c r="F199" s="10"/>
      <c r="G199" s="10"/>
      <c r="H199" s="10"/>
      <c r="I199" s="10"/>
      <c r="J199" s="10"/>
      <c r="K199" s="10"/>
      <c r="L199" s="10"/>
    </row>
    <row r="200" spans="2:12">
      <c r="B200" s="10" t="s">
        <v>1651</v>
      </c>
      <c r="C200" s="10" t="s">
        <v>275</v>
      </c>
      <c r="D200" s="10" t="s">
        <v>1652</v>
      </c>
      <c r="E200" s="10"/>
      <c r="F200" s="10"/>
      <c r="G200" s="10"/>
      <c r="H200" s="10"/>
      <c r="I200" s="10"/>
      <c r="J200" s="10"/>
      <c r="K200" s="10"/>
      <c r="L200" s="10"/>
    </row>
    <row r="201" spans="2:12">
      <c r="B201" s="10" t="s">
        <v>1653</v>
      </c>
      <c r="C201" s="10" t="s">
        <v>275</v>
      </c>
      <c r="D201" s="10" t="s">
        <v>1654</v>
      </c>
      <c r="E201" s="10"/>
      <c r="F201" s="10"/>
      <c r="G201" s="10"/>
      <c r="H201" s="10"/>
      <c r="I201" s="10"/>
      <c r="J201" s="10"/>
      <c r="K201" s="10"/>
      <c r="L201" s="10"/>
    </row>
    <row r="202" spans="2:12">
      <c r="B202" s="10" t="s">
        <v>1655</v>
      </c>
      <c r="C202" s="10" t="s">
        <v>275</v>
      </c>
      <c r="D202" s="10" t="s">
        <v>1656</v>
      </c>
      <c r="E202" s="10"/>
      <c r="F202" s="10"/>
      <c r="G202" s="10"/>
      <c r="H202" s="10"/>
      <c r="I202" s="10"/>
      <c r="J202" s="10"/>
      <c r="K202" s="10"/>
      <c r="L202" s="10"/>
    </row>
    <row r="203" spans="2:12">
      <c r="B203" s="10" t="s">
        <v>1657</v>
      </c>
      <c r="C203" s="10" t="s">
        <v>275</v>
      </c>
      <c r="D203" s="10" t="s">
        <v>1658</v>
      </c>
      <c r="E203" s="10"/>
      <c r="F203" s="10"/>
      <c r="G203" s="10"/>
      <c r="H203" s="10"/>
      <c r="I203" s="10"/>
      <c r="J203" s="10"/>
      <c r="K203" s="10"/>
      <c r="L203" s="10"/>
    </row>
    <row r="204" spans="2:12">
      <c r="B204" s="10" t="s">
        <v>1659</v>
      </c>
      <c r="C204" s="10" t="s">
        <v>275</v>
      </c>
      <c r="D204" s="10" t="s">
        <v>1660</v>
      </c>
      <c r="E204" s="10"/>
      <c r="F204" s="10"/>
      <c r="G204" s="10"/>
      <c r="H204" s="10"/>
      <c r="I204" s="10"/>
      <c r="J204" s="10"/>
      <c r="K204" s="10"/>
      <c r="L204" s="10"/>
    </row>
    <row r="205" spans="2:12">
      <c r="B205" s="10" t="s">
        <v>1661</v>
      </c>
      <c r="C205" s="10" t="s">
        <v>275</v>
      </c>
      <c r="D205" s="10" t="s">
        <v>1662</v>
      </c>
      <c r="E205" s="10"/>
      <c r="F205" s="10"/>
      <c r="G205" s="10"/>
      <c r="H205" s="10"/>
      <c r="I205" s="10"/>
      <c r="J205" s="10"/>
      <c r="K205" s="10"/>
      <c r="L205" s="10"/>
    </row>
    <row r="206" spans="2:12">
      <c r="B206" s="10" t="s">
        <v>1663</v>
      </c>
      <c r="C206" s="10" t="s">
        <v>275</v>
      </c>
      <c r="D206" s="10" t="s">
        <v>1664</v>
      </c>
      <c r="E206" s="10"/>
      <c r="F206" s="10"/>
      <c r="G206" s="10"/>
      <c r="H206" s="10"/>
      <c r="I206" s="10"/>
      <c r="J206" s="10"/>
      <c r="K206" s="10"/>
      <c r="L206" s="10"/>
    </row>
    <row r="207" spans="2:12">
      <c r="B207" s="10" t="s">
        <v>1665</v>
      </c>
      <c r="C207" s="10" t="s">
        <v>275</v>
      </c>
      <c r="D207" s="10" t="s">
        <v>1666</v>
      </c>
      <c r="E207" s="10"/>
      <c r="F207" s="10"/>
      <c r="G207" s="10"/>
      <c r="H207" s="10"/>
      <c r="I207" s="10"/>
      <c r="J207" s="10"/>
      <c r="K207" s="10"/>
      <c r="L207" s="10"/>
    </row>
    <row r="208" spans="2:12">
      <c r="B208" s="10" t="s">
        <v>1667</v>
      </c>
      <c r="C208" s="10" t="s">
        <v>275</v>
      </c>
      <c r="D208" s="10" t="s">
        <v>1668</v>
      </c>
      <c r="E208" s="10"/>
      <c r="F208" s="10"/>
      <c r="G208" s="10"/>
      <c r="H208" s="10"/>
      <c r="I208" s="10"/>
      <c r="J208" s="10"/>
      <c r="K208" s="10"/>
      <c r="L208" s="10"/>
    </row>
    <row r="209" spans="2:12">
      <c r="B209" s="10" t="s">
        <v>1669</v>
      </c>
      <c r="C209" s="10" t="s">
        <v>275</v>
      </c>
      <c r="D209" s="10" t="s">
        <v>1670</v>
      </c>
      <c r="E209" s="10"/>
      <c r="F209" s="10"/>
      <c r="G209" s="10"/>
      <c r="H209" s="10"/>
      <c r="I209" s="10"/>
      <c r="J209" s="10"/>
      <c r="K209" s="10"/>
      <c r="L209" s="10"/>
    </row>
    <row r="210" spans="2:12">
      <c r="B210" s="10" t="s">
        <v>1671</v>
      </c>
      <c r="C210" s="10" t="s">
        <v>275</v>
      </c>
      <c r="D210" s="10" t="s">
        <v>1672</v>
      </c>
      <c r="E210" s="10"/>
      <c r="F210" s="10"/>
      <c r="G210" s="10"/>
      <c r="H210" s="10"/>
      <c r="I210" s="10"/>
      <c r="J210" s="10"/>
      <c r="K210" s="10"/>
      <c r="L210" s="10"/>
    </row>
    <row r="211" spans="2:12">
      <c r="B211" s="10" t="s">
        <v>1673</v>
      </c>
      <c r="C211" s="10" t="s">
        <v>275</v>
      </c>
      <c r="D211" s="10" t="s">
        <v>1674</v>
      </c>
      <c r="E211" s="10"/>
      <c r="F211" s="10"/>
      <c r="G211" s="10"/>
      <c r="H211" s="10"/>
      <c r="I211" s="10"/>
      <c r="J211" s="10"/>
      <c r="K211" s="10"/>
      <c r="L211" s="10"/>
    </row>
    <row r="212" spans="2:12">
      <c r="B212" s="10" t="s">
        <v>1675</v>
      </c>
      <c r="C212" s="10" t="s">
        <v>275</v>
      </c>
      <c r="D212" s="10" t="s">
        <v>1676</v>
      </c>
      <c r="E212" s="10"/>
      <c r="F212" s="10"/>
      <c r="G212" s="10"/>
      <c r="H212" s="10"/>
      <c r="I212" s="10"/>
      <c r="J212" s="10"/>
      <c r="K212" s="10"/>
      <c r="L212" s="10"/>
    </row>
    <row r="213" spans="2:12">
      <c r="B213" s="10" t="s">
        <v>1677</v>
      </c>
      <c r="C213" s="10" t="s">
        <v>275</v>
      </c>
      <c r="D213" s="10" t="s">
        <v>1678</v>
      </c>
      <c r="E213" s="10"/>
      <c r="F213" s="10"/>
      <c r="G213" s="10"/>
      <c r="H213" s="10"/>
      <c r="I213" s="10"/>
      <c r="J213" s="10"/>
      <c r="K213" s="10"/>
      <c r="L213" s="10"/>
    </row>
    <row r="214" spans="2:12">
      <c r="B214" s="10" t="s">
        <v>1679</v>
      </c>
      <c r="C214" s="10" t="s">
        <v>275</v>
      </c>
      <c r="D214" s="10" t="s">
        <v>1680</v>
      </c>
      <c r="E214" s="10"/>
      <c r="F214" s="10"/>
      <c r="G214" s="10"/>
      <c r="H214" s="10"/>
      <c r="I214" s="10"/>
      <c r="J214" s="10"/>
      <c r="K214" s="10"/>
      <c r="L214" s="10"/>
    </row>
    <row r="215" spans="2:12">
      <c r="B215" s="10" t="s">
        <v>1681</v>
      </c>
      <c r="C215" s="10" t="s">
        <v>275</v>
      </c>
      <c r="D215" s="10" t="s">
        <v>1682</v>
      </c>
      <c r="E215" s="10"/>
      <c r="F215" s="10"/>
      <c r="G215" s="10"/>
      <c r="H215" s="10"/>
      <c r="I215" s="10"/>
      <c r="J215" s="10"/>
      <c r="K215" s="10"/>
      <c r="L215" s="10"/>
    </row>
    <row r="216" spans="2:12">
      <c r="B216" s="10" t="s">
        <v>1683</v>
      </c>
      <c r="C216" s="10" t="s">
        <v>275</v>
      </c>
      <c r="D216" s="10" t="s">
        <v>1684</v>
      </c>
      <c r="E216" s="10"/>
      <c r="F216" s="10"/>
      <c r="G216" s="10"/>
      <c r="H216" s="10"/>
      <c r="I216" s="10"/>
      <c r="J216" s="10"/>
      <c r="K216" s="10"/>
      <c r="L216" s="10"/>
    </row>
    <row r="217" spans="2:12">
      <c r="B217" s="10" t="s">
        <v>1685</v>
      </c>
      <c r="C217" s="10" t="s">
        <v>275</v>
      </c>
      <c r="D217" s="10" t="s">
        <v>1686</v>
      </c>
      <c r="E217" s="10"/>
      <c r="F217" s="10"/>
      <c r="G217" s="10"/>
      <c r="H217" s="10"/>
      <c r="I217" s="10"/>
      <c r="J217" s="10"/>
      <c r="K217" s="10"/>
      <c r="L217" s="10"/>
    </row>
    <row r="218" spans="2:12">
      <c r="B218" s="10" t="s">
        <v>1687</v>
      </c>
      <c r="C218" s="10" t="s">
        <v>275</v>
      </c>
      <c r="D218" s="10" t="s">
        <v>1688</v>
      </c>
      <c r="E218" s="10"/>
      <c r="F218" s="10"/>
      <c r="G218" s="10"/>
      <c r="H218" s="10"/>
      <c r="I218" s="10"/>
      <c r="J218" s="10"/>
      <c r="K218" s="10"/>
      <c r="L218" s="10"/>
    </row>
    <row r="219" spans="2:12">
      <c r="B219" s="10" t="s">
        <v>1689</v>
      </c>
      <c r="C219" s="10" t="s">
        <v>275</v>
      </c>
      <c r="D219" s="10" t="s">
        <v>1690</v>
      </c>
      <c r="E219" s="10"/>
      <c r="F219" s="10"/>
      <c r="G219" s="10"/>
      <c r="H219" s="10"/>
      <c r="I219" s="10"/>
      <c r="J219" s="10"/>
      <c r="K219" s="10"/>
      <c r="L219" s="10"/>
    </row>
    <row r="220" spans="2:12">
      <c r="B220" s="10" t="s">
        <v>1691</v>
      </c>
      <c r="C220" s="10" t="s">
        <v>275</v>
      </c>
      <c r="D220" s="10" t="s">
        <v>1692</v>
      </c>
      <c r="E220" s="10"/>
      <c r="F220" s="10"/>
      <c r="G220" s="10"/>
      <c r="H220" s="10"/>
      <c r="I220" s="10"/>
      <c r="J220" s="10"/>
      <c r="K220" s="10"/>
      <c r="L220" s="10"/>
    </row>
    <row r="221" spans="2:12">
      <c r="B221" s="10" t="s">
        <v>1693</v>
      </c>
      <c r="C221" s="10" t="s">
        <v>275</v>
      </c>
      <c r="D221" s="10" t="s">
        <v>1694</v>
      </c>
      <c r="E221" s="10"/>
      <c r="F221" s="10"/>
      <c r="G221" s="10"/>
      <c r="H221" s="10"/>
      <c r="I221" s="10"/>
      <c r="J221" s="10"/>
      <c r="K221" s="10"/>
      <c r="L221" s="10"/>
    </row>
    <row r="222" spans="2:12">
      <c r="B222" s="10" t="s">
        <v>1695</v>
      </c>
      <c r="C222" s="10" t="s">
        <v>275</v>
      </c>
      <c r="D222" s="10" t="s">
        <v>1696</v>
      </c>
      <c r="E222" s="10"/>
      <c r="F222" s="10"/>
      <c r="G222" s="10"/>
      <c r="H222" s="10"/>
      <c r="I222" s="10"/>
      <c r="J222" s="10"/>
      <c r="K222" s="10"/>
      <c r="L222" s="10"/>
    </row>
    <row r="223" spans="2:12">
      <c r="B223" s="10" t="s">
        <v>1697</v>
      </c>
      <c r="C223" s="10" t="s">
        <v>275</v>
      </c>
      <c r="D223" s="10" t="s">
        <v>1698</v>
      </c>
      <c r="E223" s="10"/>
      <c r="F223" s="10"/>
      <c r="G223" s="10"/>
      <c r="H223" s="10"/>
      <c r="I223" s="10"/>
      <c r="J223" s="10"/>
      <c r="K223" s="10"/>
      <c r="L223" s="10"/>
    </row>
    <row r="224" spans="2:12">
      <c r="B224" s="10" t="s">
        <v>1699</v>
      </c>
      <c r="C224" s="10" t="s">
        <v>275</v>
      </c>
      <c r="D224" s="10" t="s">
        <v>1700</v>
      </c>
      <c r="E224" s="10"/>
      <c r="F224" s="10"/>
      <c r="G224" s="10"/>
      <c r="H224" s="10"/>
      <c r="I224" s="10"/>
      <c r="J224" s="10"/>
      <c r="K224" s="10"/>
      <c r="L224" s="10"/>
    </row>
    <row r="225" spans="2:12">
      <c r="B225" s="10" t="s">
        <v>1701</v>
      </c>
      <c r="C225" s="10" t="s">
        <v>275</v>
      </c>
      <c r="D225" s="10" t="s">
        <v>1702</v>
      </c>
      <c r="E225" s="10"/>
      <c r="F225" s="10"/>
      <c r="G225" s="10"/>
      <c r="H225" s="10"/>
      <c r="I225" s="10"/>
      <c r="J225" s="10"/>
      <c r="K225" s="10"/>
      <c r="L225" s="10"/>
    </row>
    <row r="226" spans="2:12">
      <c r="B226" s="10" t="s">
        <v>1703</v>
      </c>
      <c r="C226" s="10" t="s">
        <v>275</v>
      </c>
      <c r="D226" s="10" t="s">
        <v>1704</v>
      </c>
      <c r="E226" s="10"/>
      <c r="F226" s="10"/>
      <c r="G226" s="10"/>
      <c r="H226" s="10"/>
      <c r="I226" s="10"/>
      <c r="J226" s="10"/>
      <c r="K226" s="10"/>
      <c r="L226" s="10"/>
    </row>
    <row r="227" spans="2:12">
      <c r="B227" s="10" t="s">
        <v>1705</v>
      </c>
      <c r="C227" s="10" t="s">
        <v>275</v>
      </c>
      <c r="D227" s="10" t="s">
        <v>1706</v>
      </c>
      <c r="E227" s="10"/>
      <c r="F227" s="10"/>
      <c r="G227" s="10"/>
      <c r="H227" s="10"/>
      <c r="I227" s="10"/>
      <c r="J227" s="10"/>
      <c r="K227" s="10"/>
      <c r="L227" s="10"/>
    </row>
    <row r="228" spans="2:12">
      <c r="B228" s="10" t="s">
        <v>1707</v>
      </c>
      <c r="C228" s="10" t="s">
        <v>275</v>
      </c>
      <c r="D228" s="10" t="s">
        <v>1708</v>
      </c>
      <c r="E228" s="10"/>
      <c r="F228" s="10"/>
      <c r="G228" s="10"/>
      <c r="H228" s="10"/>
      <c r="I228" s="10"/>
      <c r="J228" s="10"/>
      <c r="K228" s="10"/>
      <c r="L228" s="10"/>
    </row>
    <row r="229" spans="2:12">
      <c r="B229" s="10" t="s">
        <v>1709</v>
      </c>
      <c r="C229" s="10" t="s">
        <v>275</v>
      </c>
      <c r="D229" s="10" t="s">
        <v>1710</v>
      </c>
      <c r="E229" s="10"/>
      <c r="F229" s="10"/>
      <c r="G229" s="10"/>
      <c r="H229" s="10"/>
      <c r="I229" s="10"/>
      <c r="J229" s="10"/>
      <c r="K229" s="10"/>
      <c r="L229" s="10"/>
    </row>
    <row r="230" spans="2:12">
      <c r="B230" s="10" t="s">
        <v>1711</v>
      </c>
      <c r="C230" s="10" t="s">
        <v>275</v>
      </c>
      <c r="D230" s="10" t="s">
        <v>1712</v>
      </c>
      <c r="E230" s="10"/>
      <c r="F230" s="10"/>
      <c r="G230" s="10"/>
      <c r="H230" s="10"/>
      <c r="I230" s="10"/>
      <c r="J230" s="10"/>
      <c r="K230" s="10"/>
      <c r="L230" s="10"/>
    </row>
    <row r="231" spans="2:12">
      <c r="B231" s="10" t="s">
        <v>1713</v>
      </c>
      <c r="C231" s="10" t="s">
        <v>275</v>
      </c>
      <c r="D231" s="10" t="s">
        <v>1714</v>
      </c>
      <c r="E231" s="10"/>
      <c r="F231" s="10"/>
      <c r="G231" s="10"/>
      <c r="H231" s="10"/>
      <c r="I231" s="10"/>
      <c r="J231" s="10"/>
      <c r="K231" s="10"/>
      <c r="L231" s="10"/>
    </row>
    <row r="232" spans="2:12">
      <c r="B232" s="10" t="s">
        <v>1715</v>
      </c>
      <c r="C232" s="10" t="s">
        <v>275</v>
      </c>
      <c r="D232" s="10" t="s">
        <v>1716</v>
      </c>
      <c r="E232" s="10"/>
      <c r="F232" s="10"/>
      <c r="G232" s="10"/>
      <c r="H232" s="10"/>
      <c r="I232" s="10"/>
      <c r="J232" s="10"/>
      <c r="K232" s="10"/>
      <c r="L232" s="10"/>
    </row>
    <row r="233" spans="2:12">
      <c r="B233" s="10" t="s">
        <v>1717</v>
      </c>
      <c r="C233" s="10" t="s">
        <v>275</v>
      </c>
      <c r="D233" s="10" t="s">
        <v>1718</v>
      </c>
      <c r="E233" s="10"/>
      <c r="F233" s="10"/>
      <c r="G233" s="10"/>
      <c r="H233" s="10"/>
      <c r="I233" s="10"/>
      <c r="J233" s="10"/>
      <c r="K233" s="10"/>
      <c r="L233" s="10"/>
    </row>
    <row r="234" spans="2:12">
      <c r="B234" s="10" t="s">
        <v>1719</v>
      </c>
      <c r="C234" s="10" t="s">
        <v>275</v>
      </c>
      <c r="D234" s="10" t="s">
        <v>1720</v>
      </c>
      <c r="E234" s="10"/>
      <c r="F234" s="10"/>
      <c r="G234" s="10"/>
      <c r="H234" s="10"/>
      <c r="I234" s="10"/>
      <c r="J234" s="10"/>
      <c r="K234" s="10"/>
      <c r="L234" s="10"/>
    </row>
    <row r="235" spans="2:12">
      <c r="B235" s="10" t="s">
        <v>1721</v>
      </c>
      <c r="C235" s="10" t="s">
        <v>275</v>
      </c>
      <c r="D235" s="10" t="s">
        <v>1722</v>
      </c>
      <c r="E235" s="10"/>
      <c r="F235" s="10"/>
      <c r="G235" s="10"/>
      <c r="H235" s="10"/>
      <c r="I235" s="10"/>
      <c r="J235" s="10"/>
      <c r="K235" s="10"/>
      <c r="L235" s="10"/>
    </row>
    <row r="236" spans="2:12">
      <c r="B236" s="10" t="s">
        <v>1723</v>
      </c>
      <c r="C236" s="10" t="s">
        <v>275</v>
      </c>
      <c r="D236" s="10" t="s">
        <v>1724</v>
      </c>
      <c r="E236" s="10"/>
      <c r="F236" s="10"/>
      <c r="G236" s="10"/>
      <c r="H236" s="10"/>
      <c r="I236" s="10"/>
      <c r="J236" s="10"/>
      <c r="K236" s="10"/>
      <c r="L236" s="10"/>
    </row>
    <row r="237" spans="2:12">
      <c r="B237" s="10" t="s">
        <v>1725</v>
      </c>
      <c r="C237" s="10" t="s">
        <v>275</v>
      </c>
      <c r="D237" s="10" t="s">
        <v>1726</v>
      </c>
      <c r="E237" s="10"/>
      <c r="F237" s="10"/>
      <c r="G237" s="10"/>
      <c r="H237" s="10"/>
      <c r="I237" s="10"/>
      <c r="J237" s="10"/>
      <c r="K237" s="10"/>
      <c r="L237" s="10"/>
    </row>
    <row r="238" spans="2:12">
      <c r="B238" s="10" t="s">
        <v>1727</v>
      </c>
      <c r="C238" s="10" t="s">
        <v>275</v>
      </c>
      <c r="D238" s="10" t="s">
        <v>1728</v>
      </c>
      <c r="E238" s="10"/>
      <c r="F238" s="10"/>
      <c r="G238" s="10"/>
      <c r="H238" s="10"/>
      <c r="I238" s="10"/>
      <c r="J238" s="10"/>
      <c r="K238" s="10"/>
      <c r="L238" s="10"/>
    </row>
    <row r="239" spans="2:12">
      <c r="B239" s="10" t="s">
        <v>1729</v>
      </c>
      <c r="C239" s="10" t="s">
        <v>275</v>
      </c>
      <c r="D239" s="10" t="s">
        <v>1730</v>
      </c>
      <c r="E239" s="10"/>
      <c r="F239" s="10"/>
      <c r="G239" s="10"/>
      <c r="H239" s="10"/>
      <c r="I239" s="10"/>
      <c r="J239" s="10"/>
      <c r="K239" s="10"/>
      <c r="L239" s="10"/>
    </row>
    <row r="240" spans="2:12">
      <c r="B240" s="10" t="s">
        <v>1731</v>
      </c>
      <c r="C240" s="10" t="s">
        <v>275</v>
      </c>
      <c r="D240" s="10" t="s">
        <v>1732</v>
      </c>
      <c r="E240" s="10"/>
      <c r="F240" s="10"/>
      <c r="G240" s="10"/>
      <c r="H240" s="10"/>
      <c r="I240" s="10"/>
      <c r="J240" s="10"/>
      <c r="K240" s="10"/>
      <c r="L240" s="10"/>
    </row>
    <row r="241" spans="2:12">
      <c r="B241" s="10" t="s">
        <v>1733</v>
      </c>
      <c r="C241" s="10" t="s">
        <v>275</v>
      </c>
      <c r="D241" s="10" t="s">
        <v>1734</v>
      </c>
      <c r="E241" s="10"/>
      <c r="F241" s="10"/>
      <c r="G241" s="10"/>
      <c r="H241" s="10"/>
      <c r="I241" s="10"/>
      <c r="J241" s="10"/>
      <c r="K241" s="10"/>
      <c r="L241" s="10"/>
    </row>
    <row r="242" spans="2:12">
      <c r="B242" s="10" t="s">
        <v>1735</v>
      </c>
      <c r="C242" s="10" t="s">
        <v>275</v>
      </c>
      <c r="D242" s="10" t="s">
        <v>1736</v>
      </c>
      <c r="E242" s="10"/>
      <c r="F242" s="10"/>
      <c r="G242" s="10"/>
      <c r="H242" s="10"/>
      <c r="I242" s="10"/>
      <c r="J242" s="10"/>
      <c r="K242" s="10"/>
      <c r="L242" s="10"/>
    </row>
    <row r="243" spans="2:12">
      <c r="B243" s="10" t="s">
        <v>1737</v>
      </c>
      <c r="C243" s="10" t="s">
        <v>275</v>
      </c>
      <c r="D243" s="10" t="s">
        <v>1738</v>
      </c>
      <c r="E243" s="10"/>
      <c r="F243" s="10"/>
      <c r="G243" s="10"/>
      <c r="H243" s="10"/>
      <c r="I243" s="10"/>
      <c r="J243" s="10"/>
      <c r="K243" s="10"/>
      <c r="L243" s="10"/>
    </row>
    <row r="244" spans="2:12">
      <c r="B244" s="10" t="s">
        <v>1739</v>
      </c>
      <c r="C244" s="10" t="s">
        <v>275</v>
      </c>
      <c r="D244" s="10" t="s">
        <v>1740</v>
      </c>
      <c r="E244" s="10"/>
      <c r="F244" s="10"/>
      <c r="G244" s="10"/>
      <c r="H244" s="10"/>
      <c r="I244" s="10"/>
      <c r="J244" s="10"/>
      <c r="K244" s="10"/>
      <c r="L244" s="10"/>
    </row>
    <row r="245" spans="2:12">
      <c r="B245" s="10" t="s">
        <v>1741</v>
      </c>
      <c r="C245" s="10" t="s">
        <v>275</v>
      </c>
      <c r="D245" s="10" t="s">
        <v>1742</v>
      </c>
      <c r="E245" s="10"/>
      <c r="F245" s="10"/>
      <c r="G245" s="10"/>
      <c r="H245" s="10"/>
      <c r="I245" s="10"/>
      <c r="J245" s="10"/>
      <c r="K245" s="10"/>
      <c r="L245" s="10"/>
    </row>
    <row r="246" spans="2:12">
      <c r="B246" s="10" t="s">
        <v>1743</v>
      </c>
      <c r="C246" s="10" t="s">
        <v>275</v>
      </c>
      <c r="D246" s="10" t="s">
        <v>1744</v>
      </c>
      <c r="E246" s="10"/>
      <c r="F246" s="10"/>
      <c r="G246" s="10"/>
      <c r="H246" s="10"/>
      <c r="I246" s="10"/>
      <c r="J246" s="10"/>
      <c r="K246" s="10"/>
      <c r="L246" s="10"/>
    </row>
    <row r="247" spans="2:12">
      <c r="B247" s="10" t="s">
        <v>1745</v>
      </c>
      <c r="C247" s="10" t="s">
        <v>275</v>
      </c>
      <c r="D247" s="10" t="s">
        <v>1746</v>
      </c>
      <c r="E247" s="10"/>
      <c r="F247" s="10"/>
      <c r="G247" s="10"/>
      <c r="H247" s="10"/>
      <c r="I247" s="10"/>
      <c r="J247" s="10"/>
      <c r="K247" s="10"/>
      <c r="L247" s="10"/>
    </row>
    <row r="248" spans="2:12">
      <c r="B248" s="10" t="s">
        <v>1747</v>
      </c>
      <c r="C248" s="10" t="s">
        <v>275</v>
      </c>
      <c r="D248" s="10" t="s">
        <v>1748</v>
      </c>
      <c r="E248" s="10"/>
      <c r="F248" s="10"/>
      <c r="G248" s="10"/>
      <c r="H248" s="10"/>
      <c r="I248" s="10"/>
      <c r="J248" s="10"/>
      <c r="K248" s="10"/>
      <c r="L248" s="10"/>
    </row>
    <row r="249" spans="2:12">
      <c r="B249" s="10" t="s">
        <v>1749</v>
      </c>
      <c r="C249" s="10" t="s">
        <v>275</v>
      </c>
      <c r="D249" s="10" t="s">
        <v>1750</v>
      </c>
      <c r="E249" s="10"/>
      <c r="F249" s="10"/>
      <c r="G249" s="10"/>
      <c r="H249" s="10"/>
      <c r="I249" s="10"/>
      <c r="J249" s="10"/>
      <c r="K249" s="10"/>
      <c r="L249" s="10"/>
    </row>
    <row r="250" spans="2:12">
      <c r="B250" s="10" t="s">
        <v>1751</v>
      </c>
      <c r="C250" s="10" t="s">
        <v>275</v>
      </c>
      <c r="D250" s="10" t="s">
        <v>1752</v>
      </c>
      <c r="E250" s="10"/>
      <c r="F250" s="10"/>
      <c r="G250" s="10"/>
      <c r="H250" s="10"/>
      <c r="I250" s="10"/>
      <c r="J250" s="10"/>
      <c r="K250" s="10"/>
      <c r="L250" s="10"/>
    </row>
    <row r="251" spans="2:12">
      <c r="B251" s="10" t="s">
        <v>1753</v>
      </c>
      <c r="C251" s="10" t="s">
        <v>240</v>
      </c>
      <c r="D251" s="10" t="s">
        <v>1754</v>
      </c>
      <c r="E251" s="10"/>
      <c r="F251" s="10"/>
      <c r="G251" s="10"/>
      <c r="H251" s="10"/>
      <c r="I251" s="10"/>
      <c r="J251" s="10"/>
      <c r="K251" s="10"/>
      <c r="L251" s="10"/>
    </row>
    <row r="252" spans="2:12">
      <c r="B252" s="10" t="s">
        <v>1755</v>
      </c>
      <c r="C252" s="10" t="s">
        <v>240</v>
      </c>
      <c r="D252" s="10" t="s">
        <v>1420</v>
      </c>
      <c r="E252" s="10"/>
      <c r="F252" s="10"/>
      <c r="G252" s="10"/>
      <c r="H252" s="10"/>
      <c r="I252" s="10"/>
      <c r="J252" s="10"/>
      <c r="K252" s="10"/>
      <c r="L252" s="10"/>
    </row>
    <row r="253" spans="2:12">
      <c r="B253" s="10" t="s">
        <v>1756</v>
      </c>
      <c r="C253" s="10" t="s">
        <v>275</v>
      </c>
      <c r="D253" s="10" t="s">
        <v>1757</v>
      </c>
      <c r="E253" s="10"/>
      <c r="F253" s="10"/>
      <c r="G253" s="10"/>
      <c r="H253" s="10"/>
      <c r="I253" s="10"/>
      <c r="J253" s="10"/>
      <c r="K253" s="10"/>
      <c r="L253" s="10"/>
    </row>
    <row r="254" spans="2:12">
      <c r="B254" s="10" t="s">
        <v>1758</v>
      </c>
      <c r="C254" s="10" t="s">
        <v>275</v>
      </c>
      <c r="D254" s="10" t="s">
        <v>1759</v>
      </c>
      <c r="E254" s="10"/>
      <c r="F254" s="10"/>
      <c r="G254" s="10"/>
      <c r="H254" s="10"/>
      <c r="I254" s="10"/>
      <c r="J254" s="10"/>
      <c r="K254" s="10"/>
      <c r="L254" s="10"/>
    </row>
    <row r="255" spans="2:12">
      <c r="B255" s="10" t="s">
        <v>1760</v>
      </c>
      <c r="C255" s="10" t="s">
        <v>240</v>
      </c>
      <c r="D255" s="10" t="s">
        <v>1761</v>
      </c>
      <c r="E255" s="10"/>
      <c r="F255" s="10"/>
      <c r="G255" s="10"/>
      <c r="H255" s="10"/>
      <c r="I255" s="10"/>
      <c r="J255" s="10"/>
      <c r="K255" s="10"/>
      <c r="L255" s="10"/>
    </row>
    <row r="256" spans="2:12">
      <c r="B256" s="10" t="s">
        <v>1762</v>
      </c>
      <c r="C256" s="10" t="s">
        <v>275</v>
      </c>
      <c r="D256" s="10" t="s">
        <v>1763</v>
      </c>
      <c r="E256" s="10"/>
      <c r="F256" s="10"/>
      <c r="G256" s="10"/>
      <c r="H256" s="10"/>
      <c r="I256" s="10"/>
      <c r="J256" s="10"/>
      <c r="K256" s="10"/>
      <c r="L256" s="10"/>
    </row>
    <row r="257" spans="2:12">
      <c r="B257" s="10" t="s">
        <v>1764</v>
      </c>
      <c r="C257" s="10" t="s">
        <v>240</v>
      </c>
      <c r="D257" s="10" t="s">
        <v>1765</v>
      </c>
      <c r="E257" s="10"/>
      <c r="F257" s="10"/>
      <c r="G257" s="10"/>
      <c r="H257" s="10"/>
      <c r="I257" s="10"/>
      <c r="J257" s="10"/>
      <c r="K257" s="10"/>
      <c r="L257" s="10"/>
    </row>
    <row r="258" spans="2:12">
      <c r="B258" s="10" t="s">
        <v>1766</v>
      </c>
      <c r="C258" s="10" t="s">
        <v>240</v>
      </c>
      <c r="D258" s="10" t="s">
        <v>1767</v>
      </c>
      <c r="E258" s="10"/>
      <c r="F258" s="10"/>
      <c r="G258" s="10"/>
      <c r="H258" s="10"/>
      <c r="I258" s="10"/>
      <c r="J258" s="10"/>
      <c r="K258" s="10"/>
      <c r="L258" s="10"/>
    </row>
    <row r="259" spans="2:12">
      <c r="B259" s="10" t="s">
        <v>1768</v>
      </c>
      <c r="C259" s="10" t="s">
        <v>275</v>
      </c>
      <c r="D259" s="10" t="s">
        <v>1769</v>
      </c>
      <c r="E259" s="10"/>
      <c r="F259" s="10"/>
      <c r="G259" s="10"/>
      <c r="H259" s="10"/>
      <c r="I259" s="10"/>
      <c r="J259" s="10"/>
      <c r="K259" s="10"/>
      <c r="L259" s="10"/>
    </row>
    <row r="260" spans="2:12">
      <c r="B260" s="10" t="s">
        <v>1770</v>
      </c>
      <c r="C260" s="10" t="s">
        <v>275</v>
      </c>
      <c r="D260" s="10" t="s">
        <v>1771</v>
      </c>
      <c r="E260" s="10"/>
      <c r="F260" s="10"/>
      <c r="G260" s="10"/>
      <c r="H260" s="10"/>
      <c r="I260" s="10"/>
      <c r="J260" s="10"/>
      <c r="K260" s="10"/>
      <c r="L260" s="10"/>
    </row>
    <row r="261" spans="2:12">
      <c r="B261" s="10" t="s">
        <v>1272</v>
      </c>
      <c r="C261" s="10" t="s">
        <v>275</v>
      </c>
      <c r="D261" s="10" t="s">
        <v>1772</v>
      </c>
      <c r="E261" s="10"/>
      <c r="F261" s="10"/>
      <c r="G261" s="10"/>
      <c r="H261" s="10"/>
      <c r="I261" s="10"/>
      <c r="J261" s="10"/>
      <c r="K261" s="10"/>
      <c r="L261" s="10"/>
    </row>
    <row r="262" spans="2:12">
      <c r="B262" s="10" t="s">
        <v>1773</v>
      </c>
      <c r="C262" s="10" t="s">
        <v>275</v>
      </c>
      <c r="D262" s="10" t="s">
        <v>1774</v>
      </c>
      <c r="E262" s="10"/>
      <c r="F262" s="10"/>
      <c r="G262" s="10"/>
      <c r="H262" s="10"/>
      <c r="I262" s="10"/>
      <c r="J262" s="10"/>
      <c r="K262" s="10"/>
      <c r="L262" s="10"/>
    </row>
    <row r="263" spans="2:12">
      <c r="B263" s="10" t="s">
        <v>1775</v>
      </c>
      <c r="C263" s="10" t="s">
        <v>275</v>
      </c>
      <c r="D263" s="10" t="s">
        <v>1776</v>
      </c>
      <c r="E263" s="10"/>
      <c r="F263" s="10"/>
      <c r="G263" s="10"/>
      <c r="H263" s="10"/>
      <c r="I263" s="10"/>
      <c r="J263" s="10"/>
      <c r="K263" s="10"/>
      <c r="L263" s="10"/>
    </row>
    <row r="264" spans="2:12">
      <c r="B264" s="10" t="s">
        <v>1777</v>
      </c>
      <c r="C264" s="10" t="s">
        <v>275</v>
      </c>
      <c r="D264" s="10" t="s">
        <v>1778</v>
      </c>
      <c r="E264" s="10"/>
      <c r="F264" s="10"/>
      <c r="G264" s="10"/>
      <c r="H264" s="10"/>
      <c r="I264" s="10"/>
      <c r="J264" s="10"/>
      <c r="K264" s="10"/>
      <c r="L264" s="10"/>
    </row>
    <row r="265" spans="2:12">
      <c r="B265" s="10" t="s">
        <v>1779</v>
      </c>
      <c r="C265" s="10" t="s">
        <v>275</v>
      </c>
      <c r="D265" s="10" t="s">
        <v>1780</v>
      </c>
      <c r="E265" s="10"/>
      <c r="F265" s="10"/>
      <c r="G265" s="10"/>
      <c r="H265" s="10"/>
      <c r="I265" s="10"/>
      <c r="J265" s="10"/>
      <c r="K265" s="10"/>
      <c r="L265" s="10"/>
    </row>
    <row r="266" spans="2:12">
      <c r="B266" s="10" t="s">
        <v>1781</v>
      </c>
      <c r="C266" s="10" t="s">
        <v>275</v>
      </c>
      <c r="D266" s="10" t="s">
        <v>1283</v>
      </c>
      <c r="E266" s="10"/>
      <c r="F266" s="10"/>
      <c r="G266" s="10"/>
      <c r="H266" s="10"/>
      <c r="I266" s="10"/>
      <c r="J266" s="10"/>
      <c r="K266" s="10"/>
      <c r="L266" s="10"/>
    </row>
    <row r="267" spans="2:12">
      <c r="B267" s="10" t="s">
        <v>1782</v>
      </c>
      <c r="C267" s="10" t="s">
        <v>275</v>
      </c>
      <c r="D267" s="10" t="s">
        <v>1783</v>
      </c>
      <c r="E267" s="10"/>
      <c r="F267" s="10"/>
      <c r="G267" s="10"/>
      <c r="H267" s="10"/>
      <c r="I267" s="10"/>
      <c r="J267" s="10"/>
      <c r="K267" s="10"/>
      <c r="L267" s="10"/>
    </row>
    <row r="268" spans="2:12">
      <c r="B268" s="10" t="s">
        <v>1784</v>
      </c>
      <c r="C268" s="10" t="s">
        <v>275</v>
      </c>
      <c r="D268" s="10" t="s">
        <v>1785</v>
      </c>
      <c r="E268" s="10"/>
      <c r="F268" s="10"/>
      <c r="G268" s="10"/>
      <c r="H268" s="10"/>
      <c r="I268" s="10"/>
      <c r="J268" s="10"/>
      <c r="K268" s="10"/>
      <c r="L268" s="10"/>
    </row>
    <row r="269" spans="2:12">
      <c r="B269" s="10" t="s">
        <v>1786</v>
      </c>
      <c r="C269" s="10" t="s">
        <v>275</v>
      </c>
      <c r="D269" s="10" t="s">
        <v>1787</v>
      </c>
      <c r="E269" s="10"/>
      <c r="F269" s="10"/>
      <c r="G269" s="10"/>
      <c r="H269" s="10"/>
      <c r="I269" s="10"/>
      <c r="J269" s="10"/>
      <c r="K269" s="10"/>
      <c r="L269" s="10"/>
    </row>
    <row r="270" spans="2:12">
      <c r="B270" s="10" t="s">
        <v>1788</v>
      </c>
      <c r="C270" s="10" t="s">
        <v>275</v>
      </c>
      <c r="D270" s="10" t="s">
        <v>1789</v>
      </c>
      <c r="E270" s="10"/>
      <c r="F270" s="10"/>
      <c r="G270" s="10"/>
      <c r="H270" s="10"/>
      <c r="I270" s="10"/>
      <c r="J270" s="10"/>
      <c r="K270" s="10"/>
      <c r="L270" s="10"/>
    </row>
    <row r="271" spans="2:12">
      <c r="B271" s="10" t="s">
        <v>1291</v>
      </c>
      <c r="C271" s="10" t="s">
        <v>275</v>
      </c>
      <c r="D271" s="10" t="s">
        <v>1292</v>
      </c>
      <c r="E271" s="10"/>
      <c r="F271" s="10"/>
      <c r="G271" s="10"/>
      <c r="H271" s="10"/>
      <c r="I271" s="10"/>
      <c r="J271" s="10"/>
      <c r="K271" s="10"/>
      <c r="L271" s="10"/>
    </row>
    <row r="272" spans="2:12">
      <c r="B272" s="10" t="s">
        <v>1293</v>
      </c>
      <c r="C272" s="10" t="s">
        <v>275</v>
      </c>
      <c r="D272" s="10" t="s">
        <v>1294</v>
      </c>
      <c r="E272" s="10"/>
      <c r="F272" s="10"/>
      <c r="G272" s="10"/>
      <c r="H272" s="10"/>
      <c r="I272" s="10"/>
      <c r="J272" s="10"/>
      <c r="K272" s="10"/>
      <c r="L272" s="10"/>
    </row>
    <row r="273" spans="2:12">
      <c r="B273" s="10" t="s">
        <v>1790</v>
      </c>
      <c r="C273" s="10" t="s">
        <v>275</v>
      </c>
      <c r="D273" s="10" t="s">
        <v>1791</v>
      </c>
      <c r="E273" s="10"/>
      <c r="F273" s="10"/>
      <c r="G273" s="10"/>
      <c r="H273" s="10"/>
      <c r="I273" s="10"/>
      <c r="J273" s="10"/>
      <c r="K273" s="10"/>
      <c r="L273" s="10"/>
    </row>
    <row r="274" spans="2:12">
      <c r="B274" s="10" t="s">
        <v>1792</v>
      </c>
      <c r="C274" s="10" t="s">
        <v>275</v>
      </c>
      <c r="D274" s="10" t="s">
        <v>1793</v>
      </c>
      <c r="E274" s="10"/>
      <c r="F274" s="10"/>
      <c r="G274" s="10"/>
      <c r="H274" s="10"/>
      <c r="I274" s="10"/>
      <c r="J274" s="10"/>
      <c r="K274" s="10"/>
      <c r="L274" s="10"/>
    </row>
    <row r="275" spans="2:12">
      <c r="B275" s="10" t="s">
        <v>1794</v>
      </c>
      <c r="C275" s="10" t="s">
        <v>275</v>
      </c>
      <c r="D275" s="10" t="s">
        <v>1795</v>
      </c>
      <c r="E275" s="10"/>
      <c r="F275" s="10"/>
      <c r="G275" s="10"/>
      <c r="H275" s="10"/>
      <c r="I275" s="10"/>
      <c r="J275" s="10"/>
      <c r="K275" s="10"/>
      <c r="L275" s="10"/>
    </row>
    <row r="276" spans="2:12">
      <c r="B276" s="10" t="s">
        <v>1796</v>
      </c>
      <c r="C276" s="10" t="s">
        <v>275</v>
      </c>
      <c r="D276" s="10" t="s">
        <v>1797</v>
      </c>
      <c r="E276" s="10"/>
      <c r="F276" s="10"/>
      <c r="G276" s="10"/>
      <c r="H276" s="10"/>
      <c r="I276" s="10"/>
      <c r="J276" s="10"/>
      <c r="K276" s="10"/>
      <c r="L276" s="10"/>
    </row>
    <row r="277" spans="2:12">
      <c r="B277" s="10" t="s">
        <v>1798</v>
      </c>
      <c r="C277" s="10" t="s">
        <v>275</v>
      </c>
      <c r="D277" s="10" t="s">
        <v>1799</v>
      </c>
      <c r="E277" s="10"/>
      <c r="F277" s="10"/>
      <c r="G277" s="10"/>
      <c r="H277" s="10"/>
      <c r="I277" s="10"/>
      <c r="J277" s="10"/>
      <c r="K277" s="10"/>
      <c r="L277" s="10"/>
    </row>
    <row r="278" spans="2:12">
      <c r="B278" s="10" t="s">
        <v>1800</v>
      </c>
      <c r="C278" s="10" t="s">
        <v>275</v>
      </c>
      <c r="D278" s="10" t="s">
        <v>1801</v>
      </c>
      <c r="E278" s="10"/>
      <c r="F278" s="10"/>
      <c r="G278" s="10"/>
      <c r="H278" s="10"/>
      <c r="I278" s="10"/>
      <c r="J278" s="10"/>
      <c r="K278" s="10"/>
      <c r="L278" s="10"/>
    </row>
    <row r="279" spans="2:12">
      <c r="B279" s="10" t="s">
        <v>1802</v>
      </c>
      <c r="C279" s="10" t="s">
        <v>275</v>
      </c>
      <c r="D279" s="10" t="s">
        <v>1803</v>
      </c>
      <c r="E279" s="10"/>
      <c r="F279" s="10"/>
      <c r="G279" s="10"/>
      <c r="H279" s="10"/>
      <c r="I279" s="10"/>
      <c r="J279" s="10"/>
      <c r="K279" s="10"/>
      <c r="L279" s="10"/>
    </row>
    <row r="280" spans="2:12">
      <c r="B280" s="10" t="s">
        <v>1804</v>
      </c>
      <c r="C280" s="10" t="s">
        <v>240</v>
      </c>
      <c r="D280" s="10" t="s">
        <v>1805</v>
      </c>
      <c r="E280" s="10"/>
      <c r="F280" s="10"/>
      <c r="G280" s="10"/>
      <c r="H280" s="10"/>
      <c r="I280" s="10"/>
      <c r="J280" s="10"/>
      <c r="K280" s="10"/>
      <c r="L280" s="10"/>
    </row>
    <row r="281" spans="2:12">
      <c r="B281" s="10" t="s">
        <v>1806</v>
      </c>
      <c r="C281" s="10" t="s">
        <v>275</v>
      </c>
      <c r="D281" s="10" t="s">
        <v>1807</v>
      </c>
      <c r="E281" s="10"/>
      <c r="F281" s="10"/>
      <c r="G281" s="10"/>
      <c r="H281" s="10"/>
      <c r="I281" s="10"/>
      <c r="J281" s="10"/>
      <c r="K281" s="10"/>
      <c r="L281" s="10"/>
    </row>
    <row r="282" spans="2:12">
      <c r="B282" s="10" t="s">
        <v>1808</v>
      </c>
      <c r="C282" s="10" t="s">
        <v>220</v>
      </c>
      <c r="D282" s="10" t="s">
        <v>1809</v>
      </c>
      <c r="E282" s="10"/>
      <c r="F282" s="10"/>
      <c r="G282" s="10"/>
      <c r="H282" s="10"/>
      <c r="I282" s="10"/>
      <c r="J282" s="10"/>
      <c r="K282" s="10"/>
      <c r="L282" s="10"/>
    </row>
    <row r="283" spans="2:12">
      <c r="B283" s="10" t="s">
        <v>1810</v>
      </c>
      <c r="C283" s="10" t="s">
        <v>216</v>
      </c>
      <c r="D283" s="10" t="s">
        <v>1810</v>
      </c>
      <c r="E283" s="10"/>
      <c r="F283" s="10"/>
      <c r="G283" s="10"/>
      <c r="H283" s="10"/>
      <c r="I283" s="10"/>
      <c r="J283" s="10"/>
      <c r="K283" s="10"/>
      <c r="L283" s="10"/>
    </row>
    <row r="284" spans="2:12">
      <c r="B284" s="10" t="s">
        <v>1811</v>
      </c>
      <c r="C284" s="10" t="s">
        <v>216</v>
      </c>
      <c r="D284" s="10" t="s">
        <v>1811</v>
      </c>
      <c r="E284" s="10"/>
      <c r="F284" s="10"/>
      <c r="G284" s="10"/>
      <c r="H284" s="10"/>
      <c r="I284" s="10"/>
      <c r="J284" s="10"/>
      <c r="K284" s="10"/>
      <c r="L284" s="10"/>
    </row>
    <row r="285" spans="2:12">
      <c r="B285" s="10" t="s">
        <v>1812</v>
      </c>
      <c r="C285" s="10" t="s">
        <v>216</v>
      </c>
      <c r="D285" s="10" t="s">
        <v>1159</v>
      </c>
      <c r="E285" s="10"/>
      <c r="F285" s="10"/>
      <c r="G285" s="10"/>
      <c r="H285" s="10"/>
      <c r="I285" s="10"/>
      <c r="J285" s="10"/>
      <c r="K285" s="10"/>
      <c r="L285" s="10"/>
    </row>
    <row r="286" spans="2:12">
      <c r="B286" s="10" t="s">
        <v>1069</v>
      </c>
      <c r="C286" s="10" t="s">
        <v>216</v>
      </c>
      <c r="D286" s="10" t="s">
        <v>1069</v>
      </c>
      <c r="E286" s="10"/>
      <c r="F286" s="10"/>
      <c r="G286" s="10"/>
      <c r="H286" s="10"/>
      <c r="I286" s="10"/>
      <c r="J286" s="10"/>
      <c r="K286" s="10"/>
      <c r="L286" s="10"/>
    </row>
    <row r="287" spans="2:12">
      <c r="B287" s="10" t="s">
        <v>1053</v>
      </c>
      <c r="C287" s="10" t="s">
        <v>216</v>
      </c>
      <c r="D287" s="10" t="s">
        <v>1053</v>
      </c>
      <c r="E287" s="10"/>
      <c r="F287" s="10"/>
      <c r="G287" s="10"/>
      <c r="H287" s="10"/>
      <c r="I287" s="10"/>
      <c r="J287" s="10"/>
      <c r="K287" s="10"/>
      <c r="L287" s="10"/>
    </row>
    <row r="288" spans="2:12">
      <c r="B288" s="10" t="s">
        <v>1289</v>
      </c>
      <c r="C288" s="10" t="s">
        <v>216</v>
      </c>
      <c r="D288" s="10" t="s">
        <v>1813</v>
      </c>
      <c r="E288" s="10"/>
      <c r="F288" s="10"/>
      <c r="G288" s="10"/>
      <c r="H288" s="10"/>
      <c r="I288" s="10"/>
      <c r="J288" s="10"/>
      <c r="K288" s="10"/>
      <c r="L288" s="10"/>
    </row>
    <row r="289" s="36" customFormat="1" spans="1:12">
      <c r="A289" s="41"/>
      <c r="B289" s="29" t="s">
        <v>1814</v>
      </c>
      <c r="C289" s="29" t="s">
        <v>275</v>
      </c>
      <c r="D289" s="29" t="s">
        <v>1815</v>
      </c>
      <c r="E289" s="29"/>
      <c r="F289" s="29"/>
      <c r="G289" s="29" t="s">
        <v>1816</v>
      </c>
      <c r="H289" s="29"/>
      <c r="I289" s="29" t="s">
        <v>1211</v>
      </c>
      <c r="J289" s="29" t="s">
        <v>345</v>
      </c>
      <c r="K289" s="29" t="s">
        <v>323</v>
      </c>
      <c r="L289" s="29" t="s">
        <v>339</v>
      </c>
    </row>
    <row r="290" s="36" customFormat="1" spans="1:12">
      <c r="A290" s="41"/>
      <c r="B290" s="29" t="s">
        <v>1817</v>
      </c>
      <c r="C290" s="29" t="s">
        <v>216</v>
      </c>
      <c r="D290" s="29" t="s">
        <v>1818</v>
      </c>
      <c r="E290" s="29"/>
      <c r="F290" s="29"/>
      <c r="G290" s="29" t="s">
        <v>1819</v>
      </c>
      <c r="H290" s="29"/>
      <c r="I290" s="29" t="s">
        <v>1211</v>
      </c>
      <c r="J290" s="29" t="s">
        <v>345</v>
      </c>
      <c r="K290" s="29" t="s">
        <v>323</v>
      </c>
      <c r="L290" s="29" t="s">
        <v>323</v>
      </c>
    </row>
    <row r="291" s="36" customFormat="1" spans="1:12">
      <c r="A291" s="41"/>
      <c r="B291" s="29" t="s">
        <v>1820</v>
      </c>
      <c r="C291" s="29" t="s">
        <v>216</v>
      </c>
      <c r="D291" s="29" t="s">
        <v>1821</v>
      </c>
      <c r="E291" s="29"/>
      <c r="F291" s="29"/>
      <c r="G291" s="29" t="s">
        <v>1822</v>
      </c>
      <c r="H291" s="29"/>
      <c r="I291" s="29" t="s">
        <v>1211</v>
      </c>
      <c r="J291" s="29" t="s">
        <v>345</v>
      </c>
      <c r="K291" s="29" t="s">
        <v>323</v>
      </c>
      <c r="L291" s="29" t="s">
        <v>323</v>
      </c>
    </row>
    <row r="292" s="2" customFormat="1" spans="1:12">
      <c r="A292" s="21"/>
      <c r="B292" s="22" t="s">
        <v>252</v>
      </c>
      <c r="C292" s="22" t="s">
        <v>220</v>
      </c>
      <c r="D292" s="22" t="s">
        <v>254</v>
      </c>
      <c r="E292" s="22"/>
      <c r="F292" s="22"/>
      <c r="G292" s="22"/>
      <c r="H292" s="22"/>
      <c r="I292" s="22"/>
      <c r="J292" s="22"/>
      <c r="K292" s="22"/>
      <c r="L292" s="22"/>
    </row>
    <row r="293" s="2" customFormat="1" spans="1:12">
      <c r="A293" s="21"/>
      <c r="B293" s="22" t="s">
        <v>1298</v>
      </c>
      <c r="C293" s="22" t="s">
        <v>216</v>
      </c>
      <c r="D293" s="22" t="s">
        <v>1823</v>
      </c>
      <c r="E293" s="22"/>
      <c r="F293" s="22"/>
      <c r="G293" s="22"/>
      <c r="H293" s="22"/>
      <c r="I293" s="22"/>
      <c r="J293" s="22"/>
      <c r="K293" s="22"/>
      <c r="L293" s="22"/>
    </row>
    <row r="294" s="2" customFormat="1" spans="1:12">
      <c r="A294" s="21"/>
      <c r="B294" s="22" t="s">
        <v>1299</v>
      </c>
      <c r="C294" s="22" t="s">
        <v>216</v>
      </c>
      <c r="D294" s="22" t="s">
        <v>258</v>
      </c>
      <c r="E294" s="22"/>
      <c r="F294" s="22"/>
      <c r="G294" s="22"/>
      <c r="H294" s="22"/>
      <c r="I294" s="22"/>
      <c r="J294" s="22"/>
      <c r="K294" s="22"/>
      <c r="L294" s="22"/>
    </row>
  </sheetData>
  <autoFilter xmlns:etc="http://www.wps.cn/officeDocument/2017/etCustomData" ref="A15:N294"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zoomScale="85" zoomScaleNormal="85" workbookViewId="0">
      <pane ySplit="5" topLeftCell="A14" activePane="bottomLeft" state="frozen"/>
      <selection/>
      <selection pane="bottomLeft" activeCell="N16" sqref="N1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74</v>
      </c>
      <c r="D5" s="10" t="s">
        <v>75</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71</v>
      </c>
      <c r="D9" s="35" t="s">
        <v>72</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c r="J16" s="23" t="s">
        <v>322</v>
      </c>
      <c r="K16" s="23" t="s">
        <v>323</v>
      </c>
      <c r="L16" s="23" t="s">
        <v>323</v>
      </c>
      <c r="M16" s="1" t="str">
        <f>_xlfn.CONCAT(F16," as ",B16)</f>
        <v>p_date as day</v>
      </c>
      <c r="N16" s="16" t="str">
        <f>_xlfn.CONCAT("`",B16,"` ",C16,",")</f>
        <v>`day` string,</v>
      </c>
    </row>
    <row r="17" s="1" customFormat="1" spans="2:14">
      <c r="B17" s="19" t="s">
        <v>1026</v>
      </c>
      <c r="C17" s="19" t="s">
        <v>220</v>
      </c>
      <c r="D17" s="10" t="s">
        <v>66</v>
      </c>
      <c r="E17" s="20" t="s">
        <v>199</v>
      </c>
      <c r="F17" s="19" t="s">
        <v>257</v>
      </c>
      <c r="G17" s="19" t="s">
        <v>218</v>
      </c>
      <c r="H17" s="20"/>
      <c r="I17" s="23"/>
      <c r="J17" s="23" t="s">
        <v>322</v>
      </c>
      <c r="K17" s="23" t="s">
        <v>323</v>
      </c>
      <c r="L17" s="23" t="s">
        <v>323</v>
      </c>
      <c r="M17" s="1" t="str">
        <f t="shared" ref="M17:M34" si="0">_xlfn.CONCAT(F17," as ",B17)</f>
        <v>p_hour as hour</v>
      </c>
      <c r="N17" s="16" t="str">
        <f t="shared" ref="N17:N37" si="1">_xlfn.CONCAT("`",B17,"` ",C17,",")</f>
        <v>`hour` int,</v>
      </c>
    </row>
    <row r="18" s="1" customFormat="1" spans="2:14">
      <c r="B18" s="19" t="s">
        <v>1830</v>
      </c>
      <c r="C18" s="19" t="s">
        <v>220</v>
      </c>
      <c r="D18" s="10" t="s">
        <v>1831</v>
      </c>
      <c r="E18" s="20" t="s">
        <v>199</v>
      </c>
      <c r="F18" s="19" t="s">
        <v>252</v>
      </c>
      <c r="G18" s="19" t="s">
        <v>218</v>
      </c>
      <c r="H18" s="20"/>
      <c r="I18" s="23"/>
      <c r="J18" s="23" t="s">
        <v>322</v>
      </c>
      <c r="K18" s="23" t="s">
        <v>323</v>
      </c>
      <c r="L18" s="23" t="s">
        <v>323</v>
      </c>
      <c r="M18" s="1" t="str">
        <f t="shared" si="0"/>
        <v>p_provincecode as provincecode</v>
      </c>
      <c r="N18" s="16" t="str">
        <f t="shared" si="1"/>
        <v>`provincecode` int,</v>
      </c>
    </row>
    <row r="19" s="1" customFormat="1" spans="2:14">
      <c r="B19" s="19" t="s">
        <v>1832</v>
      </c>
      <c r="C19" s="19" t="s">
        <v>220</v>
      </c>
      <c r="D19" s="10" t="s">
        <v>1833</v>
      </c>
      <c r="E19" s="20" t="s">
        <v>199</v>
      </c>
      <c r="F19" s="19" t="s">
        <v>1318</v>
      </c>
      <c r="G19" s="19" t="s">
        <v>218</v>
      </c>
      <c r="H19" s="20"/>
      <c r="I19" s="23"/>
      <c r="J19" s="23" t="s">
        <v>322</v>
      </c>
      <c r="K19" s="23" t="s">
        <v>323</v>
      </c>
      <c r="L19" s="23" t="s">
        <v>323</v>
      </c>
      <c r="M19" s="1" t="str">
        <f t="shared" si="0"/>
        <v>city as citycode</v>
      </c>
      <c r="N19" s="16" t="str">
        <f t="shared" si="1"/>
        <v>`citycode` int,</v>
      </c>
    </row>
    <row r="20" s="1" customFormat="1" spans="2:14">
      <c r="B20" s="19" t="s">
        <v>1834</v>
      </c>
      <c r="C20" s="19" t="s">
        <v>220</v>
      </c>
      <c r="D20" s="10" t="s">
        <v>1835</v>
      </c>
      <c r="E20" s="20" t="s">
        <v>199</v>
      </c>
      <c r="F20" s="19" t="s">
        <v>1064</v>
      </c>
      <c r="G20" s="19" t="s">
        <v>218</v>
      </c>
      <c r="H20" s="20"/>
      <c r="I20" s="23"/>
      <c r="J20" s="23" t="s">
        <v>322</v>
      </c>
      <c r="K20" s="23" t="s">
        <v>323</v>
      </c>
      <c r="L20" s="23" t="s">
        <v>323</v>
      </c>
      <c r="M20" s="1" t="str">
        <f t="shared" si="0"/>
        <v>area as districtcode</v>
      </c>
      <c r="N20" s="16" t="str">
        <f t="shared" si="1"/>
        <v>`districtcode` int,</v>
      </c>
    </row>
    <row r="21" s="1" customFormat="1" spans="2:14">
      <c r="B21" s="19" t="s">
        <v>1836</v>
      </c>
      <c r="C21" s="19" t="s">
        <v>216</v>
      </c>
      <c r="D21" s="10" t="s">
        <v>1837</v>
      </c>
      <c r="E21" s="20" t="s">
        <v>199</v>
      </c>
      <c r="F21" s="10" t="s">
        <v>1838</v>
      </c>
      <c r="G21" s="10" t="s">
        <v>1838</v>
      </c>
      <c r="H21" s="20"/>
      <c r="I21" s="23"/>
      <c r="J21" s="23" t="s">
        <v>322</v>
      </c>
      <c r="K21" s="23" t="s">
        <v>323</v>
      </c>
      <c r="L21" s="23" t="s">
        <v>323</v>
      </c>
      <c r="M21" s="1" t="str">
        <f t="shared" si="0"/>
        <v>concat_ws("_",nodebid,cellid) as cellkey</v>
      </c>
      <c r="N21" s="16" t="str">
        <f t="shared" si="1"/>
        <v>`cellkey` string,</v>
      </c>
    </row>
    <row r="22" s="1" customFormat="1" spans="2:14">
      <c r="B22" s="19" t="s">
        <v>224</v>
      </c>
      <c r="C22" s="19" t="s">
        <v>216</v>
      </c>
      <c r="D22" s="10" t="s">
        <v>292</v>
      </c>
      <c r="E22" s="20" t="s">
        <v>199</v>
      </c>
      <c r="F22" s="19" t="s">
        <v>1310</v>
      </c>
      <c r="G22" s="19" t="s">
        <v>218</v>
      </c>
      <c r="H22" s="20"/>
      <c r="I22" s="23"/>
      <c r="J22" s="23" t="s">
        <v>322</v>
      </c>
      <c r="K22" s="23" t="s">
        <v>323</v>
      </c>
      <c r="L22" s="23" t="s">
        <v>323</v>
      </c>
      <c r="M22" s="1" t="str">
        <f t="shared" si="0"/>
        <v>imsi_supi as imsi</v>
      </c>
      <c r="N22" s="16" t="str">
        <f t="shared" si="1"/>
        <v>`imsi` string,</v>
      </c>
    </row>
    <row r="23" s="1" customFormat="1" spans="2:14">
      <c r="B23" s="19" t="s">
        <v>267</v>
      </c>
      <c r="C23" s="19" t="s">
        <v>216</v>
      </c>
      <c r="D23" s="10" t="s">
        <v>294</v>
      </c>
      <c r="E23" s="20" t="s">
        <v>199</v>
      </c>
      <c r="F23" s="19" t="s">
        <v>267</v>
      </c>
      <c r="G23" s="19" t="s">
        <v>218</v>
      </c>
      <c r="H23" s="20"/>
      <c r="I23" s="23"/>
      <c r="J23" s="23" t="s">
        <v>322</v>
      </c>
      <c r="K23" s="23" t="s">
        <v>323</v>
      </c>
      <c r="L23" s="23" t="s">
        <v>323</v>
      </c>
      <c r="M23" s="1" t="str">
        <f t="shared" si="0"/>
        <v>msisdn as msisdn</v>
      </c>
      <c r="N23" s="16" t="str">
        <f t="shared" si="1"/>
        <v>`msisdn` string,</v>
      </c>
    </row>
    <row r="24" s="1" customFormat="1" spans="2:14">
      <c r="B24" s="19" t="s">
        <v>1053</v>
      </c>
      <c r="C24" s="19" t="s">
        <v>216</v>
      </c>
      <c r="D24" s="10" t="s">
        <v>1839</v>
      </c>
      <c r="E24" s="20" t="s">
        <v>199</v>
      </c>
      <c r="F24" s="19" t="s">
        <v>1053</v>
      </c>
      <c r="G24" s="19" t="s">
        <v>218</v>
      </c>
      <c r="H24" s="20"/>
      <c r="I24" s="23"/>
      <c r="J24" s="23" t="s">
        <v>322</v>
      </c>
      <c r="K24" s="23" t="s">
        <v>323</v>
      </c>
      <c r="L24" s="23" t="s">
        <v>323</v>
      </c>
      <c r="M24" s="1" t="str">
        <f t="shared" si="0"/>
        <v>imei as imei</v>
      </c>
      <c r="N24" s="16" t="str">
        <f t="shared" si="1"/>
        <v>`imei` string,</v>
      </c>
    </row>
    <row r="25" s="1" customFormat="1" spans="2:14">
      <c r="B25" s="19" t="s">
        <v>1313</v>
      </c>
      <c r="C25" s="19" t="s">
        <v>216</v>
      </c>
      <c r="D25" s="10" t="s">
        <v>1314</v>
      </c>
      <c r="E25" s="20" t="s">
        <v>199</v>
      </c>
      <c r="F25" s="19" t="s">
        <v>1313</v>
      </c>
      <c r="G25" s="19" t="s">
        <v>218</v>
      </c>
      <c r="H25" s="20"/>
      <c r="I25" s="23"/>
      <c r="J25" s="23" t="s">
        <v>322</v>
      </c>
      <c r="K25" s="23" t="s">
        <v>323</v>
      </c>
      <c r="L25" s="23" t="s">
        <v>323</v>
      </c>
      <c r="M25" s="1" t="str">
        <f t="shared" si="0"/>
        <v>servicetype as servicetype</v>
      </c>
      <c r="N25" s="16" t="str">
        <f t="shared" si="1"/>
        <v>`servicetype` string,</v>
      </c>
    </row>
    <row r="26" s="1" customFormat="1" spans="2:14">
      <c r="B26" s="19" t="s">
        <v>1840</v>
      </c>
      <c r="C26" s="19" t="s">
        <v>216</v>
      </c>
      <c r="D26" s="10" t="s">
        <v>1841</v>
      </c>
      <c r="E26" s="20" t="s">
        <v>199</v>
      </c>
      <c r="F26" s="19" t="s">
        <v>1842</v>
      </c>
      <c r="G26" s="19" t="s">
        <v>1842</v>
      </c>
      <c r="H26" s="20"/>
      <c r="I26" s="23"/>
      <c r="J26" s="23" t="s">
        <v>322</v>
      </c>
      <c r="K26" s="23" t="s">
        <v>323</v>
      </c>
      <c r="L26" s="23" t="s">
        <v>323</v>
      </c>
      <c r="M26" s="1" t="str">
        <f t="shared" si="0"/>
        <v>substr(servicetype,1,2) as app_type</v>
      </c>
      <c r="N26" s="16" t="str">
        <f t="shared" si="1"/>
        <v>`app_type` string,</v>
      </c>
    </row>
    <row r="27" s="1" customFormat="1" spans="2:14">
      <c r="B27" s="19" t="s">
        <v>1843</v>
      </c>
      <c r="C27" s="19" t="s">
        <v>216</v>
      </c>
      <c r="D27" s="10" t="s">
        <v>1844</v>
      </c>
      <c r="E27" s="20" t="s">
        <v>202</v>
      </c>
      <c r="F27" s="19" t="s">
        <v>1845</v>
      </c>
      <c r="G27" s="19" t="s">
        <v>218</v>
      </c>
      <c r="H27" s="20"/>
      <c r="I27" s="23"/>
      <c r="J27" s="23" t="s">
        <v>322</v>
      </c>
      <c r="K27" s="23" t="s">
        <v>323</v>
      </c>
      <c r="L27" s="23" t="s">
        <v>323</v>
      </c>
      <c r="M27" s="1" t="str">
        <f t="shared" si="0"/>
        <v>servicetype_name as app_name</v>
      </c>
      <c r="N27" s="16" t="str">
        <f t="shared" si="1"/>
        <v>`app_name` string,</v>
      </c>
    </row>
    <row r="28" s="1" customFormat="1" spans="2:14">
      <c r="B28" s="19" t="s">
        <v>1817</v>
      </c>
      <c r="C28" s="19" t="s">
        <v>216</v>
      </c>
      <c r="D28" s="10" t="s">
        <v>1818</v>
      </c>
      <c r="E28" s="20" t="s">
        <v>199</v>
      </c>
      <c r="F28" s="19" t="s">
        <v>1846</v>
      </c>
      <c r="G28" s="19" t="s">
        <v>1846</v>
      </c>
      <c r="H28" s="20"/>
      <c r="I28" s="23"/>
      <c r="J28" s="23" t="s">
        <v>345</v>
      </c>
      <c r="K28" s="23" t="s">
        <v>323</v>
      </c>
      <c r="L28" s="23" t="s">
        <v>323</v>
      </c>
      <c r="M28" s="1" t="str">
        <f t="shared" si="0"/>
        <v>min(min_starttime) as min_starttime</v>
      </c>
      <c r="N28" s="16" t="str">
        <f t="shared" si="1"/>
        <v>`min_starttime` string,</v>
      </c>
    </row>
    <row r="29" s="1" customFormat="1" spans="2:14">
      <c r="B29" s="19" t="s">
        <v>1820</v>
      </c>
      <c r="C29" s="19" t="s">
        <v>216</v>
      </c>
      <c r="D29" s="10" t="s">
        <v>1821</v>
      </c>
      <c r="E29" s="20" t="s">
        <v>199</v>
      </c>
      <c r="F29" s="19" t="s">
        <v>1847</v>
      </c>
      <c r="G29" s="19" t="s">
        <v>1847</v>
      </c>
      <c r="H29" s="20"/>
      <c r="I29" s="23"/>
      <c r="J29" s="23" t="s">
        <v>345</v>
      </c>
      <c r="K29" s="23" t="s">
        <v>323</v>
      </c>
      <c r="L29" s="23" t="s">
        <v>323</v>
      </c>
      <c r="M29" s="1" t="str">
        <f t="shared" si="0"/>
        <v>max(max_endtime) as max_endtime</v>
      </c>
      <c r="N29" s="16" t="str">
        <f t="shared" si="1"/>
        <v>`max_endtime` string,</v>
      </c>
    </row>
    <row r="30" s="1" customFormat="1" spans="2:14">
      <c r="B30" s="19" t="s">
        <v>1848</v>
      </c>
      <c r="C30" s="19" t="s">
        <v>275</v>
      </c>
      <c r="D30" s="10" t="s">
        <v>1849</v>
      </c>
      <c r="E30" s="20" t="s">
        <v>199</v>
      </c>
      <c r="F30" s="19" t="s">
        <v>1850</v>
      </c>
      <c r="G30" s="19" t="s">
        <v>1850</v>
      </c>
      <c r="H30" s="20"/>
      <c r="I30" s="23"/>
      <c r="J30" s="23" t="s">
        <v>345</v>
      </c>
      <c r="K30" s="23" t="s">
        <v>323</v>
      </c>
      <c r="L30" s="23" t="s">
        <v>339</v>
      </c>
      <c r="M30" s="1" t="str">
        <f t="shared" si="0"/>
        <v>sum(videoplayrequestcount) as total_cnt</v>
      </c>
      <c r="N30" s="16" t="str">
        <f t="shared" si="1"/>
        <v>`total_cnt` bigint,</v>
      </c>
    </row>
    <row r="31" s="1" customFormat="1" spans="2:14">
      <c r="B31" s="19" t="s">
        <v>1814</v>
      </c>
      <c r="C31" s="19" t="s">
        <v>275</v>
      </c>
      <c r="D31" s="10" t="s">
        <v>1851</v>
      </c>
      <c r="E31" s="20" t="s">
        <v>199</v>
      </c>
      <c r="F31" s="19" t="s">
        <v>1852</v>
      </c>
      <c r="G31" s="19" t="s">
        <v>1852</v>
      </c>
      <c r="H31" s="20"/>
      <c r="I31" s="23"/>
      <c r="J31" s="23" t="s">
        <v>345</v>
      </c>
      <c r="K31" s="23" t="s">
        <v>323</v>
      </c>
      <c r="L31" s="23" t="s">
        <v>339</v>
      </c>
      <c r="M31" s="1" t="str">
        <f t="shared" si="0"/>
        <v>sum(abnormal_cnt) as abnormal_cnt</v>
      </c>
      <c r="N31" s="16" t="str">
        <f t="shared" si="1"/>
        <v>`abnormal_cnt` bigint,</v>
      </c>
    </row>
    <row r="32" s="1" customFormat="1" ht="26.4" spans="2:14">
      <c r="B32" s="19" t="s">
        <v>1853</v>
      </c>
      <c r="C32" s="19" t="s">
        <v>240</v>
      </c>
      <c r="D32" s="10" t="s">
        <v>1854</v>
      </c>
      <c r="E32" s="20" t="s">
        <v>199</v>
      </c>
      <c r="F32" s="19" t="s">
        <v>1855</v>
      </c>
      <c r="G32" s="19" t="s">
        <v>1855</v>
      </c>
      <c r="H32" s="20"/>
      <c r="I32" s="23"/>
      <c r="J32" s="23" t="s">
        <v>345</v>
      </c>
      <c r="K32" s="23" t="s">
        <v>323</v>
      </c>
      <c r="L32" s="23" t="s">
        <v>1856</v>
      </c>
      <c r="M32" s="1" t="str">
        <f t="shared" si="0"/>
        <v>sum(abnormal_cnt)/sum(videoplayrequestcount) as abnormal_rate</v>
      </c>
      <c r="N32" s="16" t="str">
        <f t="shared" si="1"/>
        <v>`abnormal_rate` double,</v>
      </c>
    </row>
    <row r="33" s="1" customFormat="1" spans="2:14">
      <c r="B33" s="19" t="s">
        <v>1170</v>
      </c>
      <c r="C33" s="19" t="s">
        <v>275</v>
      </c>
      <c r="D33" s="10" t="s">
        <v>1857</v>
      </c>
      <c r="E33" s="20" t="s">
        <v>199</v>
      </c>
      <c r="F33" s="19" t="s">
        <v>1858</v>
      </c>
      <c r="G33" s="19" t="s">
        <v>1858</v>
      </c>
      <c r="H33" s="20"/>
      <c r="I33" s="23"/>
      <c r="J33" s="23" t="s">
        <v>345</v>
      </c>
      <c r="K33" s="23" t="s">
        <v>1859</v>
      </c>
      <c r="L33" s="23" t="s">
        <v>339</v>
      </c>
      <c r="M33" s="1" t="str">
        <f t="shared" si="0"/>
        <v>sum(duration_sum) as duration</v>
      </c>
      <c r="N33" s="16" t="str">
        <f t="shared" si="1"/>
        <v>`duration` bigint,</v>
      </c>
    </row>
    <row r="34" s="1" customFormat="1" ht="26.4" spans="2:14">
      <c r="B34" s="19" t="s">
        <v>1860</v>
      </c>
      <c r="C34" s="19" t="s">
        <v>275</v>
      </c>
      <c r="D34" s="10" t="s">
        <v>1861</v>
      </c>
      <c r="E34" s="20" t="s">
        <v>199</v>
      </c>
      <c r="F34" s="19" t="s">
        <v>1862</v>
      </c>
      <c r="G34" s="19" t="s">
        <v>1862</v>
      </c>
      <c r="H34" s="20"/>
      <c r="I34" s="23"/>
      <c r="J34" s="23" t="s">
        <v>345</v>
      </c>
      <c r="K34" s="23" t="s">
        <v>1863</v>
      </c>
      <c r="L34" s="23" t="s">
        <v>339</v>
      </c>
      <c r="M34" s="1" t="str">
        <f t="shared" si="0"/>
        <v>sum(outputoctets_sum+inputoctets_sum) as flux</v>
      </c>
      <c r="N34" s="16" t="str">
        <f t="shared" si="1"/>
        <v>`flux` bigint,</v>
      </c>
    </row>
    <row r="35" s="2" customFormat="1" spans="1:14">
      <c r="A35" s="21"/>
      <c r="B35" s="22" t="s">
        <v>252</v>
      </c>
      <c r="C35" s="22" t="s">
        <v>220</v>
      </c>
      <c r="D35" s="22" t="s">
        <v>254</v>
      </c>
      <c r="E35" s="22"/>
      <c r="F35" s="22"/>
      <c r="G35" s="22"/>
      <c r="H35" s="22"/>
      <c r="I35" s="22"/>
      <c r="J35" s="22"/>
      <c r="K35" s="22"/>
      <c r="L35" s="22"/>
      <c r="N35" s="16" t="str">
        <f t="shared" si="1"/>
        <v>`p_provincecode` int,</v>
      </c>
    </row>
    <row r="36" s="2" customFormat="1" spans="1:14">
      <c r="A36" s="21"/>
      <c r="B36" s="22" t="s">
        <v>255</v>
      </c>
      <c r="C36" s="22" t="s">
        <v>216</v>
      </c>
      <c r="D36" s="22" t="s">
        <v>256</v>
      </c>
      <c r="E36" s="22"/>
      <c r="F36" s="22"/>
      <c r="G36" s="22"/>
      <c r="H36" s="22"/>
      <c r="I36" s="22"/>
      <c r="J36" s="22"/>
      <c r="K36" s="22"/>
      <c r="L36" s="22"/>
      <c r="N36" s="16" t="str">
        <f t="shared" si="1"/>
        <v>`p_date` string,</v>
      </c>
    </row>
    <row r="37" s="2" customFormat="1" spans="1:14">
      <c r="A37" s="21"/>
      <c r="B37" s="22" t="s">
        <v>257</v>
      </c>
      <c r="C37" s="22" t="s">
        <v>220</v>
      </c>
      <c r="D37" s="22" t="s">
        <v>258</v>
      </c>
      <c r="E37" s="22"/>
      <c r="F37" s="22"/>
      <c r="G37" s="22"/>
      <c r="H37" s="22"/>
      <c r="I37" s="22"/>
      <c r="J37" s="22"/>
      <c r="K37" s="22"/>
      <c r="L37" s="22"/>
      <c r="N37" s="16" t="str">
        <f t="shared" si="1"/>
        <v>`p_hour` int,</v>
      </c>
    </row>
  </sheetData>
  <autoFilter xmlns:etc="http://www.wps.cn/officeDocument/2017/etCustomData" ref="A15:N37"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2"/>
  <sheetViews>
    <sheetView zoomScale="85" zoomScaleNormal="85" workbookViewId="0">
      <pane ySplit="5" topLeftCell="A70" activePane="bottomLeft" state="frozen"/>
      <selection/>
      <selection pane="bottomLeft" activeCell="A1" sqref="A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0.2222222222222"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77</v>
      </c>
      <c r="D5" s="35" t="s">
        <v>78</v>
      </c>
      <c r="E5" s="11" t="s">
        <v>1864</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1865</v>
      </c>
      <c r="D9" s="35" t="s">
        <v>1866</v>
      </c>
      <c r="E9" s="11" t="s">
        <v>199</v>
      </c>
      <c r="F9" s="11"/>
      <c r="G9" s="13"/>
      <c r="H9" s="15"/>
    </row>
    <row r="10" spans="2:8">
      <c r="B10" s="11"/>
      <c r="C10" s="10" t="s">
        <v>1029</v>
      </c>
      <c r="D10" s="10" t="s">
        <v>1030</v>
      </c>
      <c r="E10" s="11" t="s">
        <v>202</v>
      </c>
      <c r="F10" s="11"/>
      <c r="G10" s="52" t="s">
        <v>1031</v>
      </c>
      <c r="H10" s="15"/>
    </row>
    <row r="11" spans="2:8">
      <c r="B11" s="11"/>
      <c r="C11" s="10" t="s">
        <v>1032</v>
      </c>
      <c r="D11" s="10" t="s">
        <v>1033</v>
      </c>
      <c r="E11" s="11" t="s">
        <v>1034</v>
      </c>
      <c r="F11" s="38"/>
      <c r="G11" s="53"/>
      <c r="H11" s="11"/>
    </row>
    <row r="12" spans="3:7">
      <c r="C12" s="84" t="s">
        <v>1867</v>
      </c>
      <c r="G12" s="17"/>
    </row>
    <row r="13" spans="2:2">
      <c r="B13" s="3" t="s">
        <v>204</v>
      </c>
    </row>
    <row r="14" spans="2:12">
      <c r="B14" s="7" t="s">
        <v>204</v>
      </c>
      <c r="C14" s="7"/>
      <c r="D14" s="7"/>
      <c r="E14" s="7"/>
      <c r="F14" s="7"/>
      <c r="G14" s="7"/>
      <c r="H14" s="7"/>
      <c r="I14" s="7"/>
      <c r="J14" s="7"/>
      <c r="K14" s="7"/>
      <c r="L14" s="7"/>
    </row>
    <row r="15" ht="24"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1302</v>
      </c>
      <c r="C16" s="32" t="s">
        <v>216</v>
      </c>
      <c r="D16" s="10" t="s">
        <v>1868</v>
      </c>
      <c r="E16" s="54"/>
      <c r="F16" s="39"/>
      <c r="G16" s="39"/>
      <c r="H16" s="55"/>
      <c r="I16" s="56"/>
      <c r="J16" s="56"/>
      <c r="K16" s="56"/>
      <c r="L16" s="56"/>
    </row>
    <row r="17" s="1" customFormat="1" spans="2:12">
      <c r="B17" s="32" t="s">
        <v>224</v>
      </c>
      <c r="C17" s="32" t="s">
        <v>216</v>
      </c>
      <c r="D17" s="10" t="s">
        <v>1869</v>
      </c>
      <c r="E17" s="54"/>
      <c r="F17" s="39"/>
      <c r="G17" s="39"/>
      <c r="H17" s="55"/>
      <c r="I17" s="56"/>
      <c r="J17" s="56"/>
      <c r="K17" s="56"/>
      <c r="L17" s="56"/>
    </row>
    <row r="18" s="1" customFormat="1" spans="2:12">
      <c r="B18" s="32" t="s">
        <v>267</v>
      </c>
      <c r="C18" s="32" t="s">
        <v>216</v>
      </c>
      <c r="D18" s="10" t="s">
        <v>294</v>
      </c>
      <c r="E18" s="54"/>
      <c r="F18" s="39"/>
      <c r="G18" s="39"/>
      <c r="H18" s="55"/>
      <c r="I18" s="56"/>
      <c r="J18" s="56"/>
      <c r="K18" s="56"/>
      <c r="L18" s="56"/>
    </row>
    <row r="19" s="1" customFormat="1" spans="1:12">
      <c r="A19" s="40"/>
      <c r="B19" s="32" t="s">
        <v>1053</v>
      </c>
      <c r="C19" s="32" t="s">
        <v>216</v>
      </c>
      <c r="D19" s="10" t="s">
        <v>1870</v>
      </c>
      <c r="E19" s="54"/>
      <c r="F19" s="39"/>
      <c r="G19" s="39"/>
      <c r="H19" s="55"/>
      <c r="I19" s="80"/>
      <c r="J19" s="56"/>
      <c r="K19" s="56"/>
      <c r="L19" s="56"/>
    </row>
    <row r="20" s="1" customFormat="1" spans="1:12">
      <c r="A20" s="40"/>
      <c r="B20" s="32" t="s">
        <v>1176</v>
      </c>
      <c r="C20" s="32" t="s">
        <v>216</v>
      </c>
      <c r="D20" s="10" t="s">
        <v>1871</v>
      </c>
      <c r="E20" s="54"/>
      <c r="F20" s="39"/>
      <c r="G20" s="39"/>
      <c r="H20" s="55"/>
      <c r="I20" s="80"/>
      <c r="J20" s="56"/>
      <c r="K20" s="56"/>
      <c r="L20" s="56"/>
    </row>
    <row r="21" s="1" customFormat="1" spans="1:12">
      <c r="A21" s="40"/>
      <c r="B21" s="32" t="s">
        <v>1304</v>
      </c>
      <c r="C21" s="32" t="s">
        <v>216</v>
      </c>
      <c r="D21" s="10" t="s">
        <v>1872</v>
      </c>
      <c r="E21" s="54"/>
      <c r="F21" s="39"/>
      <c r="G21" s="39"/>
      <c r="H21" s="55"/>
      <c r="I21" s="80"/>
      <c r="J21" s="56"/>
      <c r="K21" s="56"/>
      <c r="L21" s="56"/>
    </row>
    <row r="22" s="1" customFormat="1" spans="1:12">
      <c r="A22" s="40"/>
      <c r="B22" s="11" t="s">
        <v>1808</v>
      </c>
      <c r="C22" s="11" t="s">
        <v>220</v>
      </c>
      <c r="D22" s="10" t="s">
        <v>1873</v>
      </c>
      <c r="E22" s="54"/>
      <c r="F22" s="10"/>
      <c r="G22" s="39"/>
      <c r="H22" s="55"/>
      <c r="I22" s="80"/>
      <c r="J22" s="56"/>
      <c r="K22" s="56"/>
      <c r="L22" s="56"/>
    </row>
    <row r="23" s="1" customFormat="1" spans="1:12">
      <c r="A23" s="40"/>
      <c r="B23" s="11" t="s">
        <v>302</v>
      </c>
      <c r="C23" s="11" t="s">
        <v>233</v>
      </c>
      <c r="D23" s="10" t="s">
        <v>1874</v>
      </c>
      <c r="E23" s="54"/>
      <c r="F23" s="10"/>
      <c r="G23" s="39"/>
      <c r="H23" s="55"/>
      <c r="I23" s="80"/>
      <c r="J23" s="56"/>
      <c r="K23" s="56"/>
      <c r="L23" s="56"/>
    </row>
    <row r="24" s="1" customFormat="1" spans="1:12">
      <c r="A24" s="40"/>
      <c r="B24" s="11" t="s">
        <v>1306</v>
      </c>
      <c r="C24" s="11" t="s">
        <v>216</v>
      </c>
      <c r="D24" s="10" t="s">
        <v>1307</v>
      </c>
      <c r="E24" s="54"/>
      <c r="F24" s="10"/>
      <c r="G24" s="39"/>
      <c r="H24" s="55"/>
      <c r="I24" s="80"/>
      <c r="J24" s="56"/>
      <c r="K24" s="56"/>
      <c r="L24" s="56"/>
    </row>
    <row r="25" s="1" customFormat="1" spans="1:12">
      <c r="A25" s="40"/>
      <c r="B25" s="11" t="s">
        <v>219</v>
      </c>
      <c r="C25" s="11" t="s">
        <v>275</v>
      </c>
      <c r="D25" s="10" t="s">
        <v>1875</v>
      </c>
      <c r="E25" s="54"/>
      <c r="F25" s="10"/>
      <c r="G25" s="39"/>
      <c r="H25" s="55"/>
      <c r="I25" s="80"/>
      <c r="J25" s="56"/>
      <c r="K25" s="56"/>
      <c r="L25" s="56"/>
    </row>
    <row r="26" s="1" customFormat="1" spans="1:12">
      <c r="A26" s="40"/>
      <c r="B26" s="11" t="s">
        <v>222</v>
      </c>
      <c r="C26" s="11" t="s">
        <v>220</v>
      </c>
      <c r="D26" s="10" t="s">
        <v>298</v>
      </c>
      <c r="E26" s="54"/>
      <c r="F26" s="10"/>
      <c r="G26" s="39"/>
      <c r="H26" s="55"/>
      <c r="I26" s="80"/>
      <c r="J26" s="56"/>
      <c r="K26" s="56"/>
      <c r="L26" s="56"/>
    </row>
    <row r="27" s="1" customFormat="1" spans="1:12">
      <c r="A27" s="40"/>
      <c r="B27" s="32" t="s">
        <v>1836</v>
      </c>
      <c r="C27" s="32" t="s">
        <v>216</v>
      </c>
      <c r="D27" s="10" t="s">
        <v>1876</v>
      </c>
      <c r="E27" s="54"/>
      <c r="F27" s="39"/>
      <c r="G27" s="39"/>
      <c r="H27" s="55"/>
      <c r="I27" s="80"/>
      <c r="J27" s="56"/>
      <c r="K27" s="56"/>
      <c r="L27" s="56"/>
    </row>
    <row r="28" s="1" customFormat="1" spans="1:12">
      <c r="A28" s="40"/>
      <c r="B28" s="11" t="s">
        <v>1069</v>
      </c>
      <c r="C28" s="11" t="s">
        <v>216</v>
      </c>
      <c r="D28" s="10" t="s">
        <v>1877</v>
      </c>
      <c r="E28" s="54"/>
      <c r="F28" s="39"/>
      <c r="G28" s="13"/>
      <c r="H28" s="55"/>
      <c r="I28" s="80"/>
      <c r="J28" s="56"/>
      <c r="K28" s="56"/>
      <c r="L28" s="56"/>
    </row>
    <row r="29" s="1" customFormat="1" spans="1:12">
      <c r="A29" s="40"/>
      <c r="B29" s="11" t="s">
        <v>1878</v>
      </c>
      <c r="C29" s="11" t="s">
        <v>216</v>
      </c>
      <c r="D29" s="10" t="s">
        <v>1879</v>
      </c>
      <c r="E29" s="54"/>
      <c r="F29" s="39"/>
      <c r="G29" s="13"/>
      <c r="H29" s="55"/>
      <c r="I29" s="80"/>
      <c r="J29" s="56"/>
      <c r="K29" s="56"/>
      <c r="L29" s="56"/>
    </row>
    <row r="30" s="1" customFormat="1" spans="1:12">
      <c r="A30" s="40"/>
      <c r="B30" s="11" t="s">
        <v>1287</v>
      </c>
      <c r="C30" s="11" t="s">
        <v>216</v>
      </c>
      <c r="D30" s="10" t="s">
        <v>1880</v>
      </c>
      <c r="E30" s="54"/>
      <c r="F30" s="39"/>
      <c r="G30" s="13"/>
      <c r="H30" s="55"/>
      <c r="I30" s="80"/>
      <c r="J30" s="56"/>
      <c r="K30" s="56"/>
      <c r="L30" s="56"/>
    </row>
    <row r="31" s="1" customFormat="1" spans="1:12">
      <c r="A31" s="40"/>
      <c r="B31" s="11" t="s">
        <v>1289</v>
      </c>
      <c r="C31" s="11" t="s">
        <v>216</v>
      </c>
      <c r="D31" s="10" t="s">
        <v>1881</v>
      </c>
      <c r="E31" s="54"/>
      <c r="F31" s="39"/>
      <c r="G31" s="13"/>
      <c r="H31" s="55"/>
      <c r="I31" s="80"/>
      <c r="J31" s="56"/>
      <c r="K31" s="56"/>
      <c r="L31" s="56"/>
    </row>
    <row r="32" s="1" customFormat="1" spans="1:12">
      <c r="A32" s="40"/>
      <c r="B32" s="32" t="s">
        <v>1810</v>
      </c>
      <c r="C32" s="32" t="s">
        <v>216</v>
      </c>
      <c r="D32" s="10" t="s">
        <v>1882</v>
      </c>
      <c r="E32" s="54"/>
      <c r="F32" s="39"/>
      <c r="G32" s="39"/>
      <c r="H32" s="55"/>
      <c r="I32" s="80"/>
      <c r="J32" s="56"/>
      <c r="K32" s="56"/>
      <c r="L32" s="56"/>
    </row>
    <row r="33" s="1" customFormat="1" spans="2:12">
      <c r="B33" s="32" t="s">
        <v>1883</v>
      </c>
      <c r="C33" s="32" t="s">
        <v>216</v>
      </c>
      <c r="D33" s="10" t="s">
        <v>1884</v>
      </c>
      <c r="E33" s="54"/>
      <c r="F33" s="39"/>
      <c r="G33" s="39"/>
      <c r="H33" s="55"/>
      <c r="I33" s="56"/>
      <c r="J33" s="56"/>
      <c r="K33" s="56"/>
      <c r="L33" s="56"/>
    </row>
    <row r="34" s="1" customFormat="1" spans="2:12">
      <c r="B34" s="32" t="s">
        <v>1885</v>
      </c>
      <c r="C34" s="32" t="s">
        <v>216</v>
      </c>
      <c r="D34" s="10" t="s">
        <v>1886</v>
      </c>
      <c r="E34" s="54"/>
      <c r="F34" s="39"/>
      <c r="G34" s="39"/>
      <c r="H34" s="55"/>
      <c r="I34" s="56"/>
      <c r="J34" s="56"/>
      <c r="K34" s="56"/>
      <c r="L34" s="56"/>
    </row>
    <row r="35" s="40" customFormat="1" spans="2:12">
      <c r="B35" s="32" t="s">
        <v>1887</v>
      </c>
      <c r="C35" s="32" t="s">
        <v>216</v>
      </c>
      <c r="D35" s="10" t="s">
        <v>1888</v>
      </c>
      <c r="E35" s="54"/>
      <c r="F35" s="19"/>
      <c r="G35" s="39"/>
      <c r="H35" s="55"/>
      <c r="I35" s="80"/>
      <c r="J35" s="56"/>
      <c r="K35" s="56"/>
      <c r="L35" s="56"/>
    </row>
    <row r="36" s="40" customFormat="1" spans="2:12">
      <c r="B36" s="32" t="s">
        <v>1889</v>
      </c>
      <c r="C36" s="32" t="s">
        <v>220</v>
      </c>
      <c r="D36" s="10" t="s">
        <v>1890</v>
      </c>
      <c r="E36" s="54"/>
      <c r="F36" s="19"/>
      <c r="G36" s="39"/>
      <c r="H36" s="55"/>
      <c r="I36" s="80"/>
      <c r="J36" s="56"/>
      <c r="K36" s="56"/>
      <c r="L36" s="56"/>
    </row>
    <row r="37" s="70" customFormat="1" spans="1:12">
      <c r="A37" s="75"/>
      <c r="B37" s="78" t="s">
        <v>1891</v>
      </c>
      <c r="C37" s="78" t="s">
        <v>220</v>
      </c>
      <c r="D37" s="10" t="s">
        <v>1892</v>
      </c>
      <c r="E37" s="54"/>
      <c r="F37" s="39"/>
      <c r="G37" s="39"/>
      <c r="H37" s="55"/>
      <c r="I37" s="81"/>
      <c r="J37" s="56"/>
      <c r="K37" s="56"/>
      <c r="L37" s="56"/>
    </row>
    <row r="38" s="1" customFormat="1" spans="1:12">
      <c r="A38" s="40"/>
      <c r="B38" s="11" t="s">
        <v>1313</v>
      </c>
      <c r="C38" s="11" t="s">
        <v>216</v>
      </c>
      <c r="D38" s="10" t="s">
        <v>1893</v>
      </c>
      <c r="E38" s="54"/>
      <c r="F38" s="39"/>
      <c r="G38" s="13"/>
      <c r="H38" s="55"/>
      <c r="I38" s="80"/>
      <c r="J38" s="56"/>
      <c r="K38" s="56"/>
      <c r="L38" s="56"/>
    </row>
    <row r="39" s="40" customFormat="1" spans="2:12">
      <c r="B39" s="32" t="s">
        <v>1811</v>
      </c>
      <c r="C39" s="32" t="s">
        <v>216</v>
      </c>
      <c r="D39" s="10" t="s">
        <v>1894</v>
      </c>
      <c r="E39" s="54"/>
      <c r="F39" s="39"/>
      <c r="G39" s="39"/>
      <c r="H39" s="55"/>
      <c r="I39" s="80"/>
      <c r="J39" s="56"/>
      <c r="K39" s="56"/>
      <c r="L39" s="56"/>
    </row>
    <row r="40" s="40" customFormat="1" spans="2:12">
      <c r="B40" s="32" t="s">
        <v>1895</v>
      </c>
      <c r="C40" s="32" t="s">
        <v>233</v>
      </c>
      <c r="D40" s="10" t="s">
        <v>1896</v>
      </c>
      <c r="E40" s="54"/>
      <c r="F40" s="39"/>
      <c r="G40" s="39"/>
      <c r="H40" s="55"/>
      <c r="I40" s="80"/>
      <c r="J40" s="56"/>
      <c r="K40" s="56"/>
      <c r="L40" s="56"/>
    </row>
    <row r="41" s="40" customFormat="1" spans="2:12">
      <c r="B41" s="32" t="s">
        <v>1897</v>
      </c>
      <c r="C41" s="32" t="s">
        <v>216</v>
      </c>
      <c r="D41" s="10" t="s">
        <v>1898</v>
      </c>
      <c r="E41" s="54"/>
      <c r="F41" s="39"/>
      <c r="G41" s="39"/>
      <c r="H41" s="55"/>
      <c r="I41" s="80"/>
      <c r="J41" s="56"/>
      <c r="K41" s="56"/>
      <c r="L41" s="56"/>
    </row>
    <row r="42" s="40" customFormat="1" spans="2:12">
      <c r="B42" s="32" t="s">
        <v>1899</v>
      </c>
      <c r="C42" s="79" t="s">
        <v>216</v>
      </c>
      <c r="D42" s="10" t="s">
        <v>1900</v>
      </c>
      <c r="E42" s="54"/>
      <c r="F42" s="39"/>
      <c r="G42" s="39"/>
      <c r="H42" s="55"/>
      <c r="I42" s="80"/>
      <c r="J42" s="56"/>
      <c r="K42" s="56"/>
      <c r="L42" s="56"/>
    </row>
    <row r="43" s="3" customFormat="1" spans="2:12">
      <c r="B43" s="32" t="s">
        <v>1170</v>
      </c>
      <c r="C43" s="79" t="s">
        <v>220</v>
      </c>
      <c r="D43" s="10" t="s">
        <v>1901</v>
      </c>
      <c r="E43" s="54"/>
      <c r="F43" s="39"/>
      <c r="G43" s="39"/>
      <c r="H43" s="55"/>
      <c r="I43" s="80"/>
      <c r="J43" s="56"/>
      <c r="K43" s="56"/>
      <c r="L43" s="56"/>
    </row>
    <row r="44" s="3" customFormat="1" spans="2:12">
      <c r="B44" s="32" t="s">
        <v>1902</v>
      </c>
      <c r="C44" s="79" t="s">
        <v>220</v>
      </c>
      <c r="D44" s="10" t="s">
        <v>1903</v>
      </c>
      <c r="E44" s="54"/>
      <c r="F44" s="39"/>
      <c r="G44" s="39"/>
      <c r="H44" s="55"/>
      <c r="I44" s="80"/>
      <c r="J44" s="56"/>
      <c r="K44" s="56"/>
      <c r="L44" s="56"/>
    </row>
    <row r="45" s="1" customFormat="1" spans="1:12">
      <c r="A45" s="40"/>
      <c r="B45" s="32" t="s">
        <v>1904</v>
      </c>
      <c r="C45" s="32" t="s">
        <v>220</v>
      </c>
      <c r="D45" s="10" t="s">
        <v>1905</v>
      </c>
      <c r="E45" s="54"/>
      <c r="F45" s="39"/>
      <c r="G45" s="39"/>
      <c r="H45" s="32"/>
      <c r="I45" s="80"/>
      <c r="J45" s="56"/>
      <c r="K45" s="56"/>
      <c r="L45" s="56"/>
    </row>
    <row r="46" s="3" customFormat="1" spans="2:12">
      <c r="B46" s="32" t="s">
        <v>1906</v>
      </c>
      <c r="C46" s="79" t="s">
        <v>220</v>
      </c>
      <c r="D46" s="10" t="s">
        <v>1330</v>
      </c>
      <c r="E46" s="54"/>
      <c r="F46" s="39"/>
      <c r="G46" s="39"/>
      <c r="H46" s="55"/>
      <c r="I46" s="80"/>
      <c r="J46" s="56"/>
      <c r="K46" s="56"/>
      <c r="L46" s="56"/>
    </row>
    <row r="47" s="3" customFormat="1" spans="2:12">
      <c r="B47" s="32" t="s">
        <v>1907</v>
      </c>
      <c r="C47" s="79" t="s">
        <v>220</v>
      </c>
      <c r="D47" s="10" t="s">
        <v>1332</v>
      </c>
      <c r="E47" s="54"/>
      <c r="F47" s="39"/>
      <c r="G47" s="39"/>
      <c r="H47" s="55"/>
      <c r="I47" s="80"/>
      <c r="J47" s="56"/>
      <c r="K47" s="56"/>
      <c r="L47" s="56"/>
    </row>
    <row r="48" s="3" customFormat="1" spans="2:12">
      <c r="B48" s="32" t="s">
        <v>1908</v>
      </c>
      <c r="C48" s="79" t="s">
        <v>220</v>
      </c>
      <c r="D48" s="10" t="s">
        <v>1909</v>
      </c>
      <c r="E48" s="54"/>
      <c r="F48" s="39"/>
      <c r="G48" s="39"/>
      <c r="H48" s="55"/>
      <c r="I48" s="80"/>
      <c r="J48" s="56"/>
      <c r="K48" s="56"/>
      <c r="L48" s="56"/>
    </row>
    <row r="49" s="3" customFormat="1" spans="2:12">
      <c r="B49" s="78" t="s">
        <v>1910</v>
      </c>
      <c r="C49" s="78" t="s">
        <v>220</v>
      </c>
      <c r="D49" s="10" t="s">
        <v>1911</v>
      </c>
      <c r="E49" s="54"/>
      <c r="F49" s="39"/>
      <c r="G49" s="39"/>
      <c r="H49" s="55"/>
      <c r="I49" s="81"/>
      <c r="J49" s="56"/>
      <c r="K49" s="56"/>
      <c r="L49" s="56"/>
    </row>
    <row r="50" s="70" customFormat="1" spans="1:12">
      <c r="A50" s="75"/>
      <c r="B50" s="78" t="s">
        <v>1912</v>
      </c>
      <c r="C50" s="78" t="s">
        <v>220</v>
      </c>
      <c r="D50" s="10" t="s">
        <v>1913</v>
      </c>
      <c r="E50" s="54"/>
      <c r="F50" s="39"/>
      <c r="G50" s="39"/>
      <c r="H50" s="55"/>
      <c r="I50" s="81"/>
      <c r="J50" s="56"/>
      <c r="K50" s="56"/>
      <c r="L50" s="56"/>
    </row>
    <row r="51" s="70" customFormat="1" spans="1:12">
      <c r="A51" s="75"/>
      <c r="B51" s="78" t="s">
        <v>1914</v>
      </c>
      <c r="C51" s="78" t="s">
        <v>220</v>
      </c>
      <c r="D51" s="10" t="s">
        <v>1915</v>
      </c>
      <c r="E51" s="54"/>
      <c r="F51" s="39"/>
      <c r="G51" s="39"/>
      <c r="H51" s="55"/>
      <c r="I51" s="81"/>
      <c r="J51" s="56"/>
      <c r="K51" s="56"/>
      <c r="L51" s="56"/>
    </row>
    <row r="52" s="70" customFormat="1" spans="1:12">
      <c r="A52" s="75"/>
      <c r="B52" s="78" t="s">
        <v>1291</v>
      </c>
      <c r="C52" s="78" t="s">
        <v>220</v>
      </c>
      <c r="D52" s="10" t="s">
        <v>1356</v>
      </c>
      <c r="E52" s="54"/>
      <c r="F52" s="39"/>
      <c r="G52" s="39"/>
      <c r="H52" s="55"/>
      <c r="I52" s="81"/>
      <c r="J52" s="56"/>
      <c r="K52" s="56"/>
      <c r="L52" s="56"/>
    </row>
    <row r="53" s="70" customFormat="1" spans="1:12">
      <c r="A53" s="75"/>
      <c r="B53" s="78" t="s">
        <v>1293</v>
      </c>
      <c r="C53" s="78" t="s">
        <v>220</v>
      </c>
      <c r="D53" s="10" t="s">
        <v>1358</v>
      </c>
      <c r="E53" s="54"/>
      <c r="F53" s="39"/>
      <c r="G53" s="39"/>
      <c r="H53" s="55"/>
      <c r="I53" s="81"/>
      <c r="J53" s="56"/>
      <c r="K53" s="56"/>
      <c r="L53" s="56"/>
    </row>
    <row r="54" s="70" customFormat="1" spans="1:12">
      <c r="A54" s="75"/>
      <c r="B54" s="78" t="s">
        <v>1916</v>
      </c>
      <c r="C54" s="78" t="s">
        <v>216</v>
      </c>
      <c r="D54" s="10" t="s">
        <v>1917</v>
      </c>
      <c r="E54" s="54"/>
      <c r="F54" s="39"/>
      <c r="G54" s="39"/>
      <c r="H54" s="55"/>
      <c r="I54" s="81"/>
      <c r="J54" s="56"/>
      <c r="K54" s="56"/>
      <c r="L54" s="56"/>
    </row>
    <row r="55" s="70" customFormat="1" spans="1:12">
      <c r="A55" s="75"/>
      <c r="B55" s="78" t="s">
        <v>1918</v>
      </c>
      <c r="C55" s="78" t="s">
        <v>275</v>
      </c>
      <c r="D55" s="10" t="s">
        <v>1919</v>
      </c>
      <c r="E55" s="54"/>
      <c r="F55" s="39"/>
      <c r="G55" s="39"/>
      <c r="H55" s="55"/>
      <c r="I55" s="81"/>
      <c r="J55" s="56"/>
      <c r="K55" s="56"/>
      <c r="L55" s="56"/>
    </row>
    <row r="56" s="70" customFormat="1" spans="1:12">
      <c r="A56" s="75"/>
      <c r="B56" s="78" t="s">
        <v>1920</v>
      </c>
      <c r="C56" s="78" t="s">
        <v>275</v>
      </c>
      <c r="D56" s="10" t="s">
        <v>1921</v>
      </c>
      <c r="E56" s="54"/>
      <c r="F56" s="39"/>
      <c r="G56" s="39"/>
      <c r="H56" s="55"/>
      <c r="I56" s="81"/>
      <c r="J56" s="56"/>
      <c r="K56" s="56"/>
      <c r="L56" s="56"/>
    </row>
    <row r="57" s="70" customFormat="1" spans="1:12">
      <c r="A57" s="75"/>
      <c r="B57" s="78" t="s">
        <v>1922</v>
      </c>
      <c r="C57" s="78" t="s">
        <v>220</v>
      </c>
      <c r="D57" s="10" t="s">
        <v>1923</v>
      </c>
      <c r="E57" s="54"/>
      <c r="F57" s="39"/>
      <c r="G57" s="39"/>
      <c r="H57" s="55"/>
      <c r="I57" s="81"/>
      <c r="J57" s="56"/>
      <c r="K57" s="56"/>
      <c r="L57" s="56"/>
    </row>
    <row r="58" s="70" customFormat="1" spans="1:12">
      <c r="A58" s="75"/>
      <c r="B58" s="78" t="s">
        <v>1924</v>
      </c>
      <c r="C58" s="78" t="s">
        <v>220</v>
      </c>
      <c r="D58" s="10" t="s">
        <v>1925</v>
      </c>
      <c r="E58" s="54"/>
      <c r="F58" s="39"/>
      <c r="G58" s="39"/>
      <c r="H58" s="55"/>
      <c r="I58" s="81"/>
      <c r="J58" s="56"/>
      <c r="K58" s="56"/>
      <c r="L58" s="56"/>
    </row>
    <row r="59" s="70" customFormat="1" spans="1:12">
      <c r="A59" s="75"/>
      <c r="B59" s="78" t="s">
        <v>1926</v>
      </c>
      <c r="C59" s="78" t="s">
        <v>220</v>
      </c>
      <c r="D59" s="10" t="s">
        <v>1927</v>
      </c>
      <c r="E59" s="54"/>
      <c r="F59" s="39"/>
      <c r="G59" s="39"/>
      <c r="H59" s="55"/>
      <c r="I59" s="81"/>
      <c r="J59" s="56"/>
      <c r="K59" s="56"/>
      <c r="L59" s="56"/>
    </row>
    <row r="60" s="70" customFormat="1" spans="1:12">
      <c r="A60" s="75"/>
      <c r="B60" s="78" t="s">
        <v>1928</v>
      </c>
      <c r="C60" s="78" t="s">
        <v>220</v>
      </c>
      <c r="D60" s="10" t="s">
        <v>1929</v>
      </c>
      <c r="E60" s="54"/>
      <c r="F60" s="39"/>
      <c r="G60" s="39"/>
      <c r="H60" s="55"/>
      <c r="I60" s="81"/>
      <c r="J60" s="56"/>
      <c r="K60" s="56"/>
      <c r="L60" s="56"/>
    </row>
    <row r="61" s="3" customFormat="1" spans="2:12">
      <c r="B61" s="32" t="s">
        <v>1930</v>
      </c>
      <c r="C61" s="79" t="s">
        <v>233</v>
      </c>
      <c r="D61" s="10" t="s">
        <v>1352</v>
      </c>
      <c r="E61" s="54"/>
      <c r="F61" s="39"/>
      <c r="G61" s="39"/>
      <c r="H61" s="55"/>
      <c r="I61" s="80"/>
      <c r="J61" s="56"/>
      <c r="K61" s="56"/>
      <c r="L61" s="56"/>
    </row>
    <row r="62" spans="1:12">
      <c r="A62" s="4"/>
      <c r="B62" s="32" t="s">
        <v>1931</v>
      </c>
      <c r="C62" s="79" t="s">
        <v>233</v>
      </c>
      <c r="D62" s="10" t="s">
        <v>1932</v>
      </c>
      <c r="E62" s="54"/>
      <c r="F62" s="39"/>
      <c r="G62" s="39"/>
      <c r="H62" s="55"/>
      <c r="I62" s="56"/>
      <c r="J62" s="56"/>
      <c r="K62" s="56"/>
      <c r="L62" s="56"/>
    </row>
    <row r="63" spans="1:12">
      <c r="A63" s="4"/>
      <c r="B63" s="32" t="s">
        <v>1933</v>
      </c>
      <c r="C63" s="79" t="s">
        <v>233</v>
      </c>
      <c r="D63" s="10" t="s">
        <v>1934</v>
      </c>
      <c r="E63" s="54"/>
      <c r="F63" s="39"/>
      <c r="G63" s="39"/>
      <c r="H63" s="55"/>
      <c r="I63" s="56"/>
      <c r="J63" s="56"/>
      <c r="K63" s="56"/>
      <c r="L63" s="56"/>
    </row>
    <row r="64" spans="1:12">
      <c r="A64" s="4"/>
      <c r="B64" s="32" t="s">
        <v>1935</v>
      </c>
      <c r="C64" s="79" t="s">
        <v>220</v>
      </c>
      <c r="D64" s="10" t="s">
        <v>1936</v>
      </c>
      <c r="E64" s="54"/>
      <c r="F64" s="39"/>
      <c r="G64" s="39"/>
      <c r="H64" s="55"/>
      <c r="I64" s="56"/>
      <c r="J64" s="56"/>
      <c r="K64" s="56"/>
      <c r="L64" s="56"/>
    </row>
    <row r="65" spans="1:12">
      <c r="A65" s="4"/>
      <c r="B65" s="32" t="s">
        <v>1937</v>
      </c>
      <c r="C65" s="79" t="s">
        <v>220</v>
      </c>
      <c r="D65" s="10" t="s">
        <v>1938</v>
      </c>
      <c r="E65" s="54"/>
      <c r="F65" s="39"/>
      <c r="G65" s="39"/>
      <c r="H65" s="55"/>
      <c r="I65" s="56"/>
      <c r="J65" s="56"/>
      <c r="K65" s="56"/>
      <c r="L65" s="56"/>
    </row>
    <row r="66" s="1" customFormat="1" spans="1:12">
      <c r="A66" s="40"/>
      <c r="B66" s="32" t="s">
        <v>1939</v>
      </c>
      <c r="C66" s="79" t="s">
        <v>220</v>
      </c>
      <c r="D66" s="10" t="s">
        <v>1940</v>
      </c>
      <c r="E66" s="54"/>
      <c r="F66" s="39"/>
      <c r="G66" s="39"/>
      <c r="H66" s="55"/>
      <c r="I66" s="80"/>
      <c r="J66" s="56"/>
      <c r="K66" s="56"/>
      <c r="L66" s="56"/>
    </row>
    <row r="67" spans="1:12">
      <c r="A67" s="4"/>
      <c r="B67" s="32" t="s">
        <v>1941</v>
      </c>
      <c r="C67" s="79" t="s">
        <v>220</v>
      </c>
      <c r="D67" s="10" t="s">
        <v>1942</v>
      </c>
      <c r="E67" s="54"/>
      <c r="F67" s="39"/>
      <c r="G67" s="39"/>
      <c r="H67" s="55"/>
      <c r="I67" s="56"/>
      <c r="J67" s="56"/>
      <c r="K67" s="56"/>
      <c r="L67" s="56"/>
    </row>
    <row r="68" s="1" customFormat="1" spans="1:12">
      <c r="A68" s="40"/>
      <c r="B68" s="32" t="s">
        <v>1943</v>
      </c>
      <c r="C68" s="79" t="s">
        <v>220</v>
      </c>
      <c r="D68" s="10" t="s">
        <v>1944</v>
      </c>
      <c r="E68" s="54"/>
      <c r="F68" s="39"/>
      <c r="G68" s="39"/>
      <c r="H68" s="55"/>
      <c r="I68" s="80"/>
      <c r="J68" s="56"/>
      <c r="K68" s="56"/>
      <c r="L68" s="56"/>
    </row>
    <row r="69" s="1" customFormat="1" spans="1:12">
      <c r="A69" s="40"/>
      <c r="B69" s="32" t="s">
        <v>1945</v>
      </c>
      <c r="C69" s="79" t="s">
        <v>220</v>
      </c>
      <c r="D69" s="10" t="s">
        <v>1946</v>
      </c>
      <c r="E69" s="54"/>
      <c r="F69" s="39"/>
      <c r="G69" s="39"/>
      <c r="H69" s="55"/>
      <c r="I69" s="80"/>
      <c r="J69" s="56"/>
      <c r="K69" s="56"/>
      <c r="L69" s="56"/>
    </row>
    <row r="70" s="1" customFormat="1" spans="1:12">
      <c r="A70" s="40"/>
      <c r="B70" s="32" t="s">
        <v>1947</v>
      </c>
      <c r="C70" s="79" t="s">
        <v>220</v>
      </c>
      <c r="D70" s="10" t="s">
        <v>1948</v>
      </c>
      <c r="E70" s="54"/>
      <c r="F70" s="39"/>
      <c r="G70" s="39"/>
      <c r="H70" s="55"/>
      <c r="I70" s="80"/>
      <c r="J70" s="56"/>
      <c r="K70" s="56"/>
      <c r="L70" s="56"/>
    </row>
    <row r="71" s="1" customFormat="1" spans="1:12">
      <c r="A71" s="40"/>
      <c r="B71" s="32" t="s">
        <v>1949</v>
      </c>
      <c r="C71" s="79" t="s">
        <v>216</v>
      </c>
      <c r="D71" s="10" t="s">
        <v>1950</v>
      </c>
      <c r="E71" s="54"/>
      <c r="F71" s="39"/>
      <c r="G71" s="39"/>
      <c r="H71" s="55"/>
      <c r="I71" s="80"/>
      <c r="J71" s="56"/>
      <c r="K71" s="56"/>
      <c r="L71" s="56"/>
    </row>
    <row r="72" s="1" customFormat="1" spans="1:12">
      <c r="A72" s="40"/>
      <c r="B72" s="32" t="s">
        <v>1951</v>
      </c>
      <c r="C72" s="79" t="s">
        <v>216</v>
      </c>
      <c r="D72" s="10" t="s">
        <v>1952</v>
      </c>
      <c r="E72" s="54"/>
      <c r="F72" s="39"/>
      <c r="G72" s="39"/>
      <c r="H72" s="55"/>
      <c r="I72" s="80"/>
      <c r="J72" s="56"/>
      <c r="K72" s="56"/>
      <c r="L72" s="56"/>
    </row>
    <row r="73" s="1" customFormat="1" spans="1:12">
      <c r="A73" s="40"/>
      <c r="B73" s="32" t="s">
        <v>1953</v>
      </c>
      <c r="C73" s="79" t="s">
        <v>216</v>
      </c>
      <c r="D73" s="10" t="s">
        <v>1954</v>
      </c>
      <c r="E73" s="54"/>
      <c r="F73" s="39"/>
      <c r="G73" s="39"/>
      <c r="H73" s="55"/>
      <c r="I73" s="80"/>
      <c r="J73" s="56"/>
      <c r="K73" s="56"/>
      <c r="L73" s="56"/>
    </row>
    <row r="74" s="70" customFormat="1" spans="1:12">
      <c r="A74" s="75"/>
      <c r="B74" s="32" t="s">
        <v>1286</v>
      </c>
      <c r="C74" s="78" t="s">
        <v>216</v>
      </c>
      <c r="D74" s="10" t="s">
        <v>1955</v>
      </c>
      <c r="E74" s="54"/>
      <c r="F74" s="39"/>
      <c r="G74" s="39"/>
      <c r="H74" s="55"/>
      <c r="I74" s="81"/>
      <c r="J74" s="56"/>
      <c r="K74" s="56"/>
      <c r="L74" s="56"/>
    </row>
    <row r="75" s="70" customFormat="1" spans="1:12">
      <c r="A75" s="75"/>
      <c r="B75" s="78" t="s">
        <v>1956</v>
      </c>
      <c r="C75" s="78" t="s">
        <v>220</v>
      </c>
      <c r="D75" s="10" t="s">
        <v>1957</v>
      </c>
      <c r="E75" s="54"/>
      <c r="F75" s="39"/>
      <c r="G75" s="39"/>
      <c r="H75" s="55"/>
      <c r="I75" s="81"/>
      <c r="J75" s="56"/>
      <c r="K75" s="56"/>
      <c r="L75" s="56"/>
    </row>
    <row r="76" s="70" customFormat="1" spans="1:12">
      <c r="A76" s="75"/>
      <c r="B76" s="78" t="s">
        <v>1958</v>
      </c>
      <c r="C76" s="78" t="s">
        <v>216</v>
      </c>
      <c r="D76" s="10" t="s">
        <v>1959</v>
      </c>
      <c r="E76" s="54"/>
      <c r="F76" s="39"/>
      <c r="G76" s="39"/>
      <c r="H76" s="55"/>
      <c r="I76" s="81"/>
      <c r="J76" s="56"/>
      <c r="K76" s="56"/>
      <c r="L76" s="56"/>
    </row>
    <row r="77" s="70" customFormat="1" spans="1:12">
      <c r="A77" s="75"/>
      <c r="B77" s="78" t="s">
        <v>1960</v>
      </c>
      <c r="C77" s="78" t="s">
        <v>275</v>
      </c>
      <c r="D77" s="10" t="s">
        <v>1961</v>
      </c>
      <c r="E77" s="54"/>
      <c r="F77" s="39"/>
      <c r="G77" s="39"/>
      <c r="H77" s="55"/>
      <c r="I77" s="81"/>
      <c r="J77" s="56"/>
      <c r="K77" s="56"/>
      <c r="L77" s="56"/>
    </row>
    <row r="78" s="70" customFormat="1" spans="1:12">
      <c r="A78" s="75"/>
      <c r="B78" s="78" t="s">
        <v>1962</v>
      </c>
      <c r="C78" s="78" t="s">
        <v>216</v>
      </c>
      <c r="D78" s="10" t="s">
        <v>1963</v>
      </c>
      <c r="E78" s="54"/>
      <c r="F78" s="39"/>
      <c r="G78" s="39"/>
      <c r="H78" s="55"/>
      <c r="I78" s="81"/>
      <c r="J78" s="56"/>
      <c r="K78" s="56"/>
      <c r="L78" s="56"/>
    </row>
    <row r="79" s="70" customFormat="1" spans="1:12">
      <c r="A79" s="75"/>
      <c r="B79" s="78" t="s">
        <v>1964</v>
      </c>
      <c r="C79" s="78" t="s">
        <v>220</v>
      </c>
      <c r="D79" s="10" t="s">
        <v>1965</v>
      </c>
      <c r="E79" s="54"/>
      <c r="F79" s="39"/>
      <c r="G79" s="39"/>
      <c r="H79" s="55"/>
      <c r="I79" s="81"/>
      <c r="J79" s="56"/>
      <c r="K79" s="56"/>
      <c r="L79" s="56"/>
    </row>
    <row r="80" s="70" customFormat="1" spans="1:12">
      <c r="A80" s="75"/>
      <c r="B80" s="78" t="s">
        <v>1966</v>
      </c>
      <c r="C80" s="78" t="s">
        <v>220</v>
      </c>
      <c r="D80" s="10" t="s">
        <v>1967</v>
      </c>
      <c r="E80" s="54"/>
      <c r="F80" s="39"/>
      <c r="G80" s="39"/>
      <c r="H80" s="55"/>
      <c r="I80" s="81"/>
      <c r="J80" s="56"/>
      <c r="K80" s="56"/>
      <c r="L80" s="56"/>
    </row>
    <row r="81" s="70" customFormat="1" spans="1:12">
      <c r="A81" s="75"/>
      <c r="B81" s="78" t="s">
        <v>1968</v>
      </c>
      <c r="C81" s="78" t="s">
        <v>220</v>
      </c>
      <c r="D81" s="10" t="s">
        <v>1969</v>
      </c>
      <c r="E81" s="54"/>
      <c r="F81" s="39"/>
      <c r="G81" s="39"/>
      <c r="H81" s="55"/>
      <c r="I81" s="81"/>
      <c r="J81" s="56"/>
      <c r="K81" s="56"/>
      <c r="L81" s="56"/>
    </row>
    <row r="82" s="70" customFormat="1" spans="1:12">
      <c r="A82" s="75"/>
      <c r="B82" s="78" t="s">
        <v>1970</v>
      </c>
      <c r="C82" s="78" t="s">
        <v>220</v>
      </c>
      <c r="D82" s="10" t="s">
        <v>1971</v>
      </c>
      <c r="E82" s="54"/>
      <c r="F82" s="39"/>
      <c r="G82" s="39"/>
      <c r="H82" s="55"/>
      <c r="I82" s="81"/>
      <c r="J82" s="56"/>
      <c r="K82" s="56"/>
      <c r="L82" s="56"/>
    </row>
    <row r="83" s="70" customFormat="1" spans="1:12">
      <c r="A83" s="75"/>
      <c r="B83" s="78" t="s">
        <v>1972</v>
      </c>
      <c r="C83" s="78" t="s">
        <v>275</v>
      </c>
      <c r="D83" s="10" t="s">
        <v>1973</v>
      </c>
      <c r="E83" s="54"/>
      <c r="F83" s="39"/>
      <c r="G83" s="39"/>
      <c r="H83" s="55"/>
      <c r="I83" s="81"/>
      <c r="J83" s="56"/>
      <c r="K83" s="56"/>
      <c r="L83" s="56"/>
    </row>
    <row r="84" s="70" customFormat="1" spans="1:12">
      <c r="A84" s="75"/>
      <c r="B84" s="78" t="s">
        <v>1974</v>
      </c>
      <c r="C84" s="78" t="s">
        <v>275</v>
      </c>
      <c r="D84" s="10" t="s">
        <v>1975</v>
      </c>
      <c r="E84" s="54"/>
      <c r="F84" s="39"/>
      <c r="G84" s="39"/>
      <c r="H84" s="55"/>
      <c r="I84" s="81"/>
      <c r="J84" s="56"/>
      <c r="K84" s="56"/>
      <c r="L84" s="56"/>
    </row>
    <row r="85" s="70" customFormat="1" spans="1:12">
      <c r="A85" s="75"/>
      <c r="B85" s="78" t="s">
        <v>1976</v>
      </c>
      <c r="C85" s="78" t="s">
        <v>275</v>
      </c>
      <c r="D85" s="10" t="s">
        <v>1977</v>
      </c>
      <c r="E85" s="54"/>
      <c r="F85" s="39"/>
      <c r="G85" s="39"/>
      <c r="H85" s="55"/>
      <c r="I85" s="81"/>
      <c r="J85" s="56"/>
      <c r="K85" s="56"/>
      <c r="L85" s="56"/>
    </row>
    <row r="86" s="70" customFormat="1" spans="1:12">
      <c r="A86" s="75"/>
      <c r="B86" s="78" t="s">
        <v>1978</v>
      </c>
      <c r="C86" s="78" t="s">
        <v>275</v>
      </c>
      <c r="D86" s="10" t="s">
        <v>1979</v>
      </c>
      <c r="E86" s="54"/>
      <c r="F86" s="39"/>
      <c r="G86" s="39"/>
      <c r="H86" s="55"/>
      <c r="I86" s="81"/>
      <c r="J86" s="56"/>
      <c r="K86" s="56"/>
      <c r="L86" s="56"/>
    </row>
    <row r="87" s="70" customFormat="1" spans="1:12">
      <c r="A87" s="75"/>
      <c r="B87" s="78" t="s">
        <v>1980</v>
      </c>
      <c r="C87" s="78" t="s">
        <v>275</v>
      </c>
      <c r="D87" s="10" t="s">
        <v>1981</v>
      </c>
      <c r="E87" s="54"/>
      <c r="F87" s="39"/>
      <c r="G87" s="39"/>
      <c r="H87" s="55"/>
      <c r="I87" s="81"/>
      <c r="J87" s="56"/>
      <c r="K87" s="56"/>
      <c r="L87" s="56"/>
    </row>
    <row r="88" s="70" customFormat="1" spans="1:12">
      <c r="A88" s="75"/>
      <c r="B88" s="78" t="s">
        <v>1982</v>
      </c>
      <c r="C88" s="78" t="s">
        <v>275</v>
      </c>
      <c r="D88" s="10" t="s">
        <v>1983</v>
      </c>
      <c r="E88" s="54"/>
      <c r="F88" s="39"/>
      <c r="G88" s="39"/>
      <c r="H88" s="55"/>
      <c r="I88" s="81"/>
      <c r="J88" s="56"/>
      <c r="K88" s="56"/>
      <c r="L88" s="56"/>
    </row>
    <row r="89" s="70" customFormat="1" spans="1:12">
      <c r="A89" s="75"/>
      <c r="B89" s="78" t="s">
        <v>1984</v>
      </c>
      <c r="C89" s="78" t="s">
        <v>275</v>
      </c>
      <c r="D89" s="10" t="s">
        <v>1985</v>
      </c>
      <c r="E89" s="54"/>
      <c r="F89" s="39"/>
      <c r="G89" s="39"/>
      <c r="H89" s="55"/>
      <c r="I89" s="81"/>
      <c r="J89" s="56"/>
      <c r="K89" s="56"/>
      <c r="L89" s="56"/>
    </row>
    <row r="90" s="70" customFormat="1" spans="1:12">
      <c r="A90" s="75"/>
      <c r="B90" s="78" t="s">
        <v>1986</v>
      </c>
      <c r="C90" s="78" t="s">
        <v>275</v>
      </c>
      <c r="D90" s="10" t="s">
        <v>1987</v>
      </c>
      <c r="E90" s="54"/>
      <c r="F90" s="39"/>
      <c r="G90" s="39"/>
      <c r="H90" s="55"/>
      <c r="I90" s="81"/>
      <c r="J90" s="56"/>
      <c r="K90" s="56"/>
      <c r="L90" s="56"/>
    </row>
    <row r="91" s="70" customFormat="1" spans="1:12">
      <c r="A91" s="75"/>
      <c r="B91" s="78" t="s">
        <v>1988</v>
      </c>
      <c r="C91" s="78" t="s">
        <v>233</v>
      </c>
      <c r="D91" s="10" t="s">
        <v>1989</v>
      </c>
      <c r="E91" s="54"/>
      <c r="F91" s="39"/>
      <c r="G91" s="39"/>
      <c r="H91" s="55"/>
      <c r="I91" s="81"/>
      <c r="J91" s="56"/>
      <c r="K91" s="56"/>
      <c r="L91" s="56"/>
    </row>
    <row r="92" s="70" customFormat="1" spans="1:12">
      <c r="A92" s="75"/>
      <c r="B92" s="78" t="s">
        <v>1990</v>
      </c>
      <c r="C92" s="78" t="s">
        <v>275</v>
      </c>
      <c r="D92" s="10" t="s">
        <v>1991</v>
      </c>
      <c r="E92" s="54"/>
      <c r="F92" s="39"/>
      <c r="G92" s="39"/>
      <c r="H92" s="55"/>
      <c r="I92" s="81"/>
      <c r="J92" s="56"/>
      <c r="K92" s="56"/>
      <c r="L92" s="56"/>
    </row>
    <row r="93" s="70" customFormat="1" spans="1:12">
      <c r="A93" s="75"/>
      <c r="B93" s="78" t="s">
        <v>1992</v>
      </c>
      <c r="C93" s="78" t="s">
        <v>275</v>
      </c>
      <c r="D93" s="10" t="s">
        <v>1993</v>
      </c>
      <c r="E93" s="54"/>
      <c r="F93" s="39"/>
      <c r="G93" s="39"/>
      <c r="H93" s="55"/>
      <c r="I93" s="81"/>
      <c r="J93" s="56"/>
      <c r="K93" s="56"/>
      <c r="L93" s="56"/>
    </row>
    <row r="94" s="70" customFormat="1" spans="1:12">
      <c r="A94" s="75"/>
      <c r="B94" s="78" t="s">
        <v>1994</v>
      </c>
      <c r="C94" s="78" t="s">
        <v>216</v>
      </c>
      <c r="D94" s="10" t="s">
        <v>1995</v>
      </c>
      <c r="E94" s="54"/>
      <c r="F94" s="39"/>
      <c r="G94" s="39"/>
      <c r="H94" s="55"/>
      <c r="I94" s="81"/>
      <c r="J94" s="56"/>
      <c r="K94" s="56"/>
      <c r="L94" s="56"/>
    </row>
    <row r="95" s="70" customFormat="1" spans="1:12">
      <c r="A95" s="75"/>
      <c r="B95" s="78" t="s">
        <v>1996</v>
      </c>
      <c r="C95" s="78" t="s">
        <v>233</v>
      </c>
      <c r="D95" s="10" t="s">
        <v>1997</v>
      </c>
      <c r="E95" s="54"/>
      <c r="F95" s="39"/>
      <c r="G95" s="39"/>
      <c r="H95" s="54"/>
      <c r="I95" s="81"/>
      <c r="J95" s="56"/>
      <c r="K95" s="56"/>
      <c r="L95" s="56"/>
    </row>
    <row r="96" s="70" customFormat="1" spans="1:12">
      <c r="A96" s="75"/>
      <c r="B96" s="78" t="s">
        <v>1998</v>
      </c>
      <c r="C96" s="78" t="s">
        <v>233</v>
      </c>
      <c r="D96" s="10" t="s">
        <v>1999</v>
      </c>
      <c r="E96" s="54"/>
      <c r="F96" s="39"/>
      <c r="G96" s="39"/>
      <c r="H96" s="11"/>
      <c r="I96" s="81"/>
      <c r="J96" s="56"/>
      <c r="K96" s="56"/>
      <c r="L96" s="56"/>
    </row>
    <row r="97" s="70" customFormat="1" spans="1:12">
      <c r="A97" s="75"/>
      <c r="B97" s="78" t="s">
        <v>2000</v>
      </c>
      <c r="C97" s="78" t="s">
        <v>216</v>
      </c>
      <c r="D97" s="10" t="s">
        <v>2001</v>
      </c>
      <c r="E97" s="54"/>
      <c r="F97" s="39"/>
      <c r="G97" s="39"/>
      <c r="H97" s="54"/>
      <c r="I97" s="81"/>
      <c r="J97" s="56"/>
      <c r="K97" s="56"/>
      <c r="L97" s="56"/>
    </row>
    <row r="98" s="70" customFormat="1" spans="1:12">
      <c r="A98" s="75"/>
      <c r="B98" s="78" t="s">
        <v>2002</v>
      </c>
      <c r="C98" s="78" t="s">
        <v>216</v>
      </c>
      <c r="D98" s="10" t="s">
        <v>2003</v>
      </c>
      <c r="E98" s="54"/>
      <c r="F98" s="39"/>
      <c r="G98" s="39"/>
      <c r="H98" s="54"/>
      <c r="I98" s="81"/>
      <c r="J98" s="56"/>
      <c r="K98" s="56"/>
      <c r="L98" s="56"/>
    </row>
    <row r="99" s="70" customFormat="1" spans="1:12">
      <c r="A99" s="75"/>
      <c r="B99" s="78" t="s">
        <v>2004</v>
      </c>
      <c r="C99" s="78" t="s">
        <v>233</v>
      </c>
      <c r="D99" s="10" t="s">
        <v>2005</v>
      </c>
      <c r="E99" s="54"/>
      <c r="F99" s="39"/>
      <c r="G99" s="39"/>
      <c r="H99" s="54"/>
      <c r="I99" s="81"/>
      <c r="J99" s="56"/>
      <c r="K99" s="56"/>
      <c r="L99" s="56"/>
    </row>
    <row r="100" s="70" customFormat="1" spans="1:12">
      <c r="A100" s="75"/>
      <c r="B100" s="78" t="s">
        <v>2006</v>
      </c>
      <c r="C100" s="78" t="s">
        <v>275</v>
      </c>
      <c r="D100" s="10" t="s">
        <v>2007</v>
      </c>
      <c r="E100" s="54"/>
      <c r="F100" s="39"/>
      <c r="G100" s="39"/>
      <c r="H100" s="54"/>
      <c r="I100" s="81"/>
      <c r="J100" s="56"/>
      <c r="K100" s="56"/>
      <c r="L100" s="56"/>
    </row>
    <row r="101" s="70" customFormat="1" spans="1:12">
      <c r="A101" s="75"/>
      <c r="B101" s="78" t="s">
        <v>2008</v>
      </c>
      <c r="C101" s="78" t="s">
        <v>275</v>
      </c>
      <c r="D101" s="10" t="s">
        <v>2009</v>
      </c>
      <c r="E101" s="54"/>
      <c r="F101" s="39"/>
      <c r="G101" s="39"/>
      <c r="H101" s="55"/>
      <c r="I101" s="81"/>
      <c r="J101" s="56"/>
      <c r="K101" s="56"/>
      <c r="L101" s="56"/>
    </row>
    <row r="102" s="70" customFormat="1" spans="1:12">
      <c r="A102" s="75"/>
      <c r="B102" s="78" t="s">
        <v>2010</v>
      </c>
      <c r="C102" s="78" t="s">
        <v>275</v>
      </c>
      <c r="D102" s="10" t="s">
        <v>2011</v>
      </c>
      <c r="E102" s="54"/>
      <c r="F102" s="39"/>
      <c r="G102" s="39"/>
      <c r="H102" s="55"/>
      <c r="I102" s="81"/>
      <c r="J102" s="56"/>
      <c r="K102" s="56"/>
      <c r="L102" s="56"/>
    </row>
    <row r="103" s="70" customFormat="1" spans="1:21">
      <c r="A103" s="75"/>
      <c r="B103" s="78" t="s">
        <v>1190</v>
      </c>
      <c r="C103" s="78" t="s">
        <v>240</v>
      </c>
      <c r="D103" s="10" t="s">
        <v>2012</v>
      </c>
      <c r="E103" s="54"/>
      <c r="F103" s="39"/>
      <c r="G103" s="39"/>
      <c r="H103" s="55"/>
      <c r="I103" s="81"/>
      <c r="J103" s="56"/>
      <c r="K103" s="56"/>
      <c r="L103" s="56"/>
      <c r="P103" s="70" t="s">
        <v>1210</v>
      </c>
      <c r="S103" s="70" t="s">
        <v>1211</v>
      </c>
      <c r="T103" s="70" t="s">
        <v>155</v>
      </c>
      <c r="U103" s="70" t="s">
        <v>235</v>
      </c>
    </row>
    <row r="104" s="70" customFormat="1" spans="1:21">
      <c r="A104" s="75"/>
      <c r="B104" s="78" t="s">
        <v>1192</v>
      </c>
      <c r="C104" s="78" t="s">
        <v>240</v>
      </c>
      <c r="D104" s="10" t="s">
        <v>2013</v>
      </c>
      <c r="E104" s="54"/>
      <c r="F104" s="39"/>
      <c r="G104" s="39"/>
      <c r="H104" s="55"/>
      <c r="I104" s="81"/>
      <c r="J104" s="56"/>
      <c r="K104" s="56"/>
      <c r="L104" s="56"/>
      <c r="P104" s="70" t="s">
        <v>1214</v>
      </c>
      <c r="S104" s="70" t="s">
        <v>1211</v>
      </c>
      <c r="T104" s="70" t="s">
        <v>155</v>
      </c>
      <c r="U104" s="70" t="s">
        <v>235</v>
      </c>
    </row>
    <row r="105" s="70" customFormat="1" spans="1:21">
      <c r="A105" s="75"/>
      <c r="B105" s="78" t="s">
        <v>246</v>
      </c>
      <c r="C105" s="78" t="s">
        <v>220</v>
      </c>
      <c r="D105" s="10" t="s">
        <v>2014</v>
      </c>
      <c r="E105" s="54"/>
      <c r="F105" s="39"/>
      <c r="G105" s="39"/>
      <c r="H105" s="55"/>
      <c r="I105" s="81"/>
      <c r="J105" s="56"/>
      <c r="K105" s="56"/>
      <c r="L105" s="56"/>
      <c r="P105" s="70" t="s">
        <v>1217</v>
      </c>
      <c r="S105" s="70" t="s">
        <v>1211</v>
      </c>
      <c r="T105" s="70" t="s">
        <v>155</v>
      </c>
      <c r="U105" s="70" t="s">
        <v>235</v>
      </c>
    </row>
    <row r="106" s="70" customFormat="1" spans="1:12">
      <c r="A106" s="75"/>
      <c r="B106" s="78" t="s">
        <v>1194</v>
      </c>
      <c r="C106" s="78" t="s">
        <v>220</v>
      </c>
      <c r="D106" s="10" t="s">
        <v>2015</v>
      </c>
      <c r="E106" s="54"/>
      <c r="F106" s="39"/>
      <c r="G106" s="39"/>
      <c r="H106" s="55"/>
      <c r="I106" s="81"/>
      <c r="J106" s="56"/>
      <c r="K106" s="56"/>
      <c r="L106" s="56"/>
    </row>
    <row r="107" s="70" customFormat="1" spans="1:12">
      <c r="A107" s="75"/>
      <c r="B107" s="78" t="s">
        <v>1196</v>
      </c>
      <c r="C107" s="78" t="s">
        <v>220</v>
      </c>
      <c r="D107" s="10" t="s">
        <v>2016</v>
      </c>
      <c r="E107" s="54"/>
      <c r="F107" s="39"/>
      <c r="G107" s="39"/>
      <c r="H107" s="55"/>
      <c r="I107" s="81"/>
      <c r="J107" s="56"/>
      <c r="K107" s="56"/>
      <c r="L107" s="56"/>
    </row>
    <row r="108" s="70" customFormat="1" spans="1:12">
      <c r="A108" s="75"/>
      <c r="B108" s="78" t="s">
        <v>1830</v>
      </c>
      <c r="C108" s="78" t="s">
        <v>220</v>
      </c>
      <c r="D108" s="10" t="s">
        <v>1831</v>
      </c>
      <c r="E108" s="54"/>
      <c r="F108" s="39"/>
      <c r="G108" s="39"/>
      <c r="H108" s="55"/>
      <c r="I108" s="81"/>
      <c r="J108" s="56"/>
      <c r="K108" s="56"/>
      <c r="L108" s="56"/>
    </row>
    <row r="109" s="51" customFormat="1" ht="26.4" spans="1:12">
      <c r="A109" s="63"/>
      <c r="B109" s="64" t="s">
        <v>1832</v>
      </c>
      <c r="C109" s="64" t="s">
        <v>220</v>
      </c>
      <c r="D109" s="29" t="s">
        <v>2017</v>
      </c>
      <c r="E109" s="65"/>
      <c r="F109" s="60" t="s">
        <v>1038</v>
      </c>
      <c r="G109" s="60" t="s">
        <v>218</v>
      </c>
      <c r="H109" s="67"/>
      <c r="I109" s="68" t="s">
        <v>2018</v>
      </c>
      <c r="J109" s="69"/>
      <c r="K109" s="69"/>
      <c r="L109" s="69"/>
    </row>
    <row r="110" s="51" customFormat="1" ht="26.4" spans="1:12">
      <c r="A110" s="63"/>
      <c r="B110" s="64" t="s">
        <v>1834</v>
      </c>
      <c r="C110" s="64" t="s">
        <v>220</v>
      </c>
      <c r="D110" s="29" t="s">
        <v>1835</v>
      </c>
      <c r="E110" s="65"/>
      <c r="F110" s="60" t="s">
        <v>1066</v>
      </c>
      <c r="G110" s="60" t="s">
        <v>218</v>
      </c>
      <c r="H110" s="67"/>
      <c r="I110" s="68" t="s">
        <v>2018</v>
      </c>
      <c r="J110" s="69"/>
      <c r="K110" s="69"/>
      <c r="L110" s="69"/>
    </row>
    <row r="111" s="51" customFormat="1" ht="26.4" spans="1:12">
      <c r="A111" s="63"/>
      <c r="B111" s="64" t="s">
        <v>1316</v>
      </c>
      <c r="C111" s="64" t="s">
        <v>216</v>
      </c>
      <c r="D111" s="29" t="s">
        <v>2019</v>
      </c>
      <c r="E111" s="65"/>
      <c r="F111" s="60" t="s">
        <v>2020</v>
      </c>
      <c r="G111" s="60" t="s">
        <v>218</v>
      </c>
      <c r="H111" s="67"/>
      <c r="I111" s="68" t="s">
        <v>2018</v>
      </c>
      <c r="J111" s="69"/>
      <c r="K111" s="69"/>
      <c r="L111" s="69"/>
    </row>
    <row r="112" s="51" customFormat="1" ht="26.4" spans="1:12">
      <c r="A112" s="63"/>
      <c r="B112" s="64" t="s">
        <v>1318</v>
      </c>
      <c r="C112" s="64" t="s">
        <v>216</v>
      </c>
      <c r="D112" s="29" t="s">
        <v>2021</v>
      </c>
      <c r="E112" s="65"/>
      <c r="F112" s="60" t="s">
        <v>2022</v>
      </c>
      <c r="G112" s="60" t="s">
        <v>218</v>
      </c>
      <c r="H112" s="67"/>
      <c r="I112" s="68" t="s">
        <v>2018</v>
      </c>
      <c r="J112" s="69"/>
      <c r="K112" s="69"/>
      <c r="L112" s="69"/>
    </row>
    <row r="113" s="51" customFormat="1" ht="26.4" spans="1:21">
      <c r="A113" s="63"/>
      <c r="B113" s="64" t="s">
        <v>2023</v>
      </c>
      <c r="C113" s="64" t="s">
        <v>216</v>
      </c>
      <c r="D113" s="29" t="s">
        <v>2024</v>
      </c>
      <c r="E113" s="65"/>
      <c r="F113" s="60" t="s">
        <v>2025</v>
      </c>
      <c r="G113" s="60" t="s">
        <v>218</v>
      </c>
      <c r="H113" s="67"/>
      <c r="I113" s="68" t="s">
        <v>2018</v>
      </c>
      <c r="J113" s="69"/>
      <c r="K113" s="69"/>
      <c r="L113" s="69"/>
      <c r="P113" s="51" t="s">
        <v>1234</v>
      </c>
      <c r="S113" s="51" t="s">
        <v>1211</v>
      </c>
      <c r="T113" s="51" t="s">
        <v>155</v>
      </c>
      <c r="U113" s="51" t="s">
        <v>235</v>
      </c>
    </row>
    <row r="114" s="51" customFormat="1" ht="26.4" spans="1:21">
      <c r="A114" s="63"/>
      <c r="B114" s="64" t="s">
        <v>2026</v>
      </c>
      <c r="C114" s="64" t="s">
        <v>240</v>
      </c>
      <c r="D114" s="29" t="s">
        <v>2027</v>
      </c>
      <c r="E114" s="65"/>
      <c r="F114" s="60" t="s">
        <v>2028</v>
      </c>
      <c r="G114" s="60" t="s">
        <v>218</v>
      </c>
      <c r="H114" s="67"/>
      <c r="I114" s="68" t="s">
        <v>2018</v>
      </c>
      <c r="J114" s="69"/>
      <c r="K114" s="69"/>
      <c r="L114" s="69"/>
      <c r="P114" s="51" t="s">
        <v>1237</v>
      </c>
      <c r="S114" s="51" t="s">
        <v>1211</v>
      </c>
      <c r="T114" s="51" t="s">
        <v>155</v>
      </c>
      <c r="U114" s="51" t="s">
        <v>235</v>
      </c>
    </row>
    <row r="115" s="51" customFormat="1" ht="26.4" spans="1:21">
      <c r="A115" s="63"/>
      <c r="B115" s="64" t="s">
        <v>2029</v>
      </c>
      <c r="C115" s="64" t="s">
        <v>240</v>
      </c>
      <c r="D115" s="29" t="s">
        <v>2030</v>
      </c>
      <c r="E115" s="65"/>
      <c r="F115" s="60" t="s">
        <v>2031</v>
      </c>
      <c r="G115" s="60" t="s">
        <v>218</v>
      </c>
      <c r="H115" s="67"/>
      <c r="I115" s="68" t="s">
        <v>2018</v>
      </c>
      <c r="J115" s="69"/>
      <c r="K115" s="69"/>
      <c r="L115" s="69"/>
      <c r="P115" s="51" t="s">
        <v>1240</v>
      </c>
      <c r="S115" s="51" t="s">
        <v>1211</v>
      </c>
      <c r="T115" s="51" t="s">
        <v>155</v>
      </c>
      <c r="U115" s="51" t="s">
        <v>235</v>
      </c>
    </row>
    <row r="116" s="70" customFormat="1" spans="1:12">
      <c r="A116" s="75"/>
      <c r="B116" s="78" t="s">
        <v>2032</v>
      </c>
      <c r="C116" s="78" t="s">
        <v>220</v>
      </c>
      <c r="D116" s="10" t="s">
        <v>2033</v>
      </c>
      <c r="E116" s="54"/>
      <c r="F116" s="39"/>
      <c r="G116" s="39"/>
      <c r="H116" s="55"/>
      <c r="I116" s="81"/>
      <c r="J116" s="56"/>
      <c r="K116" s="56"/>
      <c r="L116" s="56"/>
    </row>
    <row r="117" s="70" customFormat="1" spans="1:21">
      <c r="A117" s="75"/>
      <c r="B117" s="78" t="s">
        <v>2034</v>
      </c>
      <c r="C117" s="78" t="s">
        <v>220</v>
      </c>
      <c r="D117" s="10" t="s">
        <v>2035</v>
      </c>
      <c r="E117" s="54"/>
      <c r="F117" s="39"/>
      <c r="G117" s="39"/>
      <c r="H117" s="55"/>
      <c r="I117" s="81"/>
      <c r="J117" s="56"/>
      <c r="K117" s="56"/>
      <c r="L117" s="56"/>
      <c r="P117" s="70" t="s">
        <v>1245</v>
      </c>
      <c r="S117" s="70" t="s">
        <v>1211</v>
      </c>
      <c r="T117" s="70" t="s">
        <v>155</v>
      </c>
      <c r="U117" s="70" t="s">
        <v>235</v>
      </c>
    </row>
    <row r="118" s="70" customFormat="1" spans="1:12">
      <c r="A118" s="75"/>
      <c r="B118" s="78" t="s">
        <v>2036</v>
      </c>
      <c r="C118" s="78" t="s">
        <v>220</v>
      </c>
      <c r="D118" s="10" t="s">
        <v>2037</v>
      </c>
      <c r="E118" s="54"/>
      <c r="F118" s="39"/>
      <c r="G118" s="39"/>
      <c r="H118" s="55"/>
      <c r="I118" s="81"/>
      <c r="J118" s="56"/>
      <c r="K118" s="56"/>
      <c r="L118" s="56"/>
    </row>
    <row r="119" s="70" customFormat="1" spans="1:12">
      <c r="A119" s="75"/>
      <c r="B119" s="78" t="s">
        <v>2038</v>
      </c>
      <c r="C119" s="78" t="s">
        <v>220</v>
      </c>
      <c r="D119" s="10" t="s">
        <v>2039</v>
      </c>
      <c r="E119" s="54"/>
      <c r="F119" s="39"/>
      <c r="G119" s="39"/>
      <c r="H119" s="55"/>
      <c r="I119" s="81"/>
      <c r="J119" s="56"/>
      <c r="K119" s="56"/>
      <c r="L119" s="56"/>
    </row>
    <row r="120" s="70" customFormat="1" spans="1:12">
      <c r="A120" s="75"/>
      <c r="B120" s="78" t="s">
        <v>2040</v>
      </c>
      <c r="C120" s="78" t="s">
        <v>220</v>
      </c>
      <c r="D120" s="10" t="s">
        <v>2041</v>
      </c>
      <c r="E120" s="54"/>
      <c r="F120" s="39"/>
      <c r="G120" s="39"/>
      <c r="H120" s="55"/>
      <c r="I120" s="81"/>
      <c r="J120" s="56"/>
      <c r="K120" s="56"/>
      <c r="L120" s="56"/>
    </row>
    <row r="121" s="70" customFormat="1" spans="1:12">
      <c r="A121" s="75"/>
      <c r="B121" s="78" t="s">
        <v>2042</v>
      </c>
      <c r="C121" s="78" t="s">
        <v>220</v>
      </c>
      <c r="D121" s="10" t="s">
        <v>2043</v>
      </c>
      <c r="E121" s="54"/>
      <c r="F121" s="39"/>
      <c r="G121" s="39"/>
      <c r="H121" s="55"/>
      <c r="I121" s="81"/>
      <c r="J121" s="56"/>
      <c r="K121" s="56"/>
      <c r="L121" s="56"/>
    </row>
    <row r="122" s="70" customFormat="1" spans="1:12">
      <c r="A122" s="75"/>
      <c r="B122" s="78" t="s">
        <v>2044</v>
      </c>
      <c r="C122" s="78" t="s">
        <v>220</v>
      </c>
      <c r="D122" s="10" t="s">
        <v>2045</v>
      </c>
      <c r="E122" s="54"/>
      <c r="F122" s="39"/>
      <c r="G122" s="39"/>
      <c r="H122" s="55"/>
      <c r="I122" s="81"/>
      <c r="J122" s="56"/>
      <c r="K122" s="56"/>
      <c r="L122" s="56"/>
    </row>
    <row r="123" s="70" customFormat="1" spans="1:12">
      <c r="A123" s="75"/>
      <c r="B123" s="78" t="s">
        <v>2046</v>
      </c>
      <c r="C123" s="78" t="s">
        <v>220</v>
      </c>
      <c r="D123" s="10" t="s">
        <v>1167</v>
      </c>
      <c r="E123" s="54"/>
      <c r="F123" s="39"/>
      <c r="G123" s="39"/>
      <c r="H123" s="55"/>
      <c r="I123" s="81"/>
      <c r="J123" s="56"/>
      <c r="K123" s="56"/>
      <c r="L123" s="56"/>
    </row>
    <row r="124" s="70" customFormat="1" ht="26.4" spans="1:12">
      <c r="A124" s="75"/>
      <c r="B124" s="78" t="s">
        <v>2047</v>
      </c>
      <c r="C124" s="78" t="s">
        <v>220</v>
      </c>
      <c r="D124" s="10" t="s">
        <v>2048</v>
      </c>
      <c r="E124" s="54"/>
      <c r="F124" s="39"/>
      <c r="G124" s="39"/>
      <c r="H124" s="55"/>
      <c r="I124" s="81"/>
      <c r="J124" s="56"/>
      <c r="K124" s="56"/>
      <c r="L124" s="56"/>
    </row>
    <row r="125" s="70" customFormat="1" spans="1:12">
      <c r="A125" s="75"/>
      <c r="B125" s="78" t="s">
        <v>1276</v>
      </c>
      <c r="C125" s="78" t="s">
        <v>220</v>
      </c>
      <c r="D125" s="10" t="s">
        <v>1277</v>
      </c>
      <c r="E125" s="54"/>
      <c r="F125" s="39"/>
      <c r="G125" s="39"/>
      <c r="H125" s="55"/>
      <c r="I125" s="81"/>
      <c r="J125" s="56"/>
      <c r="K125" s="56"/>
      <c r="L125" s="56"/>
    </row>
    <row r="126" s="70" customFormat="1" spans="1:12">
      <c r="A126" s="75"/>
      <c r="B126" s="78" t="s">
        <v>1278</v>
      </c>
      <c r="C126" s="78" t="s">
        <v>220</v>
      </c>
      <c r="D126" s="10" t="s">
        <v>1279</v>
      </c>
      <c r="E126" s="54"/>
      <c r="F126" s="39"/>
      <c r="G126" s="39"/>
      <c r="H126" s="55"/>
      <c r="I126" s="81"/>
      <c r="J126" s="56"/>
      <c r="K126" s="56"/>
      <c r="L126" s="56"/>
    </row>
    <row r="127" s="70" customFormat="1" spans="1:12">
      <c r="A127" s="75"/>
      <c r="B127" s="78" t="s">
        <v>2049</v>
      </c>
      <c r="C127" s="78" t="s">
        <v>275</v>
      </c>
      <c r="D127" s="10" t="s">
        <v>2050</v>
      </c>
      <c r="E127" s="54"/>
      <c r="F127" s="39"/>
      <c r="G127" s="39"/>
      <c r="H127" s="55"/>
      <c r="I127" s="81"/>
      <c r="J127" s="56"/>
      <c r="K127" s="56"/>
      <c r="L127" s="56"/>
    </row>
    <row r="128" s="70" customFormat="1" spans="1:12">
      <c r="A128" s="75"/>
      <c r="B128" s="78" t="s">
        <v>2051</v>
      </c>
      <c r="C128" s="78" t="s">
        <v>220</v>
      </c>
      <c r="D128" s="10" t="s">
        <v>1348</v>
      </c>
      <c r="E128" s="54"/>
      <c r="F128" s="39"/>
      <c r="G128" s="39"/>
      <c r="H128" s="55"/>
      <c r="I128" s="81"/>
      <c r="J128" s="56"/>
      <c r="K128" s="56"/>
      <c r="L128" s="56"/>
    </row>
    <row r="129" s="70" customFormat="1" ht="26.4" spans="1:12">
      <c r="A129" s="75"/>
      <c r="B129" s="78" t="s">
        <v>2052</v>
      </c>
      <c r="C129" s="78" t="s">
        <v>220</v>
      </c>
      <c r="D129" s="10" t="s">
        <v>1350</v>
      </c>
      <c r="E129" s="54"/>
      <c r="F129" s="39"/>
      <c r="G129" s="39"/>
      <c r="H129" s="55"/>
      <c r="I129" s="81"/>
      <c r="J129" s="56"/>
      <c r="K129" s="56"/>
      <c r="L129" s="56"/>
    </row>
    <row r="130" s="70" customFormat="1" spans="1:12">
      <c r="A130" s="75"/>
      <c r="B130" s="78" t="s">
        <v>2053</v>
      </c>
      <c r="C130" s="78" t="s">
        <v>275</v>
      </c>
      <c r="D130" s="10" t="s">
        <v>2054</v>
      </c>
      <c r="E130" s="54"/>
      <c r="F130" s="39"/>
      <c r="G130" s="39"/>
      <c r="H130" s="55"/>
      <c r="I130" s="81"/>
      <c r="J130" s="56"/>
      <c r="K130" s="56"/>
      <c r="L130" s="56"/>
    </row>
    <row r="131" s="70" customFormat="1" spans="1:12">
      <c r="A131" s="75"/>
      <c r="B131" s="78" t="s">
        <v>2055</v>
      </c>
      <c r="C131" s="78" t="s">
        <v>275</v>
      </c>
      <c r="D131" s="10" t="s">
        <v>2056</v>
      </c>
      <c r="E131" s="54"/>
      <c r="F131" s="39"/>
      <c r="G131" s="39"/>
      <c r="H131" s="55"/>
      <c r="I131" s="81"/>
      <c r="J131" s="56"/>
      <c r="K131" s="56"/>
      <c r="L131" s="56"/>
    </row>
    <row r="132" s="70" customFormat="1" spans="1:12">
      <c r="A132" s="75"/>
      <c r="B132" s="78" t="s">
        <v>2057</v>
      </c>
      <c r="C132" s="78" t="s">
        <v>275</v>
      </c>
      <c r="D132" s="10" t="s">
        <v>2058</v>
      </c>
      <c r="E132" s="54"/>
      <c r="F132" s="39"/>
      <c r="G132" s="39"/>
      <c r="H132" s="55"/>
      <c r="I132" s="81"/>
      <c r="J132" s="56"/>
      <c r="K132" s="56"/>
      <c r="L132" s="56"/>
    </row>
    <row r="133" s="70" customFormat="1" spans="1:12">
      <c r="A133" s="75"/>
      <c r="B133" s="78" t="s">
        <v>2059</v>
      </c>
      <c r="C133" s="78" t="s">
        <v>275</v>
      </c>
      <c r="D133" s="10" t="s">
        <v>2060</v>
      </c>
      <c r="E133" s="54"/>
      <c r="F133" s="39"/>
      <c r="G133" s="39"/>
      <c r="H133" s="55"/>
      <c r="I133" s="81"/>
      <c r="J133" s="56"/>
      <c r="K133" s="56"/>
      <c r="L133" s="56"/>
    </row>
    <row r="134" s="70" customFormat="1" spans="1:12">
      <c r="A134" s="75"/>
      <c r="B134" s="78" t="s">
        <v>2061</v>
      </c>
      <c r="C134" s="78" t="s">
        <v>275</v>
      </c>
      <c r="D134" s="10" t="s">
        <v>2062</v>
      </c>
      <c r="E134" s="54"/>
      <c r="F134" s="39"/>
      <c r="G134" s="39"/>
      <c r="H134" s="55"/>
      <c r="I134" s="81"/>
      <c r="J134" s="56"/>
      <c r="K134" s="56"/>
      <c r="L134" s="56"/>
    </row>
    <row r="135" s="70" customFormat="1" ht="26.4" spans="1:12">
      <c r="A135" s="75"/>
      <c r="B135" s="78" t="s">
        <v>2063</v>
      </c>
      <c r="C135" s="78" t="s">
        <v>275</v>
      </c>
      <c r="D135" s="10" t="s">
        <v>2064</v>
      </c>
      <c r="E135" s="54"/>
      <c r="F135" s="39"/>
      <c r="G135" s="39"/>
      <c r="H135" s="55"/>
      <c r="I135" s="81"/>
      <c r="J135" s="56"/>
      <c r="K135" s="56"/>
      <c r="L135" s="56"/>
    </row>
    <row r="136" s="70" customFormat="1" ht="26.4" spans="1:12">
      <c r="A136" s="75"/>
      <c r="B136" s="78" t="s">
        <v>2065</v>
      </c>
      <c r="C136" s="78" t="s">
        <v>275</v>
      </c>
      <c r="D136" s="10" t="s">
        <v>2066</v>
      </c>
      <c r="E136" s="54"/>
      <c r="F136" s="39"/>
      <c r="G136" s="39"/>
      <c r="H136" s="55"/>
      <c r="I136" s="81"/>
      <c r="J136" s="56"/>
      <c r="K136" s="56"/>
      <c r="L136" s="56"/>
    </row>
    <row r="137" s="70" customFormat="1" ht="26.4" spans="1:12">
      <c r="A137" s="75"/>
      <c r="B137" s="78" t="s">
        <v>2067</v>
      </c>
      <c r="C137" s="78" t="s">
        <v>275</v>
      </c>
      <c r="D137" s="10" t="s">
        <v>2068</v>
      </c>
      <c r="E137" s="54"/>
      <c r="F137" s="39"/>
      <c r="G137" s="39"/>
      <c r="H137" s="55"/>
      <c r="I137" s="81"/>
      <c r="J137" s="56"/>
      <c r="K137" s="56"/>
      <c r="L137" s="56"/>
    </row>
    <row r="138" s="70" customFormat="1" ht="26.4" spans="1:12">
      <c r="A138" s="75"/>
      <c r="B138" s="78" t="s">
        <v>2069</v>
      </c>
      <c r="C138" s="78" t="s">
        <v>275</v>
      </c>
      <c r="D138" s="10" t="s">
        <v>2070</v>
      </c>
      <c r="E138" s="54"/>
      <c r="F138" s="39"/>
      <c r="G138" s="39"/>
      <c r="H138" s="55"/>
      <c r="I138" s="81"/>
      <c r="J138" s="56"/>
      <c r="K138" s="56"/>
      <c r="L138" s="56"/>
    </row>
    <row r="139" s="70" customFormat="1" ht="26.4" spans="1:12">
      <c r="A139" s="75"/>
      <c r="B139" s="78" t="s">
        <v>2071</v>
      </c>
      <c r="C139" s="78" t="s">
        <v>275</v>
      </c>
      <c r="D139" s="10" t="s">
        <v>2072</v>
      </c>
      <c r="E139" s="54"/>
      <c r="F139" s="39"/>
      <c r="G139" s="39"/>
      <c r="H139" s="55"/>
      <c r="I139" s="81"/>
      <c r="J139" s="56"/>
      <c r="K139" s="56"/>
      <c r="L139" s="56"/>
    </row>
    <row r="140" s="70" customFormat="1" ht="26.4" spans="1:12">
      <c r="A140" s="75"/>
      <c r="B140" s="78" t="s">
        <v>2073</v>
      </c>
      <c r="C140" s="78" t="s">
        <v>275</v>
      </c>
      <c r="D140" s="10" t="s">
        <v>2074</v>
      </c>
      <c r="E140" s="54"/>
      <c r="F140" s="39"/>
      <c r="G140" s="39"/>
      <c r="H140" s="55"/>
      <c r="I140" s="81"/>
      <c r="J140" s="56"/>
      <c r="K140" s="56"/>
      <c r="L140" s="56"/>
    </row>
    <row r="141" s="70" customFormat="1" ht="26.4" spans="1:12">
      <c r="A141" s="75"/>
      <c r="B141" s="78" t="s">
        <v>2075</v>
      </c>
      <c r="C141" s="78" t="s">
        <v>275</v>
      </c>
      <c r="D141" s="10" t="s">
        <v>2076</v>
      </c>
      <c r="E141" s="54"/>
      <c r="F141" s="39"/>
      <c r="G141" s="39"/>
      <c r="H141" s="55"/>
      <c r="I141" s="81"/>
      <c r="J141" s="56"/>
      <c r="K141" s="56"/>
      <c r="L141" s="56"/>
    </row>
    <row r="142" s="70" customFormat="1" ht="26.4" spans="1:12">
      <c r="A142" s="75"/>
      <c r="B142" s="78" t="s">
        <v>2077</v>
      </c>
      <c r="C142" s="78" t="s">
        <v>275</v>
      </c>
      <c r="D142" s="10" t="s">
        <v>2078</v>
      </c>
      <c r="E142" s="54"/>
      <c r="F142" s="39"/>
      <c r="G142" s="39"/>
      <c r="H142" s="55"/>
      <c r="I142" s="81"/>
      <c r="J142" s="56"/>
      <c r="K142" s="56"/>
      <c r="L142" s="56"/>
    </row>
    <row r="143" s="70" customFormat="1" spans="1:12">
      <c r="A143" s="75"/>
      <c r="B143" s="78" t="s">
        <v>2079</v>
      </c>
      <c r="C143" s="78" t="s">
        <v>240</v>
      </c>
      <c r="D143" s="10" t="s">
        <v>2080</v>
      </c>
      <c r="E143" s="54"/>
      <c r="F143" s="39"/>
      <c r="G143" s="39"/>
      <c r="H143" s="55"/>
      <c r="I143" s="81"/>
      <c r="J143" s="56"/>
      <c r="K143" s="56"/>
      <c r="L143" s="56"/>
    </row>
    <row r="144" s="70" customFormat="1" spans="1:12">
      <c r="A144" s="75"/>
      <c r="B144" s="78" t="s">
        <v>2081</v>
      </c>
      <c r="C144" s="78" t="s">
        <v>240</v>
      </c>
      <c r="D144" s="10" t="s">
        <v>2082</v>
      </c>
      <c r="E144" s="54"/>
      <c r="F144" s="39"/>
      <c r="G144" s="39"/>
      <c r="H144" s="55"/>
      <c r="I144" s="81"/>
      <c r="J144" s="56"/>
      <c r="K144" s="56"/>
      <c r="L144" s="56"/>
    </row>
    <row r="145" s="70" customFormat="1" spans="1:12">
      <c r="A145" s="75"/>
      <c r="B145" s="78" t="s">
        <v>2083</v>
      </c>
      <c r="C145" s="78" t="s">
        <v>240</v>
      </c>
      <c r="D145" s="10" t="s">
        <v>2084</v>
      </c>
      <c r="E145" s="54"/>
      <c r="F145" s="39"/>
      <c r="G145" s="39"/>
      <c r="H145" s="55"/>
      <c r="I145" s="81"/>
      <c r="J145" s="56"/>
      <c r="K145" s="56"/>
      <c r="L145" s="56"/>
    </row>
    <row r="146" s="70" customFormat="1" spans="1:12">
      <c r="A146" s="75"/>
      <c r="B146" s="78" t="s">
        <v>2085</v>
      </c>
      <c r="C146" s="78" t="s">
        <v>220</v>
      </c>
      <c r="D146" s="10" t="s">
        <v>2086</v>
      </c>
      <c r="E146" s="54"/>
      <c r="F146" s="39"/>
      <c r="G146" s="39"/>
      <c r="H146" s="55"/>
      <c r="I146" s="81"/>
      <c r="J146" s="56"/>
      <c r="K146" s="56"/>
      <c r="L146" s="56"/>
    </row>
    <row r="147" s="70" customFormat="1" spans="1:12">
      <c r="A147" s="75"/>
      <c r="B147" s="78" t="s">
        <v>2087</v>
      </c>
      <c r="C147" s="78" t="s">
        <v>216</v>
      </c>
      <c r="D147" s="10" t="s">
        <v>2088</v>
      </c>
      <c r="E147" s="54"/>
      <c r="F147" s="39"/>
      <c r="G147" s="39"/>
      <c r="H147" s="55"/>
      <c r="I147" s="81"/>
      <c r="J147" s="56"/>
      <c r="K147" s="56"/>
      <c r="L147" s="56"/>
    </row>
    <row r="148" s="51" customFormat="1" ht="92.4" spans="1:12">
      <c r="A148" s="63"/>
      <c r="B148" s="64" t="s">
        <v>1295</v>
      </c>
      <c r="C148" s="64" t="s">
        <v>220</v>
      </c>
      <c r="D148" s="29" t="s">
        <v>1296</v>
      </c>
      <c r="E148" s="65" t="s">
        <v>199</v>
      </c>
      <c r="F148" s="66"/>
      <c r="G148" s="66" t="s">
        <v>1297</v>
      </c>
      <c r="H148" s="67"/>
      <c r="I148" s="68" t="s">
        <v>1211</v>
      </c>
      <c r="J148" s="69" t="s">
        <v>345</v>
      </c>
      <c r="K148" s="69" t="s">
        <v>323</v>
      </c>
      <c r="L148" s="69" t="s">
        <v>394</v>
      </c>
    </row>
    <row r="149" s="37" customFormat="1" spans="1:12">
      <c r="A149" s="42"/>
      <c r="B149" s="43" t="s">
        <v>252</v>
      </c>
      <c r="C149" s="43" t="s">
        <v>220</v>
      </c>
      <c r="D149" s="44" t="s">
        <v>254</v>
      </c>
      <c r="E149" s="45"/>
      <c r="F149" s="46"/>
      <c r="G149" s="46"/>
      <c r="H149" s="47"/>
      <c r="I149" s="48"/>
      <c r="J149" s="49"/>
      <c r="K149" s="49"/>
      <c r="L149" s="49"/>
    </row>
    <row r="150" s="37" customFormat="1" spans="1:12">
      <c r="A150" s="42"/>
      <c r="B150" s="43" t="s">
        <v>255</v>
      </c>
      <c r="C150" s="43" t="s">
        <v>216</v>
      </c>
      <c r="D150" s="44" t="s">
        <v>256</v>
      </c>
      <c r="E150" s="45"/>
      <c r="F150" s="46"/>
      <c r="G150" s="46"/>
      <c r="H150" s="47"/>
      <c r="I150" s="48"/>
      <c r="J150" s="49"/>
      <c r="K150" s="49"/>
      <c r="L150" s="49"/>
    </row>
    <row r="151" s="37" customFormat="1" spans="1:12">
      <c r="A151" s="42"/>
      <c r="B151" s="43" t="s">
        <v>257</v>
      </c>
      <c r="C151" s="43" t="s">
        <v>220</v>
      </c>
      <c r="D151" s="44" t="s">
        <v>258</v>
      </c>
      <c r="E151" s="45"/>
      <c r="F151" s="46"/>
      <c r="G151" s="46"/>
      <c r="H151" s="47"/>
      <c r="I151" s="48"/>
      <c r="J151" s="49"/>
      <c r="K151" s="49"/>
      <c r="L151" s="49"/>
    </row>
    <row r="152" s="37" customFormat="1" spans="1:12">
      <c r="A152" s="42"/>
      <c r="B152" s="43" t="s">
        <v>262</v>
      </c>
      <c r="C152" s="43" t="s">
        <v>216</v>
      </c>
      <c r="D152" s="44" t="s">
        <v>263</v>
      </c>
      <c r="E152" s="45"/>
      <c r="F152" s="46"/>
      <c r="G152" s="46"/>
      <c r="H152" s="47"/>
      <c r="I152" s="48"/>
      <c r="J152" s="49"/>
      <c r="K152" s="49"/>
      <c r="L152" s="49"/>
    </row>
  </sheetData>
  <autoFilter xmlns:etc="http://www.wps.cn/officeDocument/2017/etCustomData" ref="A15:N152" etc:filterBottomFollowUsedRange="0">
    <extLst/>
  </autoFilter>
  <mergeCells count="5">
    <mergeCell ref="B2:H2"/>
    <mergeCell ref="B3:H3"/>
    <mergeCell ref="B7:H7"/>
    <mergeCell ref="B14:L14"/>
    <mergeCell ref="G10:G11"/>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0"/>
  <sheetViews>
    <sheetView zoomScale="85" zoomScaleNormal="85" workbookViewId="0">
      <pane ySplit="5" topLeftCell="A279" activePane="bottomLeft" state="frozen"/>
      <selection/>
      <selection pane="bottomLeft" activeCell="B297" sqref="B297"/>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1.8888888888889"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80</v>
      </c>
      <c r="D5" s="35" t="s">
        <v>81</v>
      </c>
      <c r="E5" s="11" t="s">
        <v>1026</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77</v>
      </c>
      <c r="D9" s="35" t="s">
        <v>78</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1828</v>
      </c>
      <c r="C16" s="32" t="s">
        <v>216</v>
      </c>
      <c r="D16" s="10" t="s">
        <v>2089</v>
      </c>
      <c r="E16" s="54"/>
      <c r="F16" s="39"/>
      <c r="G16" s="39"/>
      <c r="H16" s="55"/>
      <c r="I16" s="56"/>
      <c r="J16" s="56"/>
      <c r="K16" s="56"/>
      <c r="L16" s="56"/>
    </row>
    <row r="17" s="1" customFormat="1" spans="2:12">
      <c r="B17" s="32" t="s">
        <v>1026</v>
      </c>
      <c r="C17" s="32" t="s">
        <v>220</v>
      </c>
      <c r="D17" s="10" t="s">
        <v>2090</v>
      </c>
      <c r="E17" s="54"/>
      <c r="F17" s="39"/>
      <c r="G17" s="39"/>
      <c r="H17" s="55"/>
      <c r="I17" s="56"/>
      <c r="J17" s="56"/>
      <c r="K17" s="56"/>
      <c r="L17" s="56"/>
    </row>
    <row r="18" s="1" customFormat="1" spans="2:12">
      <c r="B18" s="32" t="s">
        <v>1864</v>
      </c>
      <c r="C18" s="32" t="s">
        <v>220</v>
      </c>
      <c r="D18" s="10" t="s">
        <v>2091</v>
      </c>
      <c r="E18" s="54"/>
      <c r="F18" s="39"/>
      <c r="G18" s="39"/>
      <c r="H18" s="55"/>
      <c r="I18" s="56"/>
      <c r="J18" s="56"/>
      <c r="K18" s="56"/>
      <c r="L18" s="56"/>
    </row>
    <row r="19" s="1" customFormat="1" spans="2:12">
      <c r="B19" s="32" t="s">
        <v>1830</v>
      </c>
      <c r="C19" s="32" t="s">
        <v>220</v>
      </c>
      <c r="D19" s="10" t="s">
        <v>2092</v>
      </c>
      <c r="E19" s="54"/>
      <c r="F19" s="39"/>
      <c r="G19" s="39"/>
      <c r="H19" s="55"/>
      <c r="I19" s="56"/>
      <c r="J19" s="56"/>
      <c r="K19" s="56"/>
      <c r="L19" s="56"/>
    </row>
    <row r="20" s="1" customFormat="1" spans="2:12">
      <c r="B20" s="32" t="s">
        <v>1832</v>
      </c>
      <c r="C20" s="32" t="s">
        <v>220</v>
      </c>
      <c r="D20" s="10" t="s">
        <v>2093</v>
      </c>
      <c r="E20" s="54"/>
      <c r="F20" s="39"/>
      <c r="G20" s="39"/>
      <c r="H20" s="55"/>
      <c r="I20" s="56"/>
      <c r="J20" s="56"/>
      <c r="K20" s="56"/>
      <c r="L20" s="56"/>
    </row>
    <row r="21" s="1" customFormat="1" spans="2:12">
      <c r="B21" s="32" t="s">
        <v>1834</v>
      </c>
      <c r="C21" s="32" t="s">
        <v>220</v>
      </c>
      <c r="D21" s="10" t="s">
        <v>1320</v>
      </c>
      <c r="E21" s="54"/>
      <c r="F21" s="39"/>
      <c r="G21" s="39"/>
      <c r="H21" s="55"/>
      <c r="I21" s="56"/>
      <c r="J21" s="56"/>
      <c r="K21" s="56"/>
      <c r="L21" s="56"/>
    </row>
    <row r="22" s="1" customFormat="1" spans="2:12">
      <c r="B22" s="32" t="s">
        <v>1316</v>
      </c>
      <c r="C22" s="32" t="s">
        <v>216</v>
      </c>
      <c r="D22" s="10" t="s">
        <v>2019</v>
      </c>
      <c r="E22" s="54"/>
      <c r="F22" s="39"/>
      <c r="G22" s="39"/>
      <c r="H22" s="55"/>
      <c r="I22" s="56"/>
      <c r="J22" s="56"/>
      <c r="K22" s="56"/>
      <c r="L22" s="56"/>
    </row>
    <row r="23" s="1" customFormat="1" spans="2:12">
      <c r="B23" s="32" t="s">
        <v>1318</v>
      </c>
      <c r="C23" s="32" t="s">
        <v>216</v>
      </c>
      <c r="D23" s="10" t="s">
        <v>2021</v>
      </c>
      <c r="E23" s="54"/>
      <c r="F23" s="39"/>
      <c r="G23" s="39"/>
      <c r="H23" s="55"/>
      <c r="I23" s="56"/>
      <c r="J23" s="56"/>
      <c r="K23" s="56"/>
      <c r="L23" s="56"/>
    </row>
    <row r="24" s="1" customFormat="1" spans="2:12">
      <c r="B24" s="32" t="s">
        <v>2023</v>
      </c>
      <c r="C24" s="32" t="s">
        <v>216</v>
      </c>
      <c r="D24" s="10" t="s">
        <v>2024</v>
      </c>
      <c r="E24" s="54"/>
      <c r="F24" s="39"/>
      <c r="G24" s="39"/>
      <c r="H24" s="55"/>
      <c r="I24" s="56"/>
      <c r="J24" s="56"/>
      <c r="K24" s="56"/>
      <c r="L24" s="56"/>
    </row>
    <row r="25" s="1" customFormat="1" spans="2:12">
      <c r="B25" s="32" t="s">
        <v>1808</v>
      </c>
      <c r="C25" s="32" t="s">
        <v>220</v>
      </c>
      <c r="D25" s="10" t="s">
        <v>1873</v>
      </c>
      <c r="E25" s="54"/>
      <c r="F25" s="39"/>
      <c r="G25" s="39"/>
      <c r="H25" s="55"/>
      <c r="I25" s="56"/>
      <c r="J25" s="56"/>
      <c r="K25" s="56"/>
      <c r="L25" s="56"/>
    </row>
    <row r="26" s="1" customFormat="1" spans="2:12">
      <c r="B26" s="32" t="s">
        <v>1302</v>
      </c>
      <c r="C26" s="32" t="s">
        <v>220</v>
      </c>
      <c r="D26" s="10" t="s">
        <v>1868</v>
      </c>
      <c r="E26" s="54"/>
      <c r="F26" s="39"/>
      <c r="G26" s="39"/>
      <c r="H26" s="55"/>
      <c r="I26" s="56"/>
      <c r="J26" s="56"/>
      <c r="K26" s="56"/>
      <c r="L26" s="56"/>
    </row>
    <row r="27" s="1" customFormat="1" spans="2:12">
      <c r="B27" s="32" t="s">
        <v>302</v>
      </c>
      <c r="C27" s="32" t="s">
        <v>220</v>
      </c>
      <c r="D27" s="10" t="s">
        <v>1051</v>
      </c>
      <c r="E27" s="54"/>
      <c r="F27" s="39"/>
      <c r="G27" s="39"/>
      <c r="H27" s="55"/>
      <c r="I27" s="56"/>
      <c r="J27" s="56"/>
      <c r="K27" s="56"/>
      <c r="L27" s="56"/>
    </row>
    <row r="28" s="1" customFormat="1" spans="2:12">
      <c r="B28" s="32" t="s">
        <v>219</v>
      </c>
      <c r="C28" s="32" t="s">
        <v>275</v>
      </c>
      <c r="D28" s="10" t="s">
        <v>1309</v>
      </c>
      <c r="E28" s="54"/>
      <c r="F28" s="39"/>
      <c r="G28" s="39"/>
      <c r="H28" s="55"/>
      <c r="I28" s="56"/>
      <c r="J28" s="56"/>
      <c r="K28" s="56"/>
      <c r="L28" s="56"/>
    </row>
    <row r="29" s="1" customFormat="1" spans="2:12">
      <c r="B29" s="32" t="s">
        <v>222</v>
      </c>
      <c r="C29" s="32" t="s">
        <v>275</v>
      </c>
      <c r="D29" s="10" t="s">
        <v>298</v>
      </c>
      <c r="E29" s="54"/>
      <c r="F29" s="39"/>
      <c r="G29" s="39"/>
      <c r="H29" s="55"/>
      <c r="I29" s="56"/>
      <c r="J29" s="56"/>
      <c r="K29" s="56"/>
      <c r="L29" s="56"/>
    </row>
    <row r="30" s="1" customFormat="1" spans="2:12">
      <c r="B30" s="32" t="s">
        <v>1836</v>
      </c>
      <c r="C30" s="32" t="s">
        <v>216</v>
      </c>
      <c r="D30" s="10" t="s">
        <v>1876</v>
      </c>
      <c r="E30" s="54"/>
      <c r="F30" s="39"/>
      <c r="G30" s="39"/>
      <c r="H30" s="55"/>
      <c r="I30" s="56"/>
      <c r="J30" s="56"/>
      <c r="K30" s="56"/>
      <c r="L30" s="56"/>
    </row>
    <row r="31" s="1" customFormat="1" spans="2:12">
      <c r="B31" s="32" t="s">
        <v>224</v>
      </c>
      <c r="C31" s="32" t="s">
        <v>216</v>
      </c>
      <c r="D31" s="10" t="s">
        <v>1311</v>
      </c>
      <c r="E31" s="54"/>
      <c r="F31" s="39"/>
      <c r="G31" s="39"/>
      <c r="H31" s="55"/>
      <c r="I31" s="56"/>
      <c r="J31" s="56"/>
      <c r="K31" s="56"/>
      <c r="L31" s="56"/>
    </row>
    <row r="32" s="1" customFormat="1" spans="2:12">
      <c r="B32" s="32" t="s">
        <v>267</v>
      </c>
      <c r="C32" s="32" t="s">
        <v>216</v>
      </c>
      <c r="D32" s="10" t="s">
        <v>2094</v>
      </c>
      <c r="E32" s="54"/>
      <c r="F32" s="39"/>
      <c r="G32" s="39"/>
      <c r="H32" s="55"/>
      <c r="I32" s="56"/>
      <c r="J32" s="56"/>
      <c r="K32" s="56"/>
      <c r="L32" s="56"/>
    </row>
    <row r="33" s="1" customFormat="1" spans="2:12">
      <c r="B33" s="32" t="s">
        <v>1289</v>
      </c>
      <c r="C33" s="32" t="s">
        <v>216</v>
      </c>
      <c r="D33" s="10" t="s">
        <v>1881</v>
      </c>
      <c r="E33" s="54"/>
      <c r="F33" s="39"/>
      <c r="G33" s="39"/>
      <c r="H33" s="55"/>
      <c r="I33" s="56"/>
      <c r="J33" s="56"/>
      <c r="K33" s="56"/>
      <c r="L33" s="56"/>
    </row>
    <row r="34" s="1" customFormat="1" spans="2:12">
      <c r="B34" s="32" t="s">
        <v>1053</v>
      </c>
      <c r="C34" s="32" t="s">
        <v>216</v>
      </c>
      <c r="D34" s="10" t="s">
        <v>1870</v>
      </c>
      <c r="E34" s="54"/>
      <c r="F34" s="39"/>
      <c r="G34" s="39"/>
      <c r="H34" s="55"/>
      <c r="I34" s="56"/>
      <c r="J34" s="56"/>
      <c r="K34" s="56"/>
      <c r="L34" s="56"/>
    </row>
    <row r="35" s="1" customFormat="1" spans="2:12">
      <c r="B35" s="32" t="s">
        <v>1176</v>
      </c>
      <c r="C35" s="32" t="s">
        <v>220</v>
      </c>
      <c r="D35" s="10" t="s">
        <v>1312</v>
      </c>
      <c r="E35" s="54"/>
      <c r="F35" s="39"/>
      <c r="G35" s="39"/>
      <c r="H35" s="55"/>
      <c r="I35" s="56"/>
      <c r="J35" s="56"/>
      <c r="K35" s="56"/>
      <c r="L35" s="56"/>
    </row>
    <row r="36" s="1" customFormat="1" spans="2:12">
      <c r="B36" s="32" t="s">
        <v>1810</v>
      </c>
      <c r="C36" s="32" t="s">
        <v>216</v>
      </c>
      <c r="D36" s="10" t="s">
        <v>2095</v>
      </c>
      <c r="E36" s="54"/>
      <c r="F36" s="39"/>
      <c r="G36" s="39"/>
      <c r="H36" s="55"/>
      <c r="I36" s="56"/>
      <c r="J36" s="56"/>
      <c r="K36" s="56"/>
      <c r="L36" s="56"/>
    </row>
    <row r="37" s="1" customFormat="1" spans="2:12">
      <c r="B37" s="32" t="s">
        <v>1811</v>
      </c>
      <c r="C37" s="32" t="s">
        <v>216</v>
      </c>
      <c r="D37" s="10" t="s">
        <v>1894</v>
      </c>
      <c r="E37" s="54"/>
      <c r="F37" s="39"/>
      <c r="G37" s="39"/>
      <c r="H37" s="55"/>
      <c r="I37" s="56"/>
      <c r="J37" s="56"/>
      <c r="K37" s="56"/>
      <c r="L37" s="56"/>
    </row>
    <row r="38" s="1" customFormat="1" spans="2:12">
      <c r="B38" s="32" t="s">
        <v>1883</v>
      </c>
      <c r="C38" s="32" t="s">
        <v>216</v>
      </c>
      <c r="D38" s="10" t="s">
        <v>2096</v>
      </c>
      <c r="E38" s="54"/>
      <c r="F38" s="39"/>
      <c r="G38" s="39"/>
      <c r="H38" s="55"/>
      <c r="I38" s="56"/>
      <c r="J38" s="56"/>
      <c r="K38" s="56"/>
      <c r="L38" s="56"/>
    </row>
    <row r="39" s="1" customFormat="1" spans="2:12">
      <c r="B39" s="32" t="s">
        <v>1885</v>
      </c>
      <c r="C39" s="32" t="s">
        <v>216</v>
      </c>
      <c r="D39" s="10" t="s">
        <v>2097</v>
      </c>
      <c r="E39" s="54"/>
      <c r="F39" s="39"/>
      <c r="G39" s="39"/>
      <c r="H39" s="55"/>
      <c r="I39" s="56"/>
      <c r="J39" s="56"/>
      <c r="K39" s="56"/>
      <c r="L39" s="56"/>
    </row>
    <row r="40" s="1" customFormat="1" spans="2:12">
      <c r="B40" s="32" t="s">
        <v>1069</v>
      </c>
      <c r="C40" s="32" t="s">
        <v>216</v>
      </c>
      <c r="D40" s="10" t="s">
        <v>2098</v>
      </c>
      <c r="E40" s="54"/>
      <c r="F40" s="39"/>
      <c r="G40" s="39"/>
      <c r="H40" s="55"/>
      <c r="I40" s="56"/>
      <c r="J40" s="56"/>
      <c r="K40" s="56"/>
      <c r="L40" s="56"/>
    </row>
    <row r="41" s="1" customFormat="1" spans="2:12">
      <c r="B41" s="32" t="s">
        <v>2085</v>
      </c>
      <c r="C41" s="32" t="s">
        <v>220</v>
      </c>
      <c r="D41" s="10" t="s">
        <v>2085</v>
      </c>
      <c r="E41" s="54"/>
      <c r="F41" s="39"/>
      <c r="G41" s="39"/>
      <c r="H41" s="55"/>
      <c r="I41" s="56"/>
      <c r="J41" s="56"/>
      <c r="K41" s="56"/>
      <c r="L41" s="56"/>
    </row>
    <row r="42" s="1" customFormat="1" spans="2:12">
      <c r="B42" s="32" t="s">
        <v>1964</v>
      </c>
      <c r="C42" s="32" t="s">
        <v>220</v>
      </c>
      <c r="D42" s="10" t="s">
        <v>1965</v>
      </c>
      <c r="E42" s="54"/>
      <c r="F42" s="39"/>
      <c r="G42" s="39"/>
      <c r="H42" s="55"/>
      <c r="I42" s="56"/>
      <c r="J42" s="56"/>
      <c r="K42" s="56"/>
      <c r="L42" s="56"/>
    </row>
    <row r="43" s="1" customFormat="1" spans="2:12">
      <c r="B43" s="32" t="s">
        <v>1891</v>
      </c>
      <c r="C43" s="32" t="s">
        <v>220</v>
      </c>
      <c r="D43" s="10" t="s">
        <v>1892</v>
      </c>
      <c r="E43" s="54"/>
      <c r="F43" s="39"/>
      <c r="G43" s="39"/>
      <c r="H43" s="55"/>
      <c r="I43" s="56"/>
      <c r="J43" s="56"/>
      <c r="K43" s="56"/>
      <c r="L43" s="56"/>
    </row>
    <row r="44" s="33" customFormat="1" spans="2:12">
      <c r="B44" s="83" t="s">
        <v>1313</v>
      </c>
      <c r="C44" s="57" t="s">
        <v>216</v>
      </c>
      <c r="D44" s="29" t="s">
        <v>1893</v>
      </c>
      <c r="E44" s="65"/>
      <c r="F44" s="66"/>
      <c r="G44" s="66"/>
      <c r="H44" s="67"/>
      <c r="I44" s="34" t="s">
        <v>1315</v>
      </c>
      <c r="J44" s="69"/>
      <c r="K44" s="69"/>
      <c r="L44" s="69"/>
    </row>
    <row r="45" s="1" customFormat="1" spans="2:12">
      <c r="B45" s="32" t="s">
        <v>1935</v>
      </c>
      <c r="C45" s="32" t="s">
        <v>220</v>
      </c>
      <c r="D45" s="10" t="s">
        <v>2099</v>
      </c>
      <c r="E45" s="54"/>
      <c r="F45" s="39"/>
      <c r="G45" s="39"/>
      <c r="H45" s="55"/>
      <c r="I45" s="56"/>
      <c r="J45" s="56"/>
      <c r="K45" s="56"/>
      <c r="L45" s="56"/>
    </row>
    <row r="46" s="1" customFormat="1" spans="2:12">
      <c r="B46" s="32" t="s">
        <v>246</v>
      </c>
      <c r="C46" s="32" t="s">
        <v>220</v>
      </c>
      <c r="D46" s="10" t="s">
        <v>246</v>
      </c>
      <c r="E46" s="54"/>
      <c r="F46" s="39"/>
      <c r="G46" s="39"/>
      <c r="H46" s="55"/>
      <c r="I46" s="56"/>
      <c r="J46" s="56"/>
      <c r="K46" s="56"/>
      <c r="L46" s="56"/>
    </row>
    <row r="47" s="1" customFormat="1" spans="2:12">
      <c r="B47" s="32" t="s">
        <v>1194</v>
      </c>
      <c r="C47" s="32" t="s">
        <v>220</v>
      </c>
      <c r="D47" s="10" t="s">
        <v>1194</v>
      </c>
      <c r="E47" s="54"/>
      <c r="F47" s="39"/>
      <c r="G47" s="39"/>
      <c r="H47" s="55"/>
      <c r="I47" s="56"/>
      <c r="J47" s="56"/>
      <c r="K47" s="56"/>
      <c r="L47" s="56"/>
    </row>
    <row r="48" s="1" customFormat="1" spans="2:12">
      <c r="B48" s="32" t="s">
        <v>1196</v>
      </c>
      <c r="C48" s="32" t="s">
        <v>220</v>
      </c>
      <c r="D48" s="10" t="s">
        <v>1196</v>
      </c>
      <c r="E48" s="54"/>
      <c r="F48" s="39"/>
      <c r="G48" s="39"/>
      <c r="H48" s="55"/>
      <c r="I48" s="56"/>
      <c r="J48" s="56"/>
      <c r="K48" s="56"/>
      <c r="L48" s="56"/>
    </row>
    <row r="49" s="1" customFormat="1" spans="2:12">
      <c r="B49" s="32" t="s">
        <v>1323</v>
      </c>
      <c r="C49" s="32" t="s">
        <v>275</v>
      </c>
      <c r="D49" s="10" t="s">
        <v>1324</v>
      </c>
      <c r="E49" s="54"/>
      <c r="F49" s="39"/>
      <c r="G49" s="39"/>
      <c r="H49" s="55"/>
      <c r="I49" s="56"/>
      <c r="J49" s="56"/>
      <c r="K49" s="56"/>
      <c r="L49" s="56"/>
    </row>
    <row r="50" s="1" customFormat="1" spans="2:12">
      <c r="B50" s="32" t="s">
        <v>1325</v>
      </c>
      <c r="C50" s="32" t="s">
        <v>275</v>
      </c>
      <c r="D50" s="10" t="s">
        <v>1326</v>
      </c>
      <c r="E50" s="54"/>
      <c r="F50" s="39"/>
      <c r="G50" s="39"/>
      <c r="H50" s="55"/>
      <c r="I50" s="56"/>
      <c r="J50" s="56"/>
      <c r="K50" s="56"/>
      <c r="L50" s="56"/>
    </row>
    <row r="51" s="1" customFormat="1" spans="2:12">
      <c r="B51" s="32" t="s">
        <v>1327</v>
      </c>
      <c r="C51" s="32" t="s">
        <v>275</v>
      </c>
      <c r="D51" s="10" t="s">
        <v>1328</v>
      </c>
      <c r="E51" s="54"/>
      <c r="F51" s="39"/>
      <c r="G51" s="39"/>
      <c r="H51" s="55"/>
      <c r="I51" s="56"/>
      <c r="J51" s="56"/>
      <c r="K51" s="56"/>
      <c r="L51" s="56"/>
    </row>
    <row r="52" s="1" customFormat="1" ht="26.4" spans="2:12">
      <c r="B52" s="32" t="s">
        <v>2100</v>
      </c>
      <c r="C52" s="32" t="s">
        <v>275</v>
      </c>
      <c r="D52" s="10" t="s">
        <v>2101</v>
      </c>
      <c r="E52" s="54"/>
      <c r="F52" s="39"/>
      <c r="G52" s="39"/>
      <c r="H52" s="55"/>
      <c r="I52" s="56"/>
      <c r="J52" s="56"/>
      <c r="K52" s="56"/>
      <c r="L52" s="56"/>
    </row>
    <row r="53" s="1" customFormat="1" ht="26.4" spans="2:12">
      <c r="B53" s="32" t="s">
        <v>2102</v>
      </c>
      <c r="C53" s="32" t="s">
        <v>275</v>
      </c>
      <c r="D53" s="10" t="s">
        <v>2103</v>
      </c>
      <c r="E53" s="54"/>
      <c r="F53" s="39"/>
      <c r="G53" s="39"/>
      <c r="H53" s="55"/>
      <c r="I53" s="56"/>
      <c r="J53" s="56"/>
      <c r="K53" s="56"/>
      <c r="L53" s="56"/>
    </row>
    <row r="54" s="1" customFormat="1" ht="26.4" spans="2:12">
      <c r="B54" s="32" t="s">
        <v>2104</v>
      </c>
      <c r="C54" s="32" t="s">
        <v>275</v>
      </c>
      <c r="D54" s="10" t="s">
        <v>2105</v>
      </c>
      <c r="E54" s="54"/>
      <c r="F54" s="39"/>
      <c r="G54" s="39"/>
      <c r="H54" s="55"/>
      <c r="I54" s="56"/>
      <c r="J54" s="56"/>
      <c r="K54" s="56"/>
      <c r="L54" s="56"/>
    </row>
    <row r="55" s="1" customFormat="1" spans="2:12">
      <c r="B55" s="32" t="s">
        <v>1798</v>
      </c>
      <c r="C55" s="32" t="s">
        <v>275</v>
      </c>
      <c r="D55" s="10" t="s">
        <v>2106</v>
      </c>
      <c r="E55" s="54"/>
      <c r="F55" s="39"/>
      <c r="G55" s="39"/>
      <c r="H55" s="55"/>
      <c r="I55" s="56"/>
      <c r="J55" s="56"/>
      <c r="K55" s="56"/>
      <c r="L55" s="56"/>
    </row>
    <row r="56" s="1" customFormat="1" ht="26.4" spans="2:12">
      <c r="B56" s="32" t="s">
        <v>2107</v>
      </c>
      <c r="C56" s="32" t="s">
        <v>275</v>
      </c>
      <c r="D56" s="10" t="s">
        <v>2108</v>
      </c>
      <c r="E56" s="54"/>
      <c r="F56" s="39"/>
      <c r="G56" s="39"/>
      <c r="H56" s="55"/>
      <c r="I56" s="56"/>
      <c r="J56" s="56"/>
      <c r="K56" s="56"/>
      <c r="L56" s="56"/>
    </row>
    <row r="57" s="1" customFormat="1" ht="26.4" spans="2:12">
      <c r="B57" s="32" t="s">
        <v>2109</v>
      </c>
      <c r="C57" s="32" t="s">
        <v>275</v>
      </c>
      <c r="D57" s="10" t="s">
        <v>2110</v>
      </c>
      <c r="E57" s="54"/>
      <c r="F57" s="39"/>
      <c r="G57" s="39"/>
      <c r="H57" s="55"/>
      <c r="I57" s="56"/>
      <c r="J57" s="56"/>
      <c r="K57" s="56"/>
      <c r="L57" s="56"/>
    </row>
    <row r="58" s="1" customFormat="1" spans="2:12">
      <c r="B58" s="32" t="s">
        <v>1329</v>
      </c>
      <c r="C58" s="32" t="s">
        <v>275</v>
      </c>
      <c r="D58" s="10" t="s">
        <v>1330</v>
      </c>
      <c r="E58" s="54"/>
      <c r="F58" s="39"/>
      <c r="G58" s="39"/>
      <c r="H58" s="55"/>
      <c r="I58" s="56"/>
      <c r="J58" s="56"/>
      <c r="K58" s="56"/>
      <c r="L58" s="56"/>
    </row>
    <row r="59" s="1" customFormat="1" spans="2:12">
      <c r="B59" s="32" t="s">
        <v>1331</v>
      </c>
      <c r="C59" s="32" t="s">
        <v>275</v>
      </c>
      <c r="D59" s="10" t="s">
        <v>1332</v>
      </c>
      <c r="E59" s="54"/>
      <c r="F59" s="39"/>
      <c r="G59" s="39"/>
      <c r="H59" s="55"/>
      <c r="I59" s="56"/>
      <c r="J59" s="56"/>
      <c r="K59" s="56"/>
      <c r="L59" s="56"/>
    </row>
    <row r="60" s="1" customFormat="1" spans="2:12">
      <c r="B60" s="32" t="s">
        <v>1335</v>
      </c>
      <c r="C60" s="32" t="s">
        <v>275</v>
      </c>
      <c r="D60" s="10" t="s">
        <v>1336</v>
      </c>
      <c r="E60" s="54"/>
      <c r="F60" s="39"/>
      <c r="G60" s="39"/>
      <c r="H60" s="55"/>
      <c r="I60" s="56"/>
      <c r="J60" s="56"/>
      <c r="K60" s="56"/>
      <c r="L60" s="56"/>
    </row>
    <row r="61" s="1" customFormat="1" spans="2:12">
      <c r="B61" s="32" t="s">
        <v>1337</v>
      </c>
      <c r="C61" s="32" t="s">
        <v>275</v>
      </c>
      <c r="D61" s="10" t="s">
        <v>1338</v>
      </c>
      <c r="E61" s="54"/>
      <c r="F61" s="39"/>
      <c r="G61" s="39"/>
      <c r="H61" s="55"/>
      <c r="I61" s="56"/>
      <c r="J61" s="56"/>
      <c r="K61" s="56"/>
      <c r="L61" s="56"/>
    </row>
    <row r="62" s="1" customFormat="1" spans="2:12">
      <c r="B62" s="32" t="s">
        <v>2111</v>
      </c>
      <c r="C62" s="32" t="s">
        <v>275</v>
      </c>
      <c r="D62" s="10" t="s">
        <v>1340</v>
      </c>
      <c r="E62" s="54"/>
      <c r="F62" s="39"/>
      <c r="G62" s="39"/>
      <c r="H62" s="55"/>
      <c r="I62" s="56"/>
      <c r="J62" s="56"/>
      <c r="K62" s="56"/>
      <c r="L62" s="56"/>
    </row>
    <row r="63" s="1" customFormat="1" spans="2:12">
      <c r="B63" s="32" t="s">
        <v>2112</v>
      </c>
      <c r="C63" s="32" t="s">
        <v>275</v>
      </c>
      <c r="D63" s="10" t="s">
        <v>1342</v>
      </c>
      <c r="E63" s="54"/>
      <c r="F63" s="39"/>
      <c r="G63" s="39"/>
      <c r="H63" s="55"/>
      <c r="I63" s="56"/>
      <c r="J63" s="56"/>
      <c r="K63" s="56"/>
      <c r="L63" s="56"/>
    </row>
    <row r="64" s="1" customFormat="1" spans="2:12">
      <c r="B64" s="32" t="s">
        <v>1351</v>
      </c>
      <c r="C64" s="32" t="s">
        <v>275</v>
      </c>
      <c r="D64" s="10" t="s">
        <v>1352</v>
      </c>
      <c r="E64" s="54"/>
      <c r="F64" s="39"/>
      <c r="G64" s="39"/>
      <c r="H64" s="55"/>
      <c r="I64" s="56"/>
      <c r="J64" s="56"/>
      <c r="K64" s="56"/>
      <c r="L64" s="56"/>
    </row>
    <row r="65" s="1" customFormat="1" ht="26.4" spans="2:12">
      <c r="B65" s="32" t="s">
        <v>1353</v>
      </c>
      <c r="C65" s="32" t="s">
        <v>275</v>
      </c>
      <c r="D65" s="10" t="s">
        <v>1354</v>
      </c>
      <c r="E65" s="54"/>
      <c r="F65" s="39"/>
      <c r="G65" s="39"/>
      <c r="H65" s="55"/>
      <c r="I65" s="56"/>
      <c r="J65" s="56"/>
      <c r="K65" s="56"/>
      <c r="L65" s="56"/>
    </row>
    <row r="66" s="1" customFormat="1" spans="2:12">
      <c r="B66" s="32" t="s">
        <v>1782</v>
      </c>
      <c r="C66" s="32" t="s">
        <v>275</v>
      </c>
      <c r="D66" s="10" t="s">
        <v>1783</v>
      </c>
      <c r="E66" s="54"/>
      <c r="F66" s="39"/>
      <c r="G66" s="39"/>
      <c r="H66" s="55"/>
      <c r="I66" s="56"/>
      <c r="J66" s="56"/>
      <c r="K66" s="56"/>
      <c r="L66" s="56"/>
    </row>
    <row r="67" s="1" customFormat="1" spans="2:12">
      <c r="B67" s="32" t="s">
        <v>1784</v>
      </c>
      <c r="C67" s="32" t="s">
        <v>275</v>
      </c>
      <c r="D67" s="10" t="s">
        <v>1785</v>
      </c>
      <c r="E67" s="54"/>
      <c r="F67" s="39"/>
      <c r="G67" s="39"/>
      <c r="H67" s="55"/>
      <c r="I67" s="56"/>
      <c r="J67" s="56"/>
      <c r="K67" s="56"/>
      <c r="L67" s="56"/>
    </row>
    <row r="68" s="1" customFormat="1" spans="2:12">
      <c r="B68" s="32" t="s">
        <v>1786</v>
      </c>
      <c r="C68" s="32" t="s">
        <v>275</v>
      </c>
      <c r="D68" s="10" t="s">
        <v>1787</v>
      </c>
      <c r="E68" s="54"/>
      <c r="F68" s="39"/>
      <c r="G68" s="39"/>
      <c r="H68" s="55"/>
      <c r="I68" s="56"/>
      <c r="J68" s="56"/>
      <c r="K68" s="56"/>
      <c r="L68" s="56"/>
    </row>
    <row r="69" s="1" customFormat="1" spans="2:12">
      <c r="B69" s="32" t="s">
        <v>1788</v>
      </c>
      <c r="C69" s="32" t="s">
        <v>275</v>
      </c>
      <c r="D69" s="10" t="s">
        <v>1789</v>
      </c>
      <c r="E69" s="54"/>
      <c r="F69" s="39"/>
      <c r="G69" s="39"/>
      <c r="H69" s="55"/>
      <c r="I69" s="56"/>
      <c r="J69" s="56"/>
      <c r="K69" s="56"/>
      <c r="L69" s="56"/>
    </row>
    <row r="70" s="1" customFormat="1" spans="2:12">
      <c r="B70" s="32" t="s">
        <v>1355</v>
      </c>
      <c r="C70" s="32" t="s">
        <v>275</v>
      </c>
      <c r="D70" s="10" t="s">
        <v>1356</v>
      </c>
      <c r="E70" s="54"/>
      <c r="F70" s="39"/>
      <c r="G70" s="39"/>
      <c r="H70" s="55"/>
      <c r="I70" s="56"/>
      <c r="J70" s="56"/>
      <c r="K70" s="56"/>
      <c r="L70" s="56"/>
    </row>
    <row r="71" s="1" customFormat="1" spans="2:12">
      <c r="B71" s="32" t="s">
        <v>1357</v>
      </c>
      <c r="C71" s="32" t="s">
        <v>275</v>
      </c>
      <c r="D71" s="10" t="s">
        <v>1358</v>
      </c>
      <c r="E71" s="54"/>
      <c r="F71" s="39"/>
      <c r="G71" s="39"/>
      <c r="H71" s="55"/>
      <c r="I71" s="56"/>
      <c r="J71" s="56"/>
      <c r="K71" s="56"/>
      <c r="L71" s="56"/>
    </row>
    <row r="72" s="1" customFormat="1" spans="2:12">
      <c r="B72" s="32" t="s">
        <v>2113</v>
      </c>
      <c r="C72" s="32" t="s">
        <v>275</v>
      </c>
      <c r="D72" s="10" t="s">
        <v>2114</v>
      </c>
      <c r="E72" s="54"/>
      <c r="F72" s="39"/>
      <c r="G72" s="39"/>
      <c r="H72" s="55"/>
      <c r="I72" s="56"/>
      <c r="J72" s="56"/>
      <c r="K72" s="56"/>
      <c r="L72" s="56"/>
    </row>
    <row r="73" s="1" customFormat="1" spans="2:12">
      <c r="B73" s="32" t="s">
        <v>2115</v>
      </c>
      <c r="C73" s="32" t="s">
        <v>275</v>
      </c>
      <c r="D73" s="10" t="s">
        <v>2116</v>
      </c>
      <c r="E73" s="54"/>
      <c r="F73" s="39"/>
      <c r="G73" s="39"/>
      <c r="H73" s="55"/>
      <c r="I73" s="56"/>
      <c r="J73" s="56"/>
      <c r="K73" s="56"/>
      <c r="L73" s="56"/>
    </row>
    <row r="74" s="1" customFormat="1" spans="2:12">
      <c r="B74" s="32" t="s">
        <v>2117</v>
      </c>
      <c r="C74" s="32" t="s">
        <v>275</v>
      </c>
      <c r="D74" s="10" t="s">
        <v>2118</v>
      </c>
      <c r="E74" s="54"/>
      <c r="F74" s="39"/>
      <c r="G74" s="39"/>
      <c r="H74" s="55"/>
      <c r="I74" s="56"/>
      <c r="J74" s="56"/>
      <c r="K74" s="56"/>
      <c r="L74" s="56"/>
    </row>
    <row r="75" s="1" customFormat="1" spans="2:12">
      <c r="B75" s="32" t="s">
        <v>2119</v>
      </c>
      <c r="C75" s="32" t="s">
        <v>275</v>
      </c>
      <c r="D75" s="10" t="s">
        <v>2120</v>
      </c>
      <c r="E75" s="54"/>
      <c r="F75" s="39"/>
      <c r="G75" s="39"/>
      <c r="H75" s="55"/>
      <c r="I75" s="56"/>
      <c r="J75" s="56"/>
      <c r="K75" s="56"/>
      <c r="L75" s="56"/>
    </row>
    <row r="76" s="1" customFormat="1" spans="2:12">
      <c r="B76" s="32" t="s">
        <v>2121</v>
      </c>
      <c r="C76" s="32" t="s">
        <v>275</v>
      </c>
      <c r="D76" s="10" t="s">
        <v>2045</v>
      </c>
      <c r="E76" s="54"/>
      <c r="F76" s="39"/>
      <c r="G76" s="39"/>
      <c r="H76" s="55"/>
      <c r="I76" s="56"/>
      <c r="J76" s="56"/>
      <c r="K76" s="56"/>
      <c r="L76" s="56"/>
    </row>
    <row r="77" s="1" customFormat="1" spans="2:12">
      <c r="B77" s="32" t="s">
        <v>2122</v>
      </c>
      <c r="C77" s="32" t="s">
        <v>275</v>
      </c>
      <c r="D77" s="10" t="s">
        <v>2123</v>
      </c>
      <c r="E77" s="54"/>
      <c r="F77" s="39"/>
      <c r="G77" s="39"/>
      <c r="H77" s="55"/>
      <c r="I77" s="56"/>
      <c r="J77" s="56"/>
      <c r="K77" s="56"/>
      <c r="L77" s="56"/>
    </row>
    <row r="78" s="1" customFormat="1" spans="2:12">
      <c r="B78" s="32" t="s">
        <v>2124</v>
      </c>
      <c r="C78" s="32" t="s">
        <v>275</v>
      </c>
      <c r="D78" s="10" t="s">
        <v>2125</v>
      </c>
      <c r="E78" s="54"/>
      <c r="F78" s="39"/>
      <c r="G78" s="39"/>
      <c r="H78" s="55"/>
      <c r="I78" s="56"/>
      <c r="J78" s="56"/>
      <c r="K78" s="56"/>
      <c r="L78" s="56"/>
    </row>
    <row r="79" s="1" customFormat="1" spans="2:12">
      <c r="B79" s="32" t="s">
        <v>2126</v>
      </c>
      <c r="C79" s="32" t="s">
        <v>275</v>
      </c>
      <c r="D79" s="10" t="s">
        <v>2127</v>
      </c>
      <c r="E79" s="54"/>
      <c r="F79" s="39"/>
      <c r="G79" s="39"/>
      <c r="H79" s="55"/>
      <c r="I79" s="56"/>
      <c r="J79" s="56"/>
      <c r="K79" s="56"/>
      <c r="L79" s="56"/>
    </row>
    <row r="80" s="1" customFormat="1" spans="2:12">
      <c r="B80" s="32" t="s">
        <v>2128</v>
      </c>
      <c r="C80" s="32" t="s">
        <v>275</v>
      </c>
      <c r="D80" s="10" t="s">
        <v>2129</v>
      </c>
      <c r="E80" s="54"/>
      <c r="F80" s="39"/>
      <c r="G80" s="39"/>
      <c r="H80" s="55"/>
      <c r="I80" s="56"/>
      <c r="J80" s="56"/>
      <c r="K80" s="56"/>
      <c r="L80" s="56"/>
    </row>
    <row r="81" s="1" customFormat="1" spans="2:12">
      <c r="B81" s="32" t="s">
        <v>2130</v>
      </c>
      <c r="C81" s="32" t="s">
        <v>275</v>
      </c>
      <c r="D81" s="10" t="s">
        <v>2131</v>
      </c>
      <c r="E81" s="54"/>
      <c r="F81" s="39"/>
      <c r="G81" s="39"/>
      <c r="H81" s="55"/>
      <c r="I81" s="56"/>
      <c r="J81" s="56"/>
      <c r="K81" s="56"/>
      <c r="L81" s="56"/>
    </row>
    <row r="82" s="1" customFormat="1" spans="2:12">
      <c r="B82" s="32" t="s">
        <v>2132</v>
      </c>
      <c r="C82" s="32" t="s">
        <v>275</v>
      </c>
      <c r="D82" s="10" t="s">
        <v>2133</v>
      </c>
      <c r="E82" s="54"/>
      <c r="F82" s="39"/>
      <c r="G82" s="39"/>
      <c r="H82" s="55"/>
      <c r="I82" s="56"/>
      <c r="J82" s="56"/>
      <c r="K82" s="56"/>
      <c r="L82" s="56"/>
    </row>
    <row r="83" s="1" customFormat="1" spans="2:12">
      <c r="B83" s="32" t="s">
        <v>2134</v>
      </c>
      <c r="C83" s="32" t="s">
        <v>240</v>
      </c>
      <c r="D83" s="10" t="s">
        <v>2080</v>
      </c>
      <c r="E83" s="54"/>
      <c r="F83" s="39"/>
      <c r="G83" s="39"/>
      <c r="H83" s="55"/>
      <c r="I83" s="56"/>
      <c r="J83" s="56"/>
      <c r="K83" s="56"/>
      <c r="L83" s="56"/>
    </row>
    <row r="84" s="1" customFormat="1" ht="26.4" spans="2:12">
      <c r="B84" s="32" t="s">
        <v>2135</v>
      </c>
      <c r="C84" s="32" t="s">
        <v>240</v>
      </c>
      <c r="D84" s="10" t="s">
        <v>2082</v>
      </c>
      <c r="E84" s="54"/>
      <c r="F84" s="39"/>
      <c r="G84" s="39"/>
      <c r="H84" s="55"/>
      <c r="I84" s="56"/>
      <c r="J84" s="56"/>
      <c r="K84" s="56"/>
      <c r="L84" s="56"/>
    </row>
    <row r="85" s="1" customFormat="1" spans="2:12">
      <c r="B85" s="32" t="s">
        <v>1451</v>
      </c>
      <c r="C85" s="32" t="s">
        <v>275</v>
      </c>
      <c r="D85" s="10" t="s">
        <v>1452</v>
      </c>
      <c r="E85" s="54"/>
      <c r="F85" s="39"/>
      <c r="G85" s="39"/>
      <c r="H85" s="55"/>
      <c r="I85" s="56"/>
      <c r="J85" s="56"/>
      <c r="K85" s="56"/>
      <c r="L85" s="56"/>
    </row>
    <row r="86" s="1" customFormat="1" spans="2:12">
      <c r="B86" s="32" t="s">
        <v>1453</v>
      </c>
      <c r="C86" s="32" t="s">
        <v>275</v>
      </c>
      <c r="D86" s="10" t="s">
        <v>2136</v>
      </c>
      <c r="E86" s="54"/>
      <c r="F86" s="39"/>
      <c r="G86" s="39"/>
      <c r="H86" s="55"/>
      <c r="I86" s="56"/>
      <c r="J86" s="56"/>
      <c r="K86" s="56"/>
      <c r="L86" s="56"/>
    </row>
    <row r="87" s="1" customFormat="1" spans="2:12">
      <c r="B87" s="32" t="s">
        <v>1455</v>
      </c>
      <c r="C87" s="32" t="s">
        <v>275</v>
      </c>
      <c r="D87" s="10" t="s">
        <v>1456</v>
      </c>
      <c r="E87" s="54"/>
      <c r="F87" s="39"/>
      <c r="G87" s="39"/>
      <c r="H87" s="55"/>
      <c r="I87" s="56"/>
      <c r="J87" s="56"/>
      <c r="K87" s="56"/>
      <c r="L87" s="56"/>
    </row>
    <row r="88" s="1" customFormat="1" spans="2:12">
      <c r="B88" s="32" t="s">
        <v>1457</v>
      </c>
      <c r="C88" s="32" t="s">
        <v>275</v>
      </c>
      <c r="D88" s="10" t="s">
        <v>1458</v>
      </c>
      <c r="E88" s="54"/>
      <c r="F88" s="39"/>
      <c r="G88" s="39"/>
      <c r="H88" s="55"/>
      <c r="I88" s="56"/>
      <c r="J88" s="56"/>
      <c r="K88" s="56"/>
      <c r="L88" s="56"/>
    </row>
    <row r="89" s="1" customFormat="1" spans="2:12">
      <c r="B89" s="32" t="s">
        <v>1459</v>
      </c>
      <c r="C89" s="32" t="s">
        <v>275</v>
      </c>
      <c r="D89" s="10" t="s">
        <v>1460</v>
      </c>
      <c r="E89" s="54"/>
      <c r="F89" s="39"/>
      <c r="G89" s="39"/>
      <c r="H89" s="55"/>
      <c r="I89" s="56"/>
      <c r="J89" s="56"/>
      <c r="K89" s="56"/>
      <c r="L89" s="56"/>
    </row>
    <row r="90" s="1" customFormat="1" spans="2:12">
      <c r="B90" s="32" t="s">
        <v>1461</v>
      </c>
      <c r="C90" s="32" t="s">
        <v>275</v>
      </c>
      <c r="D90" s="10" t="s">
        <v>1462</v>
      </c>
      <c r="E90" s="54"/>
      <c r="F90" s="39"/>
      <c r="G90" s="39"/>
      <c r="H90" s="55"/>
      <c r="I90" s="56"/>
      <c r="J90" s="56"/>
      <c r="K90" s="56"/>
      <c r="L90" s="56"/>
    </row>
    <row r="91" s="1" customFormat="1" ht="26.4" spans="2:12">
      <c r="B91" s="32" t="s">
        <v>1343</v>
      </c>
      <c r="C91" s="32" t="s">
        <v>275</v>
      </c>
      <c r="D91" s="10" t="s">
        <v>2137</v>
      </c>
      <c r="E91" s="54"/>
      <c r="F91" s="39"/>
      <c r="G91" s="39"/>
      <c r="H91" s="55"/>
      <c r="I91" s="56"/>
      <c r="J91" s="56"/>
      <c r="K91" s="56"/>
      <c r="L91" s="56"/>
    </row>
    <row r="92" s="1" customFormat="1" spans="2:12">
      <c r="B92" s="32" t="s">
        <v>1463</v>
      </c>
      <c r="C92" s="32" t="s">
        <v>275</v>
      </c>
      <c r="D92" s="10" t="s">
        <v>1464</v>
      </c>
      <c r="E92" s="54"/>
      <c r="F92" s="39"/>
      <c r="G92" s="39"/>
      <c r="H92" s="55"/>
      <c r="I92" s="56"/>
      <c r="J92" s="56"/>
      <c r="K92" s="56"/>
      <c r="L92" s="56"/>
    </row>
    <row r="93" s="1" customFormat="1" ht="26.4" spans="2:12">
      <c r="B93" s="32" t="s">
        <v>1465</v>
      </c>
      <c r="C93" s="32" t="s">
        <v>275</v>
      </c>
      <c r="D93" s="10" t="s">
        <v>1466</v>
      </c>
      <c r="E93" s="54"/>
      <c r="F93" s="39"/>
      <c r="G93" s="39"/>
      <c r="H93" s="55"/>
      <c r="I93" s="56"/>
      <c r="J93" s="56"/>
      <c r="K93" s="56"/>
      <c r="L93" s="56"/>
    </row>
    <row r="94" s="1" customFormat="1" ht="26.4" spans="2:12">
      <c r="B94" s="32" t="s">
        <v>1467</v>
      </c>
      <c r="C94" s="32" t="s">
        <v>275</v>
      </c>
      <c r="D94" s="10" t="s">
        <v>1468</v>
      </c>
      <c r="E94" s="54"/>
      <c r="F94" s="39"/>
      <c r="G94" s="39"/>
      <c r="H94" s="55"/>
      <c r="I94" s="56"/>
      <c r="J94" s="56"/>
      <c r="K94" s="56"/>
      <c r="L94" s="56"/>
    </row>
    <row r="95" s="1" customFormat="1" ht="26.4" spans="2:12">
      <c r="B95" s="32" t="s">
        <v>1469</v>
      </c>
      <c r="C95" s="32" t="s">
        <v>275</v>
      </c>
      <c r="D95" s="10" t="s">
        <v>1470</v>
      </c>
      <c r="E95" s="54"/>
      <c r="F95" s="39"/>
      <c r="G95" s="39"/>
      <c r="H95" s="55"/>
      <c r="I95" s="56"/>
      <c r="J95" s="56"/>
      <c r="K95" s="56"/>
      <c r="L95" s="56"/>
    </row>
    <row r="96" s="1" customFormat="1" ht="26.4" spans="2:12">
      <c r="B96" s="32" t="s">
        <v>1471</v>
      </c>
      <c r="C96" s="32" t="s">
        <v>275</v>
      </c>
      <c r="D96" s="10" t="s">
        <v>1472</v>
      </c>
      <c r="E96" s="54"/>
      <c r="F96" s="39"/>
      <c r="G96" s="39"/>
      <c r="H96" s="55"/>
      <c r="I96" s="56"/>
      <c r="J96" s="56"/>
      <c r="K96" s="56"/>
      <c r="L96" s="56"/>
    </row>
    <row r="97" s="1" customFormat="1" ht="26.4" spans="2:12">
      <c r="B97" s="32" t="s">
        <v>1473</v>
      </c>
      <c r="C97" s="32" t="s">
        <v>275</v>
      </c>
      <c r="D97" s="10" t="s">
        <v>1474</v>
      </c>
      <c r="E97" s="54"/>
      <c r="F97" s="39"/>
      <c r="G97" s="39"/>
      <c r="H97" s="55"/>
      <c r="I97" s="56"/>
      <c r="J97" s="56"/>
      <c r="K97" s="56"/>
      <c r="L97" s="56"/>
    </row>
    <row r="98" s="1" customFormat="1" spans="2:12">
      <c r="B98" s="32" t="s">
        <v>1344</v>
      </c>
      <c r="C98" s="32" t="s">
        <v>275</v>
      </c>
      <c r="D98" s="10" t="s">
        <v>2138</v>
      </c>
      <c r="E98" s="54"/>
      <c r="F98" s="39"/>
      <c r="G98" s="39"/>
      <c r="H98" s="55"/>
      <c r="I98" s="56"/>
      <c r="J98" s="56"/>
      <c r="K98" s="56"/>
      <c r="L98" s="56"/>
    </row>
    <row r="99" s="1" customFormat="1" spans="2:12">
      <c r="B99" s="32" t="s">
        <v>1475</v>
      </c>
      <c r="C99" s="32" t="s">
        <v>275</v>
      </c>
      <c r="D99" s="10" t="s">
        <v>1476</v>
      </c>
      <c r="E99" s="54"/>
      <c r="F99" s="39"/>
      <c r="G99" s="39"/>
      <c r="H99" s="55"/>
      <c r="I99" s="56"/>
      <c r="J99" s="56"/>
      <c r="K99" s="56"/>
      <c r="L99" s="56"/>
    </row>
    <row r="100" s="1" customFormat="1" spans="2:12">
      <c r="B100" s="32" t="s">
        <v>1477</v>
      </c>
      <c r="C100" s="32" t="s">
        <v>275</v>
      </c>
      <c r="D100" s="10" t="s">
        <v>1478</v>
      </c>
      <c r="E100" s="54"/>
      <c r="F100" s="39"/>
      <c r="G100" s="39"/>
      <c r="H100" s="55"/>
      <c r="I100" s="56"/>
      <c r="J100" s="56"/>
      <c r="K100" s="56"/>
      <c r="L100" s="56"/>
    </row>
    <row r="101" s="1" customFormat="1" spans="2:12">
      <c r="B101" s="32" t="s">
        <v>1479</v>
      </c>
      <c r="C101" s="32" t="s">
        <v>275</v>
      </c>
      <c r="D101" s="10" t="s">
        <v>1480</v>
      </c>
      <c r="E101" s="54"/>
      <c r="F101" s="39"/>
      <c r="G101" s="39"/>
      <c r="H101" s="55"/>
      <c r="I101" s="56"/>
      <c r="J101" s="56"/>
      <c r="K101" s="56"/>
      <c r="L101" s="56"/>
    </row>
    <row r="102" s="1" customFormat="1" spans="2:12">
      <c r="B102" s="32" t="s">
        <v>1481</v>
      </c>
      <c r="C102" s="32" t="s">
        <v>275</v>
      </c>
      <c r="D102" s="10" t="s">
        <v>1482</v>
      </c>
      <c r="E102" s="54"/>
      <c r="F102" s="39"/>
      <c r="G102" s="39"/>
      <c r="H102" s="55"/>
      <c r="I102" s="56"/>
      <c r="J102" s="56"/>
      <c r="K102" s="56"/>
      <c r="L102" s="56"/>
    </row>
    <row r="103" s="1" customFormat="1" spans="2:12">
      <c r="B103" s="32" t="s">
        <v>1483</v>
      </c>
      <c r="C103" s="32" t="s">
        <v>275</v>
      </c>
      <c r="D103" s="10" t="s">
        <v>1484</v>
      </c>
      <c r="E103" s="54"/>
      <c r="F103" s="39"/>
      <c r="G103" s="39"/>
      <c r="H103" s="55"/>
      <c r="I103" s="56"/>
      <c r="J103" s="56"/>
      <c r="K103" s="56"/>
      <c r="L103" s="56"/>
    </row>
    <row r="104" s="1" customFormat="1" spans="2:12">
      <c r="B104" s="32" t="s">
        <v>1485</v>
      </c>
      <c r="C104" s="32" t="s">
        <v>275</v>
      </c>
      <c r="D104" s="10" t="s">
        <v>1486</v>
      </c>
      <c r="E104" s="54"/>
      <c r="F104" s="39"/>
      <c r="G104" s="39"/>
      <c r="H104" s="55"/>
      <c r="I104" s="56"/>
      <c r="J104" s="56"/>
      <c r="K104" s="56"/>
      <c r="L104" s="56"/>
    </row>
    <row r="105" s="1" customFormat="1" spans="2:12">
      <c r="B105" s="32" t="s">
        <v>1345</v>
      </c>
      <c r="C105" s="32" t="s">
        <v>275</v>
      </c>
      <c r="D105" s="10" t="s">
        <v>2139</v>
      </c>
      <c r="E105" s="54"/>
      <c r="F105" s="39"/>
      <c r="G105" s="39"/>
      <c r="H105" s="55"/>
      <c r="I105" s="56"/>
      <c r="J105" s="56"/>
      <c r="K105" s="56"/>
      <c r="L105" s="56"/>
    </row>
    <row r="106" s="1" customFormat="1" spans="2:12">
      <c r="B106" s="32" t="s">
        <v>1487</v>
      </c>
      <c r="C106" s="32" t="s">
        <v>275</v>
      </c>
      <c r="D106" s="10" t="s">
        <v>1488</v>
      </c>
      <c r="E106" s="54"/>
      <c r="F106" s="39"/>
      <c r="G106" s="39"/>
      <c r="H106" s="55"/>
      <c r="I106" s="56"/>
      <c r="J106" s="56"/>
      <c r="K106" s="56"/>
      <c r="L106" s="56"/>
    </row>
    <row r="107" s="1" customFormat="1" spans="2:12">
      <c r="B107" s="32" t="s">
        <v>1489</v>
      </c>
      <c r="C107" s="32" t="s">
        <v>275</v>
      </c>
      <c r="D107" s="10" t="s">
        <v>1490</v>
      </c>
      <c r="E107" s="54"/>
      <c r="F107" s="39"/>
      <c r="G107" s="39"/>
      <c r="H107" s="55"/>
      <c r="I107" s="56"/>
      <c r="J107" s="56"/>
      <c r="K107" s="56"/>
      <c r="L107" s="56"/>
    </row>
    <row r="108" s="1" customFormat="1" spans="2:12">
      <c r="B108" s="32" t="s">
        <v>1491</v>
      </c>
      <c r="C108" s="32" t="s">
        <v>275</v>
      </c>
      <c r="D108" s="10" t="s">
        <v>1492</v>
      </c>
      <c r="E108" s="54"/>
      <c r="F108" s="39"/>
      <c r="G108" s="39"/>
      <c r="H108" s="55"/>
      <c r="I108" s="56"/>
      <c r="J108" s="56"/>
      <c r="K108" s="56"/>
      <c r="L108" s="56"/>
    </row>
    <row r="109" s="1" customFormat="1" spans="2:12">
      <c r="B109" s="32" t="s">
        <v>1493</v>
      </c>
      <c r="C109" s="32" t="s">
        <v>275</v>
      </c>
      <c r="D109" s="10" t="s">
        <v>1494</v>
      </c>
      <c r="E109" s="54"/>
      <c r="F109" s="39"/>
      <c r="G109" s="39"/>
      <c r="H109" s="55"/>
      <c r="I109" s="56"/>
      <c r="J109" s="56"/>
      <c r="K109" s="56"/>
      <c r="L109" s="56"/>
    </row>
    <row r="110" s="1" customFormat="1" spans="2:12">
      <c r="B110" s="32" t="s">
        <v>1495</v>
      </c>
      <c r="C110" s="32" t="s">
        <v>275</v>
      </c>
      <c r="D110" s="10" t="s">
        <v>1496</v>
      </c>
      <c r="E110" s="54"/>
      <c r="F110" s="39"/>
      <c r="G110" s="39"/>
      <c r="H110" s="55"/>
      <c r="I110" s="56"/>
      <c r="J110" s="56"/>
      <c r="K110" s="56"/>
      <c r="L110" s="56"/>
    </row>
    <row r="111" s="1" customFormat="1" spans="2:12">
      <c r="B111" s="32" t="s">
        <v>1497</v>
      </c>
      <c r="C111" s="32" t="s">
        <v>275</v>
      </c>
      <c r="D111" s="10" t="s">
        <v>1498</v>
      </c>
      <c r="E111" s="54"/>
      <c r="F111" s="39"/>
      <c r="G111" s="39"/>
      <c r="H111" s="55"/>
      <c r="I111" s="56"/>
      <c r="J111" s="56"/>
      <c r="K111" s="56"/>
      <c r="L111" s="56"/>
    </row>
    <row r="112" s="1" customFormat="1" spans="2:12">
      <c r="B112" s="32" t="s">
        <v>1790</v>
      </c>
      <c r="C112" s="32" t="s">
        <v>275</v>
      </c>
      <c r="D112" s="10" t="s">
        <v>1791</v>
      </c>
      <c r="E112" s="54"/>
      <c r="F112" s="39"/>
      <c r="G112" s="39"/>
      <c r="H112" s="55"/>
      <c r="I112" s="56"/>
      <c r="J112" s="56"/>
      <c r="K112" s="56"/>
      <c r="L112" s="56"/>
    </row>
    <row r="113" s="1" customFormat="1" spans="2:12">
      <c r="B113" s="32" t="s">
        <v>1792</v>
      </c>
      <c r="C113" s="32" t="s">
        <v>275</v>
      </c>
      <c r="D113" s="10" t="s">
        <v>1793</v>
      </c>
      <c r="E113" s="54"/>
      <c r="F113" s="39"/>
      <c r="G113" s="39"/>
      <c r="H113" s="55"/>
      <c r="I113" s="56"/>
      <c r="J113" s="56"/>
      <c r="K113" s="56"/>
      <c r="L113" s="56"/>
    </row>
    <row r="114" s="1" customFormat="1" ht="26.4" spans="2:12">
      <c r="B114" s="32" t="s">
        <v>1347</v>
      </c>
      <c r="C114" s="32" t="s">
        <v>275</v>
      </c>
      <c r="D114" s="10" t="s">
        <v>2140</v>
      </c>
      <c r="E114" s="54"/>
      <c r="F114" s="39"/>
      <c r="G114" s="39"/>
      <c r="H114" s="55"/>
      <c r="I114" s="56"/>
      <c r="J114" s="56"/>
      <c r="K114" s="56"/>
      <c r="L114" s="56"/>
    </row>
    <row r="115" s="1" customFormat="1" ht="26.4" spans="2:12">
      <c r="B115" s="32" t="s">
        <v>1794</v>
      </c>
      <c r="C115" s="32" t="s">
        <v>275</v>
      </c>
      <c r="D115" s="10" t="s">
        <v>1795</v>
      </c>
      <c r="E115" s="54"/>
      <c r="F115" s="39"/>
      <c r="G115" s="39"/>
      <c r="H115" s="55"/>
      <c r="I115" s="56"/>
      <c r="J115" s="56"/>
      <c r="K115" s="56"/>
      <c r="L115" s="56"/>
    </row>
    <row r="116" s="1" customFormat="1" ht="26.4" spans="2:12">
      <c r="B116" s="32" t="s">
        <v>1499</v>
      </c>
      <c r="C116" s="32" t="s">
        <v>275</v>
      </c>
      <c r="D116" s="10" t="s">
        <v>1500</v>
      </c>
      <c r="E116" s="54"/>
      <c r="F116" s="39"/>
      <c r="G116" s="39"/>
      <c r="H116" s="55"/>
      <c r="I116" s="56"/>
      <c r="J116" s="56"/>
      <c r="K116" s="56"/>
      <c r="L116" s="56"/>
    </row>
    <row r="117" s="1" customFormat="1" ht="26.4" spans="2:12">
      <c r="B117" s="32" t="s">
        <v>1501</v>
      </c>
      <c r="C117" s="32" t="s">
        <v>275</v>
      </c>
      <c r="D117" s="10" t="s">
        <v>1502</v>
      </c>
      <c r="E117" s="54"/>
      <c r="F117" s="39"/>
      <c r="G117" s="39"/>
      <c r="H117" s="55"/>
      <c r="I117" s="56"/>
      <c r="J117" s="56"/>
      <c r="K117" s="56"/>
      <c r="L117" s="56"/>
    </row>
    <row r="118" s="1" customFormat="1" ht="26.4" spans="2:12">
      <c r="B118" s="32" t="s">
        <v>1503</v>
      </c>
      <c r="C118" s="32" t="s">
        <v>275</v>
      </c>
      <c r="D118" s="10" t="s">
        <v>1504</v>
      </c>
      <c r="E118" s="54"/>
      <c r="F118" s="39"/>
      <c r="G118" s="39"/>
      <c r="H118" s="55"/>
      <c r="I118" s="56"/>
      <c r="J118" s="56"/>
      <c r="K118" s="56"/>
      <c r="L118" s="56"/>
    </row>
    <row r="119" s="1" customFormat="1" ht="26.4" spans="2:12">
      <c r="B119" s="32" t="s">
        <v>1505</v>
      </c>
      <c r="C119" s="32" t="s">
        <v>275</v>
      </c>
      <c r="D119" s="10" t="s">
        <v>1506</v>
      </c>
      <c r="E119" s="54"/>
      <c r="F119" s="39"/>
      <c r="G119" s="39"/>
      <c r="H119" s="55"/>
      <c r="I119" s="56"/>
      <c r="J119" s="56"/>
      <c r="K119" s="56"/>
      <c r="L119" s="56"/>
    </row>
    <row r="120" s="1" customFormat="1" ht="26.4" spans="2:12">
      <c r="B120" s="32" t="s">
        <v>1507</v>
      </c>
      <c r="C120" s="32" t="s">
        <v>275</v>
      </c>
      <c r="D120" s="10" t="s">
        <v>1508</v>
      </c>
      <c r="E120" s="54"/>
      <c r="F120" s="39"/>
      <c r="G120" s="39"/>
      <c r="H120" s="55"/>
      <c r="I120" s="56"/>
      <c r="J120" s="56"/>
      <c r="K120" s="56"/>
      <c r="L120" s="56"/>
    </row>
    <row r="121" s="1" customFormat="1" ht="26.4" spans="2:12">
      <c r="B121" s="32" t="s">
        <v>1509</v>
      </c>
      <c r="C121" s="32" t="s">
        <v>275</v>
      </c>
      <c r="D121" s="10" t="s">
        <v>1510</v>
      </c>
      <c r="E121" s="54"/>
      <c r="F121" s="39"/>
      <c r="G121" s="39"/>
      <c r="H121" s="55"/>
      <c r="I121" s="56"/>
      <c r="J121" s="56"/>
      <c r="K121" s="56"/>
      <c r="L121" s="56"/>
    </row>
    <row r="122" s="1" customFormat="1" ht="26.4" spans="2:12">
      <c r="B122" s="32" t="s">
        <v>1349</v>
      </c>
      <c r="C122" s="32" t="s">
        <v>275</v>
      </c>
      <c r="D122" s="10" t="s">
        <v>2141</v>
      </c>
      <c r="E122" s="54"/>
      <c r="F122" s="39"/>
      <c r="G122" s="39"/>
      <c r="H122" s="55"/>
      <c r="I122" s="56"/>
      <c r="J122" s="56"/>
      <c r="K122" s="56"/>
      <c r="L122" s="56"/>
    </row>
    <row r="123" s="1" customFormat="1" ht="26.4" spans="2:12">
      <c r="B123" s="32" t="s">
        <v>1796</v>
      </c>
      <c r="C123" s="32" t="s">
        <v>275</v>
      </c>
      <c r="D123" s="10" t="s">
        <v>1797</v>
      </c>
      <c r="E123" s="54"/>
      <c r="F123" s="39"/>
      <c r="G123" s="39"/>
      <c r="H123" s="55"/>
      <c r="I123" s="56"/>
      <c r="J123" s="56"/>
      <c r="K123" s="56"/>
      <c r="L123" s="56"/>
    </row>
    <row r="124" s="1" customFormat="1" ht="26.4" spans="2:12">
      <c r="B124" s="32" t="s">
        <v>1511</v>
      </c>
      <c r="C124" s="32" t="s">
        <v>275</v>
      </c>
      <c r="D124" s="10" t="s">
        <v>1512</v>
      </c>
      <c r="E124" s="54"/>
      <c r="F124" s="39"/>
      <c r="G124" s="39"/>
      <c r="H124" s="55"/>
      <c r="I124" s="56"/>
      <c r="J124" s="56"/>
      <c r="K124" s="56"/>
      <c r="L124" s="56"/>
    </row>
    <row r="125" s="1" customFormat="1" ht="26.4" spans="2:12">
      <c r="B125" s="32" t="s">
        <v>1513</v>
      </c>
      <c r="C125" s="32" t="s">
        <v>275</v>
      </c>
      <c r="D125" s="10" t="s">
        <v>1514</v>
      </c>
      <c r="E125" s="54"/>
      <c r="F125" s="39"/>
      <c r="G125" s="39"/>
      <c r="H125" s="55"/>
      <c r="I125" s="56"/>
      <c r="J125" s="56"/>
      <c r="K125" s="56"/>
      <c r="L125" s="56"/>
    </row>
    <row r="126" s="1" customFormat="1" ht="26.4" spans="2:12">
      <c r="B126" s="32" t="s">
        <v>1515</v>
      </c>
      <c r="C126" s="32" t="s">
        <v>275</v>
      </c>
      <c r="D126" s="10" t="s">
        <v>1516</v>
      </c>
      <c r="E126" s="54"/>
      <c r="F126" s="39"/>
      <c r="G126" s="39"/>
      <c r="H126" s="55"/>
      <c r="I126" s="56"/>
      <c r="J126" s="56"/>
      <c r="K126" s="56"/>
      <c r="L126" s="56"/>
    </row>
    <row r="127" s="1" customFormat="1" ht="26.4" spans="2:12">
      <c r="B127" s="32" t="s">
        <v>1517</v>
      </c>
      <c r="C127" s="32" t="s">
        <v>275</v>
      </c>
      <c r="D127" s="10" t="s">
        <v>1518</v>
      </c>
      <c r="E127" s="54"/>
      <c r="F127" s="39"/>
      <c r="G127" s="39"/>
      <c r="H127" s="55"/>
      <c r="I127" s="56"/>
      <c r="J127" s="56"/>
      <c r="K127" s="56"/>
      <c r="L127" s="56"/>
    </row>
    <row r="128" s="1" customFormat="1" ht="26.4" spans="2:12">
      <c r="B128" s="32" t="s">
        <v>1519</v>
      </c>
      <c r="C128" s="32" t="s">
        <v>275</v>
      </c>
      <c r="D128" s="10" t="s">
        <v>1520</v>
      </c>
      <c r="E128" s="54"/>
      <c r="F128" s="39"/>
      <c r="G128" s="39"/>
      <c r="H128" s="55"/>
      <c r="I128" s="56"/>
      <c r="J128" s="56"/>
      <c r="K128" s="56"/>
      <c r="L128" s="56"/>
    </row>
    <row r="129" s="1" customFormat="1" ht="26.4" spans="2:12">
      <c r="B129" s="32" t="s">
        <v>1521</v>
      </c>
      <c r="C129" s="32" t="s">
        <v>275</v>
      </c>
      <c r="D129" s="10" t="s">
        <v>1522</v>
      </c>
      <c r="E129" s="54"/>
      <c r="F129" s="39"/>
      <c r="G129" s="39"/>
      <c r="H129" s="55"/>
      <c r="I129" s="56"/>
      <c r="J129" s="56"/>
      <c r="K129" s="56"/>
      <c r="L129" s="56"/>
    </row>
    <row r="130" s="1" customFormat="1" spans="2:12">
      <c r="B130" s="32" t="s">
        <v>2142</v>
      </c>
      <c r="C130" s="32" t="s">
        <v>275</v>
      </c>
      <c r="D130" s="10" t="s">
        <v>2143</v>
      </c>
      <c r="E130" s="54"/>
      <c r="F130" s="39"/>
      <c r="G130" s="39"/>
      <c r="H130" s="55"/>
      <c r="I130" s="56"/>
      <c r="J130" s="56"/>
      <c r="K130" s="56"/>
      <c r="L130" s="56"/>
    </row>
    <row r="131" s="1" customFormat="1" spans="2:12">
      <c r="B131" s="32" t="s">
        <v>2144</v>
      </c>
      <c r="C131" s="32" t="s">
        <v>275</v>
      </c>
      <c r="D131" s="10" t="s">
        <v>2145</v>
      </c>
      <c r="E131" s="54"/>
      <c r="F131" s="39"/>
      <c r="G131" s="39"/>
      <c r="H131" s="55"/>
      <c r="I131" s="56"/>
      <c r="J131" s="56"/>
      <c r="K131" s="56"/>
      <c r="L131" s="56"/>
    </row>
    <row r="132" s="1" customFormat="1" spans="2:12">
      <c r="B132" s="32" t="s">
        <v>2146</v>
      </c>
      <c r="C132" s="32" t="s">
        <v>275</v>
      </c>
      <c r="D132" s="10" t="s">
        <v>2147</v>
      </c>
      <c r="E132" s="54"/>
      <c r="F132" s="39"/>
      <c r="G132" s="39"/>
      <c r="H132" s="55"/>
      <c r="I132" s="56"/>
      <c r="J132" s="56"/>
      <c r="K132" s="56"/>
      <c r="L132" s="56"/>
    </row>
    <row r="133" s="1" customFormat="1" spans="2:12">
      <c r="B133" s="32" t="s">
        <v>2148</v>
      </c>
      <c r="C133" s="32" t="s">
        <v>275</v>
      </c>
      <c r="D133" s="10" t="s">
        <v>2149</v>
      </c>
      <c r="E133" s="54"/>
      <c r="F133" s="39"/>
      <c r="G133" s="39"/>
      <c r="H133" s="55"/>
      <c r="I133" s="56"/>
      <c r="J133" s="56"/>
      <c r="K133" s="56"/>
      <c r="L133" s="56"/>
    </row>
    <row r="134" s="1" customFormat="1" spans="2:12">
      <c r="B134" s="32" t="s">
        <v>2150</v>
      </c>
      <c r="C134" s="32" t="s">
        <v>275</v>
      </c>
      <c r="D134" s="10" t="s">
        <v>2151</v>
      </c>
      <c r="E134" s="54"/>
      <c r="F134" s="39"/>
      <c r="G134" s="39"/>
      <c r="H134" s="55"/>
      <c r="I134" s="56"/>
      <c r="J134" s="56"/>
      <c r="K134" s="56"/>
      <c r="L134" s="56"/>
    </row>
    <row r="135" s="1" customFormat="1" spans="2:12">
      <c r="B135" s="32" t="s">
        <v>2152</v>
      </c>
      <c r="C135" s="32" t="s">
        <v>275</v>
      </c>
      <c r="D135" s="10" t="s">
        <v>2153</v>
      </c>
      <c r="E135" s="54"/>
      <c r="F135" s="39"/>
      <c r="G135" s="39"/>
      <c r="H135" s="55"/>
      <c r="I135" s="56"/>
      <c r="J135" s="56"/>
      <c r="K135" s="56"/>
      <c r="L135" s="56"/>
    </row>
    <row r="136" s="1" customFormat="1" spans="2:12">
      <c r="B136" s="32" t="s">
        <v>2154</v>
      </c>
      <c r="C136" s="32" t="s">
        <v>275</v>
      </c>
      <c r="D136" s="10" t="s">
        <v>2155</v>
      </c>
      <c r="E136" s="54"/>
      <c r="F136" s="39"/>
      <c r="G136" s="39"/>
      <c r="H136" s="55"/>
      <c r="I136" s="56"/>
      <c r="J136" s="56"/>
      <c r="K136" s="56"/>
      <c r="L136" s="56"/>
    </row>
    <row r="137" s="1" customFormat="1" ht="26.4" spans="2:12">
      <c r="B137" s="32" t="s">
        <v>2156</v>
      </c>
      <c r="C137" s="32" t="s">
        <v>275</v>
      </c>
      <c r="D137" s="10" t="s">
        <v>2157</v>
      </c>
      <c r="E137" s="54"/>
      <c r="F137" s="39"/>
      <c r="G137" s="39"/>
      <c r="H137" s="55"/>
      <c r="I137" s="56"/>
      <c r="J137" s="56"/>
      <c r="K137" s="56"/>
      <c r="L137" s="56"/>
    </row>
    <row r="138" s="1" customFormat="1" ht="26.4" spans="2:12">
      <c r="B138" s="32" t="s">
        <v>2158</v>
      </c>
      <c r="C138" s="32" t="s">
        <v>275</v>
      </c>
      <c r="D138" s="10" t="s">
        <v>2159</v>
      </c>
      <c r="E138" s="54"/>
      <c r="F138" s="39"/>
      <c r="G138" s="39"/>
      <c r="H138" s="55"/>
      <c r="I138" s="56"/>
      <c r="J138" s="56"/>
      <c r="K138" s="56"/>
      <c r="L138" s="56"/>
    </row>
    <row r="139" s="1" customFormat="1" ht="26.4" spans="2:12">
      <c r="B139" s="32" t="s">
        <v>2160</v>
      </c>
      <c r="C139" s="32" t="s">
        <v>275</v>
      </c>
      <c r="D139" s="10" t="s">
        <v>2161</v>
      </c>
      <c r="E139" s="54"/>
      <c r="F139" s="39"/>
      <c r="G139" s="39"/>
      <c r="H139" s="55"/>
      <c r="I139" s="56"/>
      <c r="J139" s="56"/>
      <c r="K139" s="56"/>
      <c r="L139" s="56"/>
    </row>
    <row r="140" s="1" customFormat="1" ht="26.4" spans="2:12">
      <c r="B140" s="32" t="s">
        <v>2162</v>
      </c>
      <c r="C140" s="32" t="s">
        <v>275</v>
      </c>
      <c r="D140" s="10" t="s">
        <v>2163</v>
      </c>
      <c r="E140" s="54"/>
      <c r="F140" s="39"/>
      <c r="G140" s="39"/>
      <c r="H140" s="55"/>
      <c r="I140" s="56"/>
      <c r="J140" s="56"/>
      <c r="K140" s="56"/>
      <c r="L140" s="56"/>
    </row>
    <row r="141" s="1" customFormat="1" ht="26.4" spans="2:12">
      <c r="B141" s="32" t="s">
        <v>2164</v>
      </c>
      <c r="C141" s="32" t="s">
        <v>275</v>
      </c>
      <c r="D141" s="10" t="s">
        <v>2165</v>
      </c>
      <c r="E141" s="54"/>
      <c r="F141" s="39"/>
      <c r="G141" s="39"/>
      <c r="H141" s="55"/>
      <c r="I141" s="56"/>
      <c r="J141" s="56"/>
      <c r="K141" s="56"/>
      <c r="L141" s="56"/>
    </row>
    <row r="142" s="1" customFormat="1" ht="26.4" spans="2:12">
      <c r="B142" s="32" t="s">
        <v>2166</v>
      </c>
      <c r="C142" s="32" t="s">
        <v>275</v>
      </c>
      <c r="D142" s="10" t="s">
        <v>2167</v>
      </c>
      <c r="E142" s="54"/>
      <c r="F142" s="39"/>
      <c r="G142" s="39"/>
      <c r="H142" s="55"/>
      <c r="I142" s="56"/>
      <c r="J142" s="56"/>
      <c r="K142" s="56"/>
      <c r="L142" s="56"/>
    </row>
    <row r="143" s="70" customFormat="1" ht="26.4" spans="1:12">
      <c r="A143" s="75"/>
      <c r="B143" s="78" t="s">
        <v>2168</v>
      </c>
      <c r="C143" s="78" t="s">
        <v>275</v>
      </c>
      <c r="D143" s="10" t="s">
        <v>2169</v>
      </c>
      <c r="E143" s="54"/>
      <c r="F143" s="39"/>
      <c r="G143" s="39"/>
      <c r="H143" s="55"/>
      <c r="I143" s="81"/>
      <c r="J143" s="56"/>
      <c r="K143" s="56"/>
      <c r="L143" s="56"/>
    </row>
    <row r="144" s="70" customFormat="1" spans="1:12">
      <c r="A144" s="75"/>
      <c r="B144" s="78" t="s">
        <v>2170</v>
      </c>
      <c r="C144" s="78" t="s">
        <v>275</v>
      </c>
      <c r="D144" s="10" t="s">
        <v>2171</v>
      </c>
      <c r="E144" s="54"/>
      <c r="F144" s="39"/>
      <c r="G144" s="39"/>
      <c r="H144" s="55"/>
      <c r="I144" s="81"/>
      <c r="J144" s="56"/>
      <c r="K144" s="56"/>
      <c r="L144" s="56"/>
    </row>
    <row r="145" s="70" customFormat="1" spans="1:12">
      <c r="A145" s="75"/>
      <c r="B145" s="78" t="s">
        <v>2172</v>
      </c>
      <c r="C145" s="78" t="s">
        <v>275</v>
      </c>
      <c r="D145" s="10" t="s">
        <v>2173</v>
      </c>
      <c r="E145" s="54"/>
      <c r="F145" s="39"/>
      <c r="G145" s="39"/>
      <c r="H145" s="55"/>
      <c r="I145" s="81"/>
      <c r="J145" s="56"/>
      <c r="K145" s="56"/>
      <c r="L145" s="56"/>
    </row>
    <row r="146" s="70" customFormat="1" spans="1:12">
      <c r="A146" s="75"/>
      <c r="B146" s="78" t="s">
        <v>2174</v>
      </c>
      <c r="C146" s="78" t="s">
        <v>275</v>
      </c>
      <c r="D146" s="10" t="s">
        <v>2175</v>
      </c>
      <c r="E146" s="54"/>
      <c r="F146" s="39"/>
      <c r="G146" s="39"/>
      <c r="H146" s="55"/>
      <c r="I146" s="81"/>
      <c r="J146" s="56"/>
      <c r="K146" s="56"/>
      <c r="L146" s="56"/>
    </row>
    <row r="147" s="70" customFormat="1" spans="1:12">
      <c r="A147" s="75"/>
      <c r="B147" s="78" t="s">
        <v>2176</v>
      </c>
      <c r="C147" s="78" t="s">
        <v>275</v>
      </c>
      <c r="D147" s="10" t="s">
        <v>2177</v>
      </c>
      <c r="E147" s="54"/>
      <c r="F147" s="39"/>
      <c r="G147" s="39"/>
      <c r="H147" s="55"/>
      <c r="I147" s="81"/>
      <c r="J147" s="56"/>
      <c r="K147" s="56"/>
      <c r="L147" s="56"/>
    </row>
    <row r="148" s="70" customFormat="1" spans="1:12">
      <c r="A148" s="75"/>
      <c r="B148" s="78" t="s">
        <v>2178</v>
      </c>
      <c r="C148" s="78" t="s">
        <v>275</v>
      </c>
      <c r="D148" s="10" t="s">
        <v>2179</v>
      </c>
      <c r="E148" s="54"/>
      <c r="F148" s="39"/>
      <c r="G148" s="39"/>
      <c r="H148" s="55"/>
      <c r="I148" s="81"/>
      <c r="J148" s="56"/>
      <c r="K148" s="56"/>
      <c r="L148" s="56"/>
    </row>
    <row r="149" s="70" customFormat="1" spans="1:12">
      <c r="A149" s="75"/>
      <c r="B149" s="78" t="s">
        <v>2180</v>
      </c>
      <c r="C149" s="78" t="s">
        <v>275</v>
      </c>
      <c r="D149" s="10" t="s">
        <v>2181</v>
      </c>
      <c r="E149" s="54"/>
      <c r="F149" s="39"/>
      <c r="G149" s="39"/>
      <c r="H149" s="55"/>
      <c r="I149" s="81"/>
      <c r="J149" s="56"/>
      <c r="K149" s="56"/>
      <c r="L149" s="56"/>
    </row>
    <row r="150" s="70" customFormat="1" spans="1:12">
      <c r="A150" s="75"/>
      <c r="B150" s="78" t="s">
        <v>2182</v>
      </c>
      <c r="C150" s="78" t="s">
        <v>275</v>
      </c>
      <c r="D150" s="10" t="s">
        <v>2183</v>
      </c>
      <c r="E150" s="54"/>
      <c r="F150" s="39"/>
      <c r="G150" s="39"/>
      <c r="H150" s="55"/>
      <c r="I150" s="81"/>
      <c r="J150" s="56"/>
      <c r="K150" s="56"/>
      <c r="L150" s="56"/>
    </row>
    <row r="151" s="70" customFormat="1" spans="1:12">
      <c r="A151" s="75"/>
      <c r="B151" s="78" t="s">
        <v>2184</v>
      </c>
      <c r="C151" s="78" t="s">
        <v>275</v>
      </c>
      <c r="D151" s="10" t="s">
        <v>2185</v>
      </c>
      <c r="E151" s="54"/>
      <c r="F151" s="39"/>
      <c r="G151" s="39"/>
      <c r="H151" s="55"/>
      <c r="I151" s="81"/>
      <c r="J151" s="56"/>
      <c r="K151" s="56"/>
      <c r="L151" s="56"/>
    </row>
    <row r="152" s="70" customFormat="1" spans="1:12">
      <c r="A152" s="75"/>
      <c r="B152" s="78" t="s">
        <v>2186</v>
      </c>
      <c r="C152" s="78" t="s">
        <v>275</v>
      </c>
      <c r="D152" s="10" t="s">
        <v>2187</v>
      </c>
      <c r="E152" s="54"/>
      <c r="F152" s="39"/>
      <c r="G152" s="39"/>
      <c r="H152" s="55"/>
      <c r="I152" s="81"/>
      <c r="J152" s="56"/>
      <c r="K152" s="56"/>
      <c r="L152" s="56"/>
    </row>
    <row r="153" s="70" customFormat="1" spans="1:12">
      <c r="A153" s="75"/>
      <c r="B153" s="78" t="s">
        <v>2188</v>
      </c>
      <c r="C153" s="78" t="s">
        <v>275</v>
      </c>
      <c r="D153" s="10" t="s">
        <v>2189</v>
      </c>
      <c r="E153" s="54"/>
      <c r="F153" s="39"/>
      <c r="G153" s="39"/>
      <c r="H153" s="55"/>
      <c r="I153" s="81"/>
      <c r="J153" s="56"/>
      <c r="K153" s="56"/>
      <c r="L153" s="56"/>
    </row>
    <row r="154" s="70" customFormat="1" spans="1:12">
      <c r="A154" s="75"/>
      <c r="B154" s="78" t="s">
        <v>2190</v>
      </c>
      <c r="C154" s="78" t="s">
        <v>275</v>
      </c>
      <c r="D154" s="10" t="s">
        <v>2191</v>
      </c>
      <c r="E154" s="54"/>
      <c r="F154" s="39"/>
      <c r="G154" s="39"/>
      <c r="H154" s="55"/>
      <c r="I154" s="81"/>
      <c r="J154" s="56"/>
      <c r="K154" s="56"/>
      <c r="L154" s="56"/>
    </row>
    <row r="155" s="70" customFormat="1" spans="1:12">
      <c r="A155" s="75"/>
      <c r="B155" s="78" t="s">
        <v>2192</v>
      </c>
      <c r="C155" s="78" t="s">
        <v>275</v>
      </c>
      <c r="D155" s="10" t="s">
        <v>2193</v>
      </c>
      <c r="E155" s="54"/>
      <c r="F155" s="39"/>
      <c r="G155" s="39"/>
      <c r="H155" s="55"/>
      <c r="I155" s="81"/>
      <c r="J155" s="56"/>
      <c r="K155" s="56"/>
      <c r="L155" s="56"/>
    </row>
    <row r="156" s="70" customFormat="1" spans="1:12">
      <c r="A156" s="75"/>
      <c r="B156" s="78" t="s">
        <v>2194</v>
      </c>
      <c r="C156" s="78" t="s">
        <v>275</v>
      </c>
      <c r="D156" s="10" t="s">
        <v>2195</v>
      </c>
      <c r="E156" s="54"/>
      <c r="F156" s="39"/>
      <c r="G156" s="39"/>
      <c r="H156" s="55"/>
      <c r="I156" s="81"/>
      <c r="J156" s="56"/>
      <c r="K156" s="56"/>
      <c r="L156" s="56"/>
    </row>
    <row r="157" s="70" customFormat="1" spans="1:12">
      <c r="A157" s="75"/>
      <c r="B157" s="78" t="s">
        <v>2196</v>
      </c>
      <c r="C157" s="78" t="s">
        <v>275</v>
      </c>
      <c r="D157" s="10" t="s">
        <v>2197</v>
      </c>
      <c r="E157" s="54"/>
      <c r="F157" s="39"/>
      <c r="G157" s="39"/>
      <c r="H157" s="55"/>
      <c r="I157" s="81"/>
      <c r="J157" s="56"/>
      <c r="K157" s="56"/>
      <c r="L157" s="56"/>
    </row>
    <row r="158" s="70" customFormat="1" spans="1:12">
      <c r="A158" s="75"/>
      <c r="B158" s="78" t="s">
        <v>2198</v>
      </c>
      <c r="C158" s="78" t="s">
        <v>275</v>
      </c>
      <c r="D158" s="10" t="s">
        <v>2199</v>
      </c>
      <c r="E158" s="54"/>
      <c r="F158" s="39"/>
      <c r="G158" s="39"/>
      <c r="H158" s="55"/>
      <c r="I158" s="81"/>
      <c r="J158" s="56"/>
      <c r="K158" s="56"/>
      <c r="L158" s="56"/>
    </row>
    <row r="159" s="70" customFormat="1" spans="1:12">
      <c r="A159" s="75"/>
      <c r="B159" s="78" t="s">
        <v>2200</v>
      </c>
      <c r="C159" s="78" t="s">
        <v>275</v>
      </c>
      <c r="D159" s="10" t="s">
        <v>2201</v>
      </c>
      <c r="E159" s="54"/>
      <c r="F159" s="39"/>
      <c r="G159" s="39"/>
      <c r="H159" s="55"/>
      <c r="I159" s="81"/>
      <c r="J159" s="56"/>
      <c r="K159" s="56"/>
      <c r="L159" s="56"/>
    </row>
    <row r="160" s="70" customFormat="1" spans="1:12">
      <c r="A160" s="75"/>
      <c r="B160" s="78" t="s">
        <v>2202</v>
      </c>
      <c r="C160" s="78" t="s">
        <v>275</v>
      </c>
      <c r="D160" s="10" t="s">
        <v>2203</v>
      </c>
      <c r="E160" s="54"/>
      <c r="F160" s="39"/>
      <c r="G160" s="39"/>
      <c r="H160" s="55"/>
      <c r="I160" s="81"/>
      <c r="J160" s="56"/>
      <c r="K160" s="56"/>
      <c r="L160" s="56"/>
    </row>
    <row r="161" s="70" customFormat="1" spans="1:12">
      <c r="A161" s="75"/>
      <c r="B161" s="78" t="s">
        <v>2204</v>
      </c>
      <c r="C161" s="78" t="s">
        <v>275</v>
      </c>
      <c r="D161" s="10" t="s">
        <v>2205</v>
      </c>
      <c r="E161" s="54"/>
      <c r="F161" s="39"/>
      <c r="G161" s="39"/>
      <c r="H161" s="55"/>
      <c r="I161" s="81"/>
      <c r="J161" s="56"/>
      <c r="K161" s="56"/>
      <c r="L161" s="56"/>
    </row>
    <row r="162" s="70" customFormat="1" spans="1:12">
      <c r="A162" s="75"/>
      <c r="B162" s="78" t="s">
        <v>2206</v>
      </c>
      <c r="C162" s="78" t="s">
        <v>275</v>
      </c>
      <c r="D162" s="10" t="s">
        <v>2207</v>
      </c>
      <c r="E162" s="54"/>
      <c r="F162" s="39"/>
      <c r="G162" s="39"/>
      <c r="H162" s="55"/>
      <c r="I162" s="81"/>
      <c r="J162" s="56"/>
      <c r="K162" s="56"/>
      <c r="L162" s="56"/>
    </row>
    <row r="163" s="70" customFormat="1" spans="1:12">
      <c r="A163" s="75"/>
      <c r="B163" s="78" t="s">
        <v>2208</v>
      </c>
      <c r="C163" s="78" t="s">
        <v>275</v>
      </c>
      <c r="D163" s="10" t="s">
        <v>2209</v>
      </c>
      <c r="E163" s="54"/>
      <c r="F163" s="39"/>
      <c r="G163" s="39"/>
      <c r="H163" s="55"/>
      <c r="I163" s="81"/>
      <c r="J163" s="56"/>
      <c r="K163" s="56"/>
      <c r="L163" s="56"/>
    </row>
    <row r="164" s="70" customFormat="1" spans="1:12">
      <c r="A164" s="75"/>
      <c r="B164" s="78" t="s">
        <v>2210</v>
      </c>
      <c r="C164" s="78" t="s">
        <v>275</v>
      </c>
      <c r="D164" s="10" t="s">
        <v>2211</v>
      </c>
      <c r="E164" s="54"/>
      <c r="F164" s="39"/>
      <c r="G164" s="39"/>
      <c r="H164" s="55"/>
      <c r="I164" s="81"/>
      <c r="J164" s="56"/>
      <c r="K164" s="56"/>
      <c r="L164" s="56"/>
    </row>
    <row r="165" s="70" customFormat="1" spans="1:12">
      <c r="A165" s="75"/>
      <c r="B165" s="78" t="s">
        <v>2212</v>
      </c>
      <c r="C165" s="78" t="s">
        <v>275</v>
      </c>
      <c r="D165" s="10" t="s">
        <v>2213</v>
      </c>
      <c r="E165" s="54"/>
      <c r="F165" s="39"/>
      <c r="G165" s="39"/>
      <c r="H165" s="55"/>
      <c r="I165" s="81"/>
      <c r="J165" s="56"/>
      <c r="K165" s="56"/>
      <c r="L165" s="56"/>
    </row>
    <row r="166" s="70" customFormat="1" spans="1:12">
      <c r="A166" s="75"/>
      <c r="B166" s="78" t="s">
        <v>2214</v>
      </c>
      <c r="C166" s="78" t="s">
        <v>275</v>
      </c>
      <c r="D166" s="10" t="s">
        <v>2215</v>
      </c>
      <c r="E166" s="54"/>
      <c r="F166" s="39"/>
      <c r="G166" s="39"/>
      <c r="H166" s="55"/>
      <c r="I166" s="81"/>
      <c r="J166" s="56"/>
      <c r="K166" s="56"/>
      <c r="L166" s="56"/>
    </row>
    <row r="167" s="70" customFormat="1" spans="1:12">
      <c r="A167" s="75"/>
      <c r="B167" s="78" t="s">
        <v>2216</v>
      </c>
      <c r="C167" s="78" t="s">
        <v>275</v>
      </c>
      <c r="D167" s="10" t="s">
        <v>2217</v>
      </c>
      <c r="E167" s="54"/>
      <c r="F167" s="39"/>
      <c r="G167" s="39"/>
      <c r="H167" s="55"/>
      <c r="I167" s="81"/>
      <c r="J167" s="56"/>
      <c r="K167" s="56"/>
      <c r="L167" s="56"/>
    </row>
    <row r="168" s="70" customFormat="1" spans="1:12">
      <c r="A168" s="75"/>
      <c r="B168" s="78" t="s">
        <v>2218</v>
      </c>
      <c r="C168" s="78" t="s">
        <v>275</v>
      </c>
      <c r="D168" s="10" t="s">
        <v>2219</v>
      </c>
      <c r="E168" s="54"/>
      <c r="F168" s="39"/>
      <c r="G168" s="39"/>
      <c r="H168" s="55"/>
      <c r="I168" s="81"/>
      <c r="J168" s="56"/>
      <c r="K168" s="56"/>
      <c r="L168" s="56"/>
    </row>
    <row r="169" s="70" customFormat="1" spans="1:12">
      <c r="A169" s="75"/>
      <c r="B169" s="78" t="s">
        <v>2220</v>
      </c>
      <c r="C169" s="78" t="s">
        <v>275</v>
      </c>
      <c r="D169" s="10" t="s">
        <v>2221</v>
      </c>
      <c r="E169" s="54"/>
      <c r="F169" s="39"/>
      <c r="G169" s="39"/>
      <c r="H169" s="55"/>
      <c r="I169" s="81"/>
      <c r="J169" s="56"/>
      <c r="K169" s="56"/>
      <c r="L169" s="56"/>
    </row>
    <row r="170" s="70" customFormat="1" spans="1:12">
      <c r="A170" s="75"/>
      <c r="B170" s="78" t="s">
        <v>2222</v>
      </c>
      <c r="C170" s="78" t="s">
        <v>275</v>
      </c>
      <c r="D170" s="10" t="s">
        <v>2223</v>
      </c>
      <c r="E170" s="54"/>
      <c r="F170" s="39"/>
      <c r="G170" s="39"/>
      <c r="H170" s="55"/>
      <c r="I170" s="81"/>
      <c r="J170" s="56"/>
      <c r="K170" s="56"/>
      <c r="L170" s="56"/>
    </row>
    <row r="171" s="70" customFormat="1" spans="1:12">
      <c r="A171" s="75"/>
      <c r="B171" s="78" t="s">
        <v>2224</v>
      </c>
      <c r="C171" s="78" t="s">
        <v>275</v>
      </c>
      <c r="D171" s="10" t="s">
        <v>2225</v>
      </c>
      <c r="E171" s="54"/>
      <c r="F171" s="39"/>
      <c r="G171" s="39"/>
      <c r="H171" s="55"/>
      <c r="I171" s="81"/>
      <c r="J171" s="56"/>
      <c r="K171" s="56"/>
      <c r="L171" s="56"/>
    </row>
    <row r="172" s="70" customFormat="1" spans="1:12">
      <c r="A172" s="75"/>
      <c r="B172" s="78" t="s">
        <v>2226</v>
      </c>
      <c r="C172" s="78" t="s">
        <v>275</v>
      </c>
      <c r="D172" s="10" t="s">
        <v>2227</v>
      </c>
      <c r="E172" s="54"/>
      <c r="F172" s="39"/>
      <c r="G172" s="39"/>
      <c r="H172" s="55"/>
      <c r="I172" s="81"/>
      <c r="J172" s="56"/>
      <c r="K172" s="56"/>
      <c r="L172" s="56"/>
    </row>
    <row r="173" s="70" customFormat="1" ht="26.4" spans="1:12">
      <c r="A173" s="75"/>
      <c r="B173" s="78" t="s">
        <v>2228</v>
      </c>
      <c r="C173" s="78" t="s">
        <v>275</v>
      </c>
      <c r="D173" s="10" t="s">
        <v>2229</v>
      </c>
      <c r="E173" s="54"/>
      <c r="F173" s="39"/>
      <c r="G173" s="39"/>
      <c r="H173" s="55"/>
      <c r="I173" s="81"/>
      <c r="J173" s="56"/>
      <c r="K173" s="56"/>
      <c r="L173" s="56"/>
    </row>
    <row r="174" s="70" customFormat="1" ht="26.4" spans="1:12">
      <c r="A174" s="75"/>
      <c r="B174" s="78" t="s">
        <v>2230</v>
      </c>
      <c r="C174" s="78" t="s">
        <v>275</v>
      </c>
      <c r="D174" s="10" t="s">
        <v>2231</v>
      </c>
      <c r="E174" s="54"/>
      <c r="F174" s="39"/>
      <c r="G174" s="39"/>
      <c r="H174" s="55"/>
      <c r="I174" s="81"/>
      <c r="J174" s="56"/>
      <c r="K174" s="56"/>
      <c r="L174" s="56"/>
    </row>
    <row r="175" s="70" customFormat="1" ht="26.4" spans="1:12">
      <c r="A175" s="75"/>
      <c r="B175" s="78" t="s">
        <v>2232</v>
      </c>
      <c r="C175" s="78" t="s">
        <v>275</v>
      </c>
      <c r="D175" s="10" t="s">
        <v>2233</v>
      </c>
      <c r="E175" s="54"/>
      <c r="F175" s="39"/>
      <c r="G175" s="39"/>
      <c r="H175" s="55"/>
      <c r="I175" s="81"/>
      <c r="J175" s="56"/>
      <c r="K175" s="56"/>
      <c r="L175" s="56"/>
    </row>
    <row r="176" s="70" customFormat="1" ht="26.4" spans="1:12">
      <c r="A176" s="75"/>
      <c r="B176" s="78" t="s">
        <v>2234</v>
      </c>
      <c r="C176" s="78" t="s">
        <v>275</v>
      </c>
      <c r="D176" s="10" t="s">
        <v>2235</v>
      </c>
      <c r="E176" s="54"/>
      <c r="F176" s="39"/>
      <c r="G176" s="39"/>
      <c r="H176" s="55"/>
      <c r="I176" s="81"/>
      <c r="J176" s="56"/>
      <c r="K176" s="56"/>
      <c r="L176" s="56"/>
    </row>
    <row r="177" s="70" customFormat="1" ht="26.4" spans="1:12">
      <c r="A177" s="75"/>
      <c r="B177" s="78" t="s">
        <v>2236</v>
      </c>
      <c r="C177" s="78" t="s">
        <v>275</v>
      </c>
      <c r="D177" s="10" t="s">
        <v>2237</v>
      </c>
      <c r="E177" s="54"/>
      <c r="F177" s="39"/>
      <c r="G177" s="39"/>
      <c r="H177" s="55"/>
      <c r="I177" s="81"/>
      <c r="J177" s="56"/>
      <c r="K177" s="56"/>
      <c r="L177" s="56"/>
    </row>
    <row r="178" s="70" customFormat="1" ht="26.4" spans="1:12">
      <c r="A178" s="75"/>
      <c r="B178" s="78" t="s">
        <v>2238</v>
      </c>
      <c r="C178" s="78" t="s">
        <v>275</v>
      </c>
      <c r="D178" s="10" t="s">
        <v>2239</v>
      </c>
      <c r="E178" s="54"/>
      <c r="F178" s="39"/>
      <c r="G178" s="39"/>
      <c r="H178" s="55"/>
      <c r="I178" s="81"/>
      <c r="J178" s="56"/>
      <c r="K178" s="56"/>
      <c r="L178" s="56"/>
    </row>
    <row r="179" s="70" customFormat="1" ht="26.4" spans="1:12">
      <c r="A179" s="75"/>
      <c r="B179" s="78" t="s">
        <v>2240</v>
      </c>
      <c r="C179" s="78" t="s">
        <v>275</v>
      </c>
      <c r="D179" s="10" t="s">
        <v>2241</v>
      </c>
      <c r="E179" s="54"/>
      <c r="F179" s="39"/>
      <c r="G179" s="39"/>
      <c r="H179" s="55"/>
      <c r="I179" s="81"/>
      <c r="J179" s="56"/>
      <c r="K179" s="56"/>
      <c r="L179" s="56"/>
    </row>
    <row r="180" s="70" customFormat="1" ht="26.4" spans="1:12">
      <c r="A180" s="75"/>
      <c r="B180" s="78" t="s">
        <v>2242</v>
      </c>
      <c r="C180" s="78" t="s">
        <v>275</v>
      </c>
      <c r="D180" s="10" t="s">
        <v>2243</v>
      </c>
      <c r="E180" s="54"/>
      <c r="F180" s="39"/>
      <c r="G180" s="39"/>
      <c r="H180" s="55"/>
      <c r="I180" s="81"/>
      <c r="J180" s="56"/>
      <c r="K180" s="56"/>
      <c r="L180" s="56"/>
    </row>
    <row r="181" s="70" customFormat="1" ht="26.4" spans="1:12">
      <c r="A181" s="75"/>
      <c r="B181" s="78" t="s">
        <v>2244</v>
      </c>
      <c r="C181" s="78" t="s">
        <v>275</v>
      </c>
      <c r="D181" s="10" t="s">
        <v>2245</v>
      </c>
      <c r="E181" s="54"/>
      <c r="F181" s="39"/>
      <c r="G181" s="39"/>
      <c r="H181" s="55"/>
      <c r="I181" s="81"/>
      <c r="J181" s="56"/>
      <c r="K181" s="56"/>
      <c r="L181" s="56"/>
    </row>
    <row r="182" s="70" customFormat="1" ht="26.4" spans="1:12">
      <c r="A182" s="75"/>
      <c r="B182" s="78" t="s">
        <v>2246</v>
      </c>
      <c r="C182" s="78" t="s">
        <v>275</v>
      </c>
      <c r="D182" s="10" t="s">
        <v>2247</v>
      </c>
      <c r="E182" s="54"/>
      <c r="F182" s="39"/>
      <c r="G182" s="39"/>
      <c r="H182" s="55"/>
      <c r="I182" s="81"/>
      <c r="J182" s="56"/>
      <c r="K182" s="56"/>
      <c r="L182" s="56"/>
    </row>
    <row r="183" s="70" customFormat="1" ht="26.4" spans="1:12">
      <c r="A183" s="75"/>
      <c r="B183" s="78" t="s">
        <v>2248</v>
      </c>
      <c r="C183" s="78" t="s">
        <v>275</v>
      </c>
      <c r="D183" s="10" t="s">
        <v>2249</v>
      </c>
      <c r="E183" s="54"/>
      <c r="F183" s="39"/>
      <c r="G183" s="39"/>
      <c r="H183" s="55"/>
      <c r="I183" s="81"/>
      <c r="J183" s="56"/>
      <c r="K183" s="56"/>
      <c r="L183" s="56"/>
    </row>
    <row r="184" s="70" customFormat="1" ht="26.4" spans="1:12">
      <c r="A184" s="75"/>
      <c r="B184" s="78" t="s">
        <v>2250</v>
      </c>
      <c r="C184" s="78" t="s">
        <v>275</v>
      </c>
      <c r="D184" s="10" t="s">
        <v>2251</v>
      </c>
      <c r="E184" s="54"/>
      <c r="F184" s="39"/>
      <c r="G184" s="39"/>
      <c r="H184" s="55"/>
      <c r="I184" s="81"/>
      <c r="J184" s="56"/>
      <c r="K184" s="56"/>
      <c r="L184" s="56"/>
    </row>
    <row r="185" s="70" customFormat="1" ht="26.4" spans="1:12">
      <c r="A185" s="75"/>
      <c r="B185" s="78" t="s">
        <v>2252</v>
      </c>
      <c r="C185" s="78" t="s">
        <v>275</v>
      </c>
      <c r="D185" s="10" t="s">
        <v>2253</v>
      </c>
      <c r="E185" s="54"/>
      <c r="F185" s="39"/>
      <c r="G185" s="39"/>
      <c r="H185" s="55"/>
      <c r="I185" s="81"/>
      <c r="J185" s="56"/>
      <c r="K185" s="56"/>
      <c r="L185" s="56"/>
    </row>
    <row r="186" s="70" customFormat="1" ht="26.4" spans="1:12">
      <c r="A186" s="75"/>
      <c r="B186" s="78" t="s">
        <v>2254</v>
      </c>
      <c r="C186" s="78" t="s">
        <v>275</v>
      </c>
      <c r="D186" s="10" t="s">
        <v>2255</v>
      </c>
      <c r="E186" s="54"/>
      <c r="F186" s="39"/>
      <c r="G186" s="39"/>
      <c r="H186" s="55"/>
      <c r="I186" s="81"/>
      <c r="J186" s="56"/>
      <c r="K186" s="56"/>
      <c r="L186" s="56"/>
    </row>
    <row r="187" s="70" customFormat="1" ht="26.4" spans="1:12">
      <c r="A187" s="75"/>
      <c r="B187" s="78" t="s">
        <v>2256</v>
      </c>
      <c r="C187" s="78" t="s">
        <v>275</v>
      </c>
      <c r="D187" s="10" t="s">
        <v>2257</v>
      </c>
      <c r="E187" s="54"/>
      <c r="F187" s="39"/>
      <c r="G187" s="39"/>
      <c r="H187" s="55"/>
      <c r="I187" s="81"/>
      <c r="J187" s="56"/>
      <c r="K187" s="56"/>
      <c r="L187" s="56"/>
    </row>
    <row r="188" s="70" customFormat="1" ht="26.4" spans="1:12">
      <c r="A188" s="75"/>
      <c r="B188" s="78" t="s">
        <v>2258</v>
      </c>
      <c r="C188" s="78" t="s">
        <v>275</v>
      </c>
      <c r="D188" s="10" t="s">
        <v>2259</v>
      </c>
      <c r="E188" s="54"/>
      <c r="F188" s="39"/>
      <c r="G188" s="39"/>
      <c r="H188" s="55"/>
      <c r="I188" s="81"/>
      <c r="J188" s="56"/>
      <c r="K188" s="56"/>
      <c r="L188" s="56"/>
    </row>
    <row r="189" s="70" customFormat="1" ht="26.4" spans="1:12">
      <c r="A189" s="75"/>
      <c r="B189" s="78" t="s">
        <v>2260</v>
      </c>
      <c r="C189" s="78" t="s">
        <v>275</v>
      </c>
      <c r="D189" s="10" t="s">
        <v>2261</v>
      </c>
      <c r="E189" s="54"/>
      <c r="F189" s="39"/>
      <c r="G189" s="39"/>
      <c r="H189" s="55"/>
      <c r="I189" s="81"/>
      <c r="J189" s="56"/>
      <c r="K189" s="56"/>
      <c r="L189" s="56"/>
    </row>
    <row r="190" s="70" customFormat="1" ht="26.4" spans="1:12">
      <c r="A190" s="75"/>
      <c r="B190" s="78" t="s">
        <v>2262</v>
      </c>
      <c r="C190" s="78" t="s">
        <v>275</v>
      </c>
      <c r="D190" s="10" t="s">
        <v>2263</v>
      </c>
      <c r="E190" s="54"/>
      <c r="F190" s="39"/>
      <c r="G190" s="39"/>
      <c r="H190" s="55"/>
      <c r="I190" s="81"/>
      <c r="J190" s="56"/>
      <c r="K190" s="56"/>
      <c r="L190" s="56"/>
    </row>
    <row r="191" s="70" customFormat="1" ht="26.4" spans="1:12">
      <c r="A191" s="75"/>
      <c r="B191" s="78" t="s">
        <v>2264</v>
      </c>
      <c r="C191" s="78" t="s">
        <v>275</v>
      </c>
      <c r="D191" s="10" t="s">
        <v>2265</v>
      </c>
      <c r="E191" s="54"/>
      <c r="F191" s="39"/>
      <c r="G191" s="39"/>
      <c r="H191" s="55"/>
      <c r="I191" s="81"/>
      <c r="J191" s="56"/>
      <c r="K191" s="56"/>
      <c r="L191" s="56"/>
    </row>
    <row r="192" s="70" customFormat="1" ht="26.4" spans="1:12">
      <c r="A192" s="75"/>
      <c r="B192" s="78" t="s">
        <v>2266</v>
      </c>
      <c r="C192" s="78" t="s">
        <v>275</v>
      </c>
      <c r="D192" s="10" t="s">
        <v>2267</v>
      </c>
      <c r="E192" s="54"/>
      <c r="F192" s="39"/>
      <c r="G192" s="39"/>
      <c r="H192" s="55"/>
      <c r="I192" s="81"/>
      <c r="J192" s="56"/>
      <c r="K192" s="56"/>
      <c r="L192" s="56"/>
    </row>
    <row r="193" s="70" customFormat="1" ht="26.4" spans="1:12">
      <c r="A193" s="75"/>
      <c r="B193" s="78" t="s">
        <v>2268</v>
      </c>
      <c r="C193" s="78" t="s">
        <v>275</v>
      </c>
      <c r="D193" s="10" t="s">
        <v>2269</v>
      </c>
      <c r="E193" s="54"/>
      <c r="F193" s="39"/>
      <c r="G193" s="39"/>
      <c r="H193" s="55"/>
      <c r="I193" s="81"/>
      <c r="J193" s="56"/>
      <c r="K193" s="56"/>
      <c r="L193" s="56"/>
    </row>
    <row r="194" s="70" customFormat="1" ht="26.4" spans="1:12">
      <c r="A194" s="75"/>
      <c r="B194" s="78" t="s">
        <v>2270</v>
      </c>
      <c r="C194" s="78" t="s">
        <v>275</v>
      </c>
      <c r="D194" s="10" t="s">
        <v>2271</v>
      </c>
      <c r="E194" s="54"/>
      <c r="F194" s="39"/>
      <c r="G194" s="39"/>
      <c r="H194" s="55"/>
      <c r="I194" s="81"/>
      <c r="J194" s="56"/>
      <c r="K194" s="56"/>
      <c r="L194" s="56"/>
    </row>
    <row r="195" s="70" customFormat="1" ht="26.4" spans="1:12">
      <c r="A195" s="75"/>
      <c r="B195" s="78" t="s">
        <v>2272</v>
      </c>
      <c r="C195" s="78" t="s">
        <v>275</v>
      </c>
      <c r="D195" s="10" t="s">
        <v>2273</v>
      </c>
      <c r="E195" s="54"/>
      <c r="F195" s="39"/>
      <c r="G195" s="39"/>
      <c r="H195" s="55"/>
      <c r="I195" s="81"/>
      <c r="J195" s="56"/>
      <c r="K195" s="56"/>
      <c r="L195" s="56"/>
    </row>
    <row r="196" s="70" customFormat="1" ht="26.4" spans="1:12">
      <c r="A196" s="75"/>
      <c r="B196" s="78" t="s">
        <v>2274</v>
      </c>
      <c r="C196" s="78" t="s">
        <v>275</v>
      </c>
      <c r="D196" s="10" t="s">
        <v>2275</v>
      </c>
      <c r="E196" s="54"/>
      <c r="F196" s="39"/>
      <c r="G196" s="39"/>
      <c r="H196" s="55"/>
      <c r="I196" s="81"/>
      <c r="J196" s="56"/>
      <c r="K196" s="56"/>
      <c r="L196" s="56"/>
    </row>
    <row r="197" s="70" customFormat="1" ht="26.4" spans="1:12">
      <c r="A197" s="75"/>
      <c r="B197" s="78" t="s">
        <v>2276</v>
      </c>
      <c r="C197" s="78" t="s">
        <v>275</v>
      </c>
      <c r="D197" s="10" t="s">
        <v>2277</v>
      </c>
      <c r="E197" s="54"/>
      <c r="F197" s="39"/>
      <c r="G197" s="39"/>
      <c r="H197" s="55"/>
      <c r="I197" s="81"/>
      <c r="J197" s="56"/>
      <c r="K197" s="56"/>
      <c r="L197" s="56"/>
    </row>
    <row r="198" s="70" customFormat="1" ht="26.4" spans="1:12">
      <c r="A198" s="75"/>
      <c r="B198" s="78" t="s">
        <v>2278</v>
      </c>
      <c r="C198" s="78" t="s">
        <v>275</v>
      </c>
      <c r="D198" s="10" t="s">
        <v>2279</v>
      </c>
      <c r="E198" s="54"/>
      <c r="F198" s="39"/>
      <c r="G198" s="39"/>
      <c r="H198" s="55"/>
      <c r="I198" s="81"/>
      <c r="J198" s="56"/>
      <c r="K198" s="56"/>
      <c r="L198" s="56"/>
    </row>
    <row r="199" s="70" customFormat="1" ht="26.4" spans="1:12">
      <c r="A199" s="75"/>
      <c r="B199" s="78" t="s">
        <v>2280</v>
      </c>
      <c r="C199" s="78" t="s">
        <v>275</v>
      </c>
      <c r="D199" s="10" t="s">
        <v>2281</v>
      </c>
      <c r="E199" s="54"/>
      <c r="F199" s="39"/>
      <c r="G199" s="39"/>
      <c r="H199" s="55"/>
      <c r="I199" s="81"/>
      <c r="J199" s="56"/>
      <c r="K199" s="56"/>
      <c r="L199" s="56"/>
    </row>
    <row r="200" s="70" customFormat="1" ht="26.4" spans="1:12">
      <c r="A200" s="75"/>
      <c r="B200" s="78" t="s">
        <v>2282</v>
      </c>
      <c r="C200" s="78" t="s">
        <v>275</v>
      </c>
      <c r="D200" s="10" t="s">
        <v>2283</v>
      </c>
      <c r="E200" s="54"/>
      <c r="F200" s="39"/>
      <c r="G200" s="39"/>
      <c r="H200" s="55"/>
      <c r="I200" s="81"/>
      <c r="J200" s="56"/>
      <c r="K200" s="56"/>
      <c r="L200" s="56"/>
    </row>
    <row r="201" s="70" customFormat="1" ht="26.4" spans="1:12">
      <c r="A201" s="75"/>
      <c r="B201" s="78" t="s">
        <v>2284</v>
      </c>
      <c r="C201" s="78" t="s">
        <v>275</v>
      </c>
      <c r="D201" s="10" t="s">
        <v>2285</v>
      </c>
      <c r="E201" s="54"/>
      <c r="F201" s="39"/>
      <c r="G201" s="39"/>
      <c r="H201" s="55"/>
      <c r="I201" s="81"/>
      <c r="J201" s="56"/>
      <c r="K201" s="56"/>
      <c r="L201" s="56"/>
    </row>
    <row r="202" s="70" customFormat="1" ht="26.4" spans="1:12">
      <c r="A202" s="75"/>
      <c r="B202" s="78" t="s">
        <v>2286</v>
      </c>
      <c r="C202" s="78" t="s">
        <v>275</v>
      </c>
      <c r="D202" s="10" t="s">
        <v>2287</v>
      </c>
      <c r="E202" s="54"/>
      <c r="F202" s="39"/>
      <c r="G202" s="39"/>
      <c r="H202" s="55"/>
      <c r="I202" s="81"/>
      <c r="J202" s="56"/>
      <c r="K202" s="56"/>
      <c r="L202" s="56"/>
    </row>
    <row r="203" s="70" customFormat="1" ht="26.4" spans="1:12">
      <c r="A203" s="75"/>
      <c r="B203" s="78" t="s">
        <v>2288</v>
      </c>
      <c r="C203" s="78" t="s">
        <v>275</v>
      </c>
      <c r="D203" s="10" t="s">
        <v>2289</v>
      </c>
      <c r="E203" s="54"/>
      <c r="F203" s="39"/>
      <c r="G203" s="39"/>
      <c r="H203" s="55"/>
      <c r="I203" s="81"/>
      <c r="J203" s="56"/>
      <c r="K203" s="56"/>
      <c r="L203" s="56"/>
    </row>
    <row r="204" s="70" customFormat="1" ht="26.4" spans="1:12">
      <c r="A204" s="75"/>
      <c r="B204" s="78" t="s">
        <v>2290</v>
      </c>
      <c r="C204" s="78" t="s">
        <v>275</v>
      </c>
      <c r="D204" s="10" t="s">
        <v>2291</v>
      </c>
      <c r="E204" s="54"/>
      <c r="F204" s="39"/>
      <c r="G204" s="39"/>
      <c r="H204" s="55"/>
      <c r="I204" s="81"/>
      <c r="J204" s="56"/>
      <c r="K204" s="56"/>
      <c r="L204" s="56"/>
    </row>
    <row r="205" s="70" customFormat="1" ht="26.4" spans="1:12">
      <c r="A205" s="75"/>
      <c r="B205" s="78" t="s">
        <v>2292</v>
      </c>
      <c r="C205" s="78" t="s">
        <v>275</v>
      </c>
      <c r="D205" s="10" t="s">
        <v>2293</v>
      </c>
      <c r="E205" s="54"/>
      <c r="F205" s="39"/>
      <c r="G205" s="39"/>
      <c r="H205" s="55"/>
      <c r="I205" s="81"/>
      <c r="J205" s="56"/>
      <c r="K205" s="56"/>
      <c r="L205" s="56"/>
    </row>
    <row r="206" s="70" customFormat="1" ht="26.4" spans="1:12">
      <c r="A206" s="75"/>
      <c r="B206" s="78" t="s">
        <v>2294</v>
      </c>
      <c r="C206" s="78" t="s">
        <v>275</v>
      </c>
      <c r="D206" s="10" t="s">
        <v>2295</v>
      </c>
      <c r="E206" s="54"/>
      <c r="F206" s="39"/>
      <c r="G206" s="39"/>
      <c r="H206" s="55"/>
      <c r="I206" s="81"/>
      <c r="J206" s="56"/>
      <c r="K206" s="56"/>
      <c r="L206" s="56"/>
    </row>
    <row r="207" s="70" customFormat="1" ht="26.4" spans="1:12">
      <c r="A207" s="75"/>
      <c r="B207" s="78" t="s">
        <v>2296</v>
      </c>
      <c r="C207" s="78" t="s">
        <v>275</v>
      </c>
      <c r="D207" s="10" t="s">
        <v>2297</v>
      </c>
      <c r="E207" s="54"/>
      <c r="F207" s="39"/>
      <c r="G207" s="39"/>
      <c r="H207" s="55"/>
      <c r="I207" s="81"/>
      <c r="J207" s="56"/>
      <c r="K207" s="56"/>
      <c r="L207" s="56"/>
    </row>
    <row r="208" s="70" customFormat="1" ht="26.4" spans="1:12">
      <c r="A208" s="75"/>
      <c r="B208" s="78" t="s">
        <v>2298</v>
      </c>
      <c r="C208" s="78" t="s">
        <v>275</v>
      </c>
      <c r="D208" s="10" t="s">
        <v>2299</v>
      </c>
      <c r="E208" s="54"/>
      <c r="F208" s="39"/>
      <c r="G208" s="39"/>
      <c r="H208" s="55"/>
      <c r="I208" s="81"/>
      <c r="J208" s="56"/>
      <c r="K208" s="56"/>
      <c r="L208" s="56"/>
    </row>
    <row r="209" s="70" customFormat="1" ht="26.4" spans="1:12">
      <c r="A209" s="75"/>
      <c r="B209" s="78" t="s">
        <v>2300</v>
      </c>
      <c r="C209" s="78" t="s">
        <v>275</v>
      </c>
      <c r="D209" s="10" t="s">
        <v>2301</v>
      </c>
      <c r="E209" s="54"/>
      <c r="F209" s="39"/>
      <c r="G209" s="39"/>
      <c r="H209" s="55"/>
      <c r="I209" s="81"/>
      <c r="J209" s="56"/>
      <c r="K209" s="56"/>
      <c r="L209" s="56"/>
    </row>
    <row r="210" s="70" customFormat="1" ht="26.4" spans="1:12">
      <c r="A210" s="75"/>
      <c r="B210" s="78" t="s">
        <v>2302</v>
      </c>
      <c r="C210" s="78" t="s">
        <v>275</v>
      </c>
      <c r="D210" s="10" t="s">
        <v>2303</v>
      </c>
      <c r="E210" s="54"/>
      <c r="F210" s="39"/>
      <c r="G210" s="39"/>
      <c r="H210" s="55"/>
      <c r="I210" s="81"/>
      <c r="J210" s="56"/>
      <c r="K210" s="56"/>
      <c r="L210" s="56"/>
    </row>
    <row r="211" s="70" customFormat="1" ht="26.4" spans="1:12">
      <c r="A211" s="75"/>
      <c r="B211" s="78" t="s">
        <v>2304</v>
      </c>
      <c r="C211" s="78" t="s">
        <v>275</v>
      </c>
      <c r="D211" s="10" t="s">
        <v>2305</v>
      </c>
      <c r="E211" s="54"/>
      <c r="F211" s="39"/>
      <c r="G211" s="39"/>
      <c r="H211" s="55"/>
      <c r="I211" s="81"/>
      <c r="J211" s="56"/>
      <c r="K211" s="56"/>
      <c r="L211" s="56"/>
    </row>
    <row r="212" s="70" customFormat="1" ht="26.4" spans="1:12">
      <c r="A212" s="75"/>
      <c r="B212" s="78" t="s">
        <v>2306</v>
      </c>
      <c r="C212" s="78" t="s">
        <v>275</v>
      </c>
      <c r="D212" s="10" t="s">
        <v>2307</v>
      </c>
      <c r="E212" s="54"/>
      <c r="F212" s="39"/>
      <c r="G212" s="39"/>
      <c r="H212" s="55"/>
      <c r="I212" s="81"/>
      <c r="J212" s="56"/>
      <c r="K212" s="56"/>
      <c r="L212" s="56"/>
    </row>
    <row r="213" s="70" customFormat="1" ht="26.4" spans="1:12">
      <c r="A213" s="75"/>
      <c r="B213" s="78" t="s">
        <v>2308</v>
      </c>
      <c r="C213" s="78" t="s">
        <v>275</v>
      </c>
      <c r="D213" s="10" t="s">
        <v>2309</v>
      </c>
      <c r="E213" s="54"/>
      <c r="F213" s="39"/>
      <c r="G213" s="39"/>
      <c r="H213" s="55"/>
      <c r="I213" s="81"/>
      <c r="J213" s="56"/>
      <c r="K213" s="56"/>
      <c r="L213" s="56"/>
    </row>
    <row r="214" s="70" customFormat="1" ht="26.4" spans="1:12">
      <c r="A214" s="75"/>
      <c r="B214" s="78" t="s">
        <v>2310</v>
      </c>
      <c r="C214" s="78" t="s">
        <v>275</v>
      </c>
      <c r="D214" s="10" t="s">
        <v>2311</v>
      </c>
      <c r="E214" s="54"/>
      <c r="F214" s="39"/>
      <c r="G214" s="39"/>
      <c r="H214" s="55"/>
      <c r="I214" s="81"/>
      <c r="J214" s="56"/>
      <c r="K214" s="56"/>
      <c r="L214" s="56"/>
    </row>
    <row r="215" s="70" customFormat="1" ht="26.4" spans="1:12">
      <c r="A215" s="75"/>
      <c r="B215" s="78" t="s">
        <v>2312</v>
      </c>
      <c r="C215" s="78" t="s">
        <v>275</v>
      </c>
      <c r="D215" s="10" t="s">
        <v>2313</v>
      </c>
      <c r="E215" s="54"/>
      <c r="F215" s="39"/>
      <c r="G215" s="39"/>
      <c r="H215" s="55"/>
      <c r="I215" s="81"/>
      <c r="J215" s="56"/>
      <c r="K215" s="56"/>
      <c r="L215" s="56"/>
    </row>
    <row r="216" s="70" customFormat="1" ht="26.4" spans="1:12">
      <c r="A216" s="75"/>
      <c r="B216" s="78" t="s">
        <v>2314</v>
      </c>
      <c r="C216" s="78" t="s">
        <v>275</v>
      </c>
      <c r="D216" s="10" t="s">
        <v>2315</v>
      </c>
      <c r="E216" s="54"/>
      <c r="F216" s="39"/>
      <c r="G216" s="39"/>
      <c r="H216" s="55"/>
      <c r="I216" s="81"/>
      <c r="J216" s="56"/>
      <c r="K216" s="56"/>
      <c r="L216" s="56"/>
    </row>
    <row r="217" s="70" customFormat="1" ht="26.4" spans="1:12">
      <c r="A217" s="75"/>
      <c r="B217" s="78" t="s">
        <v>2316</v>
      </c>
      <c r="C217" s="78" t="s">
        <v>275</v>
      </c>
      <c r="D217" s="10" t="s">
        <v>2317</v>
      </c>
      <c r="E217" s="54"/>
      <c r="F217" s="39"/>
      <c r="G217" s="39"/>
      <c r="H217" s="55"/>
      <c r="I217" s="81"/>
      <c r="J217" s="56"/>
      <c r="K217" s="56"/>
      <c r="L217" s="56"/>
    </row>
    <row r="218" s="70" customFormat="1" ht="26.4" spans="1:12">
      <c r="A218" s="75"/>
      <c r="B218" s="78" t="s">
        <v>2318</v>
      </c>
      <c r="C218" s="78" t="s">
        <v>275</v>
      </c>
      <c r="D218" s="10" t="s">
        <v>2319</v>
      </c>
      <c r="E218" s="54"/>
      <c r="F218" s="39"/>
      <c r="G218" s="39"/>
      <c r="H218" s="55"/>
      <c r="I218" s="81"/>
      <c r="J218" s="56"/>
      <c r="K218" s="56"/>
      <c r="L218" s="56"/>
    </row>
    <row r="219" s="70" customFormat="1" ht="26.4" spans="1:12">
      <c r="A219" s="75"/>
      <c r="B219" s="78" t="s">
        <v>2320</v>
      </c>
      <c r="C219" s="78" t="s">
        <v>275</v>
      </c>
      <c r="D219" s="10" t="s">
        <v>2321</v>
      </c>
      <c r="E219" s="54"/>
      <c r="F219" s="39"/>
      <c r="G219" s="39"/>
      <c r="H219" s="55"/>
      <c r="I219" s="81"/>
      <c r="J219" s="56"/>
      <c r="K219" s="56"/>
      <c r="L219" s="56"/>
    </row>
    <row r="220" s="70" customFormat="1" ht="26.4" spans="1:12">
      <c r="A220" s="75"/>
      <c r="B220" s="78" t="s">
        <v>2322</v>
      </c>
      <c r="C220" s="78" t="s">
        <v>275</v>
      </c>
      <c r="D220" s="10" t="s">
        <v>2323</v>
      </c>
      <c r="E220" s="54"/>
      <c r="F220" s="39"/>
      <c r="G220" s="39"/>
      <c r="H220" s="55"/>
      <c r="I220" s="81"/>
      <c r="J220" s="56"/>
      <c r="K220" s="56"/>
      <c r="L220" s="56"/>
    </row>
    <row r="221" s="70" customFormat="1" ht="26.4" spans="1:12">
      <c r="A221" s="75"/>
      <c r="B221" s="78" t="s">
        <v>2324</v>
      </c>
      <c r="C221" s="78" t="s">
        <v>275</v>
      </c>
      <c r="D221" s="10" t="s">
        <v>2325</v>
      </c>
      <c r="E221" s="54"/>
      <c r="F221" s="39"/>
      <c r="G221" s="39"/>
      <c r="H221" s="55"/>
      <c r="I221" s="81"/>
      <c r="J221" s="56"/>
      <c r="K221" s="56"/>
      <c r="L221" s="56"/>
    </row>
    <row r="222" s="70" customFormat="1" ht="26.4" spans="1:12">
      <c r="A222" s="75"/>
      <c r="B222" s="78" t="s">
        <v>2326</v>
      </c>
      <c r="C222" s="78" t="s">
        <v>275</v>
      </c>
      <c r="D222" s="10" t="s">
        <v>2327</v>
      </c>
      <c r="E222" s="54"/>
      <c r="F222" s="39"/>
      <c r="G222" s="39"/>
      <c r="H222" s="55"/>
      <c r="I222" s="81"/>
      <c r="J222" s="56"/>
      <c r="K222" s="56"/>
      <c r="L222" s="56"/>
    </row>
    <row r="223" s="70" customFormat="1" ht="26.4" spans="1:12">
      <c r="A223" s="75"/>
      <c r="B223" s="78" t="s">
        <v>2328</v>
      </c>
      <c r="C223" s="78" t="s">
        <v>275</v>
      </c>
      <c r="D223" s="10" t="s">
        <v>2329</v>
      </c>
      <c r="E223" s="54"/>
      <c r="F223" s="39"/>
      <c r="G223" s="39"/>
      <c r="H223" s="55"/>
      <c r="I223" s="81"/>
      <c r="J223" s="56"/>
      <c r="K223" s="56"/>
      <c r="L223" s="56"/>
    </row>
    <row r="224" s="70" customFormat="1" ht="26.4" spans="1:12">
      <c r="A224" s="75"/>
      <c r="B224" s="78" t="s">
        <v>2330</v>
      </c>
      <c r="C224" s="78" t="s">
        <v>275</v>
      </c>
      <c r="D224" s="10" t="s">
        <v>2331</v>
      </c>
      <c r="E224" s="54"/>
      <c r="F224" s="39"/>
      <c r="G224" s="39"/>
      <c r="H224" s="55"/>
      <c r="I224" s="81"/>
      <c r="J224" s="56"/>
      <c r="K224" s="56"/>
      <c r="L224" s="56"/>
    </row>
    <row r="225" s="70" customFormat="1" ht="26.4" spans="1:12">
      <c r="A225" s="75"/>
      <c r="B225" s="78" t="s">
        <v>2332</v>
      </c>
      <c r="C225" s="78" t="s">
        <v>275</v>
      </c>
      <c r="D225" s="10" t="s">
        <v>2333</v>
      </c>
      <c r="E225" s="54"/>
      <c r="F225" s="39"/>
      <c r="G225" s="39"/>
      <c r="H225" s="55"/>
      <c r="I225" s="81"/>
      <c r="J225" s="56"/>
      <c r="K225" s="56"/>
      <c r="L225" s="56"/>
    </row>
    <row r="226" s="70" customFormat="1" ht="26.4" spans="1:12">
      <c r="A226" s="75"/>
      <c r="B226" s="78" t="s">
        <v>2334</v>
      </c>
      <c r="C226" s="78" t="s">
        <v>275</v>
      </c>
      <c r="D226" s="10" t="s">
        <v>2335</v>
      </c>
      <c r="E226" s="54"/>
      <c r="F226" s="39"/>
      <c r="G226" s="39"/>
      <c r="H226" s="55"/>
      <c r="I226" s="81"/>
      <c r="J226" s="56"/>
      <c r="K226" s="56"/>
      <c r="L226" s="56"/>
    </row>
    <row r="227" s="70" customFormat="1" ht="26.4" spans="1:12">
      <c r="A227" s="75"/>
      <c r="B227" s="78" t="s">
        <v>2336</v>
      </c>
      <c r="C227" s="78" t="s">
        <v>275</v>
      </c>
      <c r="D227" s="10" t="s">
        <v>2337</v>
      </c>
      <c r="E227" s="54"/>
      <c r="F227" s="39"/>
      <c r="G227" s="39"/>
      <c r="H227" s="55"/>
      <c r="I227" s="81"/>
      <c r="J227" s="56"/>
      <c r="K227" s="56"/>
      <c r="L227" s="56"/>
    </row>
    <row r="228" s="70" customFormat="1" ht="26.4" spans="1:12">
      <c r="A228" s="75"/>
      <c r="B228" s="78" t="s">
        <v>2338</v>
      </c>
      <c r="C228" s="78" t="s">
        <v>275</v>
      </c>
      <c r="D228" s="10" t="s">
        <v>2339</v>
      </c>
      <c r="E228" s="54"/>
      <c r="F228" s="39"/>
      <c r="G228" s="39"/>
      <c r="H228" s="55"/>
      <c r="I228" s="81"/>
      <c r="J228" s="56"/>
      <c r="K228" s="56"/>
      <c r="L228" s="56"/>
    </row>
    <row r="229" s="70" customFormat="1" ht="26.4" spans="1:12">
      <c r="A229" s="75"/>
      <c r="B229" s="78" t="s">
        <v>2340</v>
      </c>
      <c r="C229" s="78" t="s">
        <v>275</v>
      </c>
      <c r="D229" s="10" t="s">
        <v>2341</v>
      </c>
      <c r="E229" s="54"/>
      <c r="F229" s="39"/>
      <c r="G229" s="39"/>
      <c r="H229" s="55"/>
      <c r="I229" s="81"/>
      <c r="J229" s="56"/>
      <c r="K229" s="56"/>
      <c r="L229" s="56"/>
    </row>
    <row r="230" s="70" customFormat="1" ht="26.4" spans="1:12">
      <c r="A230" s="75"/>
      <c r="B230" s="78" t="s">
        <v>2342</v>
      </c>
      <c r="C230" s="78" t="s">
        <v>275</v>
      </c>
      <c r="D230" s="10" t="s">
        <v>2343</v>
      </c>
      <c r="E230" s="54"/>
      <c r="F230" s="39"/>
      <c r="G230" s="39"/>
      <c r="H230" s="55"/>
      <c r="I230" s="81"/>
      <c r="J230" s="56"/>
      <c r="K230" s="56"/>
      <c r="L230" s="56"/>
    </row>
    <row r="231" s="70" customFormat="1" ht="26.4" spans="1:12">
      <c r="A231" s="75"/>
      <c r="B231" s="78" t="s">
        <v>2344</v>
      </c>
      <c r="C231" s="78" t="s">
        <v>275</v>
      </c>
      <c r="D231" s="10" t="s">
        <v>2345</v>
      </c>
      <c r="E231" s="54"/>
      <c r="F231" s="39"/>
      <c r="G231" s="39"/>
      <c r="H231" s="55"/>
      <c r="I231" s="81"/>
      <c r="J231" s="56"/>
      <c r="K231" s="56"/>
      <c r="L231" s="56"/>
    </row>
    <row r="232" s="70" customFormat="1" ht="26.4" spans="1:12">
      <c r="A232" s="75"/>
      <c r="B232" s="78" t="s">
        <v>2346</v>
      </c>
      <c r="C232" s="78" t="s">
        <v>275</v>
      </c>
      <c r="D232" s="10" t="s">
        <v>2347</v>
      </c>
      <c r="E232" s="54"/>
      <c r="F232" s="39"/>
      <c r="G232" s="39"/>
      <c r="H232" s="55"/>
      <c r="I232" s="81"/>
      <c r="J232" s="56"/>
      <c r="K232" s="56"/>
      <c r="L232" s="56"/>
    </row>
    <row r="233" s="70" customFormat="1" ht="26.4" spans="1:12">
      <c r="A233" s="75"/>
      <c r="B233" s="78" t="s">
        <v>2348</v>
      </c>
      <c r="C233" s="78" t="s">
        <v>275</v>
      </c>
      <c r="D233" s="10" t="s">
        <v>2349</v>
      </c>
      <c r="E233" s="54"/>
      <c r="F233" s="39"/>
      <c r="G233" s="39"/>
      <c r="H233" s="55"/>
      <c r="I233" s="81"/>
      <c r="J233" s="56"/>
      <c r="K233" s="56"/>
      <c r="L233" s="56"/>
    </row>
    <row r="234" s="70" customFormat="1" ht="26.4" spans="1:12">
      <c r="A234" s="75"/>
      <c r="B234" s="78" t="s">
        <v>2350</v>
      </c>
      <c r="C234" s="78" t="s">
        <v>275</v>
      </c>
      <c r="D234" s="10" t="s">
        <v>2351</v>
      </c>
      <c r="E234" s="54"/>
      <c r="F234" s="39"/>
      <c r="G234" s="39"/>
      <c r="H234" s="55"/>
      <c r="I234" s="81"/>
      <c r="J234" s="56"/>
      <c r="K234" s="56"/>
      <c r="L234" s="56"/>
    </row>
    <row r="235" s="70" customFormat="1" ht="26.4" spans="1:12">
      <c r="A235" s="75"/>
      <c r="B235" s="78" t="s">
        <v>2352</v>
      </c>
      <c r="C235" s="78" t="s">
        <v>275</v>
      </c>
      <c r="D235" s="10" t="s">
        <v>2353</v>
      </c>
      <c r="E235" s="54"/>
      <c r="F235" s="39"/>
      <c r="G235" s="39"/>
      <c r="H235" s="55"/>
      <c r="I235" s="81"/>
      <c r="J235" s="56"/>
      <c r="K235" s="56"/>
      <c r="L235" s="56"/>
    </row>
    <row r="236" s="70" customFormat="1" spans="1:12">
      <c r="A236" s="75"/>
      <c r="B236" s="78" t="s">
        <v>2354</v>
      </c>
      <c r="C236" s="78" t="s">
        <v>275</v>
      </c>
      <c r="D236" s="10" t="s">
        <v>2355</v>
      </c>
      <c r="E236" s="54"/>
      <c r="F236" s="39"/>
      <c r="G236" s="39"/>
      <c r="H236" s="55"/>
      <c r="I236" s="81"/>
      <c r="J236" s="56"/>
      <c r="K236" s="56"/>
      <c r="L236" s="56"/>
    </row>
    <row r="237" s="70" customFormat="1" spans="1:12">
      <c r="A237" s="75"/>
      <c r="B237" s="78" t="s">
        <v>2356</v>
      </c>
      <c r="C237" s="78" t="s">
        <v>275</v>
      </c>
      <c r="D237" s="10" t="s">
        <v>2357</v>
      </c>
      <c r="E237" s="54"/>
      <c r="F237" s="39"/>
      <c r="G237" s="39"/>
      <c r="H237" s="55"/>
      <c r="I237" s="81"/>
      <c r="J237" s="56"/>
      <c r="K237" s="56"/>
      <c r="L237" s="56"/>
    </row>
    <row r="238" s="70" customFormat="1" spans="1:12">
      <c r="A238" s="75"/>
      <c r="B238" s="78" t="s">
        <v>2358</v>
      </c>
      <c r="C238" s="78" t="s">
        <v>275</v>
      </c>
      <c r="D238" s="10" t="s">
        <v>2359</v>
      </c>
      <c r="E238" s="54"/>
      <c r="F238" s="39"/>
      <c r="G238" s="39"/>
      <c r="H238" s="55"/>
      <c r="I238" s="81"/>
      <c r="J238" s="56"/>
      <c r="K238" s="56"/>
      <c r="L238" s="56"/>
    </row>
    <row r="239" s="70" customFormat="1" spans="1:12">
      <c r="A239" s="75"/>
      <c r="B239" s="78" t="s">
        <v>2360</v>
      </c>
      <c r="C239" s="78" t="s">
        <v>275</v>
      </c>
      <c r="D239" s="10" t="s">
        <v>2361</v>
      </c>
      <c r="E239" s="54"/>
      <c r="F239" s="39"/>
      <c r="G239" s="39"/>
      <c r="H239" s="55"/>
      <c r="I239" s="81"/>
      <c r="J239" s="56"/>
      <c r="K239" s="56"/>
      <c r="L239" s="56"/>
    </row>
    <row r="240" s="70" customFormat="1" spans="1:12">
      <c r="A240" s="75"/>
      <c r="B240" s="78" t="s">
        <v>2362</v>
      </c>
      <c r="C240" s="78" t="s">
        <v>275</v>
      </c>
      <c r="D240" s="10" t="s">
        <v>2363</v>
      </c>
      <c r="E240" s="54"/>
      <c r="F240" s="39"/>
      <c r="G240" s="39"/>
      <c r="H240" s="55"/>
      <c r="I240" s="81"/>
      <c r="J240" s="56"/>
      <c r="K240" s="56"/>
      <c r="L240" s="56"/>
    </row>
    <row r="241" s="70" customFormat="1" spans="1:12">
      <c r="A241" s="75"/>
      <c r="B241" s="78" t="s">
        <v>2364</v>
      </c>
      <c r="C241" s="78" t="s">
        <v>275</v>
      </c>
      <c r="D241" s="10" t="s">
        <v>2365</v>
      </c>
      <c r="E241" s="54"/>
      <c r="F241" s="39"/>
      <c r="G241" s="39"/>
      <c r="H241" s="55"/>
      <c r="I241" s="81"/>
      <c r="J241" s="56"/>
      <c r="K241" s="56"/>
      <c r="L241" s="56"/>
    </row>
    <row r="242" s="70" customFormat="1" spans="1:12">
      <c r="A242" s="75"/>
      <c r="B242" s="78" t="s">
        <v>2366</v>
      </c>
      <c r="C242" s="78" t="s">
        <v>275</v>
      </c>
      <c r="D242" s="10" t="s">
        <v>2367</v>
      </c>
      <c r="E242" s="54"/>
      <c r="F242" s="39"/>
      <c r="G242" s="39"/>
      <c r="H242" s="55"/>
      <c r="I242" s="81"/>
      <c r="J242" s="56"/>
      <c r="K242" s="56"/>
      <c r="L242" s="56"/>
    </row>
    <row r="243" s="70" customFormat="1" spans="1:12">
      <c r="A243" s="75"/>
      <c r="B243" s="78" t="s">
        <v>2368</v>
      </c>
      <c r="C243" s="78" t="s">
        <v>240</v>
      </c>
      <c r="D243" s="10" t="s">
        <v>2369</v>
      </c>
      <c r="E243" s="54"/>
      <c r="F243" s="39"/>
      <c r="G243" s="39"/>
      <c r="H243" s="55"/>
      <c r="I243" s="81"/>
      <c r="J243" s="56"/>
      <c r="K243" s="56"/>
      <c r="L243" s="56"/>
    </row>
    <row r="244" s="70" customFormat="1" ht="26.4" spans="1:12">
      <c r="A244" s="75"/>
      <c r="B244" s="78" t="s">
        <v>2370</v>
      </c>
      <c r="C244" s="78" t="s">
        <v>275</v>
      </c>
      <c r="D244" s="10" t="s">
        <v>2371</v>
      </c>
      <c r="E244" s="54"/>
      <c r="F244" s="39"/>
      <c r="G244" s="39"/>
      <c r="H244" s="55"/>
      <c r="I244" s="81"/>
      <c r="J244" s="56"/>
      <c r="K244" s="56"/>
      <c r="L244" s="56"/>
    </row>
    <row r="245" s="70" customFormat="1" ht="26.4" spans="1:12">
      <c r="A245" s="75"/>
      <c r="B245" s="78" t="s">
        <v>2372</v>
      </c>
      <c r="C245" s="78" t="s">
        <v>275</v>
      </c>
      <c r="D245" s="10" t="s">
        <v>2373</v>
      </c>
      <c r="E245" s="54"/>
      <c r="F245" s="39"/>
      <c r="G245" s="39"/>
      <c r="H245" s="55"/>
      <c r="I245" s="81"/>
      <c r="J245" s="56"/>
      <c r="K245" s="56"/>
      <c r="L245" s="56"/>
    </row>
    <row r="246" s="70" customFormat="1" ht="26.4" spans="1:12">
      <c r="A246" s="75"/>
      <c r="B246" s="78" t="s">
        <v>2374</v>
      </c>
      <c r="C246" s="78" t="s">
        <v>275</v>
      </c>
      <c r="D246" s="10" t="s">
        <v>2375</v>
      </c>
      <c r="E246" s="54"/>
      <c r="F246" s="39"/>
      <c r="G246" s="39"/>
      <c r="H246" s="55"/>
      <c r="I246" s="81"/>
      <c r="J246" s="56"/>
      <c r="K246" s="56"/>
      <c r="L246" s="56"/>
    </row>
    <row r="247" s="70" customFormat="1" ht="26.4" spans="1:12">
      <c r="A247" s="75"/>
      <c r="B247" s="78" t="s">
        <v>2376</v>
      </c>
      <c r="C247" s="78" t="s">
        <v>275</v>
      </c>
      <c r="D247" s="10" t="s">
        <v>2377</v>
      </c>
      <c r="E247" s="54"/>
      <c r="F247" s="39"/>
      <c r="G247" s="39"/>
      <c r="H247" s="55"/>
      <c r="I247" s="81"/>
      <c r="J247" s="56"/>
      <c r="K247" s="56"/>
      <c r="L247" s="56"/>
    </row>
    <row r="248" s="70" customFormat="1" ht="26.4" spans="1:12">
      <c r="A248" s="75"/>
      <c r="B248" s="78" t="s">
        <v>2378</v>
      </c>
      <c r="C248" s="78" t="s">
        <v>275</v>
      </c>
      <c r="D248" s="10" t="s">
        <v>2379</v>
      </c>
      <c r="E248" s="54"/>
      <c r="F248" s="39"/>
      <c r="G248" s="39"/>
      <c r="H248" s="55"/>
      <c r="I248" s="81"/>
      <c r="J248" s="56"/>
      <c r="K248" s="56"/>
      <c r="L248" s="56"/>
    </row>
    <row r="249" s="70" customFormat="1" spans="1:12">
      <c r="A249" s="75"/>
      <c r="B249" s="78" t="s">
        <v>2380</v>
      </c>
      <c r="C249" s="78" t="s">
        <v>240</v>
      </c>
      <c r="D249" s="10" t="s">
        <v>2381</v>
      </c>
      <c r="E249" s="54"/>
      <c r="F249" s="39"/>
      <c r="G249" s="39"/>
      <c r="H249" s="55"/>
      <c r="I249" s="81"/>
      <c r="J249" s="56"/>
      <c r="K249" s="56"/>
      <c r="L249" s="56"/>
    </row>
    <row r="250" s="70" customFormat="1" ht="26.4" spans="1:12">
      <c r="A250" s="75"/>
      <c r="B250" s="78" t="s">
        <v>2382</v>
      </c>
      <c r="C250" s="78" t="s">
        <v>275</v>
      </c>
      <c r="D250" s="10" t="s">
        <v>2383</v>
      </c>
      <c r="E250" s="54"/>
      <c r="F250" s="39"/>
      <c r="G250" s="39"/>
      <c r="H250" s="55"/>
      <c r="I250" s="81"/>
      <c r="J250" s="56"/>
      <c r="K250" s="56"/>
      <c r="L250" s="56"/>
    </row>
    <row r="251" s="70" customFormat="1" ht="26.4" spans="1:12">
      <c r="A251" s="75"/>
      <c r="B251" s="78" t="s">
        <v>2384</v>
      </c>
      <c r="C251" s="78" t="s">
        <v>275</v>
      </c>
      <c r="D251" s="10" t="s">
        <v>2385</v>
      </c>
      <c r="E251" s="54"/>
      <c r="F251" s="39"/>
      <c r="G251" s="39"/>
      <c r="H251" s="55"/>
      <c r="I251" s="81"/>
      <c r="J251" s="56"/>
      <c r="K251" s="56"/>
      <c r="L251" s="56"/>
    </row>
    <row r="252" s="70" customFormat="1" ht="26.4" spans="1:12">
      <c r="A252" s="75"/>
      <c r="B252" s="78" t="s">
        <v>2386</v>
      </c>
      <c r="C252" s="78" t="s">
        <v>275</v>
      </c>
      <c r="D252" s="10" t="s">
        <v>2387</v>
      </c>
      <c r="E252" s="54"/>
      <c r="F252" s="39"/>
      <c r="G252" s="39"/>
      <c r="H252" s="55"/>
      <c r="I252" s="81"/>
      <c r="J252" s="56"/>
      <c r="K252" s="56"/>
      <c r="L252" s="56"/>
    </row>
    <row r="253" s="70" customFormat="1" ht="26.4" spans="1:12">
      <c r="A253" s="75"/>
      <c r="B253" s="78" t="s">
        <v>2388</v>
      </c>
      <c r="C253" s="78" t="s">
        <v>275</v>
      </c>
      <c r="D253" s="10" t="s">
        <v>2389</v>
      </c>
      <c r="E253" s="54"/>
      <c r="F253" s="39"/>
      <c r="G253" s="39"/>
      <c r="H253" s="55"/>
      <c r="I253" s="81"/>
      <c r="J253" s="56"/>
      <c r="K253" s="56"/>
      <c r="L253" s="56"/>
    </row>
    <row r="254" s="70" customFormat="1" ht="26.4" spans="1:12">
      <c r="A254" s="75"/>
      <c r="B254" s="78" t="s">
        <v>2390</v>
      </c>
      <c r="C254" s="78" t="s">
        <v>275</v>
      </c>
      <c r="D254" s="10" t="s">
        <v>2391</v>
      </c>
      <c r="E254" s="54"/>
      <c r="F254" s="39"/>
      <c r="G254" s="39"/>
      <c r="H254" s="55"/>
      <c r="I254" s="81"/>
      <c r="J254" s="56"/>
      <c r="K254" s="56"/>
      <c r="L254" s="56"/>
    </row>
    <row r="255" s="70" customFormat="1" spans="1:12">
      <c r="A255" s="75"/>
      <c r="B255" s="78" t="s">
        <v>2392</v>
      </c>
      <c r="C255" s="78" t="s">
        <v>240</v>
      </c>
      <c r="D255" s="10" t="s">
        <v>2393</v>
      </c>
      <c r="E255" s="54"/>
      <c r="F255" s="39"/>
      <c r="G255" s="39"/>
      <c r="H255" s="55"/>
      <c r="I255" s="81"/>
      <c r="J255" s="56"/>
      <c r="K255" s="56"/>
      <c r="L255" s="56"/>
    </row>
    <row r="256" s="70" customFormat="1" ht="26.4" spans="1:12">
      <c r="A256" s="75"/>
      <c r="B256" s="78" t="s">
        <v>2394</v>
      </c>
      <c r="C256" s="78" t="s">
        <v>275</v>
      </c>
      <c r="D256" s="10" t="s">
        <v>2395</v>
      </c>
      <c r="E256" s="54"/>
      <c r="F256" s="39"/>
      <c r="G256" s="39"/>
      <c r="H256" s="55"/>
      <c r="I256" s="81"/>
      <c r="J256" s="56"/>
      <c r="K256" s="56"/>
      <c r="L256" s="56"/>
    </row>
    <row r="257" s="70" customFormat="1" ht="26.4" spans="1:12">
      <c r="A257" s="75"/>
      <c r="B257" s="78" t="s">
        <v>2396</v>
      </c>
      <c r="C257" s="78" t="s">
        <v>275</v>
      </c>
      <c r="D257" s="10" t="s">
        <v>2397</v>
      </c>
      <c r="E257" s="54"/>
      <c r="F257" s="39"/>
      <c r="G257" s="39"/>
      <c r="H257" s="55"/>
      <c r="I257" s="81"/>
      <c r="J257" s="56"/>
      <c r="K257" s="56"/>
      <c r="L257" s="56"/>
    </row>
    <row r="258" s="70" customFormat="1" ht="26.4" spans="1:12">
      <c r="A258" s="75"/>
      <c r="B258" s="78" t="s">
        <v>2398</v>
      </c>
      <c r="C258" s="78" t="s">
        <v>275</v>
      </c>
      <c r="D258" s="10" t="s">
        <v>2399</v>
      </c>
      <c r="E258" s="54"/>
      <c r="F258" s="39"/>
      <c r="G258" s="39"/>
      <c r="H258" s="55"/>
      <c r="I258" s="81"/>
      <c r="J258" s="56"/>
      <c r="K258" s="56"/>
      <c r="L258" s="56"/>
    </row>
    <row r="259" s="70" customFormat="1" ht="26.4" spans="1:12">
      <c r="A259" s="75"/>
      <c r="B259" s="78" t="s">
        <v>2400</v>
      </c>
      <c r="C259" s="78" t="s">
        <v>275</v>
      </c>
      <c r="D259" s="10" t="s">
        <v>2401</v>
      </c>
      <c r="E259" s="54"/>
      <c r="F259" s="39"/>
      <c r="G259" s="39"/>
      <c r="H259" s="55"/>
      <c r="I259" s="81"/>
      <c r="J259" s="56"/>
      <c r="K259" s="56"/>
      <c r="L259" s="56"/>
    </row>
    <row r="260" s="70" customFormat="1" ht="26.4" spans="1:12">
      <c r="A260" s="75"/>
      <c r="B260" s="78" t="s">
        <v>2402</v>
      </c>
      <c r="C260" s="78" t="s">
        <v>275</v>
      </c>
      <c r="D260" s="10" t="s">
        <v>2403</v>
      </c>
      <c r="E260" s="54"/>
      <c r="F260" s="39"/>
      <c r="G260" s="39"/>
      <c r="H260" s="55"/>
      <c r="I260" s="81"/>
      <c r="J260" s="56"/>
      <c r="K260" s="56"/>
      <c r="L260" s="56"/>
    </row>
    <row r="261" s="70" customFormat="1" spans="1:12">
      <c r="A261" s="75"/>
      <c r="B261" s="78" t="s">
        <v>2404</v>
      </c>
      <c r="C261" s="78" t="s">
        <v>240</v>
      </c>
      <c r="D261" s="10" t="s">
        <v>2405</v>
      </c>
      <c r="E261" s="54"/>
      <c r="F261" s="39"/>
      <c r="G261" s="39"/>
      <c r="H261" s="55"/>
      <c r="I261" s="81"/>
      <c r="J261" s="56"/>
      <c r="K261" s="56"/>
      <c r="L261" s="56"/>
    </row>
    <row r="262" s="70" customFormat="1" ht="26.4" spans="1:12">
      <c r="A262" s="75"/>
      <c r="B262" s="78" t="s">
        <v>2406</v>
      </c>
      <c r="C262" s="78" t="s">
        <v>275</v>
      </c>
      <c r="D262" s="10" t="s">
        <v>2407</v>
      </c>
      <c r="E262" s="54"/>
      <c r="F262" s="39"/>
      <c r="G262" s="39"/>
      <c r="H262" s="55"/>
      <c r="I262" s="81"/>
      <c r="J262" s="56"/>
      <c r="K262" s="56"/>
      <c r="L262" s="56"/>
    </row>
    <row r="263" s="70" customFormat="1" ht="26.4" spans="1:12">
      <c r="A263" s="75"/>
      <c r="B263" s="78" t="s">
        <v>2408</v>
      </c>
      <c r="C263" s="78" t="s">
        <v>275</v>
      </c>
      <c r="D263" s="10" t="s">
        <v>2409</v>
      </c>
      <c r="E263" s="54"/>
      <c r="F263" s="39"/>
      <c r="G263" s="39"/>
      <c r="H263" s="55"/>
      <c r="I263" s="81"/>
      <c r="J263" s="56"/>
      <c r="K263" s="56"/>
      <c r="L263" s="56"/>
    </row>
    <row r="264" s="70" customFormat="1" ht="26.4" spans="1:12">
      <c r="A264" s="75"/>
      <c r="B264" s="78" t="s">
        <v>2410</v>
      </c>
      <c r="C264" s="78" t="s">
        <v>275</v>
      </c>
      <c r="D264" s="10" t="s">
        <v>2411</v>
      </c>
      <c r="E264" s="54"/>
      <c r="F264" s="39"/>
      <c r="G264" s="39"/>
      <c r="H264" s="55"/>
      <c r="I264" s="81"/>
      <c r="J264" s="56"/>
      <c r="K264" s="56"/>
      <c r="L264" s="56"/>
    </row>
    <row r="265" s="70" customFormat="1" ht="26.4" spans="1:12">
      <c r="A265" s="75"/>
      <c r="B265" s="78" t="s">
        <v>2412</v>
      </c>
      <c r="C265" s="78" t="s">
        <v>275</v>
      </c>
      <c r="D265" s="10" t="s">
        <v>2413</v>
      </c>
      <c r="E265" s="54"/>
      <c r="F265" s="39"/>
      <c r="G265" s="39"/>
      <c r="H265" s="55"/>
      <c r="I265" s="81"/>
      <c r="J265" s="56"/>
      <c r="K265" s="56"/>
      <c r="L265" s="56"/>
    </row>
    <row r="266" s="70" customFormat="1" ht="26.4" spans="1:12">
      <c r="A266" s="75"/>
      <c r="B266" s="78" t="s">
        <v>2414</v>
      </c>
      <c r="C266" s="78" t="s">
        <v>275</v>
      </c>
      <c r="D266" s="10" t="s">
        <v>2415</v>
      </c>
      <c r="E266" s="54"/>
      <c r="F266" s="39"/>
      <c r="G266" s="39"/>
      <c r="H266" s="55"/>
      <c r="I266" s="81"/>
      <c r="J266" s="56"/>
      <c r="K266" s="56"/>
      <c r="L266" s="56"/>
    </row>
    <row r="267" s="70" customFormat="1" spans="1:12">
      <c r="A267" s="75"/>
      <c r="B267" s="78" t="s">
        <v>2416</v>
      </c>
      <c r="C267" s="78" t="s">
        <v>240</v>
      </c>
      <c r="D267" s="10" t="s">
        <v>2417</v>
      </c>
      <c r="E267" s="54"/>
      <c r="F267" s="39"/>
      <c r="G267" s="39"/>
      <c r="H267" s="55"/>
      <c r="I267" s="81"/>
      <c r="J267" s="56"/>
      <c r="K267" s="56"/>
      <c r="L267" s="56"/>
    </row>
    <row r="268" s="70" customFormat="1" ht="26.4" spans="1:12">
      <c r="A268" s="75"/>
      <c r="B268" s="78" t="s">
        <v>2418</v>
      </c>
      <c r="C268" s="78" t="s">
        <v>275</v>
      </c>
      <c r="D268" s="10" t="s">
        <v>2419</v>
      </c>
      <c r="E268" s="54"/>
      <c r="F268" s="39"/>
      <c r="G268" s="39"/>
      <c r="H268" s="55"/>
      <c r="I268" s="81"/>
      <c r="J268" s="56"/>
      <c r="K268" s="56"/>
      <c r="L268" s="56"/>
    </row>
    <row r="269" s="70" customFormat="1" ht="26.4" spans="1:12">
      <c r="A269" s="75"/>
      <c r="B269" s="78" t="s">
        <v>2420</v>
      </c>
      <c r="C269" s="78" t="s">
        <v>275</v>
      </c>
      <c r="D269" s="10" t="s">
        <v>2421</v>
      </c>
      <c r="E269" s="54"/>
      <c r="F269" s="39"/>
      <c r="G269" s="39"/>
      <c r="H269" s="55"/>
      <c r="I269" s="81"/>
      <c r="J269" s="56"/>
      <c r="K269" s="56"/>
      <c r="L269" s="56"/>
    </row>
    <row r="270" s="70" customFormat="1" ht="26.4" spans="1:12">
      <c r="A270" s="75"/>
      <c r="B270" s="78" t="s">
        <v>2422</v>
      </c>
      <c r="C270" s="78" t="s">
        <v>275</v>
      </c>
      <c r="D270" s="10" t="s">
        <v>2423</v>
      </c>
      <c r="E270" s="54"/>
      <c r="F270" s="39"/>
      <c r="G270" s="39"/>
      <c r="H270" s="55"/>
      <c r="I270" s="81"/>
      <c r="J270" s="56"/>
      <c r="K270" s="56"/>
      <c r="L270" s="56"/>
    </row>
    <row r="271" s="70" customFormat="1" ht="26.4" spans="1:12">
      <c r="A271" s="75"/>
      <c r="B271" s="78" t="s">
        <v>2424</v>
      </c>
      <c r="C271" s="78" t="s">
        <v>275</v>
      </c>
      <c r="D271" s="10" t="s">
        <v>2425</v>
      </c>
      <c r="E271" s="54"/>
      <c r="F271" s="39"/>
      <c r="G271" s="39"/>
      <c r="H271" s="55"/>
      <c r="I271" s="81"/>
      <c r="J271" s="56"/>
      <c r="K271" s="56"/>
      <c r="L271" s="56"/>
    </row>
    <row r="272" s="70" customFormat="1" ht="26.4" spans="1:12">
      <c r="A272" s="75"/>
      <c r="B272" s="78" t="s">
        <v>2426</v>
      </c>
      <c r="C272" s="78" t="s">
        <v>275</v>
      </c>
      <c r="D272" s="10" t="s">
        <v>2427</v>
      </c>
      <c r="E272" s="54"/>
      <c r="F272" s="39"/>
      <c r="G272" s="39"/>
      <c r="H272" s="55"/>
      <c r="I272" s="81"/>
      <c r="J272" s="56"/>
      <c r="K272" s="56"/>
      <c r="L272" s="56"/>
    </row>
    <row r="273" s="70" customFormat="1" spans="1:12">
      <c r="A273" s="75"/>
      <c r="B273" s="78" t="s">
        <v>2428</v>
      </c>
      <c r="C273" s="78" t="s">
        <v>240</v>
      </c>
      <c r="D273" s="10" t="s">
        <v>2429</v>
      </c>
      <c r="E273" s="54"/>
      <c r="F273" s="39"/>
      <c r="G273" s="39"/>
      <c r="H273" s="55"/>
      <c r="I273" s="81"/>
      <c r="J273" s="56"/>
      <c r="K273" s="56"/>
      <c r="L273" s="56"/>
    </row>
    <row r="274" s="70" customFormat="1" ht="26.4" spans="1:12">
      <c r="A274" s="75"/>
      <c r="B274" s="78" t="s">
        <v>2430</v>
      </c>
      <c r="C274" s="78" t="s">
        <v>275</v>
      </c>
      <c r="D274" s="10" t="s">
        <v>2431</v>
      </c>
      <c r="E274" s="54"/>
      <c r="F274" s="39"/>
      <c r="G274" s="39"/>
      <c r="H274" s="55"/>
      <c r="I274" s="81"/>
      <c r="J274" s="56"/>
      <c r="K274" s="56"/>
      <c r="L274" s="56"/>
    </row>
    <row r="275" s="70" customFormat="1" ht="26.4" spans="1:12">
      <c r="A275" s="75"/>
      <c r="B275" s="78" t="s">
        <v>2432</v>
      </c>
      <c r="C275" s="78" t="s">
        <v>275</v>
      </c>
      <c r="D275" s="10" t="s">
        <v>2433</v>
      </c>
      <c r="E275" s="54"/>
      <c r="F275" s="39"/>
      <c r="G275" s="39"/>
      <c r="H275" s="55"/>
      <c r="I275" s="81"/>
      <c r="J275" s="56"/>
      <c r="K275" s="56"/>
      <c r="L275" s="56"/>
    </row>
    <row r="276" s="70" customFormat="1" ht="26.4" spans="1:12">
      <c r="A276" s="75"/>
      <c r="B276" s="78" t="s">
        <v>2434</v>
      </c>
      <c r="C276" s="78" t="s">
        <v>275</v>
      </c>
      <c r="D276" s="10" t="s">
        <v>2435</v>
      </c>
      <c r="E276" s="54"/>
      <c r="F276" s="39"/>
      <c r="G276" s="39"/>
      <c r="H276" s="55"/>
      <c r="I276" s="81"/>
      <c r="J276" s="56"/>
      <c r="K276" s="56"/>
      <c r="L276" s="56"/>
    </row>
    <row r="277" s="70" customFormat="1" ht="26.4" spans="1:12">
      <c r="A277" s="75"/>
      <c r="B277" s="78" t="s">
        <v>2436</v>
      </c>
      <c r="C277" s="78" t="s">
        <v>275</v>
      </c>
      <c r="D277" s="10" t="s">
        <v>2437</v>
      </c>
      <c r="E277" s="54"/>
      <c r="F277" s="39"/>
      <c r="G277" s="39"/>
      <c r="H277" s="55"/>
      <c r="I277" s="81"/>
      <c r="J277" s="56"/>
      <c r="K277" s="56"/>
      <c r="L277" s="56"/>
    </row>
    <row r="278" s="70" customFormat="1" ht="26.4" spans="1:12">
      <c r="A278" s="75"/>
      <c r="B278" s="78" t="s">
        <v>2438</v>
      </c>
      <c r="C278" s="78" t="s">
        <v>275</v>
      </c>
      <c r="D278" s="10" t="s">
        <v>2439</v>
      </c>
      <c r="E278" s="54"/>
      <c r="F278" s="39"/>
      <c r="G278" s="39"/>
      <c r="H278" s="55"/>
      <c r="I278" s="81"/>
      <c r="J278" s="56"/>
      <c r="K278" s="56"/>
      <c r="L278" s="56"/>
    </row>
    <row r="279" s="70" customFormat="1" ht="26.4" spans="1:12">
      <c r="A279" s="75"/>
      <c r="B279" s="78" t="s">
        <v>2440</v>
      </c>
      <c r="C279" s="78" t="s">
        <v>240</v>
      </c>
      <c r="D279" s="10" t="s">
        <v>2441</v>
      </c>
      <c r="E279" s="54"/>
      <c r="F279" s="39"/>
      <c r="G279" s="39"/>
      <c r="H279" s="55"/>
      <c r="I279" s="81"/>
      <c r="J279" s="56"/>
      <c r="K279" s="56"/>
      <c r="L279" s="56"/>
    </row>
    <row r="280" s="70" customFormat="1" ht="26.4" spans="1:12">
      <c r="A280" s="75"/>
      <c r="B280" s="78" t="s">
        <v>2442</v>
      </c>
      <c r="C280" s="78" t="s">
        <v>240</v>
      </c>
      <c r="D280" s="10" t="s">
        <v>2443</v>
      </c>
      <c r="E280" s="54"/>
      <c r="F280" s="39"/>
      <c r="G280" s="39"/>
      <c r="H280" s="55"/>
      <c r="I280" s="81"/>
      <c r="J280" s="56"/>
      <c r="K280" s="56"/>
      <c r="L280" s="56"/>
    </row>
    <row r="281" s="70" customFormat="1" ht="26.4" spans="1:12">
      <c r="A281" s="75"/>
      <c r="B281" s="78" t="s">
        <v>2444</v>
      </c>
      <c r="C281" s="78" t="s">
        <v>240</v>
      </c>
      <c r="D281" s="10" t="s">
        <v>2445</v>
      </c>
      <c r="E281" s="54"/>
      <c r="F281" s="39"/>
      <c r="G281" s="39"/>
      <c r="H281" s="55"/>
      <c r="I281" s="81"/>
      <c r="J281" s="56"/>
      <c r="K281" s="56"/>
      <c r="L281" s="56"/>
    </row>
    <row r="282" s="70" customFormat="1" spans="1:12">
      <c r="A282" s="75"/>
      <c r="B282" s="78" t="s">
        <v>2446</v>
      </c>
      <c r="C282" s="78" t="s">
        <v>275</v>
      </c>
      <c r="D282" s="10" t="s">
        <v>2447</v>
      </c>
      <c r="E282" s="54"/>
      <c r="F282" s="39"/>
      <c r="G282" s="39"/>
      <c r="H282" s="55"/>
      <c r="I282" s="81"/>
      <c r="J282" s="56"/>
      <c r="K282" s="56"/>
      <c r="L282" s="56"/>
    </row>
    <row r="283" s="70" customFormat="1" spans="1:12">
      <c r="A283" s="75"/>
      <c r="B283" s="78" t="s">
        <v>2448</v>
      </c>
      <c r="C283" s="78" t="s">
        <v>275</v>
      </c>
      <c r="D283" s="10" t="s">
        <v>2449</v>
      </c>
      <c r="E283" s="54"/>
      <c r="F283" s="39"/>
      <c r="G283" s="39"/>
      <c r="H283" s="55"/>
      <c r="I283" s="81"/>
      <c r="J283" s="56"/>
      <c r="K283" s="56"/>
      <c r="L283" s="56"/>
    </row>
    <row r="284" s="70" customFormat="1" spans="1:12">
      <c r="A284" s="75"/>
      <c r="B284" s="78" t="s">
        <v>2450</v>
      </c>
      <c r="C284" s="78" t="s">
        <v>275</v>
      </c>
      <c r="D284" s="10" t="s">
        <v>2451</v>
      </c>
      <c r="E284" s="54"/>
      <c r="F284" s="39"/>
      <c r="G284" s="39"/>
      <c r="H284" s="55"/>
      <c r="I284" s="81"/>
      <c r="J284" s="56"/>
      <c r="K284" s="56"/>
      <c r="L284" s="56"/>
    </row>
    <row r="285" s="70" customFormat="1" spans="1:12">
      <c r="A285" s="75"/>
      <c r="B285" s="78" t="s">
        <v>2452</v>
      </c>
      <c r="C285" s="78" t="s">
        <v>275</v>
      </c>
      <c r="D285" s="10" t="s">
        <v>2453</v>
      </c>
      <c r="E285" s="54"/>
      <c r="F285" s="39"/>
      <c r="G285" s="39"/>
      <c r="H285" s="55"/>
      <c r="I285" s="81"/>
      <c r="J285" s="56"/>
      <c r="K285" s="56"/>
      <c r="L285" s="56"/>
    </row>
    <row r="286" s="70" customFormat="1" spans="1:12">
      <c r="A286" s="75"/>
      <c r="B286" s="78" t="s">
        <v>2454</v>
      </c>
      <c r="C286" s="78" t="s">
        <v>275</v>
      </c>
      <c r="D286" s="10" t="s">
        <v>2455</v>
      </c>
      <c r="E286" s="54"/>
      <c r="F286" s="39"/>
      <c r="G286" s="39"/>
      <c r="H286" s="55"/>
      <c r="I286" s="81"/>
      <c r="J286" s="56"/>
      <c r="K286" s="56"/>
      <c r="L286" s="56"/>
    </row>
    <row r="287" s="70" customFormat="1" spans="1:12">
      <c r="A287" s="75"/>
      <c r="B287" s="78" t="s">
        <v>2456</v>
      </c>
      <c r="C287" s="78" t="s">
        <v>275</v>
      </c>
      <c r="D287" s="10" t="s">
        <v>2457</v>
      </c>
      <c r="E287" s="54"/>
      <c r="F287" s="39"/>
      <c r="G287" s="39"/>
      <c r="H287" s="55"/>
      <c r="I287" s="81"/>
      <c r="J287" s="56"/>
      <c r="K287" s="56"/>
      <c r="L287" s="56"/>
    </row>
    <row r="288" s="70" customFormat="1" spans="1:12">
      <c r="A288" s="75"/>
      <c r="B288" s="78" t="s">
        <v>2458</v>
      </c>
      <c r="C288" s="78" t="s">
        <v>275</v>
      </c>
      <c r="D288" s="10" t="s">
        <v>2459</v>
      </c>
      <c r="E288" s="54"/>
      <c r="F288" s="39"/>
      <c r="G288" s="39"/>
      <c r="H288" s="55"/>
      <c r="I288" s="81"/>
      <c r="J288" s="56"/>
      <c r="K288" s="56"/>
      <c r="L288" s="56"/>
    </row>
    <row r="289" s="70" customFormat="1" spans="1:12">
      <c r="A289" s="75"/>
      <c r="B289" s="78" t="s">
        <v>2460</v>
      </c>
      <c r="C289" s="78" t="s">
        <v>275</v>
      </c>
      <c r="D289" s="10" t="s">
        <v>2461</v>
      </c>
      <c r="E289" s="54"/>
      <c r="F289" s="39"/>
      <c r="G289" s="39"/>
      <c r="H289" s="55"/>
      <c r="I289" s="81"/>
      <c r="J289" s="56"/>
      <c r="K289" s="56"/>
      <c r="L289" s="56"/>
    </row>
    <row r="290" s="70" customFormat="1" spans="1:12">
      <c r="A290" s="75"/>
      <c r="B290" s="78" t="s">
        <v>2462</v>
      </c>
      <c r="C290" s="78" t="s">
        <v>275</v>
      </c>
      <c r="D290" s="10" t="s">
        <v>2463</v>
      </c>
      <c r="E290" s="54"/>
      <c r="F290" s="39"/>
      <c r="G290" s="39"/>
      <c r="H290" s="55"/>
      <c r="I290" s="81"/>
      <c r="J290" s="56"/>
      <c r="K290" s="56"/>
      <c r="L290" s="56"/>
    </row>
    <row r="291" s="70" customFormat="1" spans="1:12">
      <c r="A291" s="75"/>
      <c r="B291" s="78" t="s">
        <v>2464</v>
      </c>
      <c r="C291" s="78" t="s">
        <v>275</v>
      </c>
      <c r="D291" s="10" t="s">
        <v>2465</v>
      </c>
      <c r="E291" s="54"/>
      <c r="F291" s="39"/>
      <c r="G291" s="39"/>
      <c r="H291" s="55"/>
      <c r="I291" s="81"/>
      <c r="J291" s="56"/>
      <c r="K291" s="56"/>
      <c r="L291" s="56"/>
    </row>
    <row r="292" s="70" customFormat="1" spans="1:12">
      <c r="A292" s="75"/>
      <c r="B292" s="78" t="s">
        <v>2466</v>
      </c>
      <c r="C292" s="78" t="s">
        <v>275</v>
      </c>
      <c r="D292" s="10" t="s">
        <v>2467</v>
      </c>
      <c r="E292" s="54"/>
      <c r="F292" s="39"/>
      <c r="G292" s="39"/>
      <c r="H292" s="55"/>
      <c r="I292" s="81"/>
      <c r="J292" s="56"/>
      <c r="K292" s="56"/>
      <c r="L292" s="56"/>
    </row>
    <row r="293" s="70" customFormat="1" spans="1:12">
      <c r="A293" s="75"/>
      <c r="B293" s="78" t="s">
        <v>2468</v>
      </c>
      <c r="C293" s="78" t="s">
        <v>275</v>
      </c>
      <c r="D293" s="10" t="s">
        <v>1807</v>
      </c>
      <c r="E293" s="54"/>
      <c r="F293" s="39"/>
      <c r="G293" s="39"/>
      <c r="H293" s="55"/>
      <c r="I293" s="81"/>
      <c r="J293" s="56"/>
      <c r="K293" s="56"/>
      <c r="L293" s="56"/>
    </row>
    <row r="294" s="70" customFormat="1" spans="1:12">
      <c r="A294" s="75"/>
      <c r="B294" s="78" t="s">
        <v>2087</v>
      </c>
      <c r="C294" s="78" t="s">
        <v>216</v>
      </c>
      <c r="D294" s="10" t="s">
        <v>2088</v>
      </c>
      <c r="E294" s="54"/>
      <c r="F294" s="39"/>
      <c r="G294" s="39"/>
      <c r="H294" s="55"/>
      <c r="I294" s="81"/>
      <c r="J294" s="56"/>
      <c r="K294" s="56"/>
      <c r="L294" s="56"/>
    </row>
    <row r="295" s="36" customFormat="1" spans="1:12">
      <c r="A295" s="41"/>
      <c r="B295" s="29" t="s">
        <v>1814</v>
      </c>
      <c r="C295" s="29" t="s">
        <v>275</v>
      </c>
      <c r="D295" s="29" t="s">
        <v>1815</v>
      </c>
      <c r="E295" s="29"/>
      <c r="F295" s="29"/>
      <c r="G295" s="29" t="s">
        <v>1816</v>
      </c>
      <c r="H295" s="29"/>
      <c r="I295" s="29" t="s">
        <v>1211</v>
      </c>
      <c r="J295" s="29" t="s">
        <v>345</v>
      </c>
      <c r="K295" s="29" t="s">
        <v>323</v>
      </c>
      <c r="L295" s="29" t="s">
        <v>339</v>
      </c>
    </row>
    <row r="296" s="36" customFormat="1" spans="1:12">
      <c r="A296" s="41"/>
      <c r="B296" s="29" t="s">
        <v>1817</v>
      </c>
      <c r="C296" s="29" t="s">
        <v>216</v>
      </c>
      <c r="D296" s="29" t="s">
        <v>1818</v>
      </c>
      <c r="E296" s="29"/>
      <c r="F296" s="29"/>
      <c r="G296" s="29" t="s">
        <v>2469</v>
      </c>
      <c r="H296" s="29"/>
      <c r="I296" s="29" t="s">
        <v>1211</v>
      </c>
      <c r="J296" s="29" t="s">
        <v>345</v>
      </c>
      <c r="K296" s="29" t="s">
        <v>323</v>
      </c>
      <c r="L296" s="29" t="s">
        <v>323</v>
      </c>
    </row>
    <row r="297" s="36" customFormat="1" spans="1:12">
      <c r="A297" s="41"/>
      <c r="B297" s="29" t="s">
        <v>1820</v>
      </c>
      <c r="C297" s="29" t="s">
        <v>216</v>
      </c>
      <c r="D297" s="29" t="s">
        <v>1821</v>
      </c>
      <c r="E297" s="29"/>
      <c r="F297" s="29"/>
      <c r="G297" s="29" t="s">
        <v>2470</v>
      </c>
      <c r="H297" s="29"/>
      <c r="I297" s="29" t="s">
        <v>1211</v>
      </c>
      <c r="J297" s="29" t="s">
        <v>345</v>
      </c>
      <c r="K297" s="29" t="s">
        <v>323</v>
      </c>
      <c r="L297" s="29" t="s">
        <v>323</v>
      </c>
    </row>
    <row r="298" s="37" customFormat="1" spans="1:12">
      <c r="A298" s="42"/>
      <c r="B298" s="43" t="s">
        <v>252</v>
      </c>
      <c r="C298" s="43" t="s">
        <v>220</v>
      </c>
      <c r="D298" s="44" t="s">
        <v>254</v>
      </c>
      <c r="E298" s="45"/>
      <c r="F298" s="46"/>
      <c r="G298" s="46"/>
      <c r="H298" s="47"/>
      <c r="I298" s="48"/>
      <c r="J298" s="49"/>
      <c r="K298" s="49"/>
      <c r="L298" s="49"/>
    </row>
    <row r="299" s="37" customFormat="1" spans="1:12">
      <c r="A299" s="42"/>
      <c r="B299" s="43" t="s">
        <v>255</v>
      </c>
      <c r="C299" s="43" t="s">
        <v>216</v>
      </c>
      <c r="D299" s="44" t="s">
        <v>256</v>
      </c>
      <c r="E299" s="45"/>
      <c r="F299" s="46"/>
      <c r="G299" s="46"/>
      <c r="H299" s="47"/>
      <c r="I299" s="48"/>
      <c r="J299" s="49"/>
      <c r="K299" s="49"/>
      <c r="L299" s="49"/>
    </row>
    <row r="300" s="37" customFormat="1" spans="1:12">
      <c r="A300" s="42"/>
      <c r="B300" s="43" t="s">
        <v>257</v>
      </c>
      <c r="C300" s="43" t="s">
        <v>220</v>
      </c>
      <c r="D300" s="44" t="s">
        <v>258</v>
      </c>
      <c r="E300" s="45"/>
      <c r="F300" s="46"/>
      <c r="G300" s="46"/>
      <c r="H300" s="47"/>
      <c r="I300" s="48"/>
      <c r="J300" s="49"/>
      <c r="K300" s="49"/>
      <c r="L300" s="49"/>
    </row>
  </sheetData>
  <autoFilter xmlns:etc="http://www.wps.cn/officeDocument/2017/etCustomData" ref="A15:N300"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zoomScale="85" zoomScaleNormal="85" workbookViewId="0">
      <pane ySplit="5" topLeftCell="A6" activePane="bottomLeft" state="frozen"/>
      <selection/>
      <selection pane="bottomLeft" activeCell="N16" sqref="N1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16.8611111111111"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82</v>
      </c>
      <c r="D5" s="10" t="s">
        <v>83</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80</v>
      </c>
      <c r="D9" s="35" t="s">
        <v>81</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t="str">
        <f>_xlfn.CONCAT(F16," as ",B16)</f>
        <v>p_date as day</v>
      </c>
      <c r="J16" s="23" t="s">
        <v>322</v>
      </c>
      <c r="K16" s="23" t="s">
        <v>323</v>
      </c>
      <c r="L16" s="23" t="s">
        <v>323</v>
      </c>
      <c r="N16" s="16" t="str">
        <f>_xlfn.CONCAT("`",B16,"` ",C16,",")</f>
        <v>`day` string,</v>
      </c>
    </row>
    <row r="17" s="1" customFormat="1" spans="2:14">
      <c r="B17" s="19" t="s">
        <v>1026</v>
      </c>
      <c r="C17" s="19" t="s">
        <v>220</v>
      </c>
      <c r="D17" s="10" t="s">
        <v>66</v>
      </c>
      <c r="E17" s="20" t="s">
        <v>199</v>
      </c>
      <c r="F17" s="19" t="s">
        <v>257</v>
      </c>
      <c r="G17" s="19" t="s">
        <v>218</v>
      </c>
      <c r="H17" s="20"/>
      <c r="I17" s="23" t="str">
        <f t="shared" ref="I17:I34" si="0">_xlfn.CONCAT(F17," as ",B17)</f>
        <v>p_hour as hour</v>
      </c>
      <c r="J17" s="23" t="s">
        <v>322</v>
      </c>
      <c r="K17" s="23" t="s">
        <v>323</v>
      </c>
      <c r="L17" s="23" t="s">
        <v>323</v>
      </c>
      <c r="N17" s="16" t="str">
        <f t="shared" ref="N17:N34" si="1">_xlfn.CONCAT("`",B17,"` ",C17,",")</f>
        <v>`hour` int,</v>
      </c>
    </row>
    <row r="18" s="1" customFormat="1" spans="2:14">
      <c r="B18" s="19" t="s">
        <v>1830</v>
      </c>
      <c r="C18" s="19" t="s">
        <v>220</v>
      </c>
      <c r="D18" s="10" t="s">
        <v>1831</v>
      </c>
      <c r="E18" s="20" t="s">
        <v>199</v>
      </c>
      <c r="F18" s="19" t="s">
        <v>252</v>
      </c>
      <c r="G18" s="19" t="s">
        <v>218</v>
      </c>
      <c r="H18" s="20"/>
      <c r="I18" s="23" t="str">
        <f t="shared" si="0"/>
        <v>p_provincecode as provincecode</v>
      </c>
      <c r="J18" s="23" t="s">
        <v>322</v>
      </c>
      <c r="K18" s="23" t="s">
        <v>323</v>
      </c>
      <c r="L18" s="23" t="s">
        <v>323</v>
      </c>
      <c r="N18" s="16" t="str">
        <f t="shared" si="1"/>
        <v>`provincecode` int,</v>
      </c>
    </row>
    <row r="19" s="1" customFormat="1" spans="2:14">
      <c r="B19" s="19" t="s">
        <v>1832</v>
      </c>
      <c r="C19" s="19" t="s">
        <v>220</v>
      </c>
      <c r="D19" s="10" t="s">
        <v>1833</v>
      </c>
      <c r="E19" s="20" t="s">
        <v>199</v>
      </c>
      <c r="F19" s="19" t="s">
        <v>1832</v>
      </c>
      <c r="G19" s="19" t="s">
        <v>218</v>
      </c>
      <c r="H19" s="20"/>
      <c r="I19" s="23" t="str">
        <f t="shared" si="0"/>
        <v>citycode as citycode</v>
      </c>
      <c r="J19" s="23" t="s">
        <v>322</v>
      </c>
      <c r="K19" s="23" t="s">
        <v>323</v>
      </c>
      <c r="L19" s="23" t="s">
        <v>323</v>
      </c>
      <c r="N19" s="16" t="str">
        <f t="shared" si="1"/>
        <v>`citycode` int,</v>
      </c>
    </row>
    <row r="20" s="1" customFormat="1" spans="2:14">
      <c r="B20" s="19" t="s">
        <v>1834</v>
      </c>
      <c r="C20" s="19" t="s">
        <v>220</v>
      </c>
      <c r="D20" s="10" t="s">
        <v>1835</v>
      </c>
      <c r="E20" s="20" t="s">
        <v>199</v>
      </c>
      <c r="F20" s="19" t="s">
        <v>1834</v>
      </c>
      <c r="G20" s="19" t="s">
        <v>218</v>
      </c>
      <c r="H20" s="20"/>
      <c r="I20" s="23" t="str">
        <f t="shared" si="0"/>
        <v>districtcode as districtcode</v>
      </c>
      <c r="J20" s="23" t="s">
        <v>322</v>
      </c>
      <c r="K20" s="23" t="s">
        <v>323</v>
      </c>
      <c r="L20" s="23" t="s">
        <v>323</v>
      </c>
      <c r="N20" s="16" t="str">
        <f t="shared" si="1"/>
        <v>`districtcode` int,</v>
      </c>
    </row>
    <row r="21" s="1" customFormat="1" spans="2:14">
      <c r="B21" s="19" t="s">
        <v>1836</v>
      </c>
      <c r="C21" s="19" t="s">
        <v>216</v>
      </c>
      <c r="D21" s="10" t="s">
        <v>1837</v>
      </c>
      <c r="E21" s="20" t="s">
        <v>199</v>
      </c>
      <c r="F21" s="19" t="s">
        <v>1836</v>
      </c>
      <c r="G21" s="19" t="s">
        <v>218</v>
      </c>
      <c r="H21" s="20"/>
      <c r="I21" s="23" t="str">
        <f t="shared" si="0"/>
        <v>cellkey as cellkey</v>
      </c>
      <c r="J21" s="23" t="s">
        <v>322</v>
      </c>
      <c r="K21" s="23" t="s">
        <v>323</v>
      </c>
      <c r="L21" s="23" t="s">
        <v>323</v>
      </c>
      <c r="N21" s="16" t="str">
        <f t="shared" si="1"/>
        <v>`cellkey` string,</v>
      </c>
    </row>
    <row r="22" s="1" customFormat="1" spans="2:14">
      <c r="B22" s="19" t="s">
        <v>224</v>
      </c>
      <c r="C22" s="19" t="s">
        <v>216</v>
      </c>
      <c r="D22" s="10" t="s">
        <v>292</v>
      </c>
      <c r="E22" s="20" t="s">
        <v>199</v>
      </c>
      <c r="F22" s="19" t="s">
        <v>224</v>
      </c>
      <c r="G22" s="19" t="s">
        <v>218</v>
      </c>
      <c r="H22" s="20"/>
      <c r="I22" s="23" t="str">
        <f t="shared" si="0"/>
        <v>imsi as imsi</v>
      </c>
      <c r="J22" s="23" t="s">
        <v>322</v>
      </c>
      <c r="K22" s="23" t="s">
        <v>323</v>
      </c>
      <c r="L22" s="23" t="s">
        <v>323</v>
      </c>
      <c r="N22" s="16" t="str">
        <f t="shared" si="1"/>
        <v>`imsi` string,</v>
      </c>
    </row>
    <row r="23" s="1" customFormat="1" spans="2:14">
      <c r="B23" s="19" t="s">
        <v>267</v>
      </c>
      <c r="C23" s="19" t="s">
        <v>216</v>
      </c>
      <c r="D23" s="10" t="s">
        <v>294</v>
      </c>
      <c r="E23" s="20" t="s">
        <v>199</v>
      </c>
      <c r="F23" s="19" t="s">
        <v>267</v>
      </c>
      <c r="G23" s="19" t="s">
        <v>218</v>
      </c>
      <c r="H23" s="20"/>
      <c r="I23" s="23" t="str">
        <f t="shared" si="0"/>
        <v>msisdn as msisdn</v>
      </c>
      <c r="J23" s="23" t="s">
        <v>322</v>
      </c>
      <c r="K23" s="23" t="s">
        <v>323</v>
      </c>
      <c r="L23" s="23" t="s">
        <v>323</v>
      </c>
      <c r="N23" s="16" t="str">
        <f t="shared" si="1"/>
        <v>`msisdn` string,</v>
      </c>
    </row>
    <row r="24" s="1" customFormat="1" spans="2:14">
      <c r="B24" s="19" t="s">
        <v>1053</v>
      </c>
      <c r="C24" s="19" t="s">
        <v>216</v>
      </c>
      <c r="D24" s="10" t="s">
        <v>1839</v>
      </c>
      <c r="E24" s="20" t="s">
        <v>199</v>
      </c>
      <c r="F24" s="19" t="s">
        <v>1053</v>
      </c>
      <c r="G24" s="19" t="s">
        <v>218</v>
      </c>
      <c r="H24" s="20"/>
      <c r="I24" s="23" t="str">
        <f t="shared" si="0"/>
        <v>imei as imei</v>
      </c>
      <c r="J24" s="23" t="s">
        <v>322</v>
      </c>
      <c r="K24" s="23" t="s">
        <v>323</v>
      </c>
      <c r="L24" s="23" t="s">
        <v>323</v>
      </c>
      <c r="N24" s="16" t="str">
        <f t="shared" si="1"/>
        <v>`imei` string,</v>
      </c>
    </row>
    <row r="25" s="1" customFormat="1" spans="2:14">
      <c r="B25" s="19" t="s">
        <v>1313</v>
      </c>
      <c r="C25" s="19" t="s">
        <v>216</v>
      </c>
      <c r="D25" s="10" t="s">
        <v>1314</v>
      </c>
      <c r="E25" s="20" t="s">
        <v>199</v>
      </c>
      <c r="F25" s="19" t="s">
        <v>1313</v>
      </c>
      <c r="G25" s="19" t="s">
        <v>218</v>
      </c>
      <c r="H25" s="20"/>
      <c r="I25" s="23" t="str">
        <f t="shared" si="0"/>
        <v>servicetype as servicetype</v>
      </c>
      <c r="J25" s="23" t="s">
        <v>322</v>
      </c>
      <c r="K25" s="23" t="s">
        <v>323</v>
      </c>
      <c r="L25" s="23" t="s">
        <v>323</v>
      </c>
      <c r="N25" s="16" t="str">
        <f t="shared" si="1"/>
        <v>`servicetype` string,</v>
      </c>
    </row>
    <row r="26" s="1" customFormat="1" spans="2:14">
      <c r="B26" s="19" t="s">
        <v>1840</v>
      </c>
      <c r="C26" s="19" t="s">
        <v>216</v>
      </c>
      <c r="D26" s="10" t="s">
        <v>1841</v>
      </c>
      <c r="E26" s="20" t="s">
        <v>199</v>
      </c>
      <c r="F26" s="19" t="s">
        <v>1842</v>
      </c>
      <c r="G26" s="19" t="s">
        <v>1842</v>
      </c>
      <c r="H26" s="20"/>
      <c r="I26" s="23" t="str">
        <f t="shared" si="0"/>
        <v>substr(servicetype,1,2) as app_type</v>
      </c>
      <c r="J26" s="23" t="s">
        <v>322</v>
      </c>
      <c r="K26" s="23" t="s">
        <v>323</v>
      </c>
      <c r="L26" s="23" t="s">
        <v>323</v>
      </c>
      <c r="N26" s="16" t="str">
        <f t="shared" si="1"/>
        <v>`app_type` string,</v>
      </c>
    </row>
    <row r="27" s="1" customFormat="1" spans="2:14">
      <c r="B27" s="19" t="s">
        <v>1843</v>
      </c>
      <c r="C27" s="19" t="s">
        <v>216</v>
      </c>
      <c r="D27" s="10" t="s">
        <v>1844</v>
      </c>
      <c r="E27" s="20" t="s">
        <v>202</v>
      </c>
      <c r="F27" s="19" t="s">
        <v>1845</v>
      </c>
      <c r="G27" s="19" t="s">
        <v>218</v>
      </c>
      <c r="H27" s="20"/>
      <c r="I27" s="23" t="str">
        <f t="shared" si="0"/>
        <v>servicetype_name as app_name</v>
      </c>
      <c r="J27" s="23" t="s">
        <v>322</v>
      </c>
      <c r="K27" s="23" t="s">
        <v>323</v>
      </c>
      <c r="L27" s="23" t="s">
        <v>323</v>
      </c>
      <c r="N27" s="16" t="str">
        <f t="shared" si="1"/>
        <v>`app_name` string,</v>
      </c>
    </row>
    <row r="28" s="1" customFormat="1" spans="2:14">
      <c r="B28" s="19" t="s">
        <v>1817</v>
      </c>
      <c r="C28" s="19" t="s">
        <v>216</v>
      </c>
      <c r="D28" s="10" t="s">
        <v>1818</v>
      </c>
      <c r="E28" s="20" t="s">
        <v>199</v>
      </c>
      <c r="F28" s="19" t="s">
        <v>1846</v>
      </c>
      <c r="G28" s="19" t="s">
        <v>1846</v>
      </c>
      <c r="H28" s="20"/>
      <c r="I28" s="23" t="str">
        <f t="shared" si="0"/>
        <v>min(min_starttime) as min_starttime</v>
      </c>
      <c r="J28" s="23" t="s">
        <v>345</v>
      </c>
      <c r="K28" s="23" t="s">
        <v>323</v>
      </c>
      <c r="L28" s="23" t="s">
        <v>323</v>
      </c>
      <c r="N28" s="16" t="str">
        <f t="shared" si="1"/>
        <v>`min_starttime` string,</v>
      </c>
    </row>
    <row r="29" s="1" customFormat="1" spans="2:14">
      <c r="B29" s="19" t="s">
        <v>1820</v>
      </c>
      <c r="C29" s="19" t="s">
        <v>216</v>
      </c>
      <c r="D29" s="10" t="s">
        <v>1821</v>
      </c>
      <c r="E29" s="20" t="s">
        <v>199</v>
      </c>
      <c r="F29" s="19" t="s">
        <v>1847</v>
      </c>
      <c r="G29" s="19" t="s">
        <v>1847</v>
      </c>
      <c r="H29" s="20"/>
      <c r="I29" s="23" t="str">
        <f t="shared" si="0"/>
        <v>max(max_endtime) as max_endtime</v>
      </c>
      <c r="J29" s="23" t="s">
        <v>345</v>
      </c>
      <c r="K29" s="23" t="s">
        <v>323</v>
      </c>
      <c r="L29" s="23" t="s">
        <v>323</v>
      </c>
      <c r="N29" s="16" t="str">
        <f t="shared" si="1"/>
        <v>`max_endtime` string,</v>
      </c>
    </row>
    <row r="30" s="1" customFormat="1" spans="2:14">
      <c r="B30" s="19" t="s">
        <v>1848</v>
      </c>
      <c r="C30" s="19" t="s">
        <v>275</v>
      </c>
      <c r="D30" s="10" t="s">
        <v>1849</v>
      </c>
      <c r="E30" s="20" t="s">
        <v>199</v>
      </c>
      <c r="F30" s="19" t="s">
        <v>2471</v>
      </c>
      <c r="G30" s="19" t="s">
        <v>2471</v>
      </c>
      <c r="H30" s="20"/>
      <c r="I30" s="23" t="str">
        <f t="shared" si="0"/>
        <v>sum(httpwebreqcount) as total_cnt</v>
      </c>
      <c r="J30" s="23" t="s">
        <v>345</v>
      </c>
      <c r="K30" s="23" t="s">
        <v>323</v>
      </c>
      <c r="L30" s="23" t="s">
        <v>339</v>
      </c>
      <c r="N30" s="16" t="str">
        <f t="shared" si="1"/>
        <v>`total_cnt` bigint,</v>
      </c>
    </row>
    <row r="31" s="1" customFormat="1" spans="2:14">
      <c r="B31" s="19" t="s">
        <v>1814</v>
      </c>
      <c r="C31" s="19" t="s">
        <v>275</v>
      </c>
      <c r="D31" s="10" t="s">
        <v>1851</v>
      </c>
      <c r="E31" s="20" t="s">
        <v>199</v>
      </c>
      <c r="F31" s="19" t="s">
        <v>1852</v>
      </c>
      <c r="G31" s="19" t="s">
        <v>1852</v>
      </c>
      <c r="H31" s="20"/>
      <c r="I31" s="23" t="str">
        <f t="shared" si="0"/>
        <v>sum(abnormal_cnt) as abnormal_cnt</v>
      </c>
      <c r="J31" s="23" t="s">
        <v>345</v>
      </c>
      <c r="K31" s="23" t="s">
        <v>323</v>
      </c>
      <c r="L31" s="23" t="s">
        <v>339</v>
      </c>
      <c r="N31" s="16" t="str">
        <f t="shared" si="1"/>
        <v>`abnormal_cnt` bigint,</v>
      </c>
    </row>
    <row r="32" s="1" customFormat="1" ht="26.4" spans="2:14">
      <c r="B32" s="19" t="s">
        <v>1853</v>
      </c>
      <c r="C32" s="19" t="s">
        <v>240</v>
      </c>
      <c r="D32" s="10" t="s">
        <v>1854</v>
      </c>
      <c r="E32" s="20" t="s">
        <v>199</v>
      </c>
      <c r="F32" s="19" t="s">
        <v>2472</v>
      </c>
      <c r="G32" s="19" t="s">
        <v>2472</v>
      </c>
      <c r="H32" s="20"/>
      <c r="I32" s="23" t="str">
        <f t="shared" si="0"/>
        <v>sum(abnormal_cnt)/sum(httpwebreqcount) as abnormal_rate</v>
      </c>
      <c r="J32" s="23" t="s">
        <v>345</v>
      </c>
      <c r="K32" s="23" t="s">
        <v>323</v>
      </c>
      <c r="L32" s="23" t="s">
        <v>1856</v>
      </c>
      <c r="N32" s="16" t="str">
        <f t="shared" si="1"/>
        <v>`abnormal_rate` double,</v>
      </c>
    </row>
    <row r="33" s="1" customFormat="1" spans="2:14">
      <c r="B33" s="19" t="s">
        <v>1170</v>
      </c>
      <c r="C33" s="19" t="s">
        <v>275</v>
      </c>
      <c r="D33" s="10" t="s">
        <v>1857</v>
      </c>
      <c r="E33" s="20" t="s">
        <v>199</v>
      </c>
      <c r="F33" s="19" t="s">
        <v>1858</v>
      </c>
      <c r="G33" s="19" t="s">
        <v>1858</v>
      </c>
      <c r="H33" s="20"/>
      <c r="I33" s="23" t="str">
        <f t="shared" si="0"/>
        <v>sum(duration_sum) as duration</v>
      </c>
      <c r="J33" s="23" t="s">
        <v>345</v>
      </c>
      <c r="K33" s="23" t="s">
        <v>1859</v>
      </c>
      <c r="L33" s="23" t="s">
        <v>339</v>
      </c>
      <c r="N33" s="16" t="str">
        <f t="shared" si="1"/>
        <v>`duration` bigint,</v>
      </c>
    </row>
    <row r="34" s="1" customFormat="1" ht="26.4" spans="2:14">
      <c r="B34" s="19" t="s">
        <v>1860</v>
      </c>
      <c r="C34" s="19" t="s">
        <v>275</v>
      </c>
      <c r="D34" s="10" t="s">
        <v>1861</v>
      </c>
      <c r="E34" s="20" t="s">
        <v>199</v>
      </c>
      <c r="F34" s="19" t="s">
        <v>1862</v>
      </c>
      <c r="G34" s="19" t="s">
        <v>1862</v>
      </c>
      <c r="H34" s="20"/>
      <c r="I34" s="23" t="str">
        <f t="shared" si="0"/>
        <v>sum(outputoctets_sum+inputoctets_sum) as flux</v>
      </c>
      <c r="J34" s="23" t="s">
        <v>345</v>
      </c>
      <c r="K34" s="23" t="s">
        <v>1863</v>
      </c>
      <c r="L34" s="23" t="s">
        <v>339</v>
      </c>
      <c r="N34" s="16" t="str">
        <f t="shared" si="1"/>
        <v>`flux` bigint,</v>
      </c>
    </row>
    <row r="35" s="2" customFormat="1" spans="1:12">
      <c r="A35" s="21"/>
      <c r="B35" s="22" t="s">
        <v>252</v>
      </c>
      <c r="C35" s="22" t="s">
        <v>220</v>
      </c>
      <c r="D35" s="22" t="s">
        <v>254</v>
      </c>
      <c r="E35" s="22"/>
      <c r="F35" s="22"/>
      <c r="G35" s="22"/>
      <c r="H35" s="22"/>
      <c r="I35" s="22"/>
      <c r="J35" s="22"/>
      <c r="K35" s="22"/>
      <c r="L35" s="22"/>
    </row>
    <row r="36" s="2" customFormat="1" spans="1:12">
      <c r="A36" s="21"/>
      <c r="B36" s="22" t="s">
        <v>255</v>
      </c>
      <c r="C36" s="22" t="s">
        <v>216</v>
      </c>
      <c r="D36" s="22" t="s">
        <v>256</v>
      </c>
      <c r="E36" s="22"/>
      <c r="F36" s="22"/>
      <c r="G36" s="22"/>
      <c r="H36" s="22"/>
      <c r="I36" s="22"/>
      <c r="J36" s="22"/>
      <c r="K36" s="22"/>
      <c r="L36" s="22"/>
    </row>
    <row r="37" s="2" customFormat="1" spans="1:12">
      <c r="A37" s="21"/>
      <c r="B37" s="22" t="s">
        <v>257</v>
      </c>
      <c r="C37" s="22" t="s">
        <v>220</v>
      </c>
      <c r="D37" s="22" t="s">
        <v>258</v>
      </c>
      <c r="E37" s="22"/>
      <c r="F37" s="22"/>
      <c r="G37" s="22"/>
      <c r="H37" s="22"/>
      <c r="I37" s="22"/>
      <c r="J37" s="22"/>
      <c r="K37" s="22"/>
      <c r="L37" s="22"/>
    </row>
  </sheetData>
  <autoFilter xmlns:etc="http://www.wps.cn/officeDocument/2017/etCustomData" ref="A15:N37"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1"/>
  <sheetViews>
    <sheetView zoomScale="85" zoomScaleNormal="85" workbookViewId="0">
      <pane ySplit="5" topLeftCell="A6" activePane="bottomLeft" state="frozen"/>
      <selection/>
      <selection pane="bottomLeft" activeCell="A1" sqref="A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0.2222222222222"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84</v>
      </c>
      <c r="D5" s="35" t="s">
        <v>85</v>
      </c>
      <c r="E5" s="11" t="s">
        <v>1026</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2473</v>
      </c>
      <c r="D9" s="35" t="s">
        <v>2474</v>
      </c>
      <c r="E9" s="11" t="s">
        <v>199</v>
      </c>
      <c r="F9" s="11"/>
      <c r="G9" s="13"/>
      <c r="H9" s="15"/>
    </row>
    <row r="10" spans="2:8">
      <c r="B10" s="11"/>
      <c r="C10" s="10" t="s">
        <v>1029</v>
      </c>
      <c r="D10" s="10" t="s">
        <v>1030</v>
      </c>
      <c r="E10" s="11" t="s">
        <v>202</v>
      </c>
      <c r="F10" s="11"/>
      <c r="G10" s="52" t="s">
        <v>1031</v>
      </c>
      <c r="H10" s="15"/>
    </row>
    <row r="11" spans="2:8">
      <c r="B11" s="11"/>
      <c r="C11" s="10" t="s">
        <v>1032</v>
      </c>
      <c r="D11" s="10" t="s">
        <v>1033</v>
      </c>
      <c r="E11" s="11" t="s">
        <v>1034</v>
      </c>
      <c r="F11" s="38"/>
      <c r="G11" s="53"/>
      <c r="H11" s="11"/>
    </row>
    <row r="12" spans="7:7">
      <c r="G12" s="17"/>
    </row>
    <row r="13" spans="2:2">
      <c r="B13" s="3" t="s">
        <v>204</v>
      </c>
    </row>
    <row r="14" spans="2:12">
      <c r="B14" s="7" t="s">
        <v>204</v>
      </c>
      <c r="C14" s="7"/>
      <c r="D14" s="7"/>
      <c r="E14" s="7"/>
      <c r="F14" s="7"/>
      <c r="G14" s="7"/>
      <c r="H14" s="7"/>
      <c r="I14" s="7"/>
      <c r="J14" s="7"/>
      <c r="K14" s="7"/>
      <c r="L14" s="7"/>
    </row>
    <row r="15" ht="24"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1302</v>
      </c>
      <c r="C16" s="32" t="s">
        <v>216</v>
      </c>
      <c r="D16" s="10" t="s">
        <v>2475</v>
      </c>
      <c r="E16" s="54"/>
      <c r="F16" s="39"/>
      <c r="G16" s="39"/>
      <c r="H16" s="55"/>
      <c r="I16" s="56"/>
      <c r="J16" s="56"/>
      <c r="K16" s="56"/>
      <c r="L16" s="56"/>
    </row>
    <row r="17" s="1" customFormat="1" spans="2:12">
      <c r="B17" s="32" t="s">
        <v>1830</v>
      </c>
      <c r="C17" s="32" t="s">
        <v>220</v>
      </c>
      <c r="D17" s="10" t="s">
        <v>1831</v>
      </c>
      <c r="E17" s="54"/>
      <c r="F17" s="39"/>
      <c r="G17" s="39"/>
      <c r="H17" s="55"/>
      <c r="I17" s="56"/>
      <c r="J17" s="56"/>
      <c r="K17" s="56"/>
      <c r="L17" s="56"/>
    </row>
    <row r="18" s="1" customFormat="1" spans="2:12">
      <c r="B18" s="32" t="s">
        <v>1828</v>
      </c>
      <c r="C18" s="32" t="s">
        <v>216</v>
      </c>
      <c r="D18" s="10" t="s">
        <v>2476</v>
      </c>
      <c r="E18" s="54"/>
      <c r="F18" s="39"/>
      <c r="G18" s="39"/>
      <c r="H18" s="55"/>
      <c r="I18" s="56"/>
      <c r="J18" s="56"/>
      <c r="K18" s="56"/>
      <c r="L18" s="56"/>
    </row>
    <row r="19" s="1" customFormat="1" spans="1:12">
      <c r="A19" s="40"/>
      <c r="B19" s="32" t="s">
        <v>1026</v>
      </c>
      <c r="C19" s="32" t="s">
        <v>220</v>
      </c>
      <c r="D19" s="10" t="s">
        <v>66</v>
      </c>
      <c r="E19" s="54"/>
      <c r="F19" s="39"/>
      <c r="G19" s="39"/>
      <c r="H19" s="55"/>
      <c r="I19" s="80"/>
      <c r="J19" s="56"/>
      <c r="K19" s="56"/>
      <c r="L19" s="56"/>
    </row>
    <row r="20" s="1" customFormat="1" spans="1:12">
      <c r="A20" s="40"/>
      <c r="B20" s="32" t="s">
        <v>224</v>
      </c>
      <c r="C20" s="32" t="s">
        <v>216</v>
      </c>
      <c r="D20" s="10" t="s">
        <v>2477</v>
      </c>
      <c r="E20" s="54"/>
      <c r="F20" s="39"/>
      <c r="G20" s="39"/>
      <c r="H20" s="55"/>
      <c r="I20" s="80"/>
      <c r="J20" s="56"/>
      <c r="K20" s="56"/>
      <c r="L20" s="56"/>
    </row>
    <row r="21" s="1" customFormat="1" spans="1:12">
      <c r="A21" s="40"/>
      <c r="B21" s="32" t="s">
        <v>267</v>
      </c>
      <c r="C21" s="32" t="s">
        <v>216</v>
      </c>
      <c r="D21" s="10" t="s">
        <v>2478</v>
      </c>
      <c r="E21" s="54"/>
      <c r="F21" s="39"/>
      <c r="G21" s="39"/>
      <c r="H21" s="55"/>
      <c r="I21" s="80"/>
      <c r="J21" s="56"/>
      <c r="K21" s="56"/>
      <c r="L21" s="56"/>
    </row>
    <row r="22" s="1" customFormat="1" spans="1:12">
      <c r="A22" s="40"/>
      <c r="B22" s="11" t="s">
        <v>1053</v>
      </c>
      <c r="C22" s="11" t="s">
        <v>216</v>
      </c>
      <c r="D22" s="10" t="s">
        <v>2479</v>
      </c>
      <c r="E22" s="54"/>
      <c r="F22" s="10"/>
      <c r="G22" s="39"/>
      <c r="H22" s="55"/>
      <c r="I22" s="80"/>
      <c r="J22" s="56"/>
      <c r="K22" s="56"/>
      <c r="L22" s="56"/>
    </row>
    <row r="23" s="1" customFormat="1" spans="1:12">
      <c r="A23" s="40"/>
      <c r="B23" s="11" t="s">
        <v>1069</v>
      </c>
      <c r="C23" s="11" t="s">
        <v>216</v>
      </c>
      <c r="D23" s="10" t="s">
        <v>2480</v>
      </c>
      <c r="E23" s="54"/>
      <c r="F23" s="10"/>
      <c r="G23" s="39"/>
      <c r="H23" s="55"/>
      <c r="I23" s="80"/>
      <c r="J23" s="56"/>
      <c r="K23" s="56"/>
      <c r="L23" s="56"/>
    </row>
    <row r="24" s="1" customFormat="1" spans="1:12">
      <c r="A24" s="40"/>
      <c r="B24" s="11" t="s">
        <v>1878</v>
      </c>
      <c r="C24" s="11" t="s">
        <v>216</v>
      </c>
      <c r="D24" s="10" t="s">
        <v>2481</v>
      </c>
      <c r="E24" s="54"/>
      <c r="F24" s="10"/>
      <c r="G24" s="39"/>
      <c r="H24" s="55"/>
      <c r="I24" s="80"/>
      <c r="J24" s="56"/>
      <c r="K24" s="56"/>
      <c r="L24" s="56"/>
    </row>
    <row r="25" s="1" customFormat="1" spans="1:12">
      <c r="A25" s="40"/>
      <c r="B25" s="11" t="s">
        <v>2482</v>
      </c>
      <c r="C25" s="11" t="s">
        <v>220</v>
      </c>
      <c r="D25" s="10" t="s">
        <v>2483</v>
      </c>
      <c r="E25" s="54"/>
      <c r="F25" s="10"/>
      <c r="G25" s="39"/>
      <c r="H25" s="55"/>
      <c r="I25" s="80"/>
      <c r="J25" s="56"/>
      <c r="K25" s="56"/>
      <c r="L25" s="56"/>
    </row>
    <row r="26" s="1" customFormat="1" spans="1:12">
      <c r="A26" s="40"/>
      <c r="B26" s="11" t="s">
        <v>1287</v>
      </c>
      <c r="C26" s="11" t="s">
        <v>216</v>
      </c>
      <c r="D26" s="10" t="s">
        <v>2484</v>
      </c>
      <c r="E26" s="54"/>
      <c r="F26" s="10"/>
      <c r="G26" s="39"/>
      <c r="H26" s="55"/>
      <c r="I26" s="80"/>
      <c r="J26" s="56"/>
      <c r="K26" s="56"/>
      <c r="L26" s="56"/>
    </row>
    <row r="27" s="1" customFormat="1" spans="1:12">
      <c r="A27" s="40"/>
      <c r="B27" s="32" t="s">
        <v>2485</v>
      </c>
      <c r="C27" s="32" t="s">
        <v>220</v>
      </c>
      <c r="D27" s="10" t="s">
        <v>2486</v>
      </c>
      <c r="E27" s="54"/>
      <c r="F27" s="39"/>
      <c r="G27" s="39"/>
      <c r="H27" s="55"/>
      <c r="I27" s="80"/>
      <c r="J27" s="56"/>
      <c r="K27" s="56"/>
      <c r="L27" s="56"/>
    </row>
    <row r="28" s="1" customFormat="1" spans="1:12">
      <c r="A28" s="40"/>
      <c r="B28" s="11" t="s">
        <v>1810</v>
      </c>
      <c r="C28" s="11" t="s">
        <v>216</v>
      </c>
      <c r="D28" s="10" t="s">
        <v>2487</v>
      </c>
      <c r="E28" s="54"/>
      <c r="F28" s="39"/>
      <c r="G28" s="13"/>
      <c r="H28" s="55"/>
      <c r="I28" s="80"/>
      <c r="J28" s="56"/>
      <c r="K28" s="56"/>
      <c r="L28" s="56"/>
    </row>
    <row r="29" s="1" customFormat="1" spans="1:12">
      <c r="A29" s="40"/>
      <c r="B29" s="11" t="s">
        <v>1883</v>
      </c>
      <c r="C29" s="11" t="s">
        <v>216</v>
      </c>
      <c r="D29" s="10" t="s">
        <v>2488</v>
      </c>
      <c r="E29" s="54"/>
      <c r="F29" s="39"/>
      <c r="G29" s="13"/>
      <c r="H29" s="55"/>
      <c r="I29" s="80"/>
      <c r="J29" s="56"/>
      <c r="K29" s="56"/>
      <c r="L29" s="56"/>
    </row>
    <row r="30" s="1" customFormat="1" spans="1:12">
      <c r="A30" s="40"/>
      <c r="B30" s="11" t="s">
        <v>1885</v>
      </c>
      <c r="C30" s="11" t="s">
        <v>216</v>
      </c>
      <c r="D30" s="10" t="s">
        <v>2489</v>
      </c>
      <c r="E30" s="54"/>
      <c r="F30" s="39"/>
      <c r="G30" s="13"/>
      <c r="H30" s="55"/>
      <c r="I30" s="80"/>
      <c r="J30" s="56"/>
      <c r="K30" s="56"/>
      <c r="L30" s="56"/>
    </row>
    <row r="31" s="1" customFormat="1" spans="1:12">
      <c r="A31" s="40"/>
      <c r="B31" s="11" t="s">
        <v>2490</v>
      </c>
      <c r="C31" s="11" t="s">
        <v>216</v>
      </c>
      <c r="D31" s="10" t="s">
        <v>2491</v>
      </c>
      <c r="E31" s="54"/>
      <c r="F31" s="39"/>
      <c r="G31" s="13"/>
      <c r="H31" s="55"/>
      <c r="I31" s="80"/>
      <c r="J31" s="56"/>
      <c r="K31" s="56"/>
      <c r="L31" s="56"/>
    </row>
    <row r="32" s="1" customFormat="1" spans="1:12">
      <c r="A32" s="40"/>
      <c r="B32" s="32" t="s">
        <v>1306</v>
      </c>
      <c r="C32" s="32" t="s">
        <v>216</v>
      </c>
      <c r="D32" s="10" t="s">
        <v>2492</v>
      </c>
      <c r="E32" s="54"/>
      <c r="F32" s="39"/>
      <c r="G32" s="39"/>
      <c r="H32" s="55"/>
      <c r="I32" s="80"/>
      <c r="J32" s="56"/>
      <c r="K32" s="56"/>
      <c r="L32" s="56"/>
    </row>
    <row r="33" s="1" customFormat="1" spans="2:12">
      <c r="B33" s="32" t="s">
        <v>1304</v>
      </c>
      <c r="C33" s="32" t="s">
        <v>216</v>
      </c>
      <c r="D33" s="10" t="s">
        <v>2493</v>
      </c>
      <c r="E33" s="54"/>
      <c r="F33" s="39"/>
      <c r="G33" s="39"/>
      <c r="H33" s="55"/>
      <c r="I33" s="56"/>
      <c r="J33" s="56"/>
      <c r="K33" s="56"/>
      <c r="L33" s="56"/>
    </row>
    <row r="34" s="1" customFormat="1" spans="2:12">
      <c r="B34" s="32" t="s">
        <v>302</v>
      </c>
      <c r="C34" s="32" t="s">
        <v>233</v>
      </c>
      <c r="D34" s="10" t="s">
        <v>2494</v>
      </c>
      <c r="E34" s="54"/>
      <c r="F34" s="39"/>
      <c r="G34" s="39"/>
      <c r="H34" s="55"/>
      <c r="I34" s="56"/>
      <c r="J34" s="56"/>
      <c r="K34" s="56"/>
      <c r="L34" s="56"/>
    </row>
    <row r="35" s="40" customFormat="1" spans="2:12">
      <c r="B35" s="32" t="s">
        <v>1889</v>
      </c>
      <c r="C35" s="32" t="s">
        <v>220</v>
      </c>
      <c r="D35" s="10" t="s">
        <v>2495</v>
      </c>
      <c r="E35" s="54"/>
      <c r="F35" s="19"/>
      <c r="G35" s="39"/>
      <c r="H35" s="55"/>
      <c r="I35" s="80"/>
      <c r="J35" s="56"/>
      <c r="K35" s="56"/>
      <c r="L35" s="56"/>
    </row>
    <row r="36" s="40" customFormat="1" spans="2:12">
      <c r="B36" s="32" t="s">
        <v>1313</v>
      </c>
      <c r="C36" s="32" t="s">
        <v>216</v>
      </c>
      <c r="D36" s="10" t="s">
        <v>2496</v>
      </c>
      <c r="E36" s="54"/>
      <c r="F36" s="19"/>
      <c r="G36" s="39"/>
      <c r="H36" s="55"/>
      <c r="I36" s="80"/>
      <c r="J36" s="56"/>
      <c r="K36" s="56"/>
      <c r="L36" s="56"/>
    </row>
    <row r="37" s="70" customFormat="1" spans="1:12">
      <c r="A37" s="75"/>
      <c r="B37" s="78" t="s">
        <v>1897</v>
      </c>
      <c r="C37" s="78" t="s">
        <v>216</v>
      </c>
      <c r="D37" s="10" t="s">
        <v>2497</v>
      </c>
      <c r="E37" s="54"/>
      <c r="F37" s="39"/>
      <c r="G37" s="39"/>
      <c r="H37" s="55"/>
      <c r="I37" s="81"/>
      <c r="J37" s="56"/>
      <c r="K37" s="56"/>
      <c r="L37" s="56"/>
    </row>
    <row r="38" s="1" customFormat="1" spans="1:12">
      <c r="A38" s="40"/>
      <c r="B38" s="11" t="s">
        <v>1899</v>
      </c>
      <c r="C38" s="11" t="s">
        <v>216</v>
      </c>
      <c r="D38" s="10" t="s">
        <v>2497</v>
      </c>
      <c r="E38" s="54"/>
      <c r="F38" s="39"/>
      <c r="G38" s="13"/>
      <c r="H38" s="55"/>
      <c r="I38" s="80"/>
      <c r="J38" s="56"/>
      <c r="K38" s="56"/>
      <c r="L38" s="56"/>
    </row>
    <row r="39" s="40" customFormat="1" spans="2:12">
      <c r="B39" s="32" t="s">
        <v>1170</v>
      </c>
      <c r="C39" s="32" t="s">
        <v>220</v>
      </c>
      <c r="D39" s="10" t="s">
        <v>2498</v>
      </c>
      <c r="E39" s="54"/>
      <c r="F39" s="39"/>
      <c r="G39" s="39"/>
      <c r="H39" s="55"/>
      <c r="I39" s="80"/>
      <c r="J39" s="56"/>
      <c r="K39" s="56"/>
      <c r="L39" s="56"/>
    </row>
    <row r="40" s="40" customFormat="1" spans="2:12">
      <c r="B40" s="32" t="s">
        <v>1902</v>
      </c>
      <c r="C40" s="32" t="s">
        <v>220</v>
      </c>
      <c r="D40" s="10" t="s">
        <v>2499</v>
      </c>
      <c r="E40" s="54"/>
      <c r="F40" s="39"/>
      <c r="G40" s="39"/>
      <c r="H40" s="55"/>
      <c r="I40" s="80"/>
      <c r="J40" s="56"/>
      <c r="K40" s="56"/>
      <c r="L40" s="56"/>
    </row>
    <row r="41" s="40" customFormat="1" spans="2:12">
      <c r="B41" s="32" t="s">
        <v>1904</v>
      </c>
      <c r="C41" s="32" t="s">
        <v>220</v>
      </c>
      <c r="D41" s="10" t="s">
        <v>2499</v>
      </c>
      <c r="E41" s="54"/>
      <c r="F41" s="39"/>
      <c r="G41" s="39"/>
      <c r="H41" s="55"/>
      <c r="I41" s="80"/>
      <c r="J41" s="56"/>
      <c r="K41" s="56"/>
      <c r="L41" s="56"/>
    </row>
    <row r="42" s="40" customFormat="1" spans="2:12">
      <c r="B42" s="32" t="s">
        <v>1906</v>
      </c>
      <c r="C42" s="79" t="s">
        <v>220</v>
      </c>
      <c r="D42" s="10" t="s">
        <v>2499</v>
      </c>
      <c r="E42" s="54"/>
      <c r="F42" s="39"/>
      <c r="G42" s="39"/>
      <c r="H42" s="55"/>
      <c r="I42" s="80"/>
      <c r="J42" s="56"/>
      <c r="K42" s="56"/>
      <c r="L42" s="56"/>
    </row>
    <row r="43" s="3" customFormat="1" spans="2:12">
      <c r="B43" s="32" t="s">
        <v>1907</v>
      </c>
      <c r="C43" s="79" t="s">
        <v>220</v>
      </c>
      <c r="D43" s="10" t="s">
        <v>2499</v>
      </c>
      <c r="E43" s="54"/>
      <c r="F43" s="39"/>
      <c r="G43" s="39"/>
      <c r="H43" s="55"/>
      <c r="I43" s="80"/>
      <c r="J43" s="56"/>
      <c r="K43" s="56"/>
      <c r="L43" s="56"/>
    </row>
    <row r="44" s="3" customFormat="1" spans="2:12">
      <c r="B44" s="32" t="s">
        <v>1916</v>
      </c>
      <c r="C44" s="79" t="s">
        <v>216</v>
      </c>
      <c r="D44" s="10" t="s">
        <v>2500</v>
      </c>
      <c r="E44" s="54"/>
      <c r="F44" s="39"/>
      <c r="G44" s="39"/>
      <c r="H44" s="55"/>
      <c r="I44" s="80"/>
      <c r="J44" s="56"/>
      <c r="K44" s="56"/>
      <c r="L44" s="56"/>
    </row>
    <row r="45" s="1" customFormat="1" spans="1:12">
      <c r="A45" s="40"/>
      <c r="B45" s="32" t="s">
        <v>1937</v>
      </c>
      <c r="C45" s="32" t="s">
        <v>220</v>
      </c>
      <c r="D45" s="10" t="s">
        <v>2501</v>
      </c>
      <c r="E45" s="54"/>
      <c r="F45" s="39"/>
      <c r="G45" s="39"/>
      <c r="H45" s="32"/>
      <c r="I45" s="80"/>
      <c r="J45" s="56"/>
      <c r="K45" s="56"/>
      <c r="L45" s="56"/>
    </row>
    <row r="46" s="3" customFormat="1" spans="2:12">
      <c r="B46" s="32" t="s">
        <v>2502</v>
      </c>
      <c r="C46" s="79" t="s">
        <v>216</v>
      </c>
      <c r="D46" s="10" t="s">
        <v>2503</v>
      </c>
      <c r="E46" s="54"/>
      <c r="F46" s="39"/>
      <c r="G46" s="39"/>
      <c r="H46" s="55"/>
      <c r="I46" s="80"/>
      <c r="J46" s="56"/>
      <c r="K46" s="56"/>
      <c r="L46" s="56"/>
    </row>
    <row r="47" s="3" customFormat="1" spans="2:12">
      <c r="B47" s="32" t="s">
        <v>1939</v>
      </c>
      <c r="C47" s="79" t="s">
        <v>220</v>
      </c>
      <c r="D47" s="10" t="s">
        <v>2504</v>
      </c>
      <c r="E47" s="54"/>
      <c r="F47" s="39"/>
      <c r="G47" s="39"/>
      <c r="H47" s="55"/>
      <c r="I47" s="80"/>
      <c r="J47" s="56"/>
      <c r="K47" s="56"/>
      <c r="L47" s="56"/>
    </row>
    <row r="48" s="3" customFormat="1" spans="2:12">
      <c r="B48" s="32" t="s">
        <v>1811</v>
      </c>
      <c r="C48" s="79" t="s">
        <v>216</v>
      </c>
      <c r="D48" s="10" t="s">
        <v>1894</v>
      </c>
      <c r="E48" s="54"/>
      <c r="F48" s="39"/>
      <c r="G48" s="39"/>
      <c r="H48" s="55"/>
      <c r="I48" s="80"/>
      <c r="J48" s="56"/>
      <c r="K48" s="56"/>
      <c r="L48" s="56"/>
    </row>
    <row r="49" s="3" customFormat="1" spans="2:12">
      <c r="B49" s="78" t="s">
        <v>2505</v>
      </c>
      <c r="C49" s="78" t="s">
        <v>220</v>
      </c>
      <c r="D49" s="10" t="s">
        <v>2506</v>
      </c>
      <c r="E49" s="54"/>
      <c r="F49" s="39"/>
      <c r="G49" s="39"/>
      <c r="H49" s="55"/>
      <c r="I49" s="81"/>
      <c r="J49" s="56"/>
      <c r="K49" s="56"/>
      <c r="L49" s="56"/>
    </row>
    <row r="50" s="70" customFormat="1" spans="1:12">
      <c r="A50" s="75"/>
      <c r="B50" s="78" t="s">
        <v>2507</v>
      </c>
      <c r="C50" s="78" t="s">
        <v>220</v>
      </c>
      <c r="D50" s="10" t="s">
        <v>2508</v>
      </c>
      <c r="E50" s="54"/>
      <c r="F50" s="39"/>
      <c r="G50" s="39"/>
      <c r="H50" s="55"/>
      <c r="I50" s="81"/>
      <c r="J50" s="56"/>
      <c r="K50" s="56"/>
      <c r="L50" s="56"/>
    </row>
    <row r="51" s="70" customFormat="1" spans="1:12">
      <c r="A51" s="75"/>
      <c r="B51" s="78" t="s">
        <v>2509</v>
      </c>
      <c r="C51" s="78" t="s">
        <v>220</v>
      </c>
      <c r="D51" s="10" t="s">
        <v>2510</v>
      </c>
      <c r="E51" s="54"/>
      <c r="F51" s="39"/>
      <c r="G51" s="39"/>
      <c r="H51" s="55"/>
      <c r="I51" s="81"/>
      <c r="J51" s="56"/>
      <c r="K51" s="56"/>
      <c r="L51" s="56"/>
    </row>
    <row r="52" s="70" customFormat="1" spans="1:12">
      <c r="A52" s="75"/>
      <c r="B52" s="78" t="s">
        <v>2511</v>
      </c>
      <c r="C52" s="78" t="s">
        <v>220</v>
      </c>
      <c r="D52" s="10" t="s">
        <v>2512</v>
      </c>
      <c r="E52" s="54"/>
      <c r="F52" s="39"/>
      <c r="G52" s="39"/>
      <c r="H52" s="55"/>
      <c r="I52" s="81"/>
      <c r="J52" s="56"/>
      <c r="K52" s="56"/>
      <c r="L52" s="56"/>
    </row>
    <row r="53" s="70" customFormat="1" spans="1:12">
      <c r="A53" s="75"/>
      <c r="B53" s="78" t="s">
        <v>2513</v>
      </c>
      <c r="C53" s="78" t="s">
        <v>220</v>
      </c>
      <c r="D53" s="10" t="s">
        <v>2513</v>
      </c>
      <c r="E53" s="54"/>
      <c r="F53" s="39"/>
      <c r="G53" s="39"/>
      <c r="H53" s="55"/>
      <c r="I53" s="81"/>
      <c r="J53" s="56"/>
      <c r="K53" s="56"/>
      <c r="L53" s="56"/>
    </row>
    <row r="54" s="70" customFormat="1" spans="1:12">
      <c r="A54" s="75"/>
      <c r="B54" s="78" t="s">
        <v>1918</v>
      </c>
      <c r="C54" s="78" t="s">
        <v>275</v>
      </c>
      <c r="D54" s="10" t="s">
        <v>1133</v>
      </c>
      <c r="E54" s="54"/>
      <c r="F54" s="39"/>
      <c r="G54" s="39"/>
      <c r="H54" s="55"/>
      <c r="I54" s="81"/>
      <c r="J54" s="56"/>
      <c r="K54" s="56"/>
      <c r="L54" s="56"/>
    </row>
    <row r="55" s="70" customFormat="1" spans="1:12">
      <c r="A55" s="75"/>
      <c r="B55" s="78" t="s">
        <v>1920</v>
      </c>
      <c r="C55" s="78" t="s">
        <v>275</v>
      </c>
      <c r="D55" s="10" t="s">
        <v>1135</v>
      </c>
      <c r="E55" s="54"/>
      <c r="F55" s="39"/>
      <c r="G55" s="39"/>
      <c r="H55" s="55"/>
      <c r="I55" s="81"/>
      <c r="J55" s="56"/>
      <c r="K55" s="56"/>
      <c r="L55" s="56"/>
    </row>
    <row r="56" s="70" customFormat="1" spans="1:12">
      <c r="A56" s="75"/>
      <c r="B56" s="78" t="s">
        <v>1922</v>
      </c>
      <c r="C56" s="78" t="s">
        <v>220</v>
      </c>
      <c r="D56" s="10" t="s">
        <v>2514</v>
      </c>
      <c r="E56" s="54"/>
      <c r="F56" s="39"/>
      <c r="G56" s="39"/>
      <c r="H56" s="55"/>
      <c r="I56" s="81"/>
      <c r="J56" s="56"/>
      <c r="K56" s="56"/>
      <c r="L56" s="56"/>
    </row>
    <row r="57" s="70" customFormat="1" spans="1:12">
      <c r="A57" s="75"/>
      <c r="B57" s="78" t="s">
        <v>1924</v>
      </c>
      <c r="C57" s="78" t="s">
        <v>220</v>
      </c>
      <c r="D57" s="10" t="s">
        <v>2514</v>
      </c>
      <c r="E57" s="54"/>
      <c r="F57" s="39"/>
      <c r="G57" s="39"/>
      <c r="H57" s="55"/>
      <c r="I57" s="81"/>
      <c r="J57" s="56"/>
      <c r="K57" s="56"/>
      <c r="L57" s="56"/>
    </row>
    <row r="58" s="70" customFormat="1" spans="1:12">
      <c r="A58" s="75"/>
      <c r="B58" s="78" t="s">
        <v>2515</v>
      </c>
      <c r="C58" s="78" t="s">
        <v>220</v>
      </c>
      <c r="D58" s="10" t="s">
        <v>296</v>
      </c>
      <c r="E58" s="54"/>
      <c r="F58" s="39"/>
      <c r="G58" s="39"/>
      <c r="H58" s="55"/>
      <c r="I58" s="81"/>
      <c r="J58" s="56"/>
      <c r="K58" s="56"/>
      <c r="L58" s="56"/>
    </row>
    <row r="59" s="70" customFormat="1" spans="1:12">
      <c r="A59" s="75"/>
      <c r="B59" s="78" t="s">
        <v>1808</v>
      </c>
      <c r="C59" s="78" t="s">
        <v>220</v>
      </c>
      <c r="D59" s="10" t="s">
        <v>2516</v>
      </c>
      <c r="E59" s="54"/>
      <c r="F59" s="39"/>
      <c r="G59" s="39"/>
      <c r="H59" s="55"/>
      <c r="I59" s="81"/>
      <c r="J59" s="56"/>
      <c r="K59" s="56"/>
      <c r="L59" s="56"/>
    </row>
    <row r="60" s="70" customFormat="1" spans="1:12">
      <c r="A60" s="75"/>
      <c r="B60" s="78" t="s">
        <v>2517</v>
      </c>
      <c r="C60" s="78" t="s">
        <v>216</v>
      </c>
      <c r="D60" s="10" t="s">
        <v>2518</v>
      </c>
      <c r="E60" s="54"/>
      <c r="F60" s="39"/>
      <c r="G60" s="39"/>
      <c r="H60" s="55"/>
      <c r="I60" s="81"/>
      <c r="J60" s="56"/>
      <c r="K60" s="56"/>
      <c r="L60" s="56"/>
    </row>
    <row r="61" s="3" customFormat="1" spans="2:12">
      <c r="B61" s="32" t="s">
        <v>2519</v>
      </c>
      <c r="C61" s="79" t="s">
        <v>220</v>
      </c>
      <c r="D61" s="10" t="s">
        <v>2520</v>
      </c>
      <c r="E61" s="54"/>
      <c r="F61" s="39"/>
      <c r="G61" s="39"/>
      <c r="H61" s="55"/>
      <c r="I61" s="80"/>
      <c r="J61" s="56"/>
      <c r="K61" s="56"/>
      <c r="L61" s="56"/>
    </row>
    <row r="62" spans="1:12">
      <c r="A62" s="4"/>
      <c r="B62" s="32" t="s">
        <v>1895</v>
      </c>
      <c r="C62" s="79" t="s">
        <v>233</v>
      </c>
      <c r="D62" s="10" t="s">
        <v>2521</v>
      </c>
      <c r="E62" s="54"/>
      <c r="F62" s="39"/>
      <c r="G62" s="39"/>
      <c r="H62" s="55"/>
      <c r="I62" s="56"/>
      <c r="J62" s="56"/>
      <c r="K62" s="56"/>
      <c r="L62" s="56"/>
    </row>
    <row r="63" spans="1:12">
      <c r="A63" s="4"/>
      <c r="B63" s="32" t="s">
        <v>1887</v>
      </c>
      <c r="C63" s="79" t="s">
        <v>216</v>
      </c>
      <c r="D63" s="10" t="s">
        <v>2522</v>
      </c>
      <c r="E63" s="54"/>
      <c r="F63" s="39"/>
      <c r="G63" s="39"/>
      <c r="H63" s="55"/>
      <c r="I63" s="56"/>
      <c r="J63" s="56"/>
      <c r="K63" s="56"/>
      <c r="L63" s="56"/>
    </row>
    <row r="64" spans="1:12">
      <c r="A64" s="4"/>
      <c r="B64" s="32" t="s">
        <v>2523</v>
      </c>
      <c r="C64" s="79" t="s">
        <v>220</v>
      </c>
      <c r="D64" s="10" t="s">
        <v>2524</v>
      </c>
      <c r="E64" s="54"/>
      <c r="F64" s="39"/>
      <c r="G64" s="39"/>
      <c r="H64" s="55"/>
      <c r="I64" s="56"/>
      <c r="J64" s="56"/>
      <c r="K64" s="56"/>
      <c r="L64" s="56"/>
    </row>
    <row r="65" spans="1:12">
      <c r="A65" s="4"/>
      <c r="B65" s="32" t="s">
        <v>1908</v>
      </c>
      <c r="C65" s="79" t="s">
        <v>220</v>
      </c>
      <c r="D65" s="10" t="s">
        <v>2525</v>
      </c>
      <c r="E65" s="54"/>
      <c r="F65" s="39"/>
      <c r="G65" s="39"/>
      <c r="H65" s="55"/>
      <c r="I65" s="56"/>
      <c r="J65" s="56"/>
      <c r="K65" s="56"/>
      <c r="L65" s="56"/>
    </row>
    <row r="66" s="1" customFormat="1" spans="1:12">
      <c r="A66" s="40"/>
      <c r="B66" s="32" t="s">
        <v>1910</v>
      </c>
      <c r="C66" s="79" t="s">
        <v>220</v>
      </c>
      <c r="D66" s="10" t="s">
        <v>2526</v>
      </c>
      <c r="E66" s="54"/>
      <c r="F66" s="39"/>
      <c r="G66" s="39"/>
      <c r="H66" s="55"/>
      <c r="I66" s="80"/>
      <c r="J66" s="56"/>
      <c r="K66" s="56"/>
      <c r="L66" s="56"/>
    </row>
    <row r="67" spans="1:12">
      <c r="A67" s="4"/>
      <c r="B67" s="32" t="s">
        <v>1912</v>
      </c>
      <c r="C67" s="79" t="s">
        <v>220</v>
      </c>
      <c r="D67" s="10" t="s">
        <v>2527</v>
      </c>
      <c r="E67" s="54"/>
      <c r="F67" s="39"/>
      <c r="G67" s="39"/>
      <c r="H67" s="55"/>
      <c r="I67" s="56"/>
      <c r="J67" s="56"/>
      <c r="K67" s="56"/>
      <c r="L67" s="56"/>
    </row>
    <row r="68" s="1" customFormat="1" spans="1:12">
      <c r="A68" s="40"/>
      <c r="B68" s="32" t="s">
        <v>1914</v>
      </c>
      <c r="C68" s="79" t="s">
        <v>220</v>
      </c>
      <c r="D68" s="10" t="s">
        <v>2528</v>
      </c>
      <c r="E68" s="54"/>
      <c r="F68" s="39"/>
      <c r="G68" s="39"/>
      <c r="H68" s="55"/>
      <c r="I68" s="80"/>
      <c r="J68" s="56"/>
      <c r="K68" s="56"/>
      <c r="L68" s="56"/>
    </row>
    <row r="69" s="1" customFormat="1" spans="1:12">
      <c r="A69" s="40"/>
      <c r="B69" s="32" t="s">
        <v>1276</v>
      </c>
      <c r="C69" s="79" t="s">
        <v>220</v>
      </c>
      <c r="D69" s="10" t="s">
        <v>2529</v>
      </c>
      <c r="E69" s="54"/>
      <c r="F69" s="39"/>
      <c r="G69" s="39"/>
      <c r="H69" s="55"/>
      <c r="I69" s="80"/>
      <c r="J69" s="56"/>
      <c r="K69" s="56"/>
      <c r="L69" s="56"/>
    </row>
    <row r="70" s="1" customFormat="1" spans="1:12">
      <c r="A70" s="40"/>
      <c r="B70" s="32" t="s">
        <v>1278</v>
      </c>
      <c r="C70" s="79" t="s">
        <v>220</v>
      </c>
      <c r="D70" s="10" t="s">
        <v>2530</v>
      </c>
      <c r="E70" s="54"/>
      <c r="F70" s="39"/>
      <c r="G70" s="39"/>
      <c r="H70" s="55"/>
      <c r="I70" s="80"/>
      <c r="J70" s="56"/>
      <c r="K70" s="56"/>
      <c r="L70" s="56"/>
    </row>
    <row r="71" s="1" customFormat="1" spans="1:12">
      <c r="A71" s="40"/>
      <c r="B71" s="32" t="s">
        <v>1291</v>
      </c>
      <c r="C71" s="79" t="s">
        <v>220</v>
      </c>
      <c r="D71" s="10" t="s">
        <v>2531</v>
      </c>
      <c r="E71" s="54"/>
      <c r="F71" s="39"/>
      <c r="G71" s="39"/>
      <c r="H71" s="55"/>
      <c r="I71" s="80"/>
      <c r="J71" s="56"/>
      <c r="K71" s="56"/>
      <c r="L71" s="56"/>
    </row>
    <row r="72" s="1" customFormat="1" spans="1:12">
      <c r="A72" s="40"/>
      <c r="B72" s="32" t="s">
        <v>1293</v>
      </c>
      <c r="C72" s="79" t="s">
        <v>220</v>
      </c>
      <c r="D72" s="10" t="s">
        <v>2531</v>
      </c>
      <c r="E72" s="54"/>
      <c r="F72" s="39"/>
      <c r="G72" s="39"/>
      <c r="H72" s="55"/>
      <c r="I72" s="80"/>
      <c r="J72" s="56"/>
      <c r="K72" s="56"/>
      <c r="L72" s="56"/>
    </row>
    <row r="73" s="1" customFormat="1" spans="1:12">
      <c r="A73" s="40"/>
      <c r="B73" s="32" t="s">
        <v>2051</v>
      </c>
      <c r="C73" s="79" t="s">
        <v>220</v>
      </c>
      <c r="D73" s="10" t="s">
        <v>2532</v>
      </c>
      <c r="E73" s="54"/>
      <c r="F73" s="39"/>
      <c r="G73" s="39"/>
      <c r="H73" s="55"/>
      <c r="I73" s="80"/>
      <c r="J73" s="56"/>
      <c r="K73" s="56"/>
      <c r="L73" s="56"/>
    </row>
    <row r="74" s="70" customFormat="1" ht="26.4" spans="1:12">
      <c r="A74" s="75"/>
      <c r="B74" s="32" t="s">
        <v>2052</v>
      </c>
      <c r="C74" s="78" t="s">
        <v>220</v>
      </c>
      <c r="D74" s="10" t="s">
        <v>2533</v>
      </c>
      <c r="E74" s="54"/>
      <c r="F74" s="39"/>
      <c r="G74" s="39"/>
      <c r="H74" s="55"/>
      <c r="I74" s="81"/>
      <c r="J74" s="56"/>
      <c r="K74" s="56"/>
      <c r="L74" s="56"/>
    </row>
    <row r="75" s="70" customFormat="1" spans="1:12">
      <c r="A75" s="75"/>
      <c r="B75" s="78" t="s">
        <v>1926</v>
      </c>
      <c r="C75" s="78" t="s">
        <v>220</v>
      </c>
      <c r="D75" s="10" t="s">
        <v>2534</v>
      </c>
      <c r="E75" s="54"/>
      <c r="F75" s="39"/>
      <c r="G75" s="39"/>
      <c r="H75" s="55"/>
      <c r="I75" s="81"/>
      <c r="J75" s="56"/>
      <c r="K75" s="56"/>
      <c r="L75" s="56"/>
    </row>
    <row r="76" s="70" customFormat="1" spans="1:12">
      <c r="A76" s="75"/>
      <c r="B76" s="78" t="s">
        <v>1928</v>
      </c>
      <c r="C76" s="78" t="s">
        <v>220</v>
      </c>
      <c r="D76" s="10" t="s">
        <v>2535</v>
      </c>
      <c r="E76" s="54"/>
      <c r="F76" s="39"/>
      <c r="G76" s="39"/>
      <c r="H76" s="55"/>
      <c r="I76" s="81"/>
      <c r="J76" s="56"/>
      <c r="K76" s="56"/>
      <c r="L76" s="56"/>
    </row>
    <row r="77" s="70" customFormat="1" spans="1:12">
      <c r="A77" s="75"/>
      <c r="B77" s="78" t="s">
        <v>1930</v>
      </c>
      <c r="C77" s="78" t="s">
        <v>233</v>
      </c>
      <c r="D77" s="10" t="s">
        <v>2536</v>
      </c>
      <c r="E77" s="54"/>
      <c r="F77" s="39"/>
      <c r="G77" s="39"/>
      <c r="H77" s="55"/>
      <c r="I77" s="81"/>
      <c r="J77" s="56"/>
      <c r="K77" s="56"/>
      <c r="L77" s="56"/>
    </row>
    <row r="78" s="70" customFormat="1" spans="1:12">
      <c r="A78" s="75"/>
      <c r="B78" s="78" t="s">
        <v>1931</v>
      </c>
      <c r="C78" s="78" t="s">
        <v>233</v>
      </c>
      <c r="D78" s="10" t="s">
        <v>2537</v>
      </c>
      <c r="E78" s="54"/>
      <c r="F78" s="39"/>
      <c r="G78" s="39"/>
      <c r="H78" s="55"/>
      <c r="I78" s="81"/>
      <c r="J78" s="56"/>
      <c r="K78" s="56"/>
      <c r="L78" s="56"/>
    </row>
    <row r="79" s="70" customFormat="1" spans="1:12">
      <c r="A79" s="75"/>
      <c r="B79" s="78" t="s">
        <v>1933</v>
      </c>
      <c r="C79" s="78" t="s">
        <v>233</v>
      </c>
      <c r="D79" s="10" t="s">
        <v>2538</v>
      </c>
      <c r="E79" s="54"/>
      <c r="F79" s="39"/>
      <c r="G79" s="39"/>
      <c r="H79" s="55"/>
      <c r="I79" s="81"/>
      <c r="J79" s="56"/>
      <c r="K79" s="56"/>
      <c r="L79" s="56"/>
    </row>
    <row r="80" s="70" customFormat="1" spans="1:12">
      <c r="A80" s="75"/>
      <c r="B80" s="78" t="s">
        <v>1941</v>
      </c>
      <c r="C80" s="78" t="s">
        <v>220</v>
      </c>
      <c r="D80" s="10" t="s">
        <v>2539</v>
      </c>
      <c r="E80" s="54"/>
      <c r="F80" s="39"/>
      <c r="G80" s="39"/>
      <c r="H80" s="55"/>
      <c r="I80" s="81"/>
      <c r="J80" s="56"/>
      <c r="K80" s="56"/>
      <c r="L80" s="56"/>
    </row>
    <row r="81" s="70" customFormat="1" spans="1:12">
      <c r="A81" s="75"/>
      <c r="B81" s="78" t="s">
        <v>1943</v>
      </c>
      <c r="C81" s="78" t="s">
        <v>220</v>
      </c>
      <c r="D81" s="10" t="s">
        <v>2540</v>
      </c>
      <c r="E81" s="54"/>
      <c r="F81" s="39"/>
      <c r="G81" s="39"/>
      <c r="H81" s="55"/>
      <c r="I81" s="81"/>
      <c r="J81" s="56"/>
      <c r="K81" s="56"/>
      <c r="L81" s="56"/>
    </row>
    <row r="82" s="70" customFormat="1" spans="1:12">
      <c r="A82" s="75"/>
      <c r="B82" s="78" t="s">
        <v>1945</v>
      </c>
      <c r="C82" s="78" t="s">
        <v>220</v>
      </c>
      <c r="D82" s="10" t="s">
        <v>2541</v>
      </c>
      <c r="E82" s="54"/>
      <c r="F82" s="39"/>
      <c r="G82" s="39"/>
      <c r="H82" s="55"/>
      <c r="I82" s="81"/>
      <c r="J82" s="56"/>
      <c r="K82" s="56"/>
      <c r="L82" s="56"/>
    </row>
    <row r="83" s="70" customFormat="1" spans="1:12">
      <c r="A83" s="75"/>
      <c r="B83" s="78" t="s">
        <v>1947</v>
      </c>
      <c r="C83" s="78" t="s">
        <v>220</v>
      </c>
      <c r="D83" s="10" t="s">
        <v>2542</v>
      </c>
      <c r="E83" s="54"/>
      <c r="F83" s="39"/>
      <c r="G83" s="39"/>
      <c r="H83" s="55"/>
      <c r="I83" s="81"/>
      <c r="J83" s="56"/>
      <c r="K83" s="56"/>
      <c r="L83" s="56"/>
    </row>
    <row r="84" s="70" customFormat="1" spans="1:12">
      <c r="A84" s="75"/>
      <c r="B84" s="78" t="s">
        <v>1935</v>
      </c>
      <c r="C84" s="78" t="s">
        <v>220</v>
      </c>
      <c r="D84" s="10" t="s">
        <v>2543</v>
      </c>
      <c r="E84" s="54"/>
      <c r="F84" s="39"/>
      <c r="G84" s="39"/>
      <c r="H84" s="55"/>
      <c r="I84" s="81"/>
      <c r="J84" s="56"/>
      <c r="K84" s="56"/>
      <c r="L84" s="56"/>
    </row>
    <row r="85" s="70" customFormat="1" spans="1:12">
      <c r="A85" s="75"/>
      <c r="B85" s="78" t="s">
        <v>1972</v>
      </c>
      <c r="C85" s="78" t="s">
        <v>275</v>
      </c>
      <c r="D85" s="10" t="s">
        <v>1973</v>
      </c>
      <c r="E85" s="54"/>
      <c r="F85" s="39"/>
      <c r="G85" s="39"/>
      <c r="H85" s="55"/>
      <c r="I85" s="81"/>
      <c r="J85" s="56"/>
      <c r="K85" s="56"/>
      <c r="L85" s="56"/>
    </row>
    <row r="86" s="70" customFormat="1" spans="1:12">
      <c r="A86" s="75"/>
      <c r="B86" s="78" t="s">
        <v>1974</v>
      </c>
      <c r="C86" s="78" t="s">
        <v>275</v>
      </c>
      <c r="D86" s="10" t="s">
        <v>1975</v>
      </c>
      <c r="E86" s="54"/>
      <c r="F86" s="39"/>
      <c r="G86" s="39"/>
      <c r="H86" s="55"/>
      <c r="I86" s="81"/>
      <c r="J86" s="56"/>
      <c r="K86" s="56"/>
      <c r="L86" s="56"/>
    </row>
    <row r="87" s="70" customFormat="1" spans="1:12">
      <c r="A87" s="75"/>
      <c r="B87" s="78" t="s">
        <v>1976</v>
      </c>
      <c r="C87" s="78" t="s">
        <v>275</v>
      </c>
      <c r="D87" s="10" t="s">
        <v>1977</v>
      </c>
      <c r="E87" s="54"/>
      <c r="F87" s="39"/>
      <c r="G87" s="39"/>
      <c r="H87" s="55"/>
      <c r="I87" s="81"/>
      <c r="J87" s="56"/>
      <c r="K87" s="56"/>
      <c r="L87" s="56"/>
    </row>
    <row r="88" s="70" customFormat="1" spans="1:12">
      <c r="A88" s="75"/>
      <c r="B88" s="78" t="s">
        <v>1951</v>
      </c>
      <c r="C88" s="78" t="s">
        <v>216</v>
      </c>
      <c r="D88" s="10" t="s">
        <v>2544</v>
      </c>
      <c r="E88" s="54"/>
      <c r="F88" s="39"/>
      <c r="G88" s="39"/>
      <c r="H88" s="55"/>
      <c r="I88" s="81"/>
      <c r="J88" s="56"/>
      <c r="K88" s="56"/>
      <c r="L88" s="56"/>
    </row>
    <row r="89" s="70" customFormat="1" spans="1:12">
      <c r="A89" s="75"/>
      <c r="B89" s="78" t="s">
        <v>1978</v>
      </c>
      <c r="C89" s="78" t="s">
        <v>275</v>
      </c>
      <c r="D89" s="10" t="s">
        <v>1979</v>
      </c>
      <c r="E89" s="54"/>
      <c r="F89" s="39"/>
      <c r="G89" s="39"/>
      <c r="H89" s="55"/>
      <c r="I89" s="81"/>
      <c r="J89" s="56"/>
      <c r="K89" s="56"/>
      <c r="L89" s="56"/>
    </row>
    <row r="90" s="70" customFormat="1" spans="1:12">
      <c r="A90" s="75"/>
      <c r="B90" s="78" t="s">
        <v>1990</v>
      </c>
      <c r="C90" s="78" t="s">
        <v>275</v>
      </c>
      <c r="D90" s="10" t="s">
        <v>1981</v>
      </c>
      <c r="E90" s="54"/>
      <c r="F90" s="39"/>
      <c r="G90" s="39"/>
      <c r="H90" s="55"/>
      <c r="I90" s="81"/>
      <c r="J90" s="56"/>
      <c r="K90" s="56"/>
      <c r="L90" s="56"/>
    </row>
    <row r="91" s="70" customFormat="1" spans="1:12">
      <c r="A91" s="75"/>
      <c r="B91" s="78" t="s">
        <v>1984</v>
      </c>
      <c r="C91" s="78" t="s">
        <v>275</v>
      </c>
      <c r="D91" s="10" t="s">
        <v>1985</v>
      </c>
      <c r="E91" s="54"/>
      <c r="F91" s="39"/>
      <c r="G91" s="39"/>
      <c r="H91" s="55"/>
      <c r="I91" s="81"/>
      <c r="J91" s="56"/>
      <c r="K91" s="56"/>
      <c r="L91" s="56"/>
    </row>
    <row r="92" s="70" customFormat="1" spans="1:12">
      <c r="A92" s="75"/>
      <c r="B92" s="78" t="s">
        <v>1992</v>
      </c>
      <c r="C92" s="78" t="s">
        <v>275</v>
      </c>
      <c r="D92" s="10" t="s">
        <v>1993</v>
      </c>
      <c r="E92" s="54"/>
      <c r="F92" s="39"/>
      <c r="G92" s="39"/>
      <c r="H92" s="55"/>
      <c r="I92" s="81"/>
      <c r="J92" s="56"/>
      <c r="K92" s="56"/>
      <c r="L92" s="56"/>
    </row>
    <row r="93" s="70" customFormat="1" spans="1:12">
      <c r="A93" s="75"/>
      <c r="B93" s="78" t="s">
        <v>2032</v>
      </c>
      <c r="C93" s="78" t="s">
        <v>275</v>
      </c>
      <c r="D93" s="10" t="s">
        <v>2545</v>
      </c>
      <c r="E93" s="54"/>
      <c r="F93" s="39"/>
      <c r="G93" s="39"/>
      <c r="H93" s="55"/>
      <c r="I93" s="81"/>
      <c r="J93" s="56"/>
      <c r="K93" s="56"/>
      <c r="L93" s="56"/>
    </row>
    <row r="94" s="70" customFormat="1" spans="1:12">
      <c r="A94" s="75"/>
      <c r="B94" s="78" t="s">
        <v>2034</v>
      </c>
      <c r="C94" s="78" t="s">
        <v>275</v>
      </c>
      <c r="D94" s="10" t="s">
        <v>2546</v>
      </c>
      <c r="E94" s="54"/>
      <c r="F94" s="39"/>
      <c r="G94" s="39"/>
      <c r="H94" s="55"/>
      <c r="I94" s="81"/>
      <c r="J94" s="56"/>
      <c r="K94" s="56"/>
      <c r="L94" s="56"/>
    </row>
    <row r="95" s="70" customFormat="1" spans="1:12">
      <c r="A95" s="75"/>
      <c r="B95" s="78" t="s">
        <v>2036</v>
      </c>
      <c r="C95" s="78" t="s">
        <v>275</v>
      </c>
      <c r="D95" s="10" t="s">
        <v>2547</v>
      </c>
      <c r="E95" s="54"/>
      <c r="F95" s="39"/>
      <c r="G95" s="39"/>
      <c r="H95" s="54"/>
      <c r="I95" s="81"/>
      <c r="J95" s="56"/>
      <c r="K95" s="56"/>
      <c r="L95" s="56"/>
    </row>
    <row r="96" s="70" customFormat="1" spans="1:12">
      <c r="A96" s="75"/>
      <c r="B96" s="78" t="s">
        <v>2006</v>
      </c>
      <c r="C96" s="78" t="s">
        <v>275</v>
      </c>
      <c r="D96" s="10" t="s">
        <v>2548</v>
      </c>
      <c r="E96" s="54"/>
      <c r="F96" s="39"/>
      <c r="G96" s="39"/>
      <c r="H96" s="11"/>
      <c r="I96" s="81"/>
      <c r="J96" s="56"/>
      <c r="K96" s="56"/>
      <c r="L96" s="56"/>
    </row>
    <row r="97" s="70" customFormat="1" spans="1:12">
      <c r="A97" s="75"/>
      <c r="B97" s="78" t="s">
        <v>1953</v>
      </c>
      <c r="C97" s="78" t="s">
        <v>216</v>
      </c>
      <c r="D97" s="10" t="s">
        <v>1954</v>
      </c>
      <c r="E97" s="54"/>
      <c r="F97" s="39"/>
      <c r="G97" s="39"/>
      <c r="H97" s="54"/>
      <c r="I97" s="81"/>
      <c r="J97" s="56"/>
      <c r="K97" s="56"/>
      <c r="L97" s="56"/>
    </row>
    <row r="98" s="70" customFormat="1" spans="1:12">
      <c r="A98" s="75"/>
      <c r="B98" s="78" t="s">
        <v>1286</v>
      </c>
      <c r="C98" s="78" t="s">
        <v>216</v>
      </c>
      <c r="D98" s="10" t="s">
        <v>1955</v>
      </c>
      <c r="E98" s="54"/>
      <c r="F98" s="39"/>
      <c r="G98" s="39"/>
      <c r="H98" s="54"/>
      <c r="I98" s="81"/>
      <c r="J98" s="56"/>
      <c r="K98" s="56"/>
      <c r="L98" s="56"/>
    </row>
    <row r="99" s="70" customFormat="1" spans="1:12">
      <c r="A99" s="75"/>
      <c r="B99" s="78" t="s">
        <v>2038</v>
      </c>
      <c r="C99" s="78" t="s">
        <v>275</v>
      </c>
      <c r="D99" s="10" t="s">
        <v>2549</v>
      </c>
      <c r="E99" s="54"/>
      <c r="F99" s="39"/>
      <c r="G99" s="39"/>
      <c r="H99" s="54"/>
      <c r="I99" s="81"/>
      <c r="J99" s="56"/>
      <c r="K99" s="56"/>
      <c r="L99" s="56"/>
    </row>
    <row r="100" s="70" customFormat="1" spans="1:12">
      <c r="A100" s="75"/>
      <c r="B100" s="78" t="s">
        <v>2550</v>
      </c>
      <c r="C100" s="78" t="s">
        <v>275</v>
      </c>
      <c r="D100" s="10" t="s">
        <v>2551</v>
      </c>
      <c r="E100" s="54"/>
      <c r="F100" s="39"/>
      <c r="G100" s="39"/>
      <c r="H100" s="54"/>
      <c r="I100" s="81"/>
      <c r="J100" s="56"/>
      <c r="K100" s="56"/>
      <c r="L100" s="56"/>
    </row>
    <row r="101" s="70" customFormat="1" spans="1:12">
      <c r="A101" s="75"/>
      <c r="B101" s="78" t="s">
        <v>2552</v>
      </c>
      <c r="C101" s="78" t="s">
        <v>275</v>
      </c>
      <c r="D101" s="10" t="s">
        <v>2553</v>
      </c>
      <c r="E101" s="54"/>
      <c r="F101" s="39"/>
      <c r="G101" s="39"/>
      <c r="H101" s="55"/>
      <c r="I101" s="81"/>
      <c r="J101" s="56"/>
      <c r="K101" s="56"/>
      <c r="L101" s="56"/>
    </row>
    <row r="102" s="70" customFormat="1" spans="1:12">
      <c r="A102" s="75"/>
      <c r="B102" s="78" t="s">
        <v>1308</v>
      </c>
      <c r="C102" s="78" t="s">
        <v>275</v>
      </c>
      <c r="D102" s="10" t="s">
        <v>1309</v>
      </c>
      <c r="E102" s="54"/>
      <c r="F102" s="39"/>
      <c r="G102" s="39"/>
      <c r="H102" s="55"/>
      <c r="I102" s="81"/>
      <c r="J102" s="56"/>
      <c r="K102" s="56"/>
      <c r="L102" s="56"/>
    </row>
    <row r="103" s="70" customFormat="1" spans="1:21">
      <c r="A103" s="75"/>
      <c r="B103" s="78" t="s">
        <v>222</v>
      </c>
      <c r="C103" s="78" t="s">
        <v>275</v>
      </c>
      <c r="D103" s="10" t="s">
        <v>298</v>
      </c>
      <c r="E103" s="54"/>
      <c r="F103" s="39"/>
      <c r="G103" s="39"/>
      <c r="H103" s="55"/>
      <c r="I103" s="81"/>
      <c r="J103" s="56"/>
      <c r="K103" s="56"/>
      <c r="L103" s="56"/>
      <c r="P103" s="70" t="s">
        <v>1210</v>
      </c>
      <c r="S103" s="70" t="s">
        <v>1211</v>
      </c>
      <c r="T103" s="70" t="s">
        <v>155</v>
      </c>
      <c r="U103" s="70" t="s">
        <v>235</v>
      </c>
    </row>
    <row r="104" s="70" customFormat="1" spans="1:21">
      <c r="A104" s="75"/>
      <c r="B104" s="78" t="s">
        <v>1836</v>
      </c>
      <c r="C104" s="78" t="s">
        <v>216</v>
      </c>
      <c r="D104" s="10" t="s">
        <v>1836</v>
      </c>
      <c r="E104" s="54"/>
      <c r="F104" s="39"/>
      <c r="G104" s="39"/>
      <c r="H104" s="55"/>
      <c r="I104" s="81"/>
      <c r="J104" s="56"/>
      <c r="K104" s="56"/>
      <c r="L104" s="56"/>
      <c r="P104" s="70" t="s">
        <v>1214</v>
      </c>
      <c r="S104" s="70" t="s">
        <v>1211</v>
      </c>
      <c r="T104" s="70" t="s">
        <v>155</v>
      </c>
      <c r="U104" s="70" t="s">
        <v>235</v>
      </c>
    </row>
    <row r="105" s="70" customFormat="1" spans="1:21">
      <c r="A105" s="75"/>
      <c r="B105" s="78" t="s">
        <v>1176</v>
      </c>
      <c r="C105" s="78" t="s">
        <v>275</v>
      </c>
      <c r="D105" s="10" t="s">
        <v>2554</v>
      </c>
      <c r="E105" s="54"/>
      <c r="F105" s="39"/>
      <c r="G105" s="39"/>
      <c r="H105" s="55"/>
      <c r="I105" s="81"/>
      <c r="J105" s="56"/>
      <c r="K105" s="56"/>
      <c r="L105" s="56"/>
      <c r="P105" s="70" t="s">
        <v>1217</v>
      </c>
      <c r="S105" s="70" t="s">
        <v>1211</v>
      </c>
      <c r="T105" s="70" t="s">
        <v>155</v>
      </c>
      <c r="U105" s="70" t="s">
        <v>235</v>
      </c>
    </row>
    <row r="106" s="51" customFormat="1" spans="1:12">
      <c r="A106" s="63"/>
      <c r="B106" s="64" t="s">
        <v>1316</v>
      </c>
      <c r="C106" s="64" t="s">
        <v>220</v>
      </c>
      <c r="D106" s="29" t="s">
        <v>2555</v>
      </c>
      <c r="E106" s="65" t="s">
        <v>199</v>
      </c>
      <c r="F106" s="60" t="s">
        <v>252</v>
      </c>
      <c r="G106" s="66" t="s">
        <v>218</v>
      </c>
      <c r="H106" s="67"/>
      <c r="I106" s="68" t="s">
        <v>2018</v>
      </c>
      <c r="J106" s="69"/>
      <c r="K106" s="69"/>
      <c r="L106" s="69"/>
    </row>
    <row r="107" s="51" customFormat="1" ht="26.4" spans="1:12">
      <c r="A107" s="63"/>
      <c r="B107" s="64" t="s">
        <v>1318</v>
      </c>
      <c r="C107" s="64" t="s">
        <v>220</v>
      </c>
      <c r="D107" s="29" t="s">
        <v>2556</v>
      </c>
      <c r="E107" s="65" t="s">
        <v>1037</v>
      </c>
      <c r="F107" s="60" t="s">
        <v>1038</v>
      </c>
      <c r="G107" s="66" t="s">
        <v>218</v>
      </c>
      <c r="H107" s="67"/>
      <c r="I107" s="68" t="s">
        <v>2018</v>
      </c>
      <c r="J107" s="69"/>
      <c r="K107" s="69"/>
      <c r="L107" s="69"/>
    </row>
    <row r="108" s="51" customFormat="1" ht="26.4" spans="1:12">
      <c r="A108" s="63"/>
      <c r="B108" s="64" t="s">
        <v>1064</v>
      </c>
      <c r="C108" s="64" t="s">
        <v>220</v>
      </c>
      <c r="D108" s="29" t="s">
        <v>2557</v>
      </c>
      <c r="E108" s="65" t="s">
        <v>1037</v>
      </c>
      <c r="F108" s="60" t="s">
        <v>1066</v>
      </c>
      <c r="G108" s="66" t="s">
        <v>218</v>
      </c>
      <c r="H108" s="67"/>
      <c r="I108" s="68" t="s">
        <v>2018</v>
      </c>
      <c r="J108" s="69"/>
      <c r="K108" s="69"/>
      <c r="L108" s="69"/>
    </row>
    <row r="109" s="70" customFormat="1" spans="1:12">
      <c r="A109" s="75"/>
      <c r="B109" s="78" t="s">
        <v>2046</v>
      </c>
      <c r="C109" s="78" t="s">
        <v>275</v>
      </c>
      <c r="D109" s="10" t="s">
        <v>1167</v>
      </c>
      <c r="E109" s="54"/>
      <c r="F109" s="39"/>
      <c r="G109" s="39"/>
      <c r="H109" s="55"/>
      <c r="I109" s="81"/>
      <c r="J109" s="56"/>
      <c r="K109" s="56"/>
      <c r="L109" s="56"/>
    </row>
    <row r="110" s="70" customFormat="1" ht="26.4" spans="1:12">
      <c r="A110" s="75"/>
      <c r="B110" s="78" t="s">
        <v>2047</v>
      </c>
      <c r="C110" s="78" t="s">
        <v>275</v>
      </c>
      <c r="D110" s="10" t="s">
        <v>2048</v>
      </c>
      <c r="E110" s="54"/>
      <c r="F110" s="39"/>
      <c r="G110" s="39"/>
      <c r="H110" s="55"/>
      <c r="I110" s="81"/>
      <c r="J110" s="56"/>
      <c r="K110" s="56"/>
      <c r="L110" s="56"/>
    </row>
    <row r="111" s="70" customFormat="1" spans="1:12">
      <c r="A111" s="75"/>
      <c r="B111" s="78" t="s">
        <v>2049</v>
      </c>
      <c r="C111" s="78" t="s">
        <v>275</v>
      </c>
      <c r="D111" s="10" t="s">
        <v>2050</v>
      </c>
      <c r="E111" s="54"/>
      <c r="F111" s="39"/>
      <c r="G111" s="39"/>
      <c r="H111" s="55"/>
      <c r="I111" s="81"/>
      <c r="J111" s="56"/>
      <c r="K111" s="56"/>
      <c r="L111" s="56"/>
    </row>
    <row r="112" s="70" customFormat="1" spans="1:12">
      <c r="A112" s="75"/>
      <c r="B112" s="78" t="s">
        <v>2053</v>
      </c>
      <c r="C112" s="78" t="s">
        <v>275</v>
      </c>
      <c r="D112" s="10" t="s">
        <v>2054</v>
      </c>
      <c r="E112" s="54"/>
      <c r="F112" s="39"/>
      <c r="G112" s="39"/>
      <c r="H112" s="55"/>
      <c r="I112" s="81"/>
      <c r="J112" s="56"/>
      <c r="K112" s="56"/>
      <c r="L112" s="56"/>
    </row>
    <row r="113" s="70" customFormat="1" spans="1:21">
      <c r="A113" s="75"/>
      <c r="B113" s="78" t="s">
        <v>2055</v>
      </c>
      <c r="C113" s="78" t="s">
        <v>275</v>
      </c>
      <c r="D113" s="10" t="s">
        <v>2056</v>
      </c>
      <c r="E113" s="54"/>
      <c r="F113" s="39"/>
      <c r="G113" s="39"/>
      <c r="H113" s="55"/>
      <c r="I113" s="81"/>
      <c r="J113" s="56"/>
      <c r="K113" s="56"/>
      <c r="L113" s="56"/>
      <c r="P113" s="70" t="s">
        <v>1234</v>
      </c>
      <c r="S113" s="70" t="s">
        <v>1211</v>
      </c>
      <c r="T113" s="70" t="s">
        <v>155</v>
      </c>
      <c r="U113" s="70" t="s">
        <v>235</v>
      </c>
    </row>
    <row r="114" s="70" customFormat="1" spans="1:21">
      <c r="A114" s="75"/>
      <c r="B114" s="78" t="s">
        <v>2057</v>
      </c>
      <c r="C114" s="78" t="s">
        <v>275</v>
      </c>
      <c r="D114" s="10" t="s">
        <v>2058</v>
      </c>
      <c r="E114" s="54"/>
      <c r="F114" s="39"/>
      <c r="G114" s="39"/>
      <c r="H114" s="55"/>
      <c r="I114" s="81"/>
      <c r="J114" s="56"/>
      <c r="K114" s="56"/>
      <c r="L114" s="56"/>
      <c r="P114" s="70" t="s">
        <v>1237</v>
      </c>
      <c r="S114" s="70" t="s">
        <v>1211</v>
      </c>
      <c r="T114" s="70" t="s">
        <v>155</v>
      </c>
      <c r="U114" s="70" t="s">
        <v>235</v>
      </c>
    </row>
    <row r="115" s="70" customFormat="1" spans="1:21">
      <c r="A115" s="75"/>
      <c r="B115" s="78" t="s">
        <v>2061</v>
      </c>
      <c r="C115" s="78" t="s">
        <v>275</v>
      </c>
      <c r="D115" s="10" t="s">
        <v>2062</v>
      </c>
      <c r="E115" s="54"/>
      <c r="F115" s="39"/>
      <c r="G115" s="39"/>
      <c r="H115" s="55"/>
      <c r="I115" s="81"/>
      <c r="J115" s="56"/>
      <c r="K115" s="56"/>
      <c r="L115" s="56"/>
      <c r="P115" s="70" t="s">
        <v>1240</v>
      </c>
      <c r="S115" s="70" t="s">
        <v>1211</v>
      </c>
      <c r="T115" s="70" t="s">
        <v>155</v>
      </c>
      <c r="U115" s="70" t="s">
        <v>235</v>
      </c>
    </row>
    <row r="116" s="70" customFormat="1" ht="26.4" spans="1:12">
      <c r="A116" s="75"/>
      <c r="B116" s="78" t="s">
        <v>2063</v>
      </c>
      <c r="C116" s="78" t="s">
        <v>275</v>
      </c>
      <c r="D116" s="10" t="s">
        <v>2558</v>
      </c>
      <c r="E116" s="54"/>
      <c r="F116" s="39"/>
      <c r="G116" s="39"/>
      <c r="H116" s="55"/>
      <c r="I116" s="81"/>
      <c r="J116" s="56"/>
      <c r="K116" s="56"/>
      <c r="L116" s="56"/>
    </row>
    <row r="117" s="70" customFormat="1" ht="26.4" spans="1:21">
      <c r="A117" s="75"/>
      <c r="B117" s="78" t="s">
        <v>2065</v>
      </c>
      <c r="C117" s="78" t="s">
        <v>275</v>
      </c>
      <c r="D117" s="10" t="s">
        <v>2559</v>
      </c>
      <c r="E117" s="54"/>
      <c r="F117" s="39"/>
      <c r="G117" s="39"/>
      <c r="H117" s="55"/>
      <c r="I117" s="81"/>
      <c r="J117" s="56"/>
      <c r="K117" s="56"/>
      <c r="L117" s="56"/>
      <c r="P117" s="70" t="s">
        <v>1245</v>
      </c>
      <c r="S117" s="70" t="s">
        <v>1211</v>
      </c>
      <c r="T117" s="70" t="s">
        <v>155</v>
      </c>
      <c r="U117" s="70" t="s">
        <v>235</v>
      </c>
    </row>
    <row r="118" s="70" customFormat="1" ht="26.4" spans="1:12">
      <c r="A118" s="75"/>
      <c r="B118" s="78" t="s">
        <v>2067</v>
      </c>
      <c r="C118" s="78" t="s">
        <v>275</v>
      </c>
      <c r="D118" s="10" t="s">
        <v>2068</v>
      </c>
      <c r="E118" s="54"/>
      <c r="F118" s="39"/>
      <c r="G118" s="39"/>
      <c r="H118" s="55"/>
      <c r="I118" s="81"/>
      <c r="J118" s="56"/>
      <c r="K118" s="56"/>
      <c r="L118" s="56"/>
    </row>
    <row r="119" s="70" customFormat="1" ht="26.4" spans="1:12">
      <c r="A119" s="75"/>
      <c r="B119" s="78" t="s">
        <v>2069</v>
      </c>
      <c r="C119" s="78" t="s">
        <v>275</v>
      </c>
      <c r="D119" s="10" t="s">
        <v>2560</v>
      </c>
      <c r="E119" s="54"/>
      <c r="F119" s="39"/>
      <c r="G119" s="39"/>
      <c r="H119" s="55"/>
      <c r="I119" s="81"/>
      <c r="J119" s="56"/>
      <c r="K119" s="56"/>
      <c r="L119" s="56"/>
    </row>
    <row r="120" s="70" customFormat="1" ht="26.4" spans="1:12">
      <c r="A120" s="75"/>
      <c r="B120" s="78" t="s">
        <v>2073</v>
      </c>
      <c r="C120" s="78" t="s">
        <v>275</v>
      </c>
      <c r="D120" s="10" t="s">
        <v>2074</v>
      </c>
      <c r="E120" s="54"/>
      <c r="F120" s="39"/>
      <c r="G120" s="39"/>
      <c r="H120" s="55"/>
      <c r="I120" s="81"/>
      <c r="J120" s="56"/>
      <c r="K120" s="56"/>
      <c r="L120" s="56"/>
    </row>
    <row r="121" s="70" customFormat="1" ht="26.4" spans="1:12">
      <c r="A121" s="75"/>
      <c r="B121" s="78" t="s">
        <v>2075</v>
      </c>
      <c r="C121" s="78" t="s">
        <v>275</v>
      </c>
      <c r="D121" s="10" t="s">
        <v>2076</v>
      </c>
      <c r="E121" s="54"/>
      <c r="F121" s="39"/>
      <c r="G121" s="39"/>
      <c r="H121" s="55"/>
      <c r="I121" s="81"/>
      <c r="J121" s="56"/>
      <c r="K121" s="56"/>
      <c r="L121" s="56"/>
    </row>
    <row r="122" s="70" customFormat="1" ht="26.4" spans="1:12">
      <c r="A122" s="75"/>
      <c r="B122" s="78" t="s">
        <v>2077</v>
      </c>
      <c r="C122" s="78" t="s">
        <v>275</v>
      </c>
      <c r="D122" s="10" t="s">
        <v>2078</v>
      </c>
      <c r="E122" s="54"/>
      <c r="F122" s="39"/>
      <c r="G122" s="39"/>
      <c r="H122" s="55"/>
      <c r="I122" s="81"/>
      <c r="J122" s="56"/>
      <c r="K122" s="56"/>
      <c r="L122" s="56"/>
    </row>
    <row r="123" s="70" customFormat="1" spans="1:12">
      <c r="A123" s="75"/>
      <c r="B123" s="78" t="s">
        <v>2083</v>
      </c>
      <c r="C123" s="78" t="s">
        <v>275</v>
      </c>
      <c r="D123" s="10" t="s">
        <v>2561</v>
      </c>
      <c r="E123" s="54"/>
      <c r="F123" s="39"/>
      <c r="G123" s="39"/>
      <c r="H123" s="55"/>
      <c r="I123" s="81"/>
      <c r="J123" s="56"/>
      <c r="K123" s="56"/>
      <c r="L123" s="56"/>
    </row>
    <row r="124" s="70" customFormat="1" customHeight="1" spans="1:12">
      <c r="A124" s="75"/>
      <c r="B124" s="78" t="s">
        <v>2562</v>
      </c>
      <c r="C124" s="78" t="s">
        <v>275</v>
      </c>
      <c r="D124" s="10" t="s">
        <v>2563</v>
      </c>
      <c r="E124" s="54"/>
      <c r="F124" s="39"/>
      <c r="G124" s="39"/>
      <c r="H124" s="55"/>
      <c r="I124" s="81"/>
      <c r="J124" s="56"/>
      <c r="K124" s="56"/>
      <c r="L124" s="56"/>
    </row>
    <row r="125" s="70" customFormat="1" spans="1:12">
      <c r="A125" s="75"/>
      <c r="B125" s="78" t="s">
        <v>2085</v>
      </c>
      <c r="C125" s="78" t="s">
        <v>220</v>
      </c>
      <c r="D125" s="10" t="s">
        <v>2086</v>
      </c>
      <c r="E125" s="54"/>
      <c r="F125" s="39"/>
      <c r="G125" s="39"/>
      <c r="H125" s="55"/>
      <c r="I125" s="81"/>
      <c r="J125" s="56"/>
      <c r="K125" s="56"/>
      <c r="L125" s="56"/>
    </row>
    <row r="126" s="70" customFormat="1" spans="1:12">
      <c r="A126" s="75"/>
      <c r="B126" s="78" t="s">
        <v>2564</v>
      </c>
      <c r="C126" s="78" t="s">
        <v>275</v>
      </c>
      <c r="D126" s="10" t="s">
        <v>2565</v>
      </c>
      <c r="E126" s="54"/>
      <c r="F126" s="39"/>
      <c r="G126" s="39"/>
      <c r="H126" s="55"/>
      <c r="I126" s="81"/>
      <c r="J126" s="56"/>
      <c r="K126" s="56"/>
      <c r="L126" s="56"/>
    </row>
    <row r="127" s="70" customFormat="1" spans="1:12">
      <c r="A127" s="75"/>
      <c r="B127" s="78" t="s">
        <v>2566</v>
      </c>
      <c r="C127" s="78" t="s">
        <v>275</v>
      </c>
      <c r="D127" s="10" t="s">
        <v>2567</v>
      </c>
      <c r="E127" s="54"/>
      <c r="F127" s="39"/>
      <c r="G127" s="39"/>
      <c r="H127" s="55"/>
      <c r="I127" s="81"/>
      <c r="J127" s="56"/>
      <c r="K127" s="56"/>
      <c r="L127" s="56"/>
    </row>
    <row r="128" s="51" customFormat="1" ht="92.4" spans="1:12">
      <c r="A128" s="63"/>
      <c r="B128" s="64" t="s">
        <v>1295</v>
      </c>
      <c r="C128" s="64" t="s">
        <v>220</v>
      </c>
      <c r="D128" s="29" t="s">
        <v>1296</v>
      </c>
      <c r="E128" s="65" t="s">
        <v>199</v>
      </c>
      <c r="F128" s="66"/>
      <c r="G128" s="66" t="s">
        <v>1297</v>
      </c>
      <c r="H128" s="67"/>
      <c r="I128" s="68" t="s">
        <v>1211</v>
      </c>
      <c r="J128" s="69" t="s">
        <v>345</v>
      </c>
      <c r="K128" s="69" t="s">
        <v>323</v>
      </c>
      <c r="L128" s="69" t="s">
        <v>394</v>
      </c>
    </row>
    <row r="129" s="37" customFormat="1" spans="1:12">
      <c r="A129" s="42"/>
      <c r="B129" s="43" t="s">
        <v>252</v>
      </c>
      <c r="C129" s="43" t="s">
        <v>220</v>
      </c>
      <c r="D129" s="44" t="s">
        <v>254</v>
      </c>
      <c r="E129" s="45"/>
      <c r="F129" s="46"/>
      <c r="G129" s="46"/>
      <c r="H129" s="47"/>
      <c r="I129" s="48"/>
      <c r="J129" s="49"/>
      <c r="K129" s="49"/>
      <c r="L129" s="49"/>
    </row>
    <row r="130" s="37" customFormat="1" spans="1:12">
      <c r="A130" s="42"/>
      <c r="B130" s="43" t="s">
        <v>255</v>
      </c>
      <c r="C130" s="43" t="s">
        <v>216</v>
      </c>
      <c r="D130" s="44" t="s">
        <v>256</v>
      </c>
      <c r="E130" s="45"/>
      <c r="F130" s="46"/>
      <c r="G130" s="46"/>
      <c r="H130" s="47"/>
      <c r="I130" s="48"/>
      <c r="J130" s="49"/>
      <c r="K130" s="49"/>
      <c r="L130" s="49"/>
    </row>
    <row r="131" s="37" customFormat="1" spans="1:12">
      <c r="A131" s="42"/>
      <c r="B131" s="43" t="s">
        <v>257</v>
      </c>
      <c r="C131" s="43" t="s">
        <v>220</v>
      </c>
      <c r="D131" s="44" t="s">
        <v>258</v>
      </c>
      <c r="E131" s="45"/>
      <c r="F131" s="46"/>
      <c r="G131" s="46"/>
      <c r="H131" s="47"/>
      <c r="I131" s="48"/>
      <c r="J131" s="49"/>
      <c r="K131" s="49"/>
      <c r="L131" s="49"/>
    </row>
  </sheetData>
  <autoFilter xmlns:etc="http://www.wps.cn/officeDocument/2017/etCustomData" ref="A15:N131" etc:filterBottomFollowUsedRange="0">
    <extLst/>
  </autoFilter>
  <mergeCells count="5">
    <mergeCell ref="B2:H2"/>
    <mergeCell ref="B3:H3"/>
    <mergeCell ref="B7:H7"/>
    <mergeCell ref="B14:L14"/>
    <mergeCell ref="G10:G11"/>
  </mergeCell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2"/>
  <sheetViews>
    <sheetView zoomScale="85" zoomScaleNormal="85" workbookViewId="0">
      <pane ySplit="5" topLeftCell="A83" activePane="bottomLeft" state="frozen"/>
      <selection/>
      <selection pane="bottomLeft" activeCell="A1" sqref="A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1.8888888888889"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88</v>
      </c>
      <c r="D5" s="35" t="s">
        <v>89</v>
      </c>
      <c r="E5" s="11" t="s">
        <v>1026</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84</v>
      </c>
      <c r="D9" s="35" t="s">
        <v>85</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1302</v>
      </c>
      <c r="C16" s="32" t="s">
        <v>220</v>
      </c>
      <c r="D16" s="10" t="s">
        <v>1303</v>
      </c>
      <c r="E16" s="54"/>
      <c r="F16" s="39"/>
      <c r="G16" s="39"/>
      <c r="H16" s="55"/>
      <c r="I16" s="56"/>
      <c r="J16" s="56"/>
      <c r="K16" s="56"/>
      <c r="L16" s="56"/>
    </row>
    <row r="17" s="1" customFormat="1" spans="2:12">
      <c r="B17" s="32" t="s">
        <v>1828</v>
      </c>
      <c r="C17" s="32" t="s">
        <v>1071</v>
      </c>
      <c r="D17" s="10" t="s">
        <v>2089</v>
      </c>
      <c r="E17" s="54"/>
      <c r="F17" s="39"/>
      <c r="G17" s="39"/>
      <c r="H17" s="55"/>
      <c r="I17" s="56"/>
      <c r="J17" s="56"/>
      <c r="K17" s="56"/>
      <c r="L17" s="56"/>
    </row>
    <row r="18" s="1" customFormat="1" spans="2:12">
      <c r="B18" s="32" t="s">
        <v>1026</v>
      </c>
      <c r="C18" s="32" t="s">
        <v>220</v>
      </c>
      <c r="D18" s="10" t="s">
        <v>66</v>
      </c>
      <c r="E18" s="54"/>
      <c r="F18" s="39"/>
      <c r="G18" s="39"/>
      <c r="H18" s="55"/>
      <c r="I18" s="56"/>
      <c r="J18" s="56"/>
      <c r="K18" s="56"/>
      <c r="L18" s="56"/>
    </row>
    <row r="19" s="1" customFormat="1" spans="2:12">
      <c r="B19" s="32" t="s">
        <v>1316</v>
      </c>
      <c r="C19" s="32" t="s">
        <v>220</v>
      </c>
      <c r="D19" s="10" t="s">
        <v>2092</v>
      </c>
      <c r="E19" s="54"/>
      <c r="F19" s="39"/>
      <c r="G19" s="39"/>
      <c r="H19" s="55"/>
      <c r="I19" s="56"/>
      <c r="J19" s="56"/>
      <c r="K19" s="56"/>
      <c r="L19" s="56"/>
    </row>
    <row r="20" s="1" customFormat="1" spans="2:12">
      <c r="B20" s="32" t="s">
        <v>1306</v>
      </c>
      <c r="C20" s="32" t="s">
        <v>216</v>
      </c>
      <c r="D20" s="10" t="s">
        <v>1307</v>
      </c>
      <c r="E20" s="54"/>
      <c r="F20" s="39"/>
      <c r="G20" s="39"/>
      <c r="H20" s="55"/>
      <c r="I20" s="56"/>
      <c r="J20" s="56"/>
      <c r="K20" s="56"/>
      <c r="L20" s="56"/>
    </row>
    <row r="21" s="1" customFormat="1" spans="2:12">
      <c r="B21" s="32" t="s">
        <v>302</v>
      </c>
      <c r="C21" s="32" t="s">
        <v>220</v>
      </c>
      <c r="D21" s="10" t="s">
        <v>1051</v>
      </c>
      <c r="E21" s="54"/>
      <c r="F21" s="39"/>
      <c r="G21" s="39"/>
      <c r="H21" s="55"/>
      <c r="I21" s="56"/>
      <c r="J21" s="56"/>
      <c r="K21" s="56"/>
      <c r="L21" s="56"/>
    </row>
    <row r="22" s="1" customFormat="1" spans="2:12">
      <c r="B22" s="32" t="s">
        <v>1308</v>
      </c>
      <c r="C22" s="32" t="s">
        <v>275</v>
      </c>
      <c r="D22" s="10" t="s">
        <v>2568</v>
      </c>
      <c r="E22" s="54"/>
      <c r="F22" s="39"/>
      <c r="G22" s="39"/>
      <c r="H22" s="55"/>
      <c r="I22" s="56"/>
      <c r="J22" s="56"/>
      <c r="K22" s="56"/>
      <c r="L22" s="56"/>
    </row>
    <row r="23" s="1" customFormat="1" spans="2:12">
      <c r="B23" s="32" t="s">
        <v>222</v>
      </c>
      <c r="C23" s="32" t="s">
        <v>275</v>
      </c>
      <c r="D23" s="10" t="s">
        <v>298</v>
      </c>
      <c r="E23" s="54"/>
      <c r="F23" s="39"/>
      <c r="G23" s="39"/>
      <c r="H23" s="55"/>
      <c r="I23" s="56"/>
      <c r="J23" s="56"/>
      <c r="K23" s="56"/>
      <c r="L23" s="56"/>
    </row>
    <row r="24" s="1" customFormat="1" spans="2:12">
      <c r="B24" s="32" t="s">
        <v>1836</v>
      </c>
      <c r="C24" s="32" t="s">
        <v>216</v>
      </c>
      <c r="D24" s="10" t="s">
        <v>1836</v>
      </c>
      <c r="E24" s="54"/>
      <c r="F24" s="39"/>
      <c r="G24" s="39"/>
      <c r="H24" s="55"/>
      <c r="I24" s="56"/>
      <c r="J24" s="56"/>
      <c r="K24" s="56"/>
      <c r="L24" s="56"/>
    </row>
    <row r="25" s="1" customFormat="1" spans="2:12">
      <c r="B25" s="32" t="s">
        <v>224</v>
      </c>
      <c r="C25" s="32" t="s">
        <v>216</v>
      </c>
      <c r="D25" s="10" t="s">
        <v>2569</v>
      </c>
      <c r="E25" s="54"/>
      <c r="F25" s="39"/>
      <c r="G25" s="39"/>
      <c r="H25" s="55"/>
      <c r="I25" s="56"/>
      <c r="J25" s="56"/>
      <c r="K25" s="56"/>
      <c r="L25" s="56"/>
    </row>
    <row r="26" s="1" customFormat="1" spans="2:12">
      <c r="B26" s="32" t="s">
        <v>267</v>
      </c>
      <c r="C26" s="32" t="s">
        <v>216</v>
      </c>
      <c r="D26" s="10" t="s">
        <v>2570</v>
      </c>
      <c r="E26" s="54"/>
      <c r="F26" s="39"/>
      <c r="G26" s="39"/>
      <c r="H26" s="55"/>
      <c r="I26" s="56"/>
      <c r="J26" s="56"/>
      <c r="K26" s="56"/>
      <c r="L26" s="56"/>
    </row>
    <row r="27" s="1" customFormat="1" spans="2:12">
      <c r="B27" s="32" t="s">
        <v>1176</v>
      </c>
      <c r="C27" s="32" t="s">
        <v>220</v>
      </c>
      <c r="D27" s="10" t="s">
        <v>1312</v>
      </c>
      <c r="E27" s="54"/>
      <c r="F27" s="39"/>
      <c r="G27" s="39"/>
      <c r="H27" s="55"/>
      <c r="I27" s="56"/>
      <c r="J27" s="56"/>
      <c r="K27" s="56"/>
      <c r="L27" s="56"/>
    </row>
    <row r="28" s="1" customFormat="1" spans="2:12">
      <c r="B28" s="32" t="s">
        <v>1878</v>
      </c>
      <c r="C28" s="32" t="s">
        <v>216</v>
      </c>
      <c r="D28" s="10" t="s">
        <v>2571</v>
      </c>
      <c r="E28" s="54"/>
      <c r="F28" s="39"/>
      <c r="G28" s="39"/>
      <c r="H28" s="55"/>
      <c r="I28" s="56"/>
      <c r="J28" s="56"/>
      <c r="K28" s="56"/>
      <c r="L28" s="56"/>
    </row>
    <row r="29" s="1" customFormat="1" spans="2:12">
      <c r="B29" s="32" t="s">
        <v>1808</v>
      </c>
      <c r="C29" s="32" t="s">
        <v>216</v>
      </c>
      <c r="D29" s="10" t="s">
        <v>2572</v>
      </c>
      <c r="E29" s="54"/>
      <c r="F29" s="39"/>
      <c r="G29" s="39"/>
      <c r="H29" s="55"/>
      <c r="I29" s="56"/>
      <c r="J29" s="56"/>
      <c r="K29" s="56"/>
      <c r="L29" s="56"/>
    </row>
    <row r="30" s="1" customFormat="1" spans="2:12">
      <c r="B30" s="32" t="s">
        <v>1313</v>
      </c>
      <c r="C30" s="32" t="s">
        <v>216</v>
      </c>
      <c r="D30" s="10" t="s">
        <v>1893</v>
      </c>
      <c r="E30" s="54"/>
      <c r="F30" s="39"/>
      <c r="G30" s="39"/>
      <c r="H30" s="55"/>
      <c r="I30" s="56"/>
      <c r="J30" s="56"/>
      <c r="K30" s="56"/>
      <c r="L30" s="56"/>
    </row>
    <row r="31" s="1" customFormat="1" spans="2:12">
      <c r="B31" s="32" t="s">
        <v>1323</v>
      </c>
      <c r="C31" s="32" t="s">
        <v>275</v>
      </c>
      <c r="D31" s="10" t="s">
        <v>1324</v>
      </c>
      <c r="E31" s="54"/>
      <c r="F31" s="39"/>
      <c r="G31" s="39"/>
      <c r="H31" s="55"/>
      <c r="I31" s="56"/>
      <c r="J31" s="56"/>
      <c r="K31" s="56"/>
      <c r="L31" s="56"/>
    </row>
    <row r="32" s="1" customFormat="1" spans="2:12">
      <c r="B32" s="32" t="s">
        <v>2573</v>
      </c>
      <c r="C32" s="32" t="s">
        <v>275</v>
      </c>
      <c r="D32" s="10" t="s">
        <v>2574</v>
      </c>
      <c r="E32" s="54"/>
      <c r="F32" s="39"/>
      <c r="G32" s="39"/>
      <c r="H32" s="55"/>
      <c r="I32" s="56"/>
      <c r="J32" s="56"/>
      <c r="K32" s="56"/>
      <c r="L32" s="56"/>
    </row>
    <row r="33" s="1" customFormat="1" ht="26.4" spans="2:12">
      <c r="B33" s="32" t="s">
        <v>1343</v>
      </c>
      <c r="C33" s="32" t="s">
        <v>275</v>
      </c>
      <c r="D33" s="10" t="s">
        <v>2137</v>
      </c>
      <c r="E33" s="54"/>
      <c r="F33" s="39"/>
      <c r="G33" s="39"/>
      <c r="H33" s="55"/>
      <c r="I33" s="56"/>
      <c r="J33" s="56"/>
      <c r="K33" s="56"/>
      <c r="L33" s="56"/>
    </row>
    <row r="34" s="1" customFormat="1" spans="2:12">
      <c r="B34" s="32" t="s">
        <v>1344</v>
      </c>
      <c r="C34" s="32" t="s">
        <v>275</v>
      </c>
      <c r="D34" s="10" t="s">
        <v>2138</v>
      </c>
      <c r="E34" s="54"/>
      <c r="F34" s="39"/>
      <c r="G34" s="39"/>
      <c r="H34" s="55"/>
      <c r="I34" s="56"/>
      <c r="J34" s="56"/>
      <c r="K34" s="56"/>
      <c r="L34" s="56"/>
    </row>
    <row r="35" s="1" customFormat="1" spans="2:12">
      <c r="B35" s="32" t="s">
        <v>1325</v>
      </c>
      <c r="C35" s="32" t="s">
        <v>275</v>
      </c>
      <c r="D35" s="10" t="s">
        <v>1326</v>
      </c>
      <c r="E35" s="54"/>
      <c r="F35" s="39"/>
      <c r="G35" s="39"/>
      <c r="H35" s="55"/>
      <c r="I35" s="56"/>
      <c r="J35" s="56"/>
      <c r="K35" s="56"/>
      <c r="L35" s="56"/>
    </row>
    <row r="36" s="1" customFormat="1" spans="2:12">
      <c r="B36" s="32" t="s">
        <v>1327</v>
      </c>
      <c r="C36" s="32" t="s">
        <v>275</v>
      </c>
      <c r="D36" s="10" t="s">
        <v>1328</v>
      </c>
      <c r="E36" s="54"/>
      <c r="F36" s="39"/>
      <c r="G36" s="39"/>
      <c r="H36" s="55"/>
      <c r="I36" s="56"/>
      <c r="J36" s="56"/>
      <c r="K36" s="56"/>
      <c r="L36" s="56"/>
    </row>
    <row r="37" s="1" customFormat="1" spans="2:12">
      <c r="B37" s="32" t="s">
        <v>1329</v>
      </c>
      <c r="C37" s="32" t="s">
        <v>275</v>
      </c>
      <c r="D37" s="10" t="s">
        <v>1330</v>
      </c>
      <c r="E37" s="54"/>
      <c r="F37" s="39"/>
      <c r="G37" s="39"/>
      <c r="H37" s="55"/>
      <c r="I37" s="56"/>
      <c r="J37" s="56"/>
      <c r="K37" s="56"/>
      <c r="L37" s="56"/>
    </row>
    <row r="38" s="1" customFormat="1" spans="2:12">
      <c r="B38" s="32" t="s">
        <v>1331</v>
      </c>
      <c r="C38" s="32" t="s">
        <v>275</v>
      </c>
      <c r="D38" s="10" t="s">
        <v>1332</v>
      </c>
      <c r="E38" s="54"/>
      <c r="F38" s="39"/>
      <c r="G38" s="39"/>
      <c r="H38" s="55"/>
      <c r="I38" s="56"/>
      <c r="J38" s="56"/>
      <c r="K38" s="56"/>
      <c r="L38" s="56"/>
    </row>
    <row r="39" s="1" customFormat="1" spans="2:12">
      <c r="B39" s="32" t="s">
        <v>1333</v>
      </c>
      <c r="C39" s="32" t="s">
        <v>275</v>
      </c>
      <c r="D39" s="10" t="s">
        <v>1334</v>
      </c>
      <c r="E39" s="54"/>
      <c r="F39" s="39"/>
      <c r="G39" s="39"/>
      <c r="H39" s="55"/>
      <c r="I39" s="56"/>
      <c r="J39" s="56"/>
      <c r="K39" s="56"/>
      <c r="L39" s="56"/>
    </row>
    <row r="40" s="1" customFormat="1" spans="2:12">
      <c r="B40" s="32" t="s">
        <v>1335</v>
      </c>
      <c r="C40" s="32" t="s">
        <v>275</v>
      </c>
      <c r="D40" s="10" t="s">
        <v>1336</v>
      </c>
      <c r="E40" s="54"/>
      <c r="F40" s="39"/>
      <c r="G40" s="39"/>
      <c r="H40" s="55"/>
      <c r="I40" s="56"/>
      <c r="J40" s="56"/>
      <c r="K40" s="56"/>
      <c r="L40" s="56"/>
    </row>
    <row r="41" s="1" customFormat="1" spans="2:12">
      <c r="B41" s="32" t="s">
        <v>1337</v>
      </c>
      <c r="C41" s="32" t="s">
        <v>275</v>
      </c>
      <c r="D41" s="10" t="s">
        <v>1338</v>
      </c>
      <c r="E41" s="54"/>
      <c r="F41" s="39"/>
      <c r="G41" s="39"/>
      <c r="H41" s="55"/>
      <c r="I41" s="56"/>
      <c r="J41" s="56"/>
      <c r="K41" s="56"/>
      <c r="L41" s="56"/>
    </row>
    <row r="42" s="1" customFormat="1" spans="2:12">
      <c r="B42" s="32" t="s">
        <v>1339</v>
      </c>
      <c r="C42" s="32" t="s">
        <v>275</v>
      </c>
      <c r="D42" s="10" t="s">
        <v>1340</v>
      </c>
      <c r="E42" s="54"/>
      <c r="F42" s="39"/>
      <c r="G42" s="39"/>
      <c r="H42" s="55"/>
      <c r="I42" s="56"/>
      <c r="J42" s="56"/>
      <c r="K42" s="56"/>
      <c r="L42" s="56"/>
    </row>
    <row r="43" s="1" customFormat="1" spans="2:12">
      <c r="B43" s="32" t="s">
        <v>1341</v>
      </c>
      <c r="C43" s="32" t="s">
        <v>275</v>
      </c>
      <c r="D43" s="10" t="s">
        <v>1342</v>
      </c>
      <c r="E43" s="54"/>
      <c r="F43" s="39"/>
      <c r="G43" s="39"/>
      <c r="H43" s="55"/>
      <c r="I43" s="56"/>
      <c r="J43" s="56"/>
      <c r="K43" s="56"/>
      <c r="L43" s="56"/>
    </row>
    <row r="44" s="1" customFormat="1" spans="2:12">
      <c r="B44" s="32" t="s">
        <v>1351</v>
      </c>
      <c r="C44" s="32" t="s">
        <v>275</v>
      </c>
      <c r="D44" s="10" t="s">
        <v>1352</v>
      </c>
      <c r="E44" s="54"/>
      <c r="F44" s="39"/>
      <c r="G44" s="39"/>
      <c r="H44" s="55"/>
      <c r="I44" s="56"/>
      <c r="J44" s="56"/>
      <c r="K44" s="56"/>
      <c r="L44" s="56"/>
    </row>
    <row r="45" s="1" customFormat="1" ht="26.4" spans="2:12">
      <c r="B45" s="32" t="s">
        <v>1353</v>
      </c>
      <c r="C45" s="32" t="s">
        <v>275</v>
      </c>
      <c r="D45" s="10" t="s">
        <v>1354</v>
      </c>
      <c r="E45" s="54"/>
      <c r="F45" s="39"/>
      <c r="G45" s="39"/>
      <c r="H45" s="55"/>
      <c r="I45" s="56"/>
      <c r="J45" s="56"/>
      <c r="K45" s="56"/>
      <c r="L45" s="56"/>
    </row>
    <row r="46" s="1" customFormat="1" spans="2:12">
      <c r="B46" s="32" t="s">
        <v>1355</v>
      </c>
      <c r="C46" s="32" t="s">
        <v>275</v>
      </c>
      <c r="D46" s="10" t="s">
        <v>1356</v>
      </c>
      <c r="E46" s="54"/>
      <c r="F46" s="39"/>
      <c r="G46" s="39"/>
      <c r="H46" s="55"/>
      <c r="I46" s="56"/>
      <c r="J46" s="56"/>
      <c r="K46" s="56"/>
      <c r="L46" s="56"/>
    </row>
    <row r="47" s="1" customFormat="1" spans="2:12">
      <c r="B47" s="32" t="s">
        <v>1357</v>
      </c>
      <c r="C47" s="32" t="s">
        <v>275</v>
      </c>
      <c r="D47" s="10" t="s">
        <v>1358</v>
      </c>
      <c r="E47" s="54"/>
      <c r="F47" s="39"/>
      <c r="G47" s="39"/>
      <c r="H47" s="55"/>
      <c r="I47" s="56"/>
      <c r="J47" s="56"/>
      <c r="K47" s="56"/>
      <c r="L47" s="56"/>
    </row>
    <row r="48" s="1" customFormat="1" spans="2:12">
      <c r="B48" s="32" t="s">
        <v>1391</v>
      </c>
      <c r="C48" s="32" t="s">
        <v>275</v>
      </c>
      <c r="D48" s="10" t="s">
        <v>1392</v>
      </c>
      <c r="E48" s="54"/>
      <c r="F48" s="39"/>
      <c r="G48" s="39"/>
      <c r="H48" s="55"/>
      <c r="I48" s="56"/>
      <c r="J48" s="56"/>
      <c r="K48" s="56"/>
      <c r="L48" s="56"/>
    </row>
    <row r="49" s="1" customFormat="1" spans="2:12">
      <c r="B49" s="32" t="s">
        <v>1393</v>
      </c>
      <c r="C49" s="32" t="s">
        <v>275</v>
      </c>
      <c r="D49" s="10" t="s">
        <v>1394</v>
      </c>
      <c r="E49" s="54"/>
      <c r="F49" s="39"/>
      <c r="G49" s="39"/>
      <c r="H49" s="55"/>
      <c r="I49" s="56"/>
      <c r="J49" s="56"/>
      <c r="K49" s="56"/>
      <c r="L49" s="56"/>
    </row>
    <row r="50" s="1" customFormat="1" spans="2:12">
      <c r="B50" s="32" t="s">
        <v>1395</v>
      </c>
      <c r="C50" s="32" t="s">
        <v>275</v>
      </c>
      <c r="D50" s="10" t="s">
        <v>1396</v>
      </c>
      <c r="E50" s="54"/>
      <c r="F50" s="39"/>
      <c r="G50" s="39"/>
      <c r="H50" s="55"/>
      <c r="I50" s="56"/>
      <c r="J50" s="56"/>
      <c r="K50" s="56"/>
      <c r="L50" s="56"/>
    </row>
    <row r="51" s="1" customFormat="1" spans="2:12">
      <c r="B51" s="32" t="s">
        <v>1397</v>
      </c>
      <c r="C51" s="32" t="s">
        <v>275</v>
      </c>
      <c r="D51" s="10" t="s">
        <v>1398</v>
      </c>
      <c r="E51" s="54"/>
      <c r="F51" s="39"/>
      <c r="G51" s="39"/>
      <c r="H51" s="55"/>
      <c r="I51" s="56"/>
      <c r="J51" s="56"/>
      <c r="K51" s="56"/>
      <c r="L51" s="56"/>
    </row>
    <row r="52" s="1" customFormat="1" spans="2:12">
      <c r="B52" s="32" t="s">
        <v>1399</v>
      </c>
      <c r="C52" s="32" t="s">
        <v>275</v>
      </c>
      <c r="D52" s="10" t="s">
        <v>1400</v>
      </c>
      <c r="E52" s="54"/>
      <c r="F52" s="39"/>
      <c r="G52" s="39"/>
      <c r="H52" s="55"/>
      <c r="I52" s="56"/>
      <c r="J52" s="56"/>
      <c r="K52" s="56"/>
      <c r="L52" s="56"/>
    </row>
    <row r="53" s="1" customFormat="1" spans="2:12">
      <c r="B53" s="32" t="s">
        <v>2113</v>
      </c>
      <c r="C53" s="32" t="s">
        <v>275</v>
      </c>
      <c r="D53" s="10" t="s">
        <v>2114</v>
      </c>
      <c r="E53" s="54"/>
      <c r="F53" s="39"/>
      <c r="G53" s="39"/>
      <c r="H53" s="55"/>
      <c r="I53" s="56"/>
      <c r="J53" s="56"/>
      <c r="K53" s="56"/>
      <c r="L53" s="56"/>
    </row>
    <row r="54" s="1" customFormat="1" spans="2:12">
      <c r="B54" s="32" t="s">
        <v>2115</v>
      </c>
      <c r="C54" s="32" t="s">
        <v>275</v>
      </c>
      <c r="D54" s="10" t="s">
        <v>2116</v>
      </c>
      <c r="E54" s="54"/>
      <c r="F54" s="39"/>
      <c r="G54" s="39"/>
      <c r="H54" s="55"/>
      <c r="I54" s="56"/>
      <c r="J54" s="56"/>
      <c r="K54" s="56"/>
      <c r="L54" s="56"/>
    </row>
    <row r="55" s="1" customFormat="1" spans="2:12">
      <c r="B55" s="32" t="s">
        <v>1463</v>
      </c>
      <c r="C55" s="32" t="s">
        <v>275</v>
      </c>
      <c r="D55" s="10" t="s">
        <v>1464</v>
      </c>
      <c r="E55" s="54"/>
      <c r="F55" s="39"/>
      <c r="G55" s="39"/>
      <c r="H55" s="55"/>
      <c r="I55" s="56"/>
      <c r="J55" s="56"/>
      <c r="K55" s="56"/>
      <c r="L55" s="56"/>
    </row>
    <row r="56" s="1" customFormat="1" spans="2:12">
      <c r="B56" s="32" t="s">
        <v>1475</v>
      </c>
      <c r="C56" s="32" t="s">
        <v>275</v>
      </c>
      <c r="D56" s="10" t="s">
        <v>1476</v>
      </c>
      <c r="E56" s="54"/>
      <c r="F56" s="39"/>
      <c r="G56" s="39"/>
      <c r="H56" s="55"/>
      <c r="I56" s="56"/>
      <c r="J56" s="56"/>
      <c r="K56" s="56"/>
      <c r="L56" s="56"/>
    </row>
    <row r="57" s="1" customFormat="1" spans="2:12">
      <c r="B57" s="32" t="s">
        <v>1487</v>
      </c>
      <c r="C57" s="32" t="s">
        <v>275</v>
      </c>
      <c r="D57" s="10" t="s">
        <v>1488</v>
      </c>
      <c r="E57" s="54"/>
      <c r="F57" s="39"/>
      <c r="G57" s="39"/>
      <c r="H57" s="55"/>
      <c r="I57" s="56"/>
      <c r="J57" s="56"/>
      <c r="K57" s="56"/>
      <c r="L57" s="56"/>
    </row>
    <row r="58" s="1" customFormat="1" ht="26.4" spans="2:12">
      <c r="B58" s="32" t="s">
        <v>1499</v>
      </c>
      <c r="C58" s="32" t="s">
        <v>275</v>
      </c>
      <c r="D58" s="10" t="s">
        <v>1500</v>
      </c>
      <c r="E58" s="54"/>
      <c r="F58" s="39"/>
      <c r="G58" s="39"/>
      <c r="H58" s="55"/>
      <c r="I58" s="56"/>
      <c r="J58" s="56"/>
      <c r="K58" s="56"/>
      <c r="L58" s="56"/>
    </row>
    <row r="59" s="1" customFormat="1" ht="26.4" spans="2:12">
      <c r="B59" s="32" t="s">
        <v>1511</v>
      </c>
      <c r="C59" s="32" t="s">
        <v>275</v>
      </c>
      <c r="D59" s="10" t="s">
        <v>1512</v>
      </c>
      <c r="E59" s="54"/>
      <c r="F59" s="39"/>
      <c r="G59" s="39"/>
      <c r="H59" s="55"/>
      <c r="I59" s="56"/>
      <c r="J59" s="56"/>
      <c r="K59" s="56"/>
      <c r="L59" s="56"/>
    </row>
    <row r="60" s="1" customFormat="1" spans="2:12">
      <c r="B60" s="32" t="s">
        <v>1523</v>
      </c>
      <c r="C60" s="32" t="s">
        <v>275</v>
      </c>
      <c r="D60" s="10" t="s">
        <v>1524</v>
      </c>
      <c r="E60" s="54"/>
      <c r="F60" s="39"/>
      <c r="G60" s="39"/>
      <c r="H60" s="55"/>
      <c r="I60" s="56"/>
      <c r="J60" s="56"/>
      <c r="K60" s="56"/>
      <c r="L60" s="56"/>
    </row>
    <row r="61" s="1" customFormat="1" spans="2:12">
      <c r="B61" s="32" t="s">
        <v>2144</v>
      </c>
      <c r="C61" s="32" t="s">
        <v>275</v>
      </c>
      <c r="D61" s="10" t="s">
        <v>2145</v>
      </c>
      <c r="E61" s="54"/>
      <c r="F61" s="39"/>
      <c r="G61" s="39"/>
      <c r="H61" s="55"/>
      <c r="I61" s="56"/>
      <c r="J61" s="56"/>
      <c r="K61" s="56"/>
      <c r="L61" s="56"/>
    </row>
    <row r="62" s="1" customFormat="1" ht="26.4" spans="2:12">
      <c r="B62" s="32" t="s">
        <v>2158</v>
      </c>
      <c r="C62" s="32" t="s">
        <v>275</v>
      </c>
      <c r="D62" s="10" t="s">
        <v>2159</v>
      </c>
      <c r="E62" s="54"/>
      <c r="F62" s="39"/>
      <c r="G62" s="39"/>
      <c r="H62" s="55"/>
      <c r="I62" s="56"/>
      <c r="J62" s="56"/>
      <c r="K62" s="56"/>
      <c r="L62" s="56"/>
    </row>
    <row r="63" s="1" customFormat="1" spans="2:12">
      <c r="B63" s="32" t="s">
        <v>2172</v>
      </c>
      <c r="C63" s="32" t="s">
        <v>275</v>
      </c>
      <c r="D63" s="10" t="s">
        <v>2173</v>
      </c>
      <c r="E63" s="54"/>
      <c r="F63" s="39"/>
      <c r="G63" s="39"/>
      <c r="H63" s="55"/>
      <c r="I63" s="56"/>
      <c r="J63" s="56"/>
      <c r="K63" s="56"/>
      <c r="L63" s="56"/>
    </row>
    <row r="64" s="1" customFormat="1" spans="2:12">
      <c r="B64" s="32" t="s">
        <v>2200</v>
      </c>
      <c r="C64" s="32" t="s">
        <v>275</v>
      </c>
      <c r="D64" s="10" t="s">
        <v>2201</v>
      </c>
      <c r="E64" s="54"/>
      <c r="F64" s="39"/>
      <c r="G64" s="39"/>
      <c r="H64" s="55"/>
      <c r="I64" s="56"/>
      <c r="J64" s="56"/>
      <c r="K64" s="56"/>
      <c r="L64" s="56"/>
    </row>
    <row r="65" s="1" customFormat="1" spans="2:12">
      <c r="B65" s="32" t="s">
        <v>2216</v>
      </c>
      <c r="C65" s="32" t="s">
        <v>275</v>
      </c>
      <c r="D65" s="10" t="s">
        <v>2217</v>
      </c>
      <c r="E65" s="54"/>
      <c r="F65" s="39"/>
      <c r="G65" s="39"/>
      <c r="H65" s="55"/>
      <c r="I65" s="56"/>
      <c r="J65" s="56"/>
      <c r="K65" s="56"/>
      <c r="L65" s="56"/>
    </row>
    <row r="66" s="1" customFormat="1" ht="26.4" spans="2:12">
      <c r="B66" s="32" t="s">
        <v>2230</v>
      </c>
      <c r="C66" s="32" t="s">
        <v>275</v>
      </c>
      <c r="D66" s="10" t="s">
        <v>2231</v>
      </c>
      <c r="E66" s="54"/>
      <c r="F66" s="39"/>
      <c r="G66" s="39"/>
      <c r="H66" s="55"/>
      <c r="I66" s="56"/>
      <c r="J66" s="56"/>
      <c r="K66" s="56"/>
      <c r="L66" s="56"/>
    </row>
    <row r="67" s="1" customFormat="1" ht="26.4" spans="2:12">
      <c r="B67" s="32" t="s">
        <v>2244</v>
      </c>
      <c r="C67" s="32" t="s">
        <v>275</v>
      </c>
      <c r="D67" s="10" t="s">
        <v>2245</v>
      </c>
      <c r="E67" s="54"/>
      <c r="F67" s="39"/>
      <c r="G67" s="39"/>
      <c r="H67" s="55"/>
      <c r="I67" s="56"/>
      <c r="J67" s="56"/>
      <c r="K67" s="56"/>
      <c r="L67" s="56"/>
    </row>
    <row r="68" s="1" customFormat="1" ht="26.4" spans="2:12">
      <c r="B68" s="32" t="s">
        <v>2258</v>
      </c>
      <c r="C68" s="32" t="s">
        <v>275</v>
      </c>
      <c r="D68" s="10" t="s">
        <v>2259</v>
      </c>
      <c r="E68" s="54"/>
      <c r="F68" s="39"/>
      <c r="G68" s="39"/>
      <c r="H68" s="55"/>
      <c r="I68" s="56"/>
      <c r="J68" s="56"/>
      <c r="K68" s="56"/>
      <c r="L68" s="56"/>
    </row>
    <row r="69" s="1" customFormat="1" ht="26.4" spans="2:12">
      <c r="B69" s="32" t="s">
        <v>2272</v>
      </c>
      <c r="C69" s="32" t="s">
        <v>275</v>
      </c>
      <c r="D69" s="10" t="s">
        <v>2273</v>
      </c>
      <c r="E69" s="54"/>
      <c r="F69" s="39"/>
      <c r="G69" s="39"/>
      <c r="H69" s="55"/>
      <c r="I69" s="56"/>
      <c r="J69" s="56"/>
      <c r="K69" s="56"/>
      <c r="L69" s="56"/>
    </row>
    <row r="70" s="1" customFormat="1" ht="26.4" spans="2:12">
      <c r="B70" s="32" t="s">
        <v>2286</v>
      </c>
      <c r="C70" s="32" t="s">
        <v>275</v>
      </c>
      <c r="D70" s="10" t="s">
        <v>2287</v>
      </c>
      <c r="E70" s="54"/>
      <c r="F70" s="39"/>
      <c r="G70" s="39"/>
      <c r="H70" s="55"/>
      <c r="I70" s="56"/>
      <c r="J70" s="56"/>
      <c r="K70" s="56"/>
      <c r="L70" s="56"/>
    </row>
    <row r="71" s="1" customFormat="1" ht="26.4" spans="2:12">
      <c r="B71" s="32" t="s">
        <v>2314</v>
      </c>
      <c r="C71" s="32" t="s">
        <v>275</v>
      </c>
      <c r="D71" s="10" t="s">
        <v>2315</v>
      </c>
      <c r="E71" s="54"/>
      <c r="F71" s="39"/>
      <c r="G71" s="39"/>
      <c r="H71" s="55"/>
      <c r="I71" s="56"/>
      <c r="J71" s="56"/>
      <c r="K71" s="56"/>
      <c r="L71" s="56"/>
    </row>
    <row r="72" s="1" customFormat="1" ht="26.4" spans="2:12">
      <c r="B72" s="32" t="s">
        <v>2328</v>
      </c>
      <c r="C72" s="32" t="s">
        <v>275</v>
      </c>
      <c r="D72" s="10" t="s">
        <v>2329</v>
      </c>
      <c r="E72" s="54"/>
      <c r="F72" s="39"/>
      <c r="G72" s="39"/>
      <c r="H72" s="55"/>
      <c r="I72" s="56"/>
      <c r="J72" s="56"/>
      <c r="K72" s="56"/>
      <c r="L72" s="56"/>
    </row>
    <row r="73" s="1" customFormat="1" ht="26.4" spans="2:12">
      <c r="B73" s="32" t="s">
        <v>2342</v>
      </c>
      <c r="C73" s="32" t="s">
        <v>275</v>
      </c>
      <c r="D73" s="10" t="s">
        <v>2343</v>
      </c>
      <c r="E73" s="54"/>
      <c r="F73" s="39"/>
      <c r="G73" s="39"/>
      <c r="H73" s="55"/>
      <c r="I73" s="56"/>
      <c r="J73" s="56"/>
      <c r="K73" s="56"/>
      <c r="L73" s="56"/>
    </row>
    <row r="74" s="1" customFormat="1" spans="2:12">
      <c r="B74" s="32" t="s">
        <v>2368</v>
      </c>
      <c r="C74" s="32" t="s">
        <v>275</v>
      </c>
      <c r="D74" s="10" t="s">
        <v>2369</v>
      </c>
      <c r="E74" s="54"/>
      <c r="F74" s="39"/>
      <c r="G74" s="39"/>
      <c r="H74" s="55"/>
      <c r="I74" s="56"/>
      <c r="J74" s="56"/>
      <c r="K74" s="56"/>
      <c r="L74" s="56"/>
    </row>
    <row r="75" s="1" customFormat="1" spans="2:12">
      <c r="B75" s="32" t="s">
        <v>2380</v>
      </c>
      <c r="C75" s="32" t="s">
        <v>275</v>
      </c>
      <c r="D75" s="10" t="s">
        <v>2381</v>
      </c>
      <c r="E75" s="54"/>
      <c r="F75" s="39"/>
      <c r="G75" s="39"/>
      <c r="H75" s="55"/>
      <c r="I75" s="56"/>
      <c r="J75" s="56"/>
      <c r="K75" s="56"/>
      <c r="L75" s="56"/>
    </row>
    <row r="76" s="1" customFormat="1" spans="2:12">
      <c r="B76" s="32" t="s">
        <v>2392</v>
      </c>
      <c r="C76" s="32" t="s">
        <v>275</v>
      </c>
      <c r="D76" s="10" t="s">
        <v>2393</v>
      </c>
      <c r="E76" s="54"/>
      <c r="F76" s="39"/>
      <c r="G76" s="39"/>
      <c r="H76" s="55"/>
      <c r="I76" s="56"/>
      <c r="J76" s="56"/>
      <c r="K76" s="56"/>
      <c r="L76" s="56"/>
    </row>
    <row r="77" s="1" customFormat="1" spans="2:12">
      <c r="B77" s="32" t="s">
        <v>2404</v>
      </c>
      <c r="C77" s="32" t="s">
        <v>275</v>
      </c>
      <c r="D77" s="10" t="s">
        <v>2405</v>
      </c>
      <c r="E77" s="54"/>
      <c r="F77" s="39"/>
      <c r="G77" s="39"/>
      <c r="H77" s="55"/>
      <c r="I77" s="56"/>
      <c r="J77" s="56"/>
      <c r="K77" s="56"/>
      <c r="L77" s="56"/>
    </row>
    <row r="78" s="1" customFormat="1" spans="2:12">
      <c r="B78" s="32" t="s">
        <v>2416</v>
      </c>
      <c r="C78" s="32" t="s">
        <v>275</v>
      </c>
      <c r="D78" s="10" t="s">
        <v>2417</v>
      </c>
      <c r="E78" s="54"/>
      <c r="F78" s="39"/>
      <c r="G78" s="39"/>
      <c r="H78" s="55"/>
      <c r="I78" s="56"/>
      <c r="J78" s="56"/>
      <c r="K78" s="56"/>
      <c r="L78" s="56"/>
    </row>
    <row r="79" s="1" customFormat="1" spans="2:12">
      <c r="B79" s="32" t="s">
        <v>2428</v>
      </c>
      <c r="C79" s="32" t="s">
        <v>275</v>
      </c>
      <c r="D79" s="10" t="s">
        <v>2429</v>
      </c>
      <c r="E79" s="54"/>
      <c r="F79" s="39"/>
      <c r="G79" s="39"/>
      <c r="H79" s="55"/>
      <c r="I79" s="56"/>
      <c r="J79" s="56"/>
      <c r="K79" s="56"/>
      <c r="L79" s="56"/>
    </row>
    <row r="80" s="1" customFormat="1" spans="2:12">
      <c r="B80" s="32" t="s">
        <v>1782</v>
      </c>
      <c r="C80" s="32" t="s">
        <v>275</v>
      </c>
      <c r="D80" s="10" t="s">
        <v>1783</v>
      </c>
      <c r="E80" s="54"/>
      <c r="F80" s="39"/>
      <c r="G80" s="39"/>
      <c r="H80" s="55"/>
      <c r="I80" s="56"/>
      <c r="J80" s="56"/>
      <c r="K80" s="56"/>
      <c r="L80" s="56"/>
    </row>
    <row r="81" s="1" customFormat="1" spans="2:12">
      <c r="B81" s="32" t="s">
        <v>1784</v>
      </c>
      <c r="C81" s="32" t="s">
        <v>275</v>
      </c>
      <c r="D81" s="10" t="s">
        <v>1785</v>
      </c>
      <c r="E81" s="54"/>
      <c r="F81" s="39"/>
      <c r="G81" s="39"/>
      <c r="H81" s="55"/>
      <c r="I81" s="56"/>
      <c r="J81" s="56"/>
      <c r="K81" s="56"/>
      <c r="L81" s="56"/>
    </row>
    <row r="82" s="1" customFormat="1" spans="2:12">
      <c r="B82" s="32" t="s">
        <v>1786</v>
      </c>
      <c r="C82" s="32" t="s">
        <v>275</v>
      </c>
      <c r="D82" s="10" t="s">
        <v>1787</v>
      </c>
      <c r="E82" s="54"/>
      <c r="F82" s="39"/>
      <c r="G82" s="39"/>
      <c r="H82" s="55"/>
      <c r="I82" s="56"/>
      <c r="J82" s="56"/>
      <c r="K82" s="56"/>
      <c r="L82" s="56"/>
    </row>
    <row r="83" s="1" customFormat="1" spans="2:12">
      <c r="B83" s="32" t="s">
        <v>1788</v>
      </c>
      <c r="C83" s="32" t="s">
        <v>275</v>
      </c>
      <c r="D83" s="10" t="s">
        <v>1789</v>
      </c>
      <c r="E83" s="54"/>
      <c r="F83" s="39"/>
      <c r="G83" s="39"/>
      <c r="H83" s="55"/>
      <c r="I83" s="56"/>
      <c r="J83" s="56"/>
      <c r="K83" s="56"/>
      <c r="L83" s="56"/>
    </row>
    <row r="84" s="1" customFormat="1" spans="2:12">
      <c r="B84" s="32" t="s">
        <v>1345</v>
      </c>
      <c r="C84" s="32" t="s">
        <v>275</v>
      </c>
      <c r="D84" s="10" t="s">
        <v>1346</v>
      </c>
      <c r="E84" s="54"/>
      <c r="F84" s="39"/>
      <c r="G84" s="39"/>
      <c r="H84" s="55"/>
      <c r="I84" s="56"/>
      <c r="J84" s="56"/>
      <c r="K84" s="56"/>
      <c r="L84" s="56"/>
    </row>
    <row r="85" s="1" customFormat="1" ht="26.4" spans="2:12">
      <c r="B85" s="32" t="s">
        <v>1465</v>
      </c>
      <c r="C85" s="32" t="s">
        <v>275</v>
      </c>
      <c r="D85" s="10" t="s">
        <v>1466</v>
      </c>
      <c r="E85" s="54"/>
      <c r="F85" s="39"/>
      <c r="G85" s="39"/>
      <c r="H85" s="55"/>
      <c r="I85" s="56"/>
      <c r="J85" s="56"/>
      <c r="K85" s="56"/>
      <c r="L85" s="56"/>
    </row>
    <row r="86" s="1" customFormat="1" ht="26.4" spans="2:12">
      <c r="B86" s="32" t="s">
        <v>1467</v>
      </c>
      <c r="C86" s="32" t="s">
        <v>275</v>
      </c>
      <c r="D86" s="10" t="s">
        <v>1468</v>
      </c>
      <c r="E86" s="54"/>
      <c r="F86" s="39"/>
      <c r="G86" s="39"/>
      <c r="H86" s="55"/>
      <c r="I86" s="56"/>
      <c r="J86" s="56"/>
      <c r="K86" s="56"/>
      <c r="L86" s="56"/>
    </row>
    <row r="87" s="1" customFormat="1" ht="26.4" spans="2:12">
      <c r="B87" s="32" t="s">
        <v>1469</v>
      </c>
      <c r="C87" s="32" t="s">
        <v>275</v>
      </c>
      <c r="D87" s="10" t="s">
        <v>1470</v>
      </c>
      <c r="E87" s="54"/>
      <c r="F87" s="39"/>
      <c r="G87" s="39"/>
      <c r="H87" s="55"/>
      <c r="I87" s="56"/>
      <c r="J87" s="56"/>
      <c r="K87" s="56"/>
      <c r="L87" s="56"/>
    </row>
    <row r="88" s="1" customFormat="1" ht="26.4" spans="2:12">
      <c r="B88" s="32" t="s">
        <v>1471</v>
      </c>
      <c r="C88" s="32" t="s">
        <v>275</v>
      </c>
      <c r="D88" s="10" t="s">
        <v>1472</v>
      </c>
      <c r="E88" s="54"/>
      <c r="F88" s="39"/>
      <c r="G88" s="39"/>
      <c r="H88" s="55"/>
      <c r="I88" s="56"/>
      <c r="J88" s="56"/>
      <c r="K88" s="56"/>
      <c r="L88" s="56"/>
    </row>
    <row r="89" s="1" customFormat="1" ht="26.4" spans="2:12">
      <c r="B89" s="32" t="s">
        <v>1473</v>
      </c>
      <c r="C89" s="32" t="s">
        <v>275</v>
      </c>
      <c r="D89" s="10" t="s">
        <v>1474</v>
      </c>
      <c r="E89" s="54"/>
      <c r="F89" s="39"/>
      <c r="G89" s="39"/>
      <c r="H89" s="55"/>
      <c r="I89" s="56"/>
      <c r="J89" s="56"/>
      <c r="K89" s="56"/>
      <c r="L89" s="56"/>
    </row>
    <row r="90" s="1" customFormat="1" spans="2:12">
      <c r="B90" s="32" t="s">
        <v>1477</v>
      </c>
      <c r="C90" s="32" t="s">
        <v>275</v>
      </c>
      <c r="D90" s="10" t="s">
        <v>1478</v>
      </c>
      <c r="E90" s="54"/>
      <c r="F90" s="39"/>
      <c r="G90" s="39"/>
      <c r="H90" s="55"/>
      <c r="I90" s="56"/>
      <c r="J90" s="56"/>
      <c r="K90" s="56"/>
      <c r="L90" s="56"/>
    </row>
    <row r="91" s="1" customFormat="1" spans="2:12">
      <c r="B91" s="32" t="s">
        <v>1479</v>
      </c>
      <c r="C91" s="32" t="s">
        <v>275</v>
      </c>
      <c r="D91" s="10" t="s">
        <v>1480</v>
      </c>
      <c r="E91" s="54"/>
      <c r="F91" s="39"/>
      <c r="G91" s="39"/>
      <c r="H91" s="55"/>
      <c r="I91" s="56"/>
      <c r="J91" s="56"/>
      <c r="K91" s="56"/>
      <c r="L91" s="56"/>
    </row>
    <row r="92" s="1" customFormat="1" spans="2:12">
      <c r="B92" s="32" t="s">
        <v>1481</v>
      </c>
      <c r="C92" s="32" t="s">
        <v>275</v>
      </c>
      <c r="D92" s="10" t="s">
        <v>1482</v>
      </c>
      <c r="E92" s="54"/>
      <c r="F92" s="39"/>
      <c r="G92" s="39"/>
      <c r="H92" s="55"/>
      <c r="I92" s="56"/>
      <c r="J92" s="56"/>
      <c r="K92" s="56"/>
      <c r="L92" s="56"/>
    </row>
    <row r="93" s="1" customFormat="1" spans="2:12">
      <c r="B93" s="32" t="s">
        <v>1483</v>
      </c>
      <c r="C93" s="32" t="s">
        <v>275</v>
      </c>
      <c r="D93" s="10" t="s">
        <v>1484</v>
      </c>
      <c r="E93" s="54"/>
      <c r="F93" s="39"/>
      <c r="G93" s="39"/>
      <c r="H93" s="55"/>
      <c r="I93" s="56"/>
      <c r="J93" s="56"/>
      <c r="K93" s="56"/>
      <c r="L93" s="56"/>
    </row>
    <row r="94" s="1" customFormat="1" spans="2:12">
      <c r="B94" s="32" t="s">
        <v>1485</v>
      </c>
      <c r="C94" s="32" t="s">
        <v>275</v>
      </c>
      <c r="D94" s="10" t="s">
        <v>1486</v>
      </c>
      <c r="E94" s="54"/>
      <c r="F94" s="39"/>
      <c r="G94" s="39"/>
      <c r="H94" s="55"/>
      <c r="I94" s="56"/>
      <c r="J94" s="56"/>
      <c r="K94" s="56"/>
      <c r="L94" s="56"/>
    </row>
    <row r="95" s="1" customFormat="1" spans="2:12">
      <c r="B95" s="32" t="s">
        <v>1790</v>
      </c>
      <c r="C95" s="32" t="s">
        <v>275</v>
      </c>
      <c r="D95" s="10" t="s">
        <v>1791</v>
      </c>
      <c r="E95" s="54"/>
      <c r="F95" s="39"/>
      <c r="G95" s="39"/>
      <c r="H95" s="55"/>
      <c r="I95" s="56"/>
      <c r="J95" s="56"/>
      <c r="K95" s="56"/>
      <c r="L95" s="56"/>
    </row>
    <row r="96" s="1" customFormat="1" spans="2:12">
      <c r="B96" s="32" t="s">
        <v>1792</v>
      </c>
      <c r="C96" s="32" t="s">
        <v>275</v>
      </c>
      <c r="D96" s="10" t="s">
        <v>1793</v>
      </c>
      <c r="E96" s="54"/>
      <c r="F96" s="39"/>
      <c r="G96" s="39"/>
      <c r="H96" s="55"/>
      <c r="I96" s="56"/>
      <c r="J96" s="56"/>
      <c r="K96" s="56"/>
      <c r="L96" s="56"/>
    </row>
    <row r="97" s="1" customFormat="1" ht="26.4" spans="2:12">
      <c r="B97" s="32" t="s">
        <v>1347</v>
      </c>
      <c r="C97" s="32" t="s">
        <v>275</v>
      </c>
      <c r="D97" s="10" t="s">
        <v>2140</v>
      </c>
      <c r="E97" s="54"/>
      <c r="F97" s="39"/>
      <c r="G97" s="39"/>
      <c r="H97" s="55"/>
      <c r="I97" s="56"/>
      <c r="J97" s="56"/>
      <c r="K97" s="56"/>
      <c r="L97" s="56"/>
    </row>
    <row r="98" s="1" customFormat="1" ht="26.4" spans="2:12">
      <c r="B98" s="32" t="s">
        <v>1794</v>
      </c>
      <c r="C98" s="32" t="s">
        <v>275</v>
      </c>
      <c r="D98" s="10" t="s">
        <v>1795</v>
      </c>
      <c r="E98" s="54"/>
      <c r="F98" s="39"/>
      <c r="G98" s="39"/>
      <c r="H98" s="55"/>
      <c r="I98" s="56"/>
      <c r="J98" s="56"/>
      <c r="K98" s="56"/>
      <c r="L98" s="56"/>
    </row>
    <row r="99" s="1" customFormat="1" ht="26.4" spans="2:12">
      <c r="B99" s="32" t="s">
        <v>1349</v>
      </c>
      <c r="C99" s="32" t="s">
        <v>275</v>
      </c>
      <c r="D99" s="10" t="s">
        <v>2141</v>
      </c>
      <c r="E99" s="54"/>
      <c r="F99" s="39"/>
      <c r="G99" s="39"/>
      <c r="H99" s="55"/>
      <c r="I99" s="56"/>
      <c r="J99" s="56"/>
      <c r="K99" s="56"/>
      <c r="L99" s="56"/>
    </row>
    <row r="100" s="1" customFormat="1" ht="26.4" spans="2:12">
      <c r="B100" s="32" t="s">
        <v>1796</v>
      </c>
      <c r="C100" s="32" t="s">
        <v>275</v>
      </c>
      <c r="D100" s="10" t="s">
        <v>1797</v>
      </c>
      <c r="E100" s="54"/>
      <c r="F100" s="39"/>
      <c r="G100" s="39"/>
      <c r="H100" s="55"/>
      <c r="I100" s="56"/>
      <c r="J100" s="56"/>
      <c r="K100" s="56"/>
      <c r="L100" s="56"/>
    </row>
    <row r="101" s="1" customFormat="1" ht="26.4" spans="2:12">
      <c r="B101" s="32" t="s">
        <v>2100</v>
      </c>
      <c r="C101" s="32" t="s">
        <v>275</v>
      </c>
      <c r="D101" s="10" t="s">
        <v>2575</v>
      </c>
      <c r="E101" s="54"/>
      <c r="F101" s="39"/>
      <c r="G101" s="39"/>
      <c r="H101" s="55"/>
      <c r="I101" s="56"/>
      <c r="J101" s="56"/>
      <c r="K101" s="56"/>
      <c r="L101" s="56"/>
    </row>
    <row r="102" s="1" customFormat="1" ht="26.4" spans="2:12">
      <c r="B102" s="32" t="s">
        <v>2102</v>
      </c>
      <c r="C102" s="32" t="s">
        <v>275</v>
      </c>
      <c r="D102" s="10" t="s">
        <v>2103</v>
      </c>
      <c r="E102" s="54"/>
      <c r="F102" s="39"/>
      <c r="G102" s="39"/>
      <c r="H102" s="55"/>
      <c r="I102" s="56"/>
      <c r="J102" s="56"/>
      <c r="K102" s="56"/>
      <c r="L102" s="56"/>
    </row>
    <row r="103" s="1" customFormat="1" ht="26.4" spans="2:12">
      <c r="B103" s="32" t="s">
        <v>2576</v>
      </c>
      <c r="C103" s="32" t="s">
        <v>275</v>
      </c>
      <c r="D103" s="10" t="s">
        <v>2105</v>
      </c>
      <c r="E103" s="54"/>
      <c r="F103" s="39"/>
      <c r="G103" s="39"/>
      <c r="H103" s="55"/>
      <c r="I103" s="56"/>
      <c r="J103" s="56"/>
      <c r="K103" s="56"/>
      <c r="L103" s="56"/>
    </row>
    <row r="104" s="1" customFormat="1" spans="2:12">
      <c r="B104" s="32" t="s">
        <v>1798</v>
      </c>
      <c r="C104" s="32" t="s">
        <v>275</v>
      </c>
      <c r="D104" s="10" t="s">
        <v>1799</v>
      </c>
      <c r="E104" s="54"/>
      <c r="F104" s="39"/>
      <c r="G104" s="39"/>
      <c r="H104" s="55"/>
      <c r="I104" s="56"/>
      <c r="J104" s="56"/>
      <c r="K104" s="56"/>
      <c r="L104" s="56"/>
    </row>
    <row r="105" s="1" customFormat="1" ht="26.4" spans="2:12">
      <c r="B105" s="32" t="s">
        <v>2107</v>
      </c>
      <c r="C105" s="32" t="s">
        <v>275</v>
      </c>
      <c r="D105" s="10" t="s">
        <v>2108</v>
      </c>
      <c r="E105" s="54"/>
      <c r="F105" s="39"/>
      <c r="G105" s="39"/>
      <c r="H105" s="55"/>
      <c r="I105" s="56"/>
      <c r="J105" s="56"/>
      <c r="K105" s="56"/>
      <c r="L105" s="56"/>
    </row>
    <row r="106" s="1" customFormat="1" ht="26.4" spans="2:12">
      <c r="B106" s="32" t="s">
        <v>2577</v>
      </c>
      <c r="C106" s="32" t="s">
        <v>275</v>
      </c>
      <c r="D106" s="10" t="s">
        <v>2110</v>
      </c>
      <c r="E106" s="54"/>
      <c r="F106" s="39"/>
      <c r="G106" s="39"/>
      <c r="H106" s="55"/>
      <c r="I106" s="56"/>
      <c r="J106" s="56"/>
      <c r="K106" s="56"/>
      <c r="L106" s="56"/>
    </row>
    <row r="107" s="1" customFormat="1" spans="2:12">
      <c r="B107" s="32" t="s">
        <v>2578</v>
      </c>
      <c r="C107" s="32" t="s">
        <v>275</v>
      </c>
      <c r="D107" s="10" t="s">
        <v>2579</v>
      </c>
      <c r="E107" s="54"/>
      <c r="F107" s="39"/>
      <c r="G107" s="39"/>
      <c r="H107" s="55"/>
      <c r="I107" s="56"/>
      <c r="J107" s="56"/>
      <c r="K107" s="56"/>
      <c r="L107" s="56"/>
    </row>
    <row r="108" s="1" customFormat="1" spans="2:12">
      <c r="B108" s="32" t="s">
        <v>2580</v>
      </c>
      <c r="C108" s="32" t="s">
        <v>275</v>
      </c>
      <c r="D108" s="10" t="s">
        <v>2581</v>
      </c>
      <c r="E108" s="54"/>
      <c r="F108" s="39"/>
      <c r="G108" s="39"/>
      <c r="H108" s="55"/>
      <c r="I108" s="56"/>
      <c r="J108" s="56"/>
      <c r="K108" s="56"/>
      <c r="L108" s="56"/>
    </row>
    <row r="109" s="1" customFormat="1" spans="2:12">
      <c r="B109" s="32" t="s">
        <v>2468</v>
      </c>
      <c r="C109" s="32" t="s">
        <v>275</v>
      </c>
      <c r="D109" s="10" t="s">
        <v>1807</v>
      </c>
      <c r="E109" s="54"/>
      <c r="F109" s="39"/>
      <c r="G109" s="39"/>
      <c r="H109" s="55"/>
      <c r="I109" s="56"/>
      <c r="J109" s="56"/>
      <c r="K109" s="56"/>
      <c r="L109" s="56"/>
    </row>
    <row r="110" s="1" customFormat="1" spans="2:12">
      <c r="B110" s="32" t="s">
        <v>1832</v>
      </c>
      <c r="C110" s="32" t="s">
        <v>220</v>
      </c>
      <c r="D110" s="10" t="s">
        <v>2017</v>
      </c>
      <c r="E110" s="54"/>
      <c r="F110" s="39"/>
      <c r="G110" s="39"/>
      <c r="H110" s="55"/>
      <c r="I110" s="56"/>
      <c r="J110" s="56"/>
      <c r="K110" s="56"/>
      <c r="L110" s="56"/>
    </row>
    <row r="111" s="1" customFormat="1" spans="2:12">
      <c r="B111" s="32" t="s">
        <v>1834</v>
      </c>
      <c r="C111" s="32" t="s">
        <v>220</v>
      </c>
      <c r="D111" s="10" t="s">
        <v>1835</v>
      </c>
      <c r="E111" s="54"/>
      <c r="F111" s="39"/>
      <c r="G111" s="39"/>
      <c r="H111" s="55"/>
      <c r="I111" s="56"/>
      <c r="J111" s="56"/>
      <c r="K111" s="56"/>
      <c r="L111" s="56"/>
    </row>
    <row r="112" s="1" customFormat="1" spans="2:12">
      <c r="B112" s="32" t="s">
        <v>1810</v>
      </c>
      <c r="C112" s="32" t="s">
        <v>216</v>
      </c>
      <c r="D112" s="10" t="s">
        <v>1810</v>
      </c>
      <c r="E112" s="54"/>
      <c r="F112" s="39"/>
      <c r="G112" s="39"/>
      <c r="H112" s="55"/>
      <c r="I112" s="56"/>
      <c r="J112" s="56"/>
      <c r="K112" s="56"/>
      <c r="L112" s="56"/>
    </row>
    <row r="113" s="1" customFormat="1" spans="2:12">
      <c r="B113" s="32" t="s">
        <v>1811</v>
      </c>
      <c r="C113" s="32" t="s">
        <v>216</v>
      </c>
      <c r="D113" s="10" t="s">
        <v>1811</v>
      </c>
      <c r="E113" s="54"/>
      <c r="F113" s="39"/>
      <c r="G113" s="39"/>
      <c r="H113" s="55"/>
      <c r="I113" s="56"/>
      <c r="J113" s="56"/>
      <c r="K113" s="56"/>
      <c r="L113" s="56"/>
    </row>
    <row r="114" s="1" customFormat="1" spans="2:12">
      <c r="B114" s="32" t="s">
        <v>1069</v>
      </c>
      <c r="C114" s="32" t="s">
        <v>216</v>
      </c>
      <c r="D114" s="10" t="s">
        <v>2582</v>
      </c>
      <c r="E114" s="54"/>
      <c r="F114" s="39"/>
      <c r="G114" s="39"/>
      <c r="H114" s="55"/>
      <c r="I114" s="56"/>
      <c r="J114" s="56"/>
      <c r="K114" s="56"/>
      <c r="L114" s="56"/>
    </row>
    <row r="115" s="1" customFormat="1" spans="2:12">
      <c r="B115" s="32" t="s">
        <v>1053</v>
      </c>
      <c r="C115" s="32" t="s">
        <v>216</v>
      </c>
      <c r="D115" s="10" t="s">
        <v>1053</v>
      </c>
      <c r="E115" s="54"/>
      <c r="F115" s="39"/>
      <c r="G115" s="39"/>
      <c r="H115" s="55"/>
      <c r="I115" s="56"/>
      <c r="J115" s="56"/>
      <c r="K115" s="56"/>
      <c r="L115" s="56"/>
    </row>
    <row r="116" s="1" customFormat="1" spans="2:12">
      <c r="B116" s="32" t="s">
        <v>1289</v>
      </c>
      <c r="C116" s="32" t="s">
        <v>216</v>
      </c>
      <c r="D116" s="10" t="s">
        <v>1290</v>
      </c>
      <c r="E116" s="54"/>
      <c r="F116" s="39"/>
      <c r="G116" s="39"/>
      <c r="H116" s="55"/>
      <c r="I116" s="56"/>
      <c r="J116" s="56"/>
      <c r="K116" s="56"/>
      <c r="L116" s="56"/>
    </row>
    <row r="117" s="36" customFormat="1" spans="1:12">
      <c r="A117" s="41"/>
      <c r="B117" s="29" t="s">
        <v>1814</v>
      </c>
      <c r="C117" s="29" t="s">
        <v>275</v>
      </c>
      <c r="D117" s="29" t="s">
        <v>1815</v>
      </c>
      <c r="E117" s="29"/>
      <c r="F117" s="29"/>
      <c r="G117" s="29" t="s">
        <v>1816</v>
      </c>
      <c r="H117" s="29"/>
      <c r="I117" s="29" t="s">
        <v>1211</v>
      </c>
      <c r="J117" s="29" t="s">
        <v>345</v>
      </c>
      <c r="K117" s="29" t="s">
        <v>323</v>
      </c>
      <c r="L117" s="29" t="s">
        <v>339</v>
      </c>
    </row>
    <row r="118" s="36" customFormat="1" spans="1:12">
      <c r="A118" s="41"/>
      <c r="B118" s="29" t="s">
        <v>1817</v>
      </c>
      <c r="C118" s="29" t="s">
        <v>216</v>
      </c>
      <c r="D118" s="29" t="s">
        <v>1818</v>
      </c>
      <c r="E118" s="29"/>
      <c r="F118" s="29"/>
      <c r="G118" s="29" t="s">
        <v>2469</v>
      </c>
      <c r="H118" s="29"/>
      <c r="I118" s="29" t="s">
        <v>1211</v>
      </c>
      <c r="J118" s="29" t="s">
        <v>345</v>
      </c>
      <c r="K118" s="29" t="s">
        <v>323</v>
      </c>
      <c r="L118" s="29" t="s">
        <v>323</v>
      </c>
    </row>
    <row r="119" s="36" customFormat="1" spans="1:12">
      <c r="A119" s="41"/>
      <c r="B119" s="29" t="s">
        <v>1820</v>
      </c>
      <c r="C119" s="29" t="s">
        <v>216</v>
      </c>
      <c r="D119" s="29" t="s">
        <v>1821</v>
      </c>
      <c r="E119" s="29"/>
      <c r="F119" s="29"/>
      <c r="G119" s="29" t="s">
        <v>2470</v>
      </c>
      <c r="H119" s="29"/>
      <c r="I119" s="29" t="s">
        <v>1211</v>
      </c>
      <c r="J119" s="29" t="s">
        <v>345</v>
      </c>
      <c r="K119" s="29" t="s">
        <v>323</v>
      </c>
      <c r="L119" s="29" t="s">
        <v>323</v>
      </c>
    </row>
    <row r="120" s="37" customFormat="1" spans="1:12">
      <c r="A120" s="42"/>
      <c r="B120" s="43" t="s">
        <v>252</v>
      </c>
      <c r="C120" s="43" t="s">
        <v>220</v>
      </c>
      <c r="D120" s="44" t="s">
        <v>254</v>
      </c>
      <c r="E120" s="45"/>
      <c r="F120" s="46"/>
      <c r="G120" s="46"/>
      <c r="H120" s="47"/>
      <c r="I120" s="48"/>
      <c r="J120" s="49"/>
      <c r="K120" s="49"/>
      <c r="L120" s="49"/>
    </row>
    <row r="121" s="37" customFormat="1" spans="1:12">
      <c r="A121" s="42"/>
      <c r="B121" s="43" t="s">
        <v>255</v>
      </c>
      <c r="C121" s="43" t="s">
        <v>216</v>
      </c>
      <c r="D121" s="44" t="s">
        <v>256</v>
      </c>
      <c r="E121" s="45"/>
      <c r="F121" s="46"/>
      <c r="G121" s="46"/>
      <c r="H121" s="47"/>
      <c r="I121" s="48"/>
      <c r="J121" s="49"/>
      <c r="K121" s="49"/>
      <c r="L121" s="49"/>
    </row>
    <row r="122" s="37" customFormat="1" spans="1:12">
      <c r="A122" s="42"/>
      <c r="B122" s="43" t="s">
        <v>257</v>
      </c>
      <c r="C122" s="43" t="s">
        <v>220</v>
      </c>
      <c r="D122" s="44" t="s">
        <v>258</v>
      </c>
      <c r="E122" s="45"/>
      <c r="F122" s="46"/>
      <c r="G122" s="46"/>
      <c r="H122" s="47"/>
      <c r="I122" s="48"/>
      <c r="J122" s="49"/>
      <c r="K122" s="49"/>
      <c r="L122" s="49"/>
    </row>
  </sheetData>
  <autoFilter xmlns:etc="http://www.wps.cn/officeDocument/2017/etCustomData" ref="A15:N122"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zoomScale="85" zoomScaleNormal="85" workbookViewId="0">
      <pane ySplit="5" topLeftCell="A7" activePane="bottomLeft" state="frozen"/>
      <selection/>
      <selection pane="bottomLeft" activeCell="N16" sqref="N1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92</v>
      </c>
      <c r="D5" s="10" t="s">
        <v>93</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88</v>
      </c>
      <c r="D9" s="35" t="s">
        <v>89</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c r="J16" s="23" t="s">
        <v>322</v>
      </c>
      <c r="K16" s="23" t="s">
        <v>323</v>
      </c>
      <c r="L16" s="23" t="s">
        <v>323</v>
      </c>
      <c r="M16" s="1" t="str">
        <f>_xlfn.CONCAT(F16," as ",B16)</f>
        <v>p_date as day</v>
      </c>
      <c r="N16" s="16" t="str">
        <f>_xlfn.CONCAT("`",B16,"` ",C16,",")</f>
        <v>`day` string,</v>
      </c>
    </row>
    <row r="17" s="1" customFormat="1" spans="2:14">
      <c r="B17" s="19" t="s">
        <v>1026</v>
      </c>
      <c r="C17" s="19" t="s">
        <v>220</v>
      </c>
      <c r="D17" s="10" t="s">
        <v>66</v>
      </c>
      <c r="E17" s="20" t="s">
        <v>199</v>
      </c>
      <c r="F17" s="19" t="s">
        <v>257</v>
      </c>
      <c r="G17" s="19" t="s">
        <v>218</v>
      </c>
      <c r="H17" s="20"/>
      <c r="I17" s="23"/>
      <c r="J17" s="23" t="s">
        <v>322</v>
      </c>
      <c r="K17" s="23" t="s">
        <v>323</v>
      </c>
      <c r="L17" s="23" t="s">
        <v>323</v>
      </c>
      <c r="M17" s="1" t="str">
        <f t="shared" ref="M17:M34" si="0">_xlfn.CONCAT(F17," as ",B17)</f>
        <v>p_hour as hour</v>
      </c>
      <c r="N17" s="16" t="str">
        <f t="shared" ref="N17:N34" si="1">_xlfn.CONCAT("`",B17,"` ",C17,",")</f>
        <v>`hour` int,</v>
      </c>
    </row>
    <row r="18" s="1" customFormat="1" spans="2:14">
      <c r="B18" s="19" t="s">
        <v>1830</v>
      </c>
      <c r="C18" s="19" t="s">
        <v>220</v>
      </c>
      <c r="D18" s="10" t="s">
        <v>1831</v>
      </c>
      <c r="E18" s="20" t="s">
        <v>199</v>
      </c>
      <c r="F18" s="19" t="s">
        <v>252</v>
      </c>
      <c r="G18" s="19" t="s">
        <v>218</v>
      </c>
      <c r="H18" s="20"/>
      <c r="I18" s="23"/>
      <c r="J18" s="23" t="s">
        <v>322</v>
      </c>
      <c r="K18" s="23" t="s">
        <v>323</v>
      </c>
      <c r="L18" s="23" t="s">
        <v>323</v>
      </c>
      <c r="M18" s="1" t="str">
        <f t="shared" si="0"/>
        <v>p_provincecode as provincecode</v>
      </c>
      <c r="N18" s="16" t="str">
        <f t="shared" si="1"/>
        <v>`provincecode` int,</v>
      </c>
    </row>
    <row r="19" s="1" customFormat="1" spans="2:14">
      <c r="B19" s="19" t="s">
        <v>1832</v>
      </c>
      <c r="C19" s="19" t="s">
        <v>220</v>
      </c>
      <c r="D19" s="10" t="s">
        <v>1833</v>
      </c>
      <c r="E19" s="20" t="s">
        <v>199</v>
      </c>
      <c r="F19" s="19" t="s">
        <v>1832</v>
      </c>
      <c r="G19" s="19" t="s">
        <v>218</v>
      </c>
      <c r="H19" s="20"/>
      <c r="I19" s="23"/>
      <c r="J19" s="23" t="s">
        <v>322</v>
      </c>
      <c r="K19" s="23" t="s">
        <v>323</v>
      </c>
      <c r="L19" s="23" t="s">
        <v>323</v>
      </c>
      <c r="M19" s="1" t="str">
        <f t="shared" si="0"/>
        <v>citycode as citycode</v>
      </c>
      <c r="N19" s="16" t="str">
        <f t="shared" si="1"/>
        <v>`citycode` int,</v>
      </c>
    </row>
    <row r="20" s="1" customFormat="1" spans="2:14">
      <c r="B20" s="19" t="s">
        <v>1834</v>
      </c>
      <c r="C20" s="19" t="s">
        <v>220</v>
      </c>
      <c r="D20" s="10" t="s">
        <v>1835</v>
      </c>
      <c r="E20" s="20" t="s">
        <v>199</v>
      </c>
      <c r="F20" s="19" t="s">
        <v>1834</v>
      </c>
      <c r="G20" s="19" t="s">
        <v>218</v>
      </c>
      <c r="H20" s="20"/>
      <c r="I20" s="23"/>
      <c r="J20" s="23" t="s">
        <v>322</v>
      </c>
      <c r="K20" s="23" t="s">
        <v>323</v>
      </c>
      <c r="L20" s="23" t="s">
        <v>323</v>
      </c>
      <c r="M20" s="1" t="str">
        <f t="shared" si="0"/>
        <v>districtcode as districtcode</v>
      </c>
      <c r="N20" s="16" t="str">
        <f t="shared" si="1"/>
        <v>`districtcode` int,</v>
      </c>
    </row>
    <row r="21" s="1" customFormat="1" spans="2:14">
      <c r="B21" s="19" t="s">
        <v>1836</v>
      </c>
      <c r="C21" s="19" t="s">
        <v>216</v>
      </c>
      <c r="D21" s="10" t="s">
        <v>1837</v>
      </c>
      <c r="E21" s="20" t="s">
        <v>199</v>
      </c>
      <c r="F21" s="19" t="s">
        <v>1836</v>
      </c>
      <c r="G21" s="19" t="s">
        <v>218</v>
      </c>
      <c r="H21" s="20"/>
      <c r="I21" s="23"/>
      <c r="J21" s="23" t="s">
        <v>322</v>
      </c>
      <c r="K21" s="23" t="s">
        <v>323</v>
      </c>
      <c r="L21" s="23" t="s">
        <v>323</v>
      </c>
      <c r="M21" s="1" t="str">
        <f t="shared" si="0"/>
        <v>cellkey as cellkey</v>
      </c>
      <c r="N21" s="16" t="str">
        <f t="shared" si="1"/>
        <v>`cellkey` string,</v>
      </c>
    </row>
    <row r="22" s="1" customFormat="1" spans="2:14">
      <c r="B22" s="19" t="s">
        <v>224</v>
      </c>
      <c r="C22" s="19" t="s">
        <v>216</v>
      </c>
      <c r="D22" s="10" t="s">
        <v>292</v>
      </c>
      <c r="E22" s="20" t="s">
        <v>199</v>
      </c>
      <c r="F22" s="19" t="s">
        <v>224</v>
      </c>
      <c r="G22" s="19" t="s">
        <v>218</v>
      </c>
      <c r="H22" s="20"/>
      <c r="I22" s="23"/>
      <c r="J22" s="23" t="s">
        <v>322</v>
      </c>
      <c r="K22" s="23" t="s">
        <v>323</v>
      </c>
      <c r="L22" s="23" t="s">
        <v>323</v>
      </c>
      <c r="M22" s="1" t="str">
        <f t="shared" si="0"/>
        <v>imsi as imsi</v>
      </c>
      <c r="N22" s="16" t="str">
        <f t="shared" si="1"/>
        <v>`imsi` string,</v>
      </c>
    </row>
    <row r="23" s="1" customFormat="1" spans="2:14">
      <c r="B23" s="19" t="s">
        <v>267</v>
      </c>
      <c r="C23" s="19" t="s">
        <v>216</v>
      </c>
      <c r="D23" s="10" t="s">
        <v>294</v>
      </c>
      <c r="E23" s="20" t="s">
        <v>199</v>
      </c>
      <c r="F23" s="19" t="s">
        <v>267</v>
      </c>
      <c r="G23" s="19" t="s">
        <v>218</v>
      </c>
      <c r="H23" s="20"/>
      <c r="I23" s="23"/>
      <c r="J23" s="23" t="s">
        <v>322</v>
      </c>
      <c r="K23" s="23" t="s">
        <v>323</v>
      </c>
      <c r="L23" s="23" t="s">
        <v>323</v>
      </c>
      <c r="M23" s="1" t="str">
        <f t="shared" si="0"/>
        <v>msisdn as msisdn</v>
      </c>
      <c r="N23" s="16" t="str">
        <f t="shared" si="1"/>
        <v>`msisdn` string,</v>
      </c>
    </row>
    <row r="24" s="1" customFormat="1" spans="2:14">
      <c r="B24" s="19" t="s">
        <v>1053</v>
      </c>
      <c r="C24" s="19" t="s">
        <v>216</v>
      </c>
      <c r="D24" s="10" t="s">
        <v>1839</v>
      </c>
      <c r="E24" s="20" t="s">
        <v>199</v>
      </c>
      <c r="F24" s="19" t="s">
        <v>1053</v>
      </c>
      <c r="G24" s="19" t="s">
        <v>218</v>
      </c>
      <c r="H24" s="20"/>
      <c r="I24" s="23"/>
      <c r="J24" s="23" t="s">
        <v>322</v>
      </c>
      <c r="K24" s="23" t="s">
        <v>323</v>
      </c>
      <c r="L24" s="23" t="s">
        <v>323</v>
      </c>
      <c r="M24" s="1" t="str">
        <f t="shared" si="0"/>
        <v>imei as imei</v>
      </c>
      <c r="N24" s="16" t="str">
        <f t="shared" si="1"/>
        <v>`imei` string,</v>
      </c>
    </row>
    <row r="25" s="1" customFormat="1" spans="2:14">
      <c r="B25" s="19" t="s">
        <v>1313</v>
      </c>
      <c r="C25" s="19" t="s">
        <v>216</v>
      </c>
      <c r="D25" s="10" t="s">
        <v>1314</v>
      </c>
      <c r="E25" s="20" t="s">
        <v>199</v>
      </c>
      <c r="F25" s="19" t="s">
        <v>1313</v>
      </c>
      <c r="G25" s="19" t="s">
        <v>218</v>
      </c>
      <c r="H25" s="20"/>
      <c r="I25" s="23"/>
      <c r="J25" s="23" t="s">
        <v>322</v>
      </c>
      <c r="K25" s="23" t="s">
        <v>323</v>
      </c>
      <c r="L25" s="23" t="s">
        <v>323</v>
      </c>
      <c r="M25" s="1" t="str">
        <f t="shared" si="0"/>
        <v>servicetype as servicetype</v>
      </c>
      <c r="N25" s="16" t="str">
        <f t="shared" si="1"/>
        <v>`servicetype` string,</v>
      </c>
    </row>
    <row r="26" s="1" customFormat="1" spans="2:14">
      <c r="B26" s="19" t="s">
        <v>1840</v>
      </c>
      <c r="C26" s="19" t="s">
        <v>216</v>
      </c>
      <c r="D26" s="10" t="s">
        <v>1841</v>
      </c>
      <c r="E26" s="20" t="s">
        <v>199</v>
      </c>
      <c r="F26" s="19" t="s">
        <v>1842</v>
      </c>
      <c r="G26" s="19" t="s">
        <v>1842</v>
      </c>
      <c r="H26" s="20"/>
      <c r="I26" s="23"/>
      <c r="J26" s="23" t="s">
        <v>322</v>
      </c>
      <c r="K26" s="23" t="s">
        <v>323</v>
      </c>
      <c r="L26" s="23" t="s">
        <v>323</v>
      </c>
      <c r="M26" s="1" t="str">
        <f t="shared" si="0"/>
        <v>substr(servicetype,1,2) as app_type</v>
      </c>
      <c r="N26" s="16" t="str">
        <f t="shared" si="1"/>
        <v>`app_type` string,</v>
      </c>
    </row>
    <row r="27" s="1" customFormat="1" spans="2:14">
      <c r="B27" s="19" t="s">
        <v>1843</v>
      </c>
      <c r="C27" s="19" t="s">
        <v>216</v>
      </c>
      <c r="D27" s="10" t="s">
        <v>1844</v>
      </c>
      <c r="E27" s="20" t="s">
        <v>202</v>
      </c>
      <c r="F27" s="19" t="s">
        <v>1845</v>
      </c>
      <c r="G27" s="19" t="s">
        <v>218</v>
      </c>
      <c r="H27" s="20"/>
      <c r="I27" s="23"/>
      <c r="J27" s="23" t="s">
        <v>322</v>
      </c>
      <c r="K27" s="23" t="s">
        <v>323</v>
      </c>
      <c r="L27" s="23" t="s">
        <v>323</v>
      </c>
      <c r="M27" s="1" t="str">
        <f t="shared" si="0"/>
        <v>servicetype_name as app_name</v>
      </c>
      <c r="N27" s="16" t="str">
        <f t="shared" si="1"/>
        <v>`app_name` string,</v>
      </c>
    </row>
    <row r="28" s="1" customFormat="1" spans="2:14">
      <c r="B28" s="19" t="s">
        <v>1817</v>
      </c>
      <c r="C28" s="19" t="s">
        <v>216</v>
      </c>
      <c r="D28" s="10" t="s">
        <v>1818</v>
      </c>
      <c r="E28" s="20" t="s">
        <v>199</v>
      </c>
      <c r="F28" s="19" t="s">
        <v>1846</v>
      </c>
      <c r="G28" s="19" t="s">
        <v>1846</v>
      </c>
      <c r="H28" s="20"/>
      <c r="I28" s="23"/>
      <c r="J28" s="23" t="s">
        <v>345</v>
      </c>
      <c r="K28" s="23" t="s">
        <v>323</v>
      </c>
      <c r="L28" s="23" t="s">
        <v>323</v>
      </c>
      <c r="M28" s="1" t="str">
        <f t="shared" si="0"/>
        <v>min(min_starttime) as min_starttime</v>
      </c>
      <c r="N28" s="16" t="str">
        <f t="shared" si="1"/>
        <v>`min_starttime` string,</v>
      </c>
    </row>
    <row r="29" s="1" customFormat="1" spans="2:14">
      <c r="B29" s="19" t="s">
        <v>1820</v>
      </c>
      <c r="C29" s="19" t="s">
        <v>216</v>
      </c>
      <c r="D29" s="10" t="s">
        <v>1821</v>
      </c>
      <c r="E29" s="20" t="s">
        <v>199</v>
      </c>
      <c r="F29" s="19" t="s">
        <v>1847</v>
      </c>
      <c r="G29" s="19" t="s">
        <v>1847</v>
      </c>
      <c r="H29" s="20"/>
      <c r="I29" s="23"/>
      <c r="J29" s="23" t="s">
        <v>345</v>
      </c>
      <c r="K29" s="23" t="s">
        <v>323</v>
      </c>
      <c r="L29" s="23" t="s">
        <v>323</v>
      </c>
      <c r="M29" s="1" t="str">
        <f t="shared" si="0"/>
        <v>max(max_endtime) as max_endtime</v>
      </c>
      <c r="N29" s="16" t="str">
        <f t="shared" si="1"/>
        <v>`max_endtime` string,</v>
      </c>
    </row>
    <row r="30" s="1" customFormat="1" spans="2:14">
      <c r="B30" s="19" t="s">
        <v>1848</v>
      </c>
      <c r="C30" s="19" t="s">
        <v>275</v>
      </c>
      <c r="D30" s="10" t="s">
        <v>1849</v>
      </c>
      <c r="E30" s="20" t="s">
        <v>199</v>
      </c>
      <c r="F30" s="19" t="s">
        <v>2583</v>
      </c>
      <c r="G30" s="19" t="s">
        <v>2583</v>
      </c>
      <c r="H30" s="20"/>
      <c r="I30" s="23"/>
      <c r="J30" s="23" t="s">
        <v>345</v>
      </c>
      <c r="K30" s="23" t="s">
        <v>323</v>
      </c>
      <c r="L30" s="23" t="s">
        <v>339</v>
      </c>
      <c r="M30" s="1" t="str">
        <f t="shared" si="0"/>
        <v>sum(process_num) as total_cnt</v>
      </c>
      <c r="N30" s="16" t="str">
        <f t="shared" si="1"/>
        <v>`total_cnt` bigint,</v>
      </c>
    </row>
    <row r="31" s="1" customFormat="1" spans="2:14">
      <c r="B31" s="19" t="s">
        <v>1814</v>
      </c>
      <c r="C31" s="19" t="s">
        <v>275</v>
      </c>
      <c r="D31" s="10" t="s">
        <v>1851</v>
      </c>
      <c r="E31" s="20" t="s">
        <v>199</v>
      </c>
      <c r="F31" s="19" t="s">
        <v>1852</v>
      </c>
      <c r="G31" s="19" t="s">
        <v>1852</v>
      </c>
      <c r="H31" s="20"/>
      <c r="I31" s="23"/>
      <c r="J31" s="23" t="s">
        <v>345</v>
      </c>
      <c r="K31" s="23" t="s">
        <v>323</v>
      </c>
      <c r="L31" s="23" t="s">
        <v>339</v>
      </c>
      <c r="M31" s="1" t="str">
        <f t="shared" si="0"/>
        <v>sum(abnormal_cnt) as abnormal_cnt</v>
      </c>
      <c r="N31" s="16" t="str">
        <f t="shared" si="1"/>
        <v>`abnormal_cnt` bigint,</v>
      </c>
    </row>
    <row r="32" s="1" customFormat="1" ht="26.4" spans="2:14">
      <c r="B32" s="19" t="s">
        <v>1853</v>
      </c>
      <c r="C32" s="19" t="s">
        <v>240</v>
      </c>
      <c r="D32" s="10" t="s">
        <v>1854</v>
      </c>
      <c r="E32" s="20" t="s">
        <v>199</v>
      </c>
      <c r="F32" s="19" t="s">
        <v>2584</v>
      </c>
      <c r="G32" s="19" t="s">
        <v>2584</v>
      </c>
      <c r="H32" s="20"/>
      <c r="I32" s="23"/>
      <c r="J32" s="23" t="s">
        <v>345</v>
      </c>
      <c r="K32" s="23" t="s">
        <v>323</v>
      </c>
      <c r="L32" s="23" t="s">
        <v>1856</v>
      </c>
      <c r="M32" s="1" t="str">
        <f t="shared" si="0"/>
        <v>sum(abnormal_cnt)/sum(process_num) as abnormal_rate</v>
      </c>
      <c r="N32" s="16" t="str">
        <f t="shared" si="1"/>
        <v>`abnormal_rate` double,</v>
      </c>
    </row>
    <row r="33" s="1" customFormat="1" spans="2:14">
      <c r="B33" s="19" t="s">
        <v>1170</v>
      </c>
      <c r="C33" s="19" t="s">
        <v>275</v>
      </c>
      <c r="D33" s="10" t="s">
        <v>1857</v>
      </c>
      <c r="E33" s="20" t="s">
        <v>199</v>
      </c>
      <c r="F33" s="19" t="s">
        <v>1858</v>
      </c>
      <c r="G33" s="19" t="s">
        <v>1858</v>
      </c>
      <c r="H33" s="20"/>
      <c r="I33" s="23"/>
      <c r="J33" s="23" t="s">
        <v>345</v>
      </c>
      <c r="K33" s="23" t="s">
        <v>1859</v>
      </c>
      <c r="L33" s="23" t="s">
        <v>339</v>
      </c>
      <c r="M33" s="1" t="str">
        <f t="shared" si="0"/>
        <v>sum(duration_sum) as duration</v>
      </c>
      <c r="N33" s="16" t="str">
        <f t="shared" si="1"/>
        <v>`duration` bigint,</v>
      </c>
    </row>
    <row r="34" s="1" customFormat="1" ht="26.4" spans="2:14">
      <c r="B34" s="19" t="s">
        <v>1860</v>
      </c>
      <c r="C34" s="19" t="s">
        <v>275</v>
      </c>
      <c r="D34" s="10" t="s">
        <v>1861</v>
      </c>
      <c r="E34" s="20" t="s">
        <v>199</v>
      </c>
      <c r="F34" s="19" t="s">
        <v>1862</v>
      </c>
      <c r="G34" s="19" t="s">
        <v>1862</v>
      </c>
      <c r="H34" s="20"/>
      <c r="I34" s="23"/>
      <c r="J34" s="23" t="s">
        <v>345</v>
      </c>
      <c r="K34" s="23" t="s">
        <v>1863</v>
      </c>
      <c r="L34" s="23" t="s">
        <v>339</v>
      </c>
      <c r="M34" s="1" t="str">
        <f t="shared" si="0"/>
        <v>sum(outputoctets_sum+inputoctets_sum) as flux</v>
      </c>
      <c r="N34" s="16" t="str">
        <f t="shared" si="1"/>
        <v>`flux` bigint,</v>
      </c>
    </row>
    <row r="35" s="2" customFormat="1" spans="1:12">
      <c r="A35" s="21"/>
      <c r="B35" s="22" t="s">
        <v>252</v>
      </c>
      <c r="C35" s="22" t="s">
        <v>220</v>
      </c>
      <c r="D35" s="22" t="s">
        <v>254</v>
      </c>
      <c r="E35" s="22"/>
      <c r="F35" s="22"/>
      <c r="G35" s="22"/>
      <c r="H35" s="22"/>
      <c r="I35" s="22"/>
      <c r="J35" s="22"/>
      <c r="K35" s="22"/>
      <c r="L35" s="22"/>
    </row>
    <row r="36" s="2" customFormat="1" spans="1:12">
      <c r="A36" s="21"/>
      <c r="B36" s="22" t="s">
        <v>255</v>
      </c>
      <c r="C36" s="22" t="s">
        <v>216</v>
      </c>
      <c r="D36" s="22" t="s">
        <v>256</v>
      </c>
      <c r="E36" s="22"/>
      <c r="F36" s="22"/>
      <c r="G36" s="22"/>
      <c r="H36" s="22"/>
      <c r="I36" s="22"/>
      <c r="J36" s="22"/>
      <c r="K36" s="22"/>
      <c r="L36" s="22"/>
    </row>
    <row r="37" s="2" customFormat="1" spans="1:12">
      <c r="A37" s="21"/>
      <c r="B37" s="22" t="s">
        <v>257</v>
      </c>
      <c r="C37" s="22" t="s">
        <v>220</v>
      </c>
      <c r="D37" s="22" t="s">
        <v>258</v>
      </c>
      <c r="E37" s="22"/>
      <c r="F37" s="22"/>
      <c r="G37" s="22"/>
      <c r="H37" s="22"/>
      <c r="I37" s="22"/>
      <c r="J37" s="22"/>
      <c r="K37" s="22"/>
      <c r="L37" s="22"/>
    </row>
  </sheetData>
  <autoFilter xmlns:etc="http://www.wps.cn/officeDocument/2017/etCustomData" ref="A15:N37"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0"/>
  <sheetViews>
    <sheetView zoomScale="85" zoomScaleNormal="85" workbookViewId="0">
      <pane ySplit="5" topLeftCell="A109" activePane="bottomLeft" state="frozen"/>
      <selection/>
      <selection pane="bottomLeft" activeCell="F129" sqref="F129:F13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0.2222222222222" style="3" customWidth="1"/>
    <col min="10" max="10" width="7.88888888888889"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94</v>
      </c>
      <c r="D5" s="35" t="s">
        <v>96</v>
      </c>
      <c r="E5" s="11" t="s">
        <v>1026</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2585</v>
      </c>
      <c r="D9" s="35" t="s">
        <v>2586</v>
      </c>
      <c r="E9" s="11" t="s">
        <v>199</v>
      </c>
      <c r="F9" s="11"/>
      <c r="G9" s="13"/>
      <c r="H9" s="15"/>
    </row>
    <row r="10" spans="2:8">
      <c r="B10" s="11"/>
      <c r="C10" s="10" t="s">
        <v>1029</v>
      </c>
      <c r="D10" s="10" t="s">
        <v>1030</v>
      </c>
      <c r="E10" s="11" t="s">
        <v>202</v>
      </c>
      <c r="F10" s="11"/>
      <c r="G10" s="52" t="s">
        <v>1031</v>
      </c>
      <c r="H10" s="15"/>
    </row>
    <row r="11" spans="2:8">
      <c r="B11" s="11"/>
      <c r="C11" s="10" t="s">
        <v>1032</v>
      </c>
      <c r="D11" s="10" t="s">
        <v>1033</v>
      </c>
      <c r="E11" s="11" t="s">
        <v>1034</v>
      </c>
      <c r="F11" s="38"/>
      <c r="G11" s="53"/>
      <c r="H11" s="11"/>
    </row>
    <row r="12" spans="7:7">
      <c r="G12" s="17"/>
    </row>
    <row r="13" spans="2:2">
      <c r="B13" s="3" t="s">
        <v>204</v>
      </c>
    </row>
    <row r="14" spans="2:12">
      <c r="B14" s="7" t="s">
        <v>204</v>
      </c>
      <c r="C14" s="7"/>
      <c r="D14" s="7"/>
      <c r="E14" s="7"/>
      <c r="F14" s="7"/>
      <c r="G14" s="7"/>
      <c r="H14" s="7"/>
      <c r="I14" s="7"/>
      <c r="J14" s="7"/>
      <c r="K14" s="7"/>
      <c r="L14" s="7"/>
    </row>
    <row r="15"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1302</v>
      </c>
      <c r="C16" s="32" t="s">
        <v>220</v>
      </c>
      <c r="D16" s="10" t="s">
        <v>2587</v>
      </c>
      <c r="E16" s="54"/>
      <c r="F16" s="39"/>
      <c r="G16" s="39"/>
      <c r="H16" s="55"/>
      <c r="I16" s="56"/>
      <c r="J16" s="56"/>
      <c r="K16" s="56"/>
      <c r="L16" s="56"/>
    </row>
    <row r="17" s="1" customFormat="1" spans="2:12">
      <c r="B17" s="32" t="s">
        <v>2588</v>
      </c>
      <c r="C17" s="32" t="s">
        <v>216</v>
      </c>
      <c r="D17" s="10" t="s">
        <v>2569</v>
      </c>
      <c r="E17" s="54"/>
      <c r="F17" s="39"/>
      <c r="G17" s="39"/>
      <c r="H17" s="55"/>
      <c r="I17" s="56"/>
      <c r="J17" s="56"/>
      <c r="K17" s="56"/>
      <c r="L17" s="56"/>
    </row>
    <row r="18" s="1" customFormat="1" spans="2:12">
      <c r="B18" s="32" t="s">
        <v>267</v>
      </c>
      <c r="C18" s="32" t="s">
        <v>216</v>
      </c>
      <c r="D18" s="10" t="s">
        <v>294</v>
      </c>
      <c r="E18" s="54"/>
      <c r="F18" s="39"/>
      <c r="G18" s="39"/>
      <c r="H18" s="55"/>
      <c r="I18" s="56"/>
      <c r="J18" s="56"/>
      <c r="K18" s="56"/>
      <c r="L18" s="56"/>
    </row>
    <row r="19" s="1" customFormat="1" spans="1:12">
      <c r="A19" s="40"/>
      <c r="B19" s="32" t="s">
        <v>2589</v>
      </c>
      <c r="C19" s="32" t="s">
        <v>216</v>
      </c>
      <c r="D19" s="10" t="s">
        <v>2590</v>
      </c>
      <c r="E19" s="54"/>
      <c r="F19" s="39"/>
      <c r="G19" s="39"/>
      <c r="H19" s="55"/>
      <c r="I19" s="80"/>
      <c r="J19" s="56"/>
      <c r="K19" s="56"/>
      <c r="L19" s="56"/>
    </row>
    <row r="20" s="1" customFormat="1" spans="1:12">
      <c r="A20" s="40"/>
      <c r="B20" s="32" t="s">
        <v>2591</v>
      </c>
      <c r="C20" s="32" t="s">
        <v>216</v>
      </c>
      <c r="D20" s="10" t="s">
        <v>2098</v>
      </c>
      <c r="E20" s="54"/>
      <c r="F20" s="39"/>
      <c r="G20" s="39"/>
      <c r="H20" s="55"/>
      <c r="I20" s="80"/>
      <c r="J20" s="56"/>
      <c r="K20" s="56"/>
      <c r="L20" s="56"/>
    </row>
    <row r="21" s="1" customFormat="1" spans="1:12">
      <c r="A21" s="40"/>
      <c r="B21" s="32" t="s">
        <v>1878</v>
      </c>
      <c r="C21" s="32" t="s">
        <v>216</v>
      </c>
      <c r="D21" s="10" t="s">
        <v>2571</v>
      </c>
      <c r="E21" s="54"/>
      <c r="F21" s="39"/>
      <c r="G21" s="39"/>
      <c r="H21" s="55"/>
      <c r="I21" s="80"/>
      <c r="J21" s="56"/>
      <c r="K21" s="56"/>
      <c r="L21" s="56"/>
    </row>
    <row r="22" s="1" customFormat="1" spans="1:12">
      <c r="A22" s="40"/>
      <c r="B22" s="11" t="s">
        <v>2482</v>
      </c>
      <c r="C22" s="11" t="s">
        <v>220</v>
      </c>
      <c r="D22" s="10" t="s">
        <v>2592</v>
      </c>
      <c r="E22" s="54"/>
      <c r="F22" s="10"/>
      <c r="G22" s="39"/>
      <c r="H22" s="55"/>
      <c r="I22" s="80"/>
      <c r="J22" s="56"/>
      <c r="K22" s="56"/>
      <c r="L22" s="56"/>
    </row>
    <row r="23" s="1" customFormat="1" spans="1:12">
      <c r="A23" s="40"/>
      <c r="B23" s="11" t="s">
        <v>1287</v>
      </c>
      <c r="C23" s="11" t="s">
        <v>216</v>
      </c>
      <c r="D23" s="10" t="s">
        <v>1288</v>
      </c>
      <c r="E23" s="54"/>
      <c r="F23" s="10"/>
      <c r="G23" s="39"/>
      <c r="H23" s="55"/>
      <c r="I23" s="80"/>
      <c r="J23" s="56"/>
      <c r="K23" s="56"/>
      <c r="L23" s="56"/>
    </row>
    <row r="24" s="1" customFormat="1" spans="1:12">
      <c r="A24" s="40"/>
      <c r="B24" s="11" t="s">
        <v>2485</v>
      </c>
      <c r="C24" s="11" t="s">
        <v>220</v>
      </c>
      <c r="D24" s="10" t="s">
        <v>2593</v>
      </c>
      <c r="E24" s="54"/>
      <c r="F24" s="10"/>
      <c r="G24" s="39"/>
      <c r="H24" s="55"/>
      <c r="I24" s="80"/>
      <c r="J24" s="56"/>
      <c r="K24" s="56"/>
      <c r="L24" s="56"/>
    </row>
    <row r="25" s="1" customFormat="1" spans="1:12">
      <c r="A25" s="40"/>
      <c r="B25" s="11" t="s">
        <v>2594</v>
      </c>
      <c r="C25" s="11" t="s">
        <v>216</v>
      </c>
      <c r="D25" s="10" t="s">
        <v>2595</v>
      </c>
      <c r="E25" s="54"/>
      <c r="F25" s="10"/>
      <c r="G25" s="39"/>
      <c r="H25" s="55"/>
      <c r="I25" s="80"/>
      <c r="J25" s="56"/>
      <c r="K25" s="56"/>
      <c r="L25" s="56"/>
    </row>
    <row r="26" s="1" customFormat="1" spans="1:12">
      <c r="A26" s="40"/>
      <c r="B26" s="11" t="s">
        <v>2596</v>
      </c>
      <c r="C26" s="11" t="s">
        <v>216</v>
      </c>
      <c r="D26" s="10" t="s">
        <v>2597</v>
      </c>
      <c r="E26" s="54"/>
      <c r="F26" s="10"/>
      <c r="G26" s="39"/>
      <c r="H26" s="55"/>
      <c r="I26" s="80"/>
      <c r="J26" s="56"/>
      <c r="K26" s="56"/>
      <c r="L26" s="56"/>
    </row>
    <row r="27" s="1" customFormat="1" spans="1:12">
      <c r="A27" s="40"/>
      <c r="B27" s="32" t="s">
        <v>1306</v>
      </c>
      <c r="C27" s="32" t="s">
        <v>216</v>
      </c>
      <c r="D27" s="10" t="s">
        <v>1307</v>
      </c>
      <c r="E27" s="54"/>
      <c r="F27" s="39"/>
      <c r="G27" s="39"/>
      <c r="H27" s="55"/>
      <c r="I27" s="80"/>
      <c r="J27" s="56"/>
      <c r="K27" s="56"/>
      <c r="L27" s="56"/>
    </row>
    <row r="28" s="1" customFormat="1" spans="1:12">
      <c r="A28" s="40"/>
      <c r="B28" s="11" t="s">
        <v>1304</v>
      </c>
      <c r="C28" s="11" t="s">
        <v>216</v>
      </c>
      <c r="D28" s="10" t="s">
        <v>1305</v>
      </c>
      <c r="E28" s="54"/>
      <c r="F28" s="39"/>
      <c r="G28" s="13"/>
      <c r="H28" s="55"/>
      <c r="I28" s="80"/>
      <c r="J28" s="56"/>
      <c r="K28" s="56"/>
      <c r="L28" s="56"/>
    </row>
    <row r="29" s="1" customFormat="1" spans="1:12">
      <c r="A29" s="40"/>
      <c r="B29" s="11" t="s">
        <v>302</v>
      </c>
      <c r="C29" s="11" t="s">
        <v>220</v>
      </c>
      <c r="D29" s="10" t="s">
        <v>2598</v>
      </c>
      <c r="E29" s="54"/>
      <c r="F29" s="39"/>
      <c r="G29" s="13"/>
      <c r="H29" s="55"/>
      <c r="I29" s="80"/>
      <c r="J29" s="56"/>
      <c r="K29" s="56"/>
      <c r="L29" s="56"/>
    </row>
    <row r="30" s="1" customFormat="1" spans="1:12">
      <c r="A30" s="40"/>
      <c r="B30" s="11" t="s">
        <v>1889</v>
      </c>
      <c r="C30" s="11" t="s">
        <v>220</v>
      </c>
      <c r="D30" s="10" t="s">
        <v>2599</v>
      </c>
      <c r="E30" s="54"/>
      <c r="F30" s="39"/>
      <c r="G30" s="13"/>
      <c r="H30" s="55"/>
      <c r="I30" s="80"/>
      <c r="J30" s="56"/>
      <c r="K30" s="56"/>
      <c r="L30" s="56"/>
    </row>
    <row r="31" s="1" customFormat="1" spans="1:12">
      <c r="A31" s="40"/>
      <c r="B31" s="11" t="s">
        <v>1313</v>
      </c>
      <c r="C31" s="11" t="s">
        <v>216</v>
      </c>
      <c r="D31" s="10" t="s">
        <v>1893</v>
      </c>
      <c r="E31" s="54"/>
      <c r="F31" s="39"/>
      <c r="G31" s="13"/>
      <c r="H31" s="55"/>
      <c r="I31" s="80"/>
      <c r="J31" s="56"/>
      <c r="K31" s="56"/>
      <c r="L31" s="56"/>
    </row>
    <row r="32" s="1" customFormat="1" spans="1:12">
      <c r="A32" s="40"/>
      <c r="B32" s="32" t="s">
        <v>1897</v>
      </c>
      <c r="C32" s="32" t="s">
        <v>216</v>
      </c>
      <c r="D32" s="10" t="s">
        <v>2600</v>
      </c>
      <c r="E32" s="54"/>
      <c r="F32" s="39"/>
      <c r="G32" s="39"/>
      <c r="H32" s="55"/>
      <c r="I32" s="80"/>
      <c r="J32" s="56"/>
      <c r="K32" s="56"/>
      <c r="L32" s="56"/>
    </row>
    <row r="33" s="1" customFormat="1" spans="2:12">
      <c r="B33" s="32" t="s">
        <v>1899</v>
      </c>
      <c r="C33" s="32" t="s">
        <v>216</v>
      </c>
      <c r="D33" s="10" t="s">
        <v>2601</v>
      </c>
      <c r="E33" s="54"/>
      <c r="F33" s="39"/>
      <c r="G33" s="39"/>
      <c r="H33" s="55"/>
      <c r="I33" s="56"/>
      <c r="J33" s="56"/>
      <c r="K33" s="56"/>
      <c r="L33" s="56"/>
    </row>
    <row r="34" s="1" customFormat="1" spans="2:12">
      <c r="B34" s="32" t="s">
        <v>1170</v>
      </c>
      <c r="C34" s="32" t="s">
        <v>275</v>
      </c>
      <c r="D34" s="10" t="s">
        <v>2602</v>
      </c>
      <c r="E34" s="54"/>
      <c r="F34" s="39"/>
      <c r="G34" s="39"/>
      <c r="H34" s="55"/>
      <c r="I34" s="56"/>
      <c r="J34" s="56"/>
      <c r="K34" s="56"/>
      <c r="L34" s="56"/>
    </row>
    <row r="35" s="40" customFormat="1" spans="2:12">
      <c r="B35" s="32" t="s">
        <v>1902</v>
      </c>
      <c r="C35" s="32" t="s">
        <v>275</v>
      </c>
      <c r="D35" s="10" t="s">
        <v>1903</v>
      </c>
      <c r="E35" s="54"/>
      <c r="F35" s="19"/>
      <c r="G35" s="39"/>
      <c r="H35" s="55"/>
      <c r="I35" s="80"/>
      <c r="J35" s="56"/>
      <c r="K35" s="56"/>
      <c r="L35" s="56"/>
    </row>
    <row r="36" s="40" customFormat="1" spans="2:12">
      <c r="B36" s="32" t="s">
        <v>1904</v>
      </c>
      <c r="C36" s="32" t="s">
        <v>275</v>
      </c>
      <c r="D36" s="10" t="s">
        <v>1905</v>
      </c>
      <c r="E36" s="54"/>
      <c r="F36" s="19"/>
      <c r="G36" s="39"/>
      <c r="H36" s="55"/>
      <c r="I36" s="80"/>
      <c r="J36" s="56"/>
      <c r="K36" s="56"/>
      <c r="L36" s="56"/>
    </row>
    <row r="37" s="70" customFormat="1" spans="1:12">
      <c r="A37" s="75"/>
      <c r="B37" s="78" t="s">
        <v>1906</v>
      </c>
      <c r="C37" s="78" t="s">
        <v>275</v>
      </c>
      <c r="D37" s="10" t="s">
        <v>1330</v>
      </c>
      <c r="E37" s="54"/>
      <c r="F37" s="39"/>
      <c r="G37" s="39"/>
      <c r="H37" s="55"/>
      <c r="I37" s="81"/>
      <c r="J37" s="56"/>
      <c r="K37" s="56"/>
      <c r="L37" s="56"/>
    </row>
    <row r="38" s="1" customFormat="1" spans="1:12">
      <c r="A38" s="40"/>
      <c r="B38" s="11" t="s">
        <v>1907</v>
      </c>
      <c r="C38" s="11" t="s">
        <v>275</v>
      </c>
      <c r="D38" s="10" t="s">
        <v>1332</v>
      </c>
      <c r="E38" s="54"/>
      <c r="F38" s="39"/>
      <c r="G38" s="13"/>
      <c r="H38" s="55"/>
      <c r="I38" s="80"/>
      <c r="J38" s="56"/>
      <c r="K38" s="56"/>
      <c r="L38" s="56"/>
    </row>
    <row r="39" s="40" customFormat="1" spans="2:12">
      <c r="B39" s="32" t="s">
        <v>2603</v>
      </c>
      <c r="C39" s="32" t="s">
        <v>216</v>
      </c>
      <c r="D39" s="10" t="s">
        <v>2604</v>
      </c>
      <c r="E39" s="54"/>
      <c r="F39" s="39"/>
      <c r="G39" s="39"/>
      <c r="H39" s="55"/>
      <c r="I39" s="80"/>
      <c r="J39" s="56"/>
      <c r="K39" s="56"/>
      <c r="L39" s="56"/>
    </row>
    <row r="40" s="40" customFormat="1" spans="2:12">
      <c r="B40" s="32" t="s">
        <v>1939</v>
      </c>
      <c r="C40" s="32" t="s">
        <v>220</v>
      </c>
      <c r="D40" s="10" t="s">
        <v>1940</v>
      </c>
      <c r="E40" s="54"/>
      <c r="F40" s="39"/>
      <c r="G40" s="39"/>
      <c r="H40" s="55"/>
      <c r="I40" s="80"/>
      <c r="J40" s="56"/>
      <c r="K40" s="56"/>
      <c r="L40" s="56"/>
    </row>
    <row r="41" s="40" customFormat="1" spans="2:12">
      <c r="B41" s="32" t="s">
        <v>2605</v>
      </c>
      <c r="C41" s="32" t="s">
        <v>216</v>
      </c>
      <c r="D41" s="10" t="s">
        <v>2606</v>
      </c>
      <c r="E41" s="54"/>
      <c r="F41" s="39"/>
      <c r="G41" s="39"/>
      <c r="H41" s="55"/>
      <c r="I41" s="80"/>
      <c r="J41" s="56"/>
      <c r="K41" s="56"/>
      <c r="L41" s="56"/>
    </row>
    <row r="42" s="40" customFormat="1" spans="2:12">
      <c r="B42" s="32" t="s">
        <v>2607</v>
      </c>
      <c r="C42" s="79" t="s">
        <v>220</v>
      </c>
      <c r="D42" s="10" t="s">
        <v>2608</v>
      </c>
      <c r="E42" s="54"/>
      <c r="F42" s="39"/>
      <c r="G42" s="39"/>
      <c r="H42" s="55"/>
      <c r="I42" s="80"/>
      <c r="J42" s="56"/>
      <c r="K42" s="56"/>
      <c r="L42" s="56"/>
    </row>
    <row r="43" s="3" customFormat="1" spans="2:12">
      <c r="B43" s="32" t="s">
        <v>2609</v>
      </c>
      <c r="C43" s="79" t="s">
        <v>220</v>
      </c>
      <c r="D43" s="10" t="s">
        <v>2610</v>
      </c>
      <c r="E43" s="54"/>
      <c r="F43" s="39"/>
      <c r="G43" s="39"/>
      <c r="H43" s="55"/>
      <c r="I43" s="80"/>
      <c r="J43" s="56"/>
      <c r="K43" s="56"/>
      <c r="L43" s="56"/>
    </row>
    <row r="44" s="3" customFormat="1" spans="2:12">
      <c r="B44" s="32" t="s">
        <v>1808</v>
      </c>
      <c r="C44" s="79" t="s">
        <v>216</v>
      </c>
      <c r="D44" s="10" t="s">
        <v>2572</v>
      </c>
      <c r="E44" s="54"/>
      <c r="F44" s="39"/>
      <c r="G44" s="39"/>
      <c r="H44" s="55"/>
      <c r="I44" s="80"/>
      <c r="J44" s="56"/>
      <c r="K44" s="56"/>
      <c r="L44" s="56"/>
    </row>
    <row r="45" s="1" customFormat="1" spans="1:12">
      <c r="A45" s="40"/>
      <c r="B45" s="32" t="s">
        <v>1895</v>
      </c>
      <c r="C45" s="32" t="s">
        <v>220</v>
      </c>
      <c r="D45" s="10" t="s">
        <v>2611</v>
      </c>
      <c r="E45" s="54"/>
      <c r="F45" s="39"/>
      <c r="G45" s="39"/>
      <c r="H45" s="32"/>
      <c r="I45" s="80"/>
      <c r="J45" s="56"/>
      <c r="K45" s="56"/>
      <c r="L45" s="56"/>
    </row>
    <row r="46" s="3" customFormat="1" spans="2:12">
      <c r="B46" s="32" t="s">
        <v>1908</v>
      </c>
      <c r="C46" s="79" t="s">
        <v>275</v>
      </c>
      <c r="D46" s="10" t="s">
        <v>1909</v>
      </c>
      <c r="E46" s="54"/>
      <c r="F46" s="39"/>
      <c r="G46" s="39"/>
      <c r="H46" s="55"/>
      <c r="I46" s="80"/>
      <c r="J46" s="56"/>
      <c r="K46" s="56"/>
      <c r="L46" s="56"/>
    </row>
    <row r="47" s="3" customFormat="1" spans="2:12">
      <c r="B47" s="32" t="s">
        <v>1910</v>
      </c>
      <c r="C47" s="79" t="s">
        <v>275</v>
      </c>
      <c r="D47" s="10" t="s">
        <v>1911</v>
      </c>
      <c r="E47" s="54"/>
      <c r="F47" s="39"/>
      <c r="G47" s="39"/>
      <c r="H47" s="55"/>
      <c r="I47" s="80"/>
      <c r="J47" s="56"/>
      <c r="K47" s="56"/>
      <c r="L47" s="56"/>
    </row>
    <row r="48" s="3" customFormat="1" spans="2:12">
      <c r="B48" s="32" t="s">
        <v>1912</v>
      </c>
      <c r="C48" s="79" t="s">
        <v>275</v>
      </c>
      <c r="D48" s="10" t="s">
        <v>1913</v>
      </c>
      <c r="E48" s="54"/>
      <c r="F48" s="39"/>
      <c r="G48" s="39"/>
      <c r="H48" s="55"/>
      <c r="I48" s="80"/>
      <c r="J48" s="56"/>
      <c r="K48" s="56"/>
      <c r="L48" s="56"/>
    </row>
    <row r="49" s="3" customFormat="1" spans="2:12">
      <c r="B49" s="78" t="s">
        <v>1914</v>
      </c>
      <c r="C49" s="78" t="s">
        <v>275</v>
      </c>
      <c r="D49" s="10" t="s">
        <v>1915</v>
      </c>
      <c r="E49" s="54"/>
      <c r="F49" s="39"/>
      <c r="G49" s="39"/>
      <c r="H49" s="55"/>
      <c r="I49" s="81"/>
      <c r="J49" s="56"/>
      <c r="K49" s="56"/>
      <c r="L49" s="56"/>
    </row>
    <row r="50" s="70" customFormat="1" spans="1:12">
      <c r="A50" s="75"/>
      <c r="B50" s="78" t="s">
        <v>1276</v>
      </c>
      <c r="C50" s="78" t="s">
        <v>275</v>
      </c>
      <c r="D50" s="10" t="s">
        <v>1277</v>
      </c>
      <c r="E50" s="54"/>
      <c r="F50" s="39"/>
      <c r="G50" s="39"/>
      <c r="H50" s="55"/>
      <c r="I50" s="81"/>
      <c r="J50" s="56"/>
      <c r="K50" s="56"/>
      <c r="L50" s="56"/>
    </row>
    <row r="51" s="70" customFormat="1" spans="1:12">
      <c r="A51" s="75"/>
      <c r="B51" s="78" t="s">
        <v>1278</v>
      </c>
      <c r="C51" s="78" t="s">
        <v>275</v>
      </c>
      <c r="D51" s="10" t="s">
        <v>1279</v>
      </c>
      <c r="E51" s="54"/>
      <c r="F51" s="39"/>
      <c r="G51" s="39"/>
      <c r="H51" s="55"/>
      <c r="I51" s="81"/>
      <c r="J51" s="56"/>
      <c r="K51" s="56"/>
      <c r="L51" s="56"/>
    </row>
    <row r="52" s="70" customFormat="1" spans="1:12">
      <c r="A52" s="75"/>
      <c r="B52" s="78" t="s">
        <v>1291</v>
      </c>
      <c r="C52" s="78" t="s">
        <v>275</v>
      </c>
      <c r="D52" s="10" t="s">
        <v>1356</v>
      </c>
      <c r="E52" s="54"/>
      <c r="F52" s="39"/>
      <c r="G52" s="39"/>
      <c r="H52" s="55"/>
      <c r="I52" s="81"/>
      <c r="J52" s="56"/>
      <c r="K52" s="56"/>
      <c r="L52" s="56"/>
    </row>
    <row r="53" s="70" customFormat="1" spans="1:12">
      <c r="A53" s="75"/>
      <c r="B53" s="78" t="s">
        <v>1293</v>
      </c>
      <c r="C53" s="78" t="s">
        <v>275</v>
      </c>
      <c r="D53" s="10" t="s">
        <v>1358</v>
      </c>
      <c r="E53" s="54"/>
      <c r="F53" s="39"/>
      <c r="G53" s="39"/>
      <c r="H53" s="55"/>
      <c r="I53" s="81"/>
      <c r="J53" s="56"/>
      <c r="K53" s="56"/>
      <c r="L53" s="56"/>
    </row>
    <row r="54" s="70" customFormat="1" spans="1:12">
      <c r="A54" s="75"/>
      <c r="B54" s="78" t="s">
        <v>2051</v>
      </c>
      <c r="C54" s="78" t="s">
        <v>275</v>
      </c>
      <c r="D54" s="10" t="s">
        <v>1348</v>
      </c>
      <c r="E54" s="54"/>
      <c r="F54" s="39"/>
      <c r="G54" s="39"/>
      <c r="H54" s="55"/>
      <c r="I54" s="81"/>
      <c r="J54" s="56"/>
      <c r="K54" s="56"/>
      <c r="L54" s="56"/>
    </row>
    <row r="55" s="70" customFormat="1" ht="26.4" spans="1:12">
      <c r="A55" s="75"/>
      <c r="B55" s="78" t="s">
        <v>2052</v>
      </c>
      <c r="C55" s="78" t="s">
        <v>275</v>
      </c>
      <c r="D55" s="10" t="s">
        <v>1350</v>
      </c>
      <c r="E55" s="54"/>
      <c r="F55" s="39"/>
      <c r="G55" s="39"/>
      <c r="H55" s="55"/>
      <c r="I55" s="81"/>
      <c r="J55" s="56"/>
      <c r="K55" s="56"/>
      <c r="L55" s="56"/>
    </row>
    <row r="56" s="70" customFormat="1" spans="1:12">
      <c r="A56" s="75"/>
      <c r="B56" s="78" t="s">
        <v>1928</v>
      </c>
      <c r="C56" s="78" t="s">
        <v>220</v>
      </c>
      <c r="D56" s="10" t="s">
        <v>1929</v>
      </c>
      <c r="E56" s="54"/>
      <c r="F56" s="39"/>
      <c r="G56" s="39"/>
      <c r="H56" s="55"/>
      <c r="I56" s="81"/>
      <c r="J56" s="56"/>
      <c r="K56" s="56"/>
      <c r="L56" s="56"/>
    </row>
    <row r="57" s="70" customFormat="1" spans="1:12">
      <c r="A57" s="75"/>
      <c r="B57" s="78" t="s">
        <v>1930</v>
      </c>
      <c r="C57" s="78" t="s">
        <v>220</v>
      </c>
      <c r="D57" s="10" t="s">
        <v>1352</v>
      </c>
      <c r="E57" s="54"/>
      <c r="F57" s="39"/>
      <c r="G57" s="39"/>
      <c r="H57" s="55"/>
      <c r="I57" s="81"/>
      <c r="J57" s="56"/>
      <c r="K57" s="56"/>
      <c r="L57" s="56"/>
    </row>
    <row r="58" s="70" customFormat="1" spans="1:12">
      <c r="A58" s="75"/>
      <c r="B58" s="78" t="s">
        <v>1931</v>
      </c>
      <c r="C58" s="78" t="s">
        <v>220</v>
      </c>
      <c r="D58" s="10" t="s">
        <v>1932</v>
      </c>
      <c r="E58" s="54"/>
      <c r="F58" s="39"/>
      <c r="G58" s="39"/>
      <c r="H58" s="55"/>
      <c r="I58" s="81"/>
      <c r="J58" s="56"/>
      <c r="K58" s="56"/>
      <c r="L58" s="56"/>
    </row>
    <row r="59" s="70" customFormat="1" spans="1:12">
      <c r="A59" s="75"/>
      <c r="B59" s="78" t="s">
        <v>1933</v>
      </c>
      <c r="C59" s="78" t="s">
        <v>220</v>
      </c>
      <c r="D59" s="10" t="s">
        <v>1934</v>
      </c>
      <c r="E59" s="54"/>
      <c r="F59" s="39"/>
      <c r="G59" s="39"/>
      <c r="H59" s="55"/>
      <c r="I59" s="81"/>
      <c r="J59" s="56"/>
      <c r="K59" s="56"/>
      <c r="L59" s="56"/>
    </row>
    <row r="60" s="70" customFormat="1" spans="1:12">
      <c r="A60" s="75"/>
      <c r="B60" s="78" t="s">
        <v>2612</v>
      </c>
      <c r="C60" s="78" t="s">
        <v>220</v>
      </c>
      <c r="D60" s="10" t="s">
        <v>2613</v>
      </c>
      <c r="E60" s="54"/>
      <c r="F60" s="39"/>
      <c r="G60" s="39"/>
      <c r="H60" s="55"/>
      <c r="I60" s="81"/>
      <c r="J60" s="56"/>
      <c r="K60" s="56"/>
      <c r="L60" s="56"/>
    </row>
    <row r="61" s="3" customFormat="1" spans="2:12">
      <c r="B61" s="32" t="s">
        <v>2614</v>
      </c>
      <c r="C61" s="79" t="s">
        <v>220</v>
      </c>
      <c r="D61" s="10" t="s">
        <v>2615</v>
      </c>
      <c r="E61" s="54"/>
      <c r="F61" s="39"/>
      <c r="G61" s="39"/>
      <c r="H61" s="55"/>
      <c r="I61" s="80"/>
      <c r="J61" s="56"/>
      <c r="K61" s="56"/>
      <c r="L61" s="56"/>
    </row>
    <row r="62" spans="1:12">
      <c r="A62" s="4"/>
      <c r="B62" s="32" t="s">
        <v>2616</v>
      </c>
      <c r="C62" s="79" t="s">
        <v>275</v>
      </c>
      <c r="D62" s="10">
        <v>0</v>
      </c>
      <c r="E62" s="54"/>
      <c r="F62" s="39"/>
      <c r="G62" s="39"/>
      <c r="H62" s="55"/>
      <c r="I62" s="56"/>
      <c r="J62" s="56"/>
      <c r="K62" s="56"/>
      <c r="L62" s="56"/>
    </row>
    <row r="63" spans="1:12">
      <c r="A63" s="4"/>
      <c r="B63" s="32" t="s">
        <v>2617</v>
      </c>
      <c r="C63" s="79" t="s">
        <v>275</v>
      </c>
      <c r="D63" s="10">
        <v>0</v>
      </c>
      <c r="E63" s="54"/>
      <c r="F63" s="39"/>
      <c r="G63" s="39"/>
      <c r="H63" s="55"/>
      <c r="I63" s="56"/>
      <c r="J63" s="56"/>
      <c r="K63" s="56"/>
      <c r="L63" s="56"/>
    </row>
    <row r="64" spans="1:12">
      <c r="A64" s="4"/>
      <c r="B64" s="32" t="s">
        <v>2618</v>
      </c>
      <c r="C64" s="79" t="s">
        <v>220</v>
      </c>
      <c r="D64" s="10">
        <v>0</v>
      </c>
      <c r="E64" s="54"/>
      <c r="F64" s="39"/>
      <c r="G64" s="39"/>
      <c r="H64" s="55"/>
      <c r="I64" s="56"/>
      <c r="J64" s="56"/>
      <c r="K64" s="56"/>
      <c r="L64" s="56"/>
    </row>
    <row r="65" spans="1:12">
      <c r="A65" s="4"/>
      <c r="B65" s="32" t="s">
        <v>2619</v>
      </c>
      <c r="C65" s="79" t="s">
        <v>220</v>
      </c>
      <c r="D65" s="10" t="s">
        <v>2620</v>
      </c>
      <c r="E65" s="54"/>
      <c r="F65" s="39"/>
      <c r="G65" s="39"/>
      <c r="H65" s="55"/>
      <c r="I65" s="56"/>
      <c r="J65" s="56"/>
      <c r="K65" s="56"/>
      <c r="L65" s="56"/>
    </row>
    <row r="66" s="1" customFormat="1" spans="1:12">
      <c r="A66" s="40"/>
      <c r="B66" s="32" t="s">
        <v>2621</v>
      </c>
      <c r="C66" s="79" t="s">
        <v>220</v>
      </c>
      <c r="D66" s="10" t="s">
        <v>2622</v>
      </c>
      <c r="E66" s="54"/>
      <c r="F66" s="39"/>
      <c r="G66" s="39"/>
      <c r="H66" s="55"/>
      <c r="I66" s="80"/>
      <c r="J66" s="56"/>
      <c r="K66" s="56"/>
      <c r="L66" s="56"/>
    </row>
    <row r="67" spans="1:12">
      <c r="A67" s="4"/>
      <c r="B67" s="32" t="s">
        <v>2623</v>
      </c>
      <c r="C67" s="79" t="s">
        <v>220</v>
      </c>
      <c r="D67" s="10" t="s">
        <v>2624</v>
      </c>
      <c r="E67" s="54"/>
      <c r="F67" s="39"/>
      <c r="G67" s="39"/>
      <c r="H67" s="55"/>
      <c r="I67" s="56"/>
      <c r="J67" s="56"/>
      <c r="K67" s="56"/>
      <c r="L67" s="56"/>
    </row>
    <row r="68" s="1" customFormat="1" spans="1:12">
      <c r="A68" s="40"/>
      <c r="B68" s="32" t="s">
        <v>2625</v>
      </c>
      <c r="C68" s="79" t="s">
        <v>220</v>
      </c>
      <c r="D68" s="10" t="s">
        <v>2626</v>
      </c>
      <c r="E68" s="54"/>
      <c r="F68" s="39"/>
      <c r="G68" s="39"/>
      <c r="H68" s="55"/>
      <c r="I68" s="80"/>
      <c r="J68" s="56"/>
      <c r="K68" s="56"/>
      <c r="L68" s="56"/>
    </row>
    <row r="69" s="1" customFormat="1" spans="1:12">
      <c r="A69" s="40"/>
      <c r="B69" s="32" t="s">
        <v>2627</v>
      </c>
      <c r="C69" s="79" t="s">
        <v>220</v>
      </c>
      <c r="D69" s="10" t="s">
        <v>2628</v>
      </c>
      <c r="E69" s="54"/>
      <c r="F69" s="39"/>
      <c r="G69" s="39"/>
      <c r="H69" s="55"/>
      <c r="I69" s="80"/>
      <c r="J69" s="56"/>
      <c r="K69" s="56"/>
      <c r="L69" s="56"/>
    </row>
    <row r="70" s="1" customFormat="1" spans="1:12">
      <c r="A70" s="40"/>
      <c r="B70" s="32" t="s">
        <v>2629</v>
      </c>
      <c r="C70" s="79" t="s">
        <v>220</v>
      </c>
      <c r="D70" s="10" t="s">
        <v>2630</v>
      </c>
      <c r="E70" s="54"/>
      <c r="F70" s="39"/>
      <c r="G70" s="39"/>
      <c r="H70" s="55"/>
      <c r="I70" s="80"/>
      <c r="J70" s="56"/>
      <c r="K70" s="56"/>
      <c r="L70" s="56"/>
    </row>
    <row r="71" s="1" customFormat="1" spans="1:12">
      <c r="A71" s="40"/>
      <c r="B71" s="32" t="s">
        <v>2631</v>
      </c>
      <c r="C71" s="79" t="s">
        <v>220</v>
      </c>
      <c r="D71" s="10" t="s">
        <v>2632</v>
      </c>
      <c r="E71" s="54"/>
      <c r="F71" s="39"/>
      <c r="G71" s="39"/>
      <c r="H71" s="55"/>
      <c r="I71" s="80"/>
      <c r="J71" s="56"/>
      <c r="K71" s="56"/>
      <c r="L71" s="56"/>
    </row>
    <row r="72" s="1" customFormat="1" spans="1:12">
      <c r="A72" s="40"/>
      <c r="B72" s="32" t="s">
        <v>2633</v>
      </c>
      <c r="C72" s="79" t="s">
        <v>220</v>
      </c>
      <c r="D72" s="10" t="s">
        <v>2634</v>
      </c>
      <c r="E72" s="54"/>
      <c r="F72" s="39"/>
      <c r="G72" s="39"/>
      <c r="H72" s="55"/>
      <c r="I72" s="80"/>
      <c r="J72" s="56"/>
      <c r="K72" s="56"/>
      <c r="L72" s="56"/>
    </row>
    <row r="73" s="1" customFormat="1" spans="1:12">
      <c r="A73" s="40"/>
      <c r="B73" s="32" t="s">
        <v>2635</v>
      </c>
      <c r="C73" s="79" t="s">
        <v>275</v>
      </c>
      <c r="D73" s="10" t="s">
        <v>1360</v>
      </c>
      <c r="E73" s="54"/>
      <c r="F73" s="39"/>
      <c r="G73" s="39"/>
      <c r="H73" s="55"/>
      <c r="I73" s="80"/>
      <c r="J73" s="56"/>
      <c r="K73" s="56"/>
      <c r="L73" s="56"/>
    </row>
    <row r="74" s="70" customFormat="1" customHeight="1" spans="1:12">
      <c r="A74" s="75"/>
      <c r="B74" s="32" t="s">
        <v>2636</v>
      </c>
      <c r="C74" s="78" t="s">
        <v>275</v>
      </c>
      <c r="D74" s="10" t="s">
        <v>1362</v>
      </c>
      <c r="E74" s="54"/>
      <c r="F74" s="39"/>
      <c r="G74" s="39"/>
      <c r="H74" s="55"/>
      <c r="I74" s="81"/>
      <c r="J74" s="56"/>
      <c r="K74" s="56"/>
      <c r="L74" s="56"/>
    </row>
    <row r="75" s="70" customFormat="1" spans="1:12">
      <c r="A75" s="75"/>
      <c r="B75" s="78" t="s">
        <v>2637</v>
      </c>
      <c r="C75" s="78" t="s">
        <v>220</v>
      </c>
      <c r="D75" s="10" t="s">
        <v>1364</v>
      </c>
      <c r="E75" s="54"/>
      <c r="F75" s="39"/>
      <c r="G75" s="39"/>
      <c r="H75" s="55"/>
      <c r="I75" s="81"/>
      <c r="J75" s="56"/>
      <c r="K75" s="56"/>
      <c r="L75" s="56"/>
    </row>
    <row r="76" s="70" customFormat="1" spans="1:12">
      <c r="A76" s="75"/>
      <c r="B76" s="78" t="s">
        <v>2638</v>
      </c>
      <c r="C76" s="78" t="s">
        <v>220</v>
      </c>
      <c r="D76" s="10" t="s">
        <v>1366</v>
      </c>
      <c r="E76" s="54"/>
      <c r="F76" s="39"/>
      <c r="G76" s="39"/>
      <c r="H76" s="55"/>
      <c r="I76" s="81"/>
      <c r="J76" s="56"/>
      <c r="K76" s="56"/>
      <c r="L76" s="56"/>
    </row>
    <row r="77" s="70" customFormat="1" spans="1:12">
      <c r="A77" s="75"/>
      <c r="B77" s="78" t="s">
        <v>2639</v>
      </c>
      <c r="C77" s="78" t="s">
        <v>220</v>
      </c>
      <c r="D77" s="10" t="s">
        <v>1368</v>
      </c>
      <c r="E77" s="54"/>
      <c r="F77" s="39"/>
      <c r="G77" s="39"/>
      <c r="H77" s="55"/>
      <c r="I77" s="81"/>
      <c r="J77" s="56"/>
      <c r="K77" s="56"/>
      <c r="L77" s="56"/>
    </row>
    <row r="78" s="70" customFormat="1" spans="1:12">
      <c r="A78" s="75"/>
      <c r="B78" s="78" t="s">
        <v>2640</v>
      </c>
      <c r="C78" s="78" t="s">
        <v>220</v>
      </c>
      <c r="D78" s="10" t="s">
        <v>1370</v>
      </c>
      <c r="E78" s="54"/>
      <c r="F78" s="39"/>
      <c r="G78" s="39"/>
      <c r="H78" s="55"/>
      <c r="I78" s="81"/>
      <c r="J78" s="56"/>
      <c r="K78" s="56"/>
      <c r="L78" s="56"/>
    </row>
    <row r="79" s="70" customFormat="1" spans="1:12">
      <c r="A79" s="75"/>
      <c r="B79" s="78" t="s">
        <v>2641</v>
      </c>
      <c r="C79" s="78" t="s">
        <v>220</v>
      </c>
      <c r="D79" s="10" t="s">
        <v>1372</v>
      </c>
      <c r="E79" s="54"/>
      <c r="F79" s="39"/>
      <c r="G79" s="39"/>
      <c r="H79" s="55"/>
      <c r="I79" s="81"/>
      <c r="J79" s="56"/>
      <c r="K79" s="56"/>
      <c r="L79" s="56"/>
    </row>
    <row r="80" s="70" customFormat="1" spans="1:12">
      <c r="A80" s="75"/>
      <c r="B80" s="78" t="s">
        <v>2642</v>
      </c>
      <c r="C80" s="78" t="s">
        <v>220</v>
      </c>
      <c r="D80" s="10" t="s">
        <v>1374</v>
      </c>
      <c r="E80" s="54"/>
      <c r="F80" s="39"/>
      <c r="G80" s="39"/>
      <c r="H80" s="55"/>
      <c r="I80" s="81"/>
      <c r="J80" s="56"/>
      <c r="K80" s="56"/>
      <c r="L80" s="56"/>
    </row>
    <row r="81" s="70" customFormat="1" spans="1:12">
      <c r="A81" s="75"/>
      <c r="B81" s="78" t="s">
        <v>2643</v>
      </c>
      <c r="C81" s="78" t="s">
        <v>220</v>
      </c>
      <c r="D81" s="10" t="s">
        <v>1376</v>
      </c>
      <c r="E81" s="54"/>
      <c r="F81" s="39"/>
      <c r="G81" s="39"/>
      <c r="H81" s="55"/>
      <c r="I81" s="81"/>
      <c r="J81" s="56"/>
      <c r="K81" s="56"/>
      <c r="L81" s="56"/>
    </row>
    <row r="82" s="70" customFormat="1" spans="1:12">
      <c r="A82" s="75"/>
      <c r="B82" s="78" t="s">
        <v>2644</v>
      </c>
      <c r="C82" s="78" t="s">
        <v>220</v>
      </c>
      <c r="D82" s="10" t="s">
        <v>1378</v>
      </c>
      <c r="E82" s="54"/>
      <c r="F82" s="39"/>
      <c r="G82" s="39"/>
      <c r="H82" s="55"/>
      <c r="I82" s="81"/>
      <c r="J82" s="56"/>
      <c r="K82" s="56"/>
      <c r="L82" s="56"/>
    </row>
    <row r="83" s="70" customFormat="1" spans="1:12">
      <c r="A83" s="75"/>
      <c r="B83" s="78" t="s">
        <v>2645</v>
      </c>
      <c r="C83" s="78" t="s">
        <v>220</v>
      </c>
      <c r="D83" s="10" t="s">
        <v>1380</v>
      </c>
      <c r="E83" s="54"/>
      <c r="F83" s="39"/>
      <c r="G83" s="39"/>
      <c r="H83" s="55"/>
      <c r="I83" s="81"/>
      <c r="J83" s="56"/>
      <c r="K83" s="56"/>
      <c r="L83" s="56"/>
    </row>
    <row r="84" s="70" customFormat="1" spans="1:12">
      <c r="A84" s="75"/>
      <c r="B84" s="78" t="s">
        <v>2646</v>
      </c>
      <c r="C84" s="78" t="s">
        <v>220</v>
      </c>
      <c r="D84" s="10" t="s">
        <v>1382</v>
      </c>
      <c r="E84" s="54"/>
      <c r="F84" s="39"/>
      <c r="G84" s="39"/>
      <c r="H84" s="55"/>
      <c r="I84" s="81"/>
      <c r="J84" s="56"/>
      <c r="K84" s="56"/>
      <c r="L84" s="56"/>
    </row>
    <row r="85" s="70" customFormat="1" spans="1:12">
      <c r="A85" s="75"/>
      <c r="B85" s="78" t="s">
        <v>2647</v>
      </c>
      <c r="C85" s="78" t="s">
        <v>220</v>
      </c>
      <c r="D85" s="10" t="s">
        <v>1384</v>
      </c>
      <c r="E85" s="54"/>
      <c r="F85" s="39"/>
      <c r="G85" s="39"/>
      <c r="H85" s="55"/>
      <c r="I85" s="81"/>
      <c r="J85" s="56"/>
      <c r="K85" s="56"/>
      <c r="L85" s="56"/>
    </row>
    <row r="86" s="70" customFormat="1" spans="1:12">
      <c r="A86" s="75"/>
      <c r="B86" s="78" t="s">
        <v>2648</v>
      </c>
      <c r="C86" s="78" t="s">
        <v>220</v>
      </c>
      <c r="D86" s="10" t="s">
        <v>1386</v>
      </c>
      <c r="E86" s="54"/>
      <c r="F86" s="39"/>
      <c r="G86" s="39"/>
      <c r="H86" s="55"/>
      <c r="I86" s="81"/>
      <c r="J86" s="56"/>
      <c r="K86" s="56"/>
      <c r="L86" s="56"/>
    </row>
    <row r="87" s="70" customFormat="1" spans="1:12">
      <c r="A87" s="75"/>
      <c r="B87" s="78" t="s">
        <v>2649</v>
      </c>
      <c r="C87" s="78" t="s">
        <v>220</v>
      </c>
      <c r="D87" s="10" t="s">
        <v>1388</v>
      </c>
      <c r="E87" s="54"/>
      <c r="F87" s="39"/>
      <c r="G87" s="39"/>
      <c r="H87" s="55"/>
      <c r="I87" s="81"/>
      <c r="J87" s="56"/>
      <c r="K87" s="56"/>
      <c r="L87" s="56"/>
    </row>
    <row r="88" s="70" customFormat="1" spans="1:12">
      <c r="A88" s="75"/>
      <c r="B88" s="78" t="s">
        <v>2650</v>
      </c>
      <c r="C88" s="78" t="s">
        <v>220</v>
      </c>
      <c r="D88" s="10" t="s">
        <v>1390</v>
      </c>
      <c r="E88" s="54"/>
      <c r="F88" s="39"/>
      <c r="G88" s="39"/>
      <c r="H88" s="55"/>
      <c r="I88" s="81"/>
      <c r="J88" s="56"/>
      <c r="K88" s="56"/>
      <c r="L88" s="56"/>
    </row>
    <row r="89" s="70" customFormat="1" spans="1:12">
      <c r="A89" s="75"/>
      <c r="B89" s="78" t="s">
        <v>2651</v>
      </c>
      <c r="C89" s="78" t="s">
        <v>216</v>
      </c>
      <c r="D89" s="10" t="s">
        <v>2652</v>
      </c>
      <c r="E89" s="54"/>
      <c r="F89" s="39"/>
      <c r="G89" s="39"/>
      <c r="H89" s="55"/>
      <c r="I89" s="81"/>
      <c r="J89" s="56"/>
      <c r="K89" s="56"/>
      <c r="L89" s="56"/>
    </row>
    <row r="90" s="70" customFormat="1" spans="1:12">
      <c r="A90" s="75"/>
      <c r="B90" s="78" t="s">
        <v>2653</v>
      </c>
      <c r="C90" s="78" t="s">
        <v>216</v>
      </c>
      <c r="D90" s="10" t="s">
        <v>2544</v>
      </c>
      <c r="E90" s="54"/>
      <c r="F90" s="39"/>
      <c r="G90" s="39"/>
      <c r="H90" s="55"/>
      <c r="I90" s="81"/>
      <c r="J90" s="56"/>
      <c r="K90" s="56"/>
      <c r="L90" s="56"/>
    </row>
    <row r="91" s="70" customFormat="1" spans="1:12">
      <c r="A91" s="75"/>
      <c r="B91" s="78" t="s">
        <v>2654</v>
      </c>
      <c r="C91" s="78" t="s">
        <v>216</v>
      </c>
      <c r="D91" s="10" t="s">
        <v>1954</v>
      </c>
      <c r="E91" s="54"/>
      <c r="F91" s="39"/>
      <c r="G91" s="39"/>
      <c r="H91" s="55"/>
      <c r="I91" s="81"/>
      <c r="J91" s="56"/>
      <c r="K91" s="56"/>
      <c r="L91" s="56"/>
    </row>
    <row r="92" s="70" customFormat="1" spans="1:12">
      <c r="A92" s="75"/>
      <c r="B92" s="78" t="s">
        <v>1286</v>
      </c>
      <c r="C92" s="78" t="s">
        <v>216</v>
      </c>
      <c r="D92" s="10" t="s">
        <v>1955</v>
      </c>
      <c r="E92" s="54"/>
      <c r="F92" s="39"/>
      <c r="G92" s="39"/>
      <c r="H92" s="55"/>
      <c r="I92" s="81"/>
      <c r="J92" s="56"/>
      <c r="K92" s="56"/>
      <c r="L92" s="56"/>
    </row>
    <row r="93" s="70" customFormat="1" spans="1:12">
      <c r="A93" s="75"/>
      <c r="B93" s="78" t="s">
        <v>2655</v>
      </c>
      <c r="C93" s="78" t="s">
        <v>275</v>
      </c>
      <c r="D93" s="10" t="s">
        <v>1957</v>
      </c>
      <c r="E93" s="54"/>
      <c r="F93" s="39"/>
      <c r="G93" s="39"/>
      <c r="H93" s="55"/>
      <c r="I93" s="81"/>
      <c r="J93" s="56"/>
      <c r="K93" s="56"/>
      <c r="L93" s="56"/>
    </row>
    <row r="94" s="70" customFormat="1" spans="1:12">
      <c r="A94" s="75"/>
      <c r="B94" s="78" t="s">
        <v>2656</v>
      </c>
      <c r="C94" s="78" t="s">
        <v>216</v>
      </c>
      <c r="D94" s="10" t="s">
        <v>1959</v>
      </c>
      <c r="E94" s="54"/>
      <c r="F94" s="39"/>
      <c r="G94" s="39"/>
      <c r="H94" s="55"/>
      <c r="I94" s="81"/>
      <c r="J94" s="56"/>
      <c r="K94" s="56"/>
      <c r="L94" s="56"/>
    </row>
    <row r="95" s="70" customFormat="1" spans="1:12">
      <c r="A95" s="75"/>
      <c r="B95" s="78" t="s">
        <v>2657</v>
      </c>
      <c r="C95" s="78" t="s">
        <v>220</v>
      </c>
      <c r="D95" s="10" t="s">
        <v>1961</v>
      </c>
      <c r="E95" s="54"/>
      <c r="F95" s="39"/>
      <c r="G95" s="39"/>
      <c r="H95" s="54"/>
      <c r="I95" s="81"/>
      <c r="J95" s="56"/>
      <c r="K95" s="56"/>
      <c r="L95" s="56"/>
    </row>
    <row r="96" s="70" customFormat="1" spans="1:12">
      <c r="A96" s="75"/>
      <c r="B96" s="78" t="s">
        <v>1962</v>
      </c>
      <c r="C96" s="78" t="s">
        <v>216</v>
      </c>
      <c r="D96" s="10" t="s">
        <v>1963</v>
      </c>
      <c r="E96" s="54"/>
      <c r="F96" s="39"/>
      <c r="G96" s="39"/>
      <c r="H96" s="11"/>
      <c r="I96" s="81"/>
      <c r="J96" s="56"/>
      <c r="K96" s="56"/>
      <c r="L96" s="56"/>
    </row>
    <row r="97" s="70" customFormat="1" spans="1:12">
      <c r="A97" s="75"/>
      <c r="B97" s="78" t="s">
        <v>1964</v>
      </c>
      <c r="C97" s="78" t="s">
        <v>220</v>
      </c>
      <c r="D97" s="10" t="s">
        <v>2658</v>
      </c>
      <c r="E97" s="54"/>
      <c r="F97" s="39"/>
      <c r="G97" s="39"/>
      <c r="H97" s="54"/>
      <c r="I97" s="81"/>
      <c r="J97" s="56"/>
      <c r="K97" s="56"/>
      <c r="L97" s="56"/>
    </row>
    <row r="98" s="70" customFormat="1" spans="1:12">
      <c r="A98" s="75"/>
      <c r="B98" s="78" t="s">
        <v>1966</v>
      </c>
      <c r="C98" s="78" t="s">
        <v>220</v>
      </c>
      <c r="D98" s="10" t="s">
        <v>2659</v>
      </c>
      <c r="E98" s="54"/>
      <c r="F98" s="39"/>
      <c r="G98" s="39"/>
      <c r="H98" s="54"/>
      <c r="I98" s="81"/>
      <c r="J98" s="56"/>
      <c r="K98" s="56"/>
      <c r="L98" s="56"/>
    </row>
    <row r="99" s="70" customFormat="1" spans="1:12">
      <c r="A99" s="75"/>
      <c r="B99" s="78" t="s">
        <v>2660</v>
      </c>
      <c r="C99" s="78" t="s">
        <v>275</v>
      </c>
      <c r="D99" s="10" t="s">
        <v>1969</v>
      </c>
      <c r="E99" s="54"/>
      <c r="F99" s="39"/>
      <c r="G99" s="39"/>
      <c r="H99" s="54"/>
      <c r="I99" s="81"/>
      <c r="J99" s="56"/>
      <c r="K99" s="56"/>
      <c r="L99" s="56"/>
    </row>
    <row r="100" s="70" customFormat="1" spans="1:12">
      <c r="A100" s="75"/>
      <c r="B100" s="78" t="s">
        <v>2661</v>
      </c>
      <c r="C100" s="78" t="s">
        <v>220</v>
      </c>
      <c r="D100" s="10" t="s">
        <v>1971</v>
      </c>
      <c r="E100" s="54"/>
      <c r="F100" s="39"/>
      <c r="G100" s="39"/>
      <c r="H100" s="54"/>
      <c r="I100" s="81"/>
      <c r="J100" s="56"/>
      <c r="K100" s="56"/>
      <c r="L100" s="56"/>
    </row>
    <row r="101" s="70" customFormat="1" spans="1:12">
      <c r="A101" s="75"/>
      <c r="B101" s="78" t="s">
        <v>1972</v>
      </c>
      <c r="C101" s="78" t="s">
        <v>275</v>
      </c>
      <c r="D101" s="10" t="s">
        <v>1973</v>
      </c>
      <c r="E101" s="54"/>
      <c r="F101" s="39"/>
      <c r="G101" s="39"/>
      <c r="H101" s="55"/>
      <c r="I101" s="81"/>
      <c r="J101" s="56"/>
      <c r="K101" s="56"/>
      <c r="L101" s="56"/>
    </row>
    <row r="102" s="70" customFormat="1" spans="1:12">
      <c r="A102" s="75"/>
      <c r="B102" s="78" t="s">
        <v>1974</v>
      </c>
      <c r="C102" s="78" t="s">
        <v>275</v>
      </c>
      <c r="D102" s="10" t="s">
        <v>1975</v>
      </c>
      <c r="E102" s="54"/>
      <c r="F102" s="39"/>
      <c r="G102" s="39"/>
      <c r="H102" s="55"/>
      <c r="I102" s="81"/>
      <c r="J102" s="56"/>
      <c r="K102" s="56"/>
      <c r="L102" s="56"/>
    </row>
    <row r="103" s="70" customFormat="1" spans="1:21">
      <c r="A103" s="75"/>
      <c r="B103" s="78" t="s">
        <v>1976</v>
      </c>
      <c r="C103" s="78" t="s">
        <v>275</v>
      </c>
      <c r="D103" s="10" t="s">
        <v>1977</v>
      </c>
      <c r="E103" s="54"/>
      <c r="F103" s="39"/>
      <c r="G103" s="39"/>
      <c r="H103" s="55"/>
      <c r="I103" s="81"/>
      <c r="J103" s="56"/>
      <c r="K103" s="56"/>
      <c r="L103" s="56"/>
      <c r="P103" s="70" t="s">
        <v>1210</v>
      </c>
      <c r="S103" s="70" t="s">
        <v>1211</v>
      </c>
      <c r="T103" s="70" t="s">
        <v>155</v>
      </c>
      <c r="U103" s="70" t="s">
        <v>235</v>
      </c>
    </row>
    <row r="104" s="70" customFormat="1" spans="1:21">
      <c r="A104" s="75"/>
      <c r="B104" s="78" t="s">
        <v>2662</v>
      </c>
      <c r="C104" s="78" t="s">
        <v>275</v>
      </c>
      <c r="D104" s="10" t="s">
        <v>1979</v>
      </c>
      <c r="E104" s="54"/>
      <c r="F104" s="39"/>
      <c r="G104" s="39"/>
      <c r="H104" s="55"/>
      <c r="I104" s="81"/>
      <c r="J104" s="56"/>
      <c r="K104" s="56"/>
      <c r="L104" s="56"/>
      <c r="P104" s="70" t="s">
        <v>1214</v>
      </c>
      <c r="S104" s="70" t="s">
        <v>1211</v>
      </c>
      <c r="T104" s="70" t="s">
        <v>155</v>
      </c>
      <c r="U104" s="70" t="s">
        <v>235</v>
      </c>
    </row>
    <row r="105" s="70" customFormat="1" spans="1:21">
      <c r="A105" s="75"/>
      <c r="B105" s="78" t="s">
        <v>2663</v>
      </c>
      <c r="C105" s="78" t="s">
        <v>275</v>
      </c>
      <c r="D105" s="10" t="s">
        <v>1981</v>
      </c>
      <c r="E105" s="54"/>
      <c r="F105" s="39"/>
      <c r="G105" s="39"/>
      <c r="H105" s="55"/>
      <c r="I105" s="81"/>
      <c r="J105" s="56"/>
      <c r="K105" s="56"/>
      <c r="L105" s="56"/>
      <c r="P105" s="70" t="s">
        <v>1217</v>
      </c>
      <c r="S105" s="70" t="s">
        <v>1211</v>
      </c>
      <c r="T105" s="70" t="s">
        <v>155</v>
      </c>
      <c r="U105" s="70" t="s">
        <v>235</v>
      </c>
    </row>
    <row r="106" s="70" customFormat="1" spans="1:12">
      <c r="A106" s="75"/>
      <c r="B106" s="78" t="s">
        <v>1984</v>
      </c>
      <c r="C106" s="78" t="s">
        <v>275</v>
      </c>
      <c r="D106" s="10" t="s">
        <v>1985</v>
      </c>
      <c r="E106" s="54"/>
      <c r="F106" s="39"/>
      <c r="G106" s="39"/>
      <c r="H106" s="55"/>
      <c r="I106" s="81"/>
      <c r="J106" s="56"/>
      <c r="K106" s="56"/>
      <c r="L106" s="56"/>
    </row>
    <row r="107" s="70" customFormat="1" spans="1:12">
      <c r="A107" s="75"/>
      <c r="B107" s="78" t="s">
        <v>2664</v>
      </c>
      <c r="C107" s="78" t="s">
        <v>220</v>
      </c>
      <c r="D107" s="10" t="s">
        <v>1989</v>
      </c>
      <c r="E107" s="54"/>
      <c r="F107" s="39"/>
      <c r="G107" s="39"/>
      <c r="H107" s="55"/>
      <c r="I107" s="81"/>
      <c r="J107" s="56"/>
      <c r="K107" s="56"/>
      <c r="L107" s="56"/>
    </row>
    <row r="108" s="70" customFormat="1" spans="1:12">
      <c r="A108" s="75"/>
      <c r="B108" s="78" t="s">
        <v>2665</v>
      </c>
      <c r="C108" s="78" t="s">
        <v>275</v>
      </c>
      <c r="D108" s="10" t="s">
        <v>1991</v>
      </c>
      <c r="E108" s="54"/>
      <c r="F108" s="39"/>
      <c r="G108" s="39"/>
      <c r="H108" s="55"/>
      <c r="I108" s="81"/>
      <c r="J108" s="56"/>
      <c r="K108" s="56"/>
      <c r="L108" s="56"/>
    </row>
    <row r="109" s="70" customFormat="1" spans="1:12">
      <c r="A109" s="75"/>
      <c r="B109" s="78" t="s">
        <v>2666</v>
      </c>
      <c r="C109" s="78" t="s">
        <v>275</v>
      </c>
      <c r="D109" s="10" t="s">
        <v>1993</v>
      </c>
      <c r="E109" s="54"/>
      <c r="F109" s="39"/>
      <c r="G109" s="39"/>
      <c r="H109" s="55"/>
      <c r="I109" s="81"/>
      <c r="J109" s="56"/>
      <c r="K109" s="56"/>
      <c r="L109" s="56"/>
    </row>
    <row r="110" s="70" customFormat="1" spans="1:12">
      <c r="A110" s="75"/>
      <c r="B110" s="78" t="s">
        <v>1994</v>
      </c>
      <c r="C110" s="78" t="s">
        <v>216</v>
      </c>
      <c r="D110" s="10">
        <v>0</v>
      </c>
      <c r="E110" s="54"/>
      <c r="F110" s="39"/>
      <c r="G110" s="39"/>
      <c r="H110" s="55"/>
      <c r="I110" s="81"/>
      <c r="J110" s="56"/>
      <c r="K110" s="56"/>
      <c r="L110" s="56"/>
    </row>
    <row r="111" s="70" customFormat="1" spans="1:12">
      <c r="A111" s="75"/>
      <c r="B111" s="78" t="s">
        <v>2667</v>
      </c>
      <c r="C111" s="78" t="s">
        <v>275</v>
      </c>
      <c r="D111" s="10" t="s">
        <v>2668</v>
      </c>
      <c r="E111" s="54"/>
      <c r="F111" s="39"/>
      <c r="G111" s="39"/>
      <c r="H111" s="55"/>
      <c r="I111" s="81"/>
      <c r="J111" s="56"/>
      <c r="K111" s="56"/>
      <c r="L111" s="56"/>
    </row>
    <row r="112" s="70" customFormat="1" spans="1:12">
      <c r="A112" s="75"/>
      <c r="B112" s="78" t="s">
        <v>2669</v>
      </c>
      <c r="C112" s="78" t="s">
        <v>220</v>
      </c>
      <c r="D112" s="10" t="s">
        <v>2670</v>
      </c>
      <c r="E112" s="54"/>
      <c r="F112" s="39"/>
      <c r="G112" s="39"/>
      <c r="H112" s="55"/>
      <c r="I112" s="81"/>
      <c r="J112" s="56"/>
      <c r="K112" s="56"/>
      <c r="L112" s="56"/>
    </row>
    <row r="113" s="70" customFormat="1" spans="1:21">
      <c r="A113" s="75"/>
      <c r="B113" s="78" t="s">
        <v>2000</v>
      </c>
      <c r="C113" s="78" t="s">
        <v>216</v>
      </c>
      <c r="D113" s="10">
        <v>0</v>
      </c>
      <c r="E113" s="54"/>
      <c r="F113" s="39"/>
      <c r="G113" s="39"/>
      <c r="H113" s="55"/>
      <c r="I113" s="81"/>
      <c r="J113" s="56"/>
      <c r="K113" s="56"/>
      <c r="L113" s="56"/>
      <c r="P113" s="70" t="s">
        <v>1234</v>
      </c>
      <c r="S113" s="70" t="s">
        <v>1211</v>
      </c>
      <c r="T113" s="70" t="s">
        <v>155</v>
      </c>
      <c r="U113" s="70" t="s">
        <v>235</v>
      </c>
    </row>
    <row r="114" s="70" customFormat="1" spans="1:21">
      <c r="A114" s="75"/>
      <c r="B114" s="78" t="s">
        <v>2002</v>
      </c>
      <c r="C114" s="78" t="s">
        <v>216</v>
      </c>
      <c r="D114" s="10">
        <v>0</v>
      </c>
      <c r="E114" s="54"/>
      <c r="F114" s="39"/>
      <c r="G114" s="39"/>
      <c r="H114" s="55"/>
      <c r="I114" s="81"/>
      <c r="J114" s="56"/>
      <c r="K114" s="56"/>
      <c r="L114" s="56"/>
      <c r="P114" s="70" t="s">
        <v>1237</v>
      </c>
      <c r="S114" s="70" t="s">
        <v>1211</v>
      </c>
      <c r="T114" s="70" t="s">
        <v>155</v>
      </c>
      <c r="U114" s="70" t="s">
        <v>235</v>
      </c>
    </row>
    <row r="115" s="70" customFormat="1" spans="1:21">
      <c r="A115" s="75"/>
      <c r="B115" s="78" t="s">
        <v>2671</v>
      </c>
      <c r="C115" s="78" t="s">
        <v>220</v>
      </c>
      <c r="D115" s="10" t="s">
        <v>2672</v>
      </c>
      <c r="E115" s="54"/>
      <c r="F115" s="39"/>
      <c r="G115" s="39"/>
      <c r="H115" s="55"/>
      <c r="I115" s="81"/>
      <c r="J115" s="56"/>
      <c r="K115" s="56"/>
      <c r="L115" s="56"/>
      <c r="P115" s="70" t="s">
        <v>1240</v>
      </c>
      <c r="S115" s="70" t="s">
        <v>1211</v>
      </c>
      <c r="T115" s="70" t="s">
        <v>155</v>
      </c>
      <c r="U115" s="70" t="s">
        <v>235</v>
      </c>
    </row>
    <row r="116" s="70" customFormat="1" customHeight="1" spans="1:12">
      <c r="A116" s="75"/>
      <c r="B116" s="78" t="s">
        <v>2673</v>
      </c>
      <c r="C116" s="78" t="s">
        <v>275</v>
      </c>
      <c r="D116" s="10" t="s">
        <v>2545</v>
      </c>
      <c r="E116" s="54"/>
      <c r="F116" s="39"/>
      <c r="G116" s="39"/>
      <c r="H116" s="55"/>
      <c r="I116" s="81"/>
      <c r="J116" s="56"/>
      <c r="K116" s="56"/>
      <c r="L116" s="56"/>
    </row>
    <row r="117" s="70" customFormat="1" customHeight="1" spans="1:21">
      <c r="A117" s="75"/>
      <c r="B117" s="78" t="s">
        <v>2674</v>
      </c>
      <c r="C117" s="78" t="s">
        <v>275</v>
      </c>
      <c r="D117" s="10" t="s">
        <v>2546</v>
      </c>
      <c r="E117" s="54"/>
      <c r="F117" s="39"/>
      <c r="G117" s="39"/>
      <c r="H117" s="55"/>
      <c r="I117" s="81"/>
      <c r="J117" s="56"/>
      <c r="K117" s="56"/>
      <c r="L117" s="56"/>
      <c r="P117" s="70" t="s">
        <v>1245</v>
      </c>
      <c r="S117" s="70" t="s">
        <v>1211</v>
      </c>
      <c r="T117" s="70" t="s">
        <v>155</v>
      </c>
      <c r="U117" s="70" t="s">
        <v>235</v>
      </c>
    </row>
    <row r="118" s="70" customFormat="1" customHeight="1" spans="1:12">
      <c r="A118" s="75"/>
      <c r="B118" s="78" t="s">
        <v>2675</v>
      </c>
      <c r="C118" s="78" t="s">
        <v>275</v>
      </c>
      <c r="D118" s="10" t="s">
        <v>2547</v>
      </c>
      <c r="E118" s="54"/>
      <c r="F118" s="39"/>
      <c r="G118" s="39"/>
      <c r="H118" s="55"/>
      <c r="I118" s="81"/>
      <c r="J118" s="56"/>
      <c r="K118" s="56"/>
      <c r="L118" s="56"/>
    </row>
    <row r="119" s="70" customFormat="1" customHeight="1" spans="1:12">
      <c r="A119" s="75"/>
      <c r="B119" s="78" t="s">
        <v>2676</v>
      </c>
      <c r="C119" s="78" t="s">
        <v>275</v>
      </c>
      <c r="D119" s="10" t="s">
        <v>2548</v>
      </c>
      <c r="E119" s="54"/>
      <c r="F119" s="39"/>
      <c r="G119" s="39"/>
      <c r="H119" s="55"/>
      <c r="I119" s="81"/>
      <c r="J119" s="56"/>
      <c r="K119" s="56"/>
      <c r="L119" s="56"/>
    </row>
    <row r="120" s="70" customFormat="1" customHeight="1" spans="1:12">
      <c r="A120" s="75"/>
      <c r="B120" s="78" t="s">
        <v>2677</v>
      </c>
      <c r="C120" s="78" t="s">
        <v>275</v>
      </c>
      <c r="D120" s="10" t="s">
        <v>2549</v>
      </c>
      <c r="E120" s="54"/>
      <c r="F120" s="39"/>
      <c r="G120" s="39"/>
      <c r="H120" s="55"/>
      <c r="I120" s="81"/>
      <c r="J120" s="56"/>
      <c r="K120" s="56"/>
      <c r="L120" s="56"/>
    </row>
    <row r="121" s="70" customFormat="1" customHeight="1" spans="1:12">
      <c r="A121" s="75"/>
      <c r="B121" s="78" t="s">
        <v>2010</v>
      </c>
      <c r="C121" s="78" t="s">
        <v>220</v>
      </c>
      <c r="D121" s="10" t="s">
        <v>2011</v>
      </c>
      <c r="E121" s="54"/>
      <c r="F121" s="39"/>
      <c r="G121" s="39"/>
      <c r="H121" s="55"/>
      <c r="I121" s="81"/>
      <c r="J121" s="56"/>
      <c r="K121" s="56"/>
      <c r="L121" s="56"/>
    </row>
    <row r="122" s="70" customFormat="1" customHeight="1" spans="1:12">
      <c r="A122" s="75"/>
      <c r="B122" s="78" t="s">
        <v>1308</v>
      </c>
      <c r="C122" s="78" t="s">
        <v>275</v>
      </c>
      <c r="D122" s="10" t="s">
        <v>1309</v>
      </c>
      <c r="E122" s="54"/>
      <c r="F122" s="39"/>
      <c r="G122" s="39"/>
      <c r="H122" s="55"/>
      <c r="I122" s="81"/>
      <c r="J122" s="56"/>
      <c r="K122" s="56"/>
      <c r="L122" s="56"/>
    </row>
    <row r="123" s="70" customFormat="1" spans="1:12">
      <c r="A123" s="75"/>
      <c r="B123" s="78" t="s">
        <v>222</v>
      </c>
      <c r="C123" s="78" t="s">
        <v>275</v>
      </c>
      <c r="D123" s="10" t="s">
        <v>298</v>
      </c>
      <c r="E123" s="54"/>
      <c r="F123" s="39"/>
      <c r="G123" s="39"/>
      <c r="H123" s="55"/>
      <c r="I123" s="81"/>
      <c r="J123" s="56"/>
      <c r="K123" s="56"/>
      <c r="L123" s="56"/>
    </row>
    <row r="124" s="51" customFormat="1" ht="26.4" spans="1:12">
      <c r="A124" s="63"/>
      <c r="B124" s="64" t="s">
        <v>2678</v>
      </c>
      <c r="C124" s="64" t="s">
        <v>216</v>
      </c>
      <c r="D124" s="66" t="s">
        <v>2679</v>
      </c>
      <c r="E124" s="65" t="s">
        <v>1037</v>
      </c>
      <c r="F124" s="60" t="s">
        <v>2680</v>
      </c>
      <c r="G124" s="66" t="s">
        <v>218</v>
      </c>
      <c r="H124" s="67"/>
      <c r="I124" s="68" t="s">
        <v>2018</v>
      </c>
      <c r="J124" s="69" t="s">
        <v>26</v>
      </c>
      <c r="K124" s="69" t="s">
        <v>323</v>
      </c>
      <c r="L124" s="69" t="s">
        <v>323</v>
      </c>
    </row>
    <row r="125" s="70" customFormat="1" spans="1:12">
      <c r="A125" s="75"/>
      <c r="B125" s="78" t="s">
        <v>1176</v>
      </c>
      <c r="C125" s="78" t="s">
        <v>275</v>
      </c>
      <c r="D125" s="10" t="s">
        <v>2681</v>
      </c>
      <c r="E125" s="54"/>
      <c r="F125" s="82"/>
      <c r="G125" s="39"/>
      <c r="H125" s="55"/>
      <c r="I125" s="81"/>
      <c r="J125" s="56"/>
      <c r="K125" s="56"/>
      <c r="L125" s="56"/>
    </row>
    <row r="126" s="51" customFormat="1" spans="1:12">
      <c r="A126" s="63"/>
      <c r="B126" s="64" t="s">
        <v>1830</v>
      </c>
      <c r="C126" s="64" t="s">
        <v>220</v>
      </c>
      <c r="D126" s="66" t="s">
        <v>2092</v>
      </c>
      <c r="E126" s="65" t="s">
        <v>199</v>
      </c>
      <c r="F126" s="60" t="s">
        <v>252</v>
      </c>
      <c r="G126" s="66" t="s">
        <v>218</v>
      </c>
      <c r="H126" s="67"/>
      <c r="I126" s="68" t="s">
        <v>2018</v>
      </c>
      <c r="J126" s="69" t="s">
        <v>26</v>
      </c>
      <c r="K126" s="69" t="s">
        <v>323</v>
      </c>
      <c r="L126" s="69" t="s">
        <v>323</v>
      </c>
    </row>
    <row r="127" s="51" customFormat="1" ht="26.4" spans="1:12">
      <c r="A127" s="63"/>
      <c r="B127" s="64" t="s">
        <v>1832</v>
      </c>
      <c r="C127" s="64" t="s">
        <v>220</v>
      </c>
      <c r="D127" s="66" t="s">
        <v>2093</v>
      </c>
      <c r="E127" s="65" t="s">
        <v>1037</v>
      </c>
      <c r="F127" s="60" t="s">
        <v>1038</v>
      </c>
      <c r="G127" s="66" t="s">
        <v>218</v>
      </c>
      <c r="H127" s="67"/>
      <c r="I127" s="68" t="s">
        <v>2018</v>
      </c>
      <c r="J127" s="69" t="s">
        <v>26</v>
      </c>
      <c r="K127" s="69" t="s">
        <v>323</v>
      </c>
      <c r="L127" s="69" t="s">
        <v>323</v>
      </c>
    </row>
    <row r="128" s="51" customFormat="1" ht="26.4" spans="1:12">
      <c r="A128" s="63"/>
      <c r="B128" s="64" t="s">
        <v>1834</v>
      </c>
      <c r="C128" s="64" t="s">
        <v>220</v>
      </c>
      <c r="D128" s="66" t="s">
        <v>1320</v>
      </c>
      <c r="E128" s="65" t="s">
        <v>1037</v>
      </c>
      <c r="F128" s="60" t="s">
        <v>1066</v>
      </c>
      <c r="G128" s="66" t="s">
        <v>218</v>
      </c>
      <c r="H128" s="67"/>
      <c r="I128" s="68" t="s">
        <v>2018</v>
      </c>
      <c r="J128" s="69" t="s">
        <v>26</v>
      </c>
      <c r="K128" s="69" t="s">
        <v>323</v>
      </c>
      <c r="L128" s="69" t="s">
        <v>323</v>
      </c>
    </row>
    <row r="129" s="51" customFormat="1" ht="26.4" spans="1:12">
      <c r="A129" s="63"/>
      <c r="B129" s="64" t="s">
        <v>1316</v>
      </c>
      <c r="C129" s="64" t="s">
        <v>216</v>
      </c>
      <c r="D129" s="66" t="s">
        <v>2092</v>
      </c>
      <c r="E129" s="65" t="s">
        <v>1037</v>
      </c>
      <c r="F129" s="60" t="s">
        <v>2020</v>
      </c>
      <c r="G129" s="66" t="s">
        <v>218</v>
      </c>
      <c r="H129" s="67"/>
      <c r="I129" s="68" t="s">
        <v>2018</v>
      </c>
      <c r="J129" s="69" t="s">
        <v>26</v>
      </c>
      <c r="K129" s="69" t="s">
        <v>323</v>
      </c>
      <c r="L129" s="69" t="s">
        <v>323</v>
      </c>
    </row>
    <row r="130" s="51" customFormat="1" ht="26.4" spans="1:12">
      <c r="A130" s="63"/>
      <c r="B130" s="64" t="s">
        <v>1318</v>
      </c>
      <c r="C130" s="64" t="s">
        <v>216</v>
      </c>
      <c r="D130" s="66" t="s">
        <v>2093</v>
      </c>
      <c r="E130" s="65" t="s">
        <v>1037</v>
      </c>
      <c r="F130" s="60" t="s">
        <v>2022</v>
      </c>
      <c r="G130" s="66" t="s">
        <v>218</v>
      </c>
      <c r="H130" s="67"/>
      <c r="I130" s="68" t="s">
        <v>2018</v>
      </c>
      <c r="J130" s="69" t="s">
        <v>26</v>
      </c>
      <c r="K130" s="69" t="s">
        <v>323</v>
      </c>
      <c r="L130" s="69" t="s">
        <v>323</v>
      </c>
    </row>
    <row r="131" s="51" customFormat="1" ht="26.4" spans="1:12">
      <c r="A131" s="63"/>
      <c r="B131" s="64" t="s">
        <v>2023</v>
      </c>
      <c r="C131" s="64" t="s">
        <v>216</v>
      </c>
      <c r="D131" s="66" t="s">
        <v>1320</v>
      </c>
      <c r="E131" s="65" t="s">
        <v>1037</v>
      </c>
      <c r="F131" s="60" t="s">
        <v>2025</v>
      </c>
      <c r="G131" s="66" t="s">
        <v>218</v>
      </c>
      <c r="H131" s="67"/>
      <c r="I131" s="68" t="s">
        <v>2018</v>
      </c>
      <c r="J131" s="69" t="s">
        <v>26</v>
      </c>
      <c r="K131" s="69" t="s">
        <v>323</v>
      </c>
      <c r="L131" s="69" t="s">
        <v>323</v>
      </c>
    </row>
    <row r="132" s="70" customFormat="1" spans="1:12">
      <c r="A132" s="75"/>
      <c r="B132" s="78" t="s">
        <v>2040</v>
      </c>
      <c r="C132" s="78" t="s">
        <v>275</v>
      </c>
      <c r="D132" s="10" t="s">
        <v>2041</v>
      </c>
      <c r="E132" s="54"/>
      <c r="F132" s="39"/>
      <c r="G132" s="39"/>
      <c r="H132" s="55"/>
      <c r="I132" s="81"/>
      <c r="J132" s="56"/>
      <c r="K132" s="56"/>
      <c r="L132" s="56"/>
    </row>
    <row r="133" s="70" customFormat="1" spans="1:12">
      <c r="A133" s="75"/>
      <c r="B133" s="78" t="s">
        <v>2042</v>
      </c>
      <c r="C133" s="78" t="s">
        <v>275</v>
      </c>
      <c r="D133" s="10" t="s">
        <v>2043</v>
      </c>
      <c r="E133" s="54"/>
      <c r="F133" s="39"/>
      <c r="G133" s="39"/>
      <c r="H133" s="55"/>
      <c r="I133" s="81"/>
      <c r="J133" s="56"/>
      <c r="K133" s="56"/>
      <c r="L133" s="56"/>
    </row>
    <row r="134" s="70" customFormat="1" spans="1:12">
      <c r="A134" s="75"/>
      <c r="B134" s="78" t="s">
        <v>2682</v>
      </c>
      <c r="C134" s="78" t="s">
        <v>275</v>
      </c>
      <c r="D134" s="10" t="s">
        <v>2683</v>
      </c>
      <c r="E134" s="54"/>
      <c r="F134" s="39"/>
      <c r="G134" s="39"/>
      <c r="H134" s="55"/>
      <c r="I134" s="81"/>
      <c r="J134" s="56"/>
      <c r="K134" s="56"/>
      <c r="L134" s="56"/>
    </row>
    <row r="135" s="70" customFormat="1" spans="1:12">
      <c r="A135" s="75"/>
      <c r="B135" s="78" t="s">
        <v>2044</v>
      </c>
      <c r="C135" s="78" t="s">
        <v>220</v>
      </c>
      <c r="D135" s="10" t="s">
        <v>2045</v>
      </c>
      <c r="E135" s="54"/>
      <c r="F135" s="39"/>
      <c r="G135" s="39"/>
      <c r="H135" s="55"/>
      <c r="I135" s="81"/>
      <c r="J135" s="56"/>
      <c r="K135" s="56"/>
      <c r="L135" s="56"/>
    </row>
    <row r="136" s="70" customFormat="1" spans="1:12">
      <c r="A136" s="75"/>
      <c r="B136" s="78" t="s">
        <v>2046</v>
      </c>
      <c r="C136" s="78" t="s">
        <v>275</v>
      </c>
      <c r="D136" s="10" t="s">
        <v>1167</v>
      </c>
      <c r="E136" s="54"/>
      <c r="F136" s="39"/>
      <c r="G136" s="39"/>
      <c r="H136" s="55"/>
      <c r="I136" s="81"/>
      <c r="J136" s="56"/>
      <c r="K136" s="56"/>
      <c r="L136" s="56"/>
    </row>
    <row r="137" s="70" customFormat="1" ht="26.4" spans="1:12">
      <c r="A137" s="75"/>
      <c r="B137" s="78" t="s">
        <v>2684</v>
      </c>
      <c r="C137" s="78" t="s">
        <v>275</v>
      </c>
      <c r="D137" s="10" t="s">
        <v>2048</v>
      </c>
      <c r="E137" s="54"/>
      <c r="F137" s="39"/>
      <c r="G137" s="39"/>
      <c r="H137" s="55"/>
      <c r="I137" s="81"/>
      <c r="J137" s="56"/>
      <c r="K137" s="56"/>
      <c r="L137" s="56"/>
    </row>
    <row r="138" s="70" customFormat="1" spans="1:12">
      <c r="A138" s="75"/>
      <c r="B138" s="78" t="s">
        <v>2049</v>
      </c>
      <c r="C138" s="78" t="s">
        <v>275</v>
      </c>
      <c r="D138" s="10" t="s">
        <v>2050</v>
      </c>
      <c r="E138" s="54"/>
      <c r="F138" s="39"/>
      <c r="G138" s="39"/>
      <c r="H138" s="55"/>
      <c r="I138" s="81"/>
      <c r="J138" s="56"/>
      <c r="K138" s="56"/>
      <c r="L138" s="56"/>
    </row>
    <row r="139" s="70" customFormat="1" spans="1:12">
      <c r="A139" s="75"/>
      <c r="B139" s="78" t="s">
        <v>2053</v>
      </c>
      <c r="C139" s="78" t="s">
        <v>275</v>
      </c>
      <c r="D139" s="10" t="s">
        <v>2054</v>
      </c>
      <c r="E139" s="54"/>
      <c r="F139" s="39"/>
      <c r="G139" s="39"/>
      <c r="H139" s="55"/>
      <c r="I139" s="81"/>
      <c r="J139" s="56"/>
      <c r="K139" s="56"/>
      <c r="L139" s="56"/>
    </row>
    <row r="140" s="70" customFormat="1" spans="1:12">
      <c r="A140" s="75"/>
      <c r="B140" s="78" t="s">
        <v>2055</v>
      </c>
      <c r="C140" s="78" t="s">
        <v>275</v>
      </c>
      <c r="D140" s="10" t="s">
        <v>2056</v>
      </c>
      <c r="E140" s="54"/>
      <c r="F140" s="39"/>
      <c r="G140" s="39"/>
      <c r="H140" s="55"/>
      <c r="I140" s="81"/>
      <c r="J140" s="56"/>
      <c r="K140" s="56"/>
      <c r="L140" s="56"/>
    </row>
    <row r="141" s="70" customFormat="1" spans="1:12">
      <c r="A141" s="75"/>
      <c r="B141" s="78" t="s">
        <v>2057</v>
      </c>
      <c r="C141" s="78" t="s">
        <v>275</v>
      </c>
      <c r="D141" s="10" t="s">
        <v>2058</v>
      </c>
      <c r="E141" s="54"/>
      <c r="F141" s="39"/>
      <c r="G141" s="39"/>
      <c r="H141" s="55"/>
      <c r="I141" s="81"/>
      <c r="J141" s="56"/>
      <c r="K141" s="56"/>
      <c r="L141" s="56"/>
    </row>
    <row r="142" s="70" customFormat="1" spans="1:12">
      <c r="A142" s="75"/>
      <c r="B142" s="78" t="s">
        <v>2061</v>
      </c>
      <c r="C142" s="78" t="s">
        <v>275</v>
      </c>
      <c r="D142" s="10" t="s">
        <v>2062</v>
      </c>
      <c r="E142" s="54"/>
      <c r="F142" s="39"/>
      <c r="G142" s="39"/>
      <c r="H142" s="55"/>
      <c r="I142" s="81"/>
      <c r="J142" s="56"/>
      <c r="K142" s="56"/>
      <c r="L142" s="56"/>
    </row>
    <row r="143" s="70" customFormat="1" ht="26.4" spans="1:12">
      <c r="A143" s="75"/>
      <c r="B143" s="78" t="s">
        <v>2063</v>
      </c>
      <c r="C143" s="78" t="s">
        <v>275</v>
      </c>
      <c r="D143" s="10" t="s">
        <v>2064</v>
      </c>
      <c r="E143" s="54"/>
      <c r="F143" s="39"/>
      <c r="G143" s="39"/>
      <c r="H143" s="55"/>
      <c r="I143" s="81"/>
      <c r="J143" s="56"/>
      <c r="K143" s="56"/>
      <c r="L143" s="56"/>
    </row>
    <row r="144" s="70" customFormat="1" ht="26.4" spans="1:12">
      <c r="A144" s="75"/>
      <c r="B144" s="78" t="s">
        <v>2065</v>
      </c>
      <c r="C144" s="78" t="s">
        <v>275</v>
      </c>
      <c r="D144" s="10" t="s">
        <v>2066</v>
      </c>
      <c r="E144" s="54"/>
      <c r="F144" s="39"/>
      <c r="G144" s="39"/>
      <c r="H144" s="55"/>
      <c r="I144" s="81"/>
      <c r="J144" s="56"/>
      <c r="K144" s="56"/>
      <c r="L144" s="56"/>
    </row>
    <row r="145" s="70" customFormat="1" ht="26.4" spans="1:12">
      <c r="A145" s="75"/>
      <c r="B145" s="78" t="s">
        <v>2067</v>
      </c>
      <c r="C145" s="78" t="s">
        <v>275</v>
      </c>
      <c r="D145" s="10" t="s">
        <v>2068</v>
      </c>
      <c r="E145" s="54"/>
      <c r="F145" s="39"/>
      <c r="G145" s="39"/>
      <c r="H145" s="55"/>
      <c r="I145" s="81"/>
      <c r="J145" s="56"/>
      <c r="K145" s="56"/>
      <c r="L145" s="56"/>
    </row>
    <row r="146" s="70" customFormat="1" ht="26.4" spans="1:12">
      <c r="A146" s="75"/>
      <c r="B146" s="78" t="s">
        <v>2069</v>
      </c>
      <c r="C146" s="78" t="s">
        <v>275</v>
      </c>
      <c r="D146" s="10" t="s">
        <v>2070</v>
      </c>
      <c r="E146" s="54"/>
      <c r="F146" s="39"/>
      <c r="G146" s="39"/>
      <c r="H146" s="55"/>
      <c r="I146" s="81"/>
      <c r="J146" s="56"/>
      <c r="K146" s="56"/>
      <c r="L146" s="56"/>
    </row>
    <row r="147" s="70" customFormat="1" ht="26.4" spans="1:12">
      <c r="A147" s="75"/>
      <c r="B147" s="78" t="s">
        <v>2073</v>
      </c>
      <c r="C147" s="78" t="s">
        <v>275</v>
      </c>
      <c r="D147" s="10" t="s">
        <v>2074</v>
      </c>
      <c r="E147" s="54"/>
      <c r="F147" s="39"/>
      <c r="G147" s="39"/>
      <c r="H147" s="55"/>
      <c r="I147" s="81"/>
      <c r="J147" s="56"/>
      <c r="K147" s="56"/>
      <c r="L147" s="56"/>
    </row>
    <row r="148" s="70" customFormat="1" ht="26.4" spans="1:12">
      <c r="A148" s="75"/>
      <c r="B148" s="78" t="s">
        <v>2075</v>
      </c>
      <c r="C148" s="78" t="s">
        <v>275</v>
      </c>
      <c r="D148" s="10" t="s">
        <v>2076</v>
      </c>
      <c r="E148" s="54"/>
      <c r="F148" s="39"/>
      <c r="G148" s="39"/>
      <c r="H148" s="55"/>
      <c r="I148" s="81"/>
      <c r="J148" s="56"/>
      <c r="K148" s="56"/>
      <c r="L148" s="56"/>
    </row>
    <row r="149" s="70" customFormat="1" ht="26.4" spans="1:12">
      <c r="A149" s="75"/>
      <c r="B149" s="78" t="s">
        <v>2077</v>
      </c>
      <c r="C149" s="78" t="s">
        <v>220</v>
      </c>
      <c r="D149" s="10" t="s">
        <v>2078</v>
      </c>
      <c r="E149" s="54"/>
      <c r="F149" s="39"/>
      <c r="G149" s="39"/>
      <c r="H149" s="55"/>
      <c r="I149" s="81"/>
      <c r="J149" s="56"/>
      <c r="K149" s="56"/>
      <c r="L149" s="56"/>
    </row>
    <row r="150" s="70" customFormat="1" spans="1:12">
      <c r="A150" s="75"/>
      <c r="B150" s="78" t="s">
        <v>2079</v>
      </c>
      <c r="C150" s="78" t="s">
        <v>240</v>
      </c>
      <c r="D150" s="10" t="s">
        <v>2080</v>
      </c>
      <c r="E150" s="54"/>
      <c r="F150" s="39"/>
      <c r="G150" s="39"/>
      <c r="H150" s="55"/>
      <c r="I150" s="81"/>
      <c r="J150" s="56"/>
      <c r="K150" s="56"/>
      <c r="L150" s="56"/>
    </row>
    <row r="151" s="70" customFormat="1" spans="1:12">
      <c r="A151" s="75"/>
      <c r="B151" s="78" t="s">
        <v>2081</v>
      </c>
      <c r="C151" s="78" t="s">
        <v>240</v>
      </c>
      <c r="D151" s="10" t="s">
        <v>2082</v>
      </c>
      <c r="E151" s="54"/>
      <c r="F151" s="39"/>
      <c r="G151" s="39"/>
      <c r="H151" s="55"/>
      <c r="I151" s="81"/>
      <c r="J151" s="56"/>
      <c r="K151" s="56"/>
      <c r="L151" s="56"/>
    </row>
    <row r="152" s="70" customFormat="1" spans="1:12">
      <c r="A152" s="75"/>
      <c r="B152" s="78" t="s">
        <v>2083</v>
      </c>
      <c r="C152" s="78" t="s">
        <v>220</v>
      </c>
      <c r="D152" s="10" t="s">
        <v>2084</v>
      </c>
      <c r="E152" s="54"/>
      <c r="F152" s="39"/>
      <c r="G152" s="39"/>
      <c r="H152" s="55"/>
      <c r="I152" s="81"/>
      <c r="J152" s="56"/>
      <c r="K152" s="56"/>
      <c r="L152" s="56"/>
    </row>
    <row r="153" s="70" customFormat="1" spans="1:12">
      <c r="A153" s="75"/>
      <c r="B153" s="78" t="s">
        <v>2562</v>
      </c>
      <c r="C153" s="78" t="s">
        <v>220</v>
      </c>
      <c r="D153" s="10" t="s">
        <v>2563</v>
      </c>
      <c r="E153" s="54"/>
      <c r="F153" s="39"/>
      <c r="G153" s="39"/>
      <c r="H153" s="55"/>
      <c r="I153" s="81"/>
      <c r="J153" s="56"/>
      <c r="K153" s="56"/>
      <c r="L153" s="56"/>
    </row>
    <row r="154" s="70" customFormat="1" spans="1:12">
      <c r="A154" s="75"/>
      <c r="B154" s="78" t="s">
        <v>2085</v>
      </c>
      <c r="C154" s="78" t="s">
        <v>220</v>
      </c>
      <c r="D154" s="10" t="s">
        <v>2086</v>
      </c>
      <c r="E154" s="54"/>
      <c r="F154" s="39"/>
      <c r="G154" s="39"/>
      <c r="H154" s="55"/>
      <c r="I154" s="81"/>
      <c r="J154" s="56"/>
      <c r="K154" s="56"/>
      <c r="L154" s="56"/>
    </row>
    <row r="155" s="70" customFormat="1" spans="1:12">
      <c r="A155" s="75"/>
      <c r="B155" s="78" t="s">
        <v>2087</v>
      </c>
      <c r="C155" s="78" t="s">
        <v>216</v>
      </c>
      <c r="D155" s="10" t="s">
        <v>2088</v>
      </c>
      <c r="E155" s="54"/>
      <c r="F155" s="39"/>
      <c r="G155" s="39"/>
      <c r="H155" s="55"/>
      <c r="I155" s="81"/>
      <c r="J155" s="56"/>
      <c r="K155" s="56"/>
      <c r="L155" s="56"/>
    </row>
    <row r="156" s="70" customFormat="1" spans="1:12">
      <c r="A156" s="75"/>
      <c r="B156" s="78" t="s">
        <v>2685</v>
      </c>
      <c r="C156" s="78" t="s">
        <v>220</v>
      </c>
      <c r="D156" s="10" t="s">
        <v>1296</v>
      </c>
      <c r="E156" s="54"/>
      <c r="F156" s="39"/>
      <c r="G156" s="39"/>
      <c r="H156" s="55"/>
      <c r="I156" s="81"/>
      <c r="J156" s="56"/>
      <c r="K156" s="56"/>
      <c r="L156" s="56"/>
    </row>
    <row r="157" s="37" customFormat="1" spans="1:12">
      <c r="A157" s="42"/>
      <c r="B157" s="43" t="s">
        <v>252</v>
      </c>
      <c r="C157" s="43" t="s">
        <v>220</v>
      </c>
      <c r="D157" s="44" t="s">
        <v>254</v>
      </c>
      <c r="E157" s="45"/>
      <c r="F157" s="46"/>
      <c r="G157" s="46"/>
      <c r="H157" s="47"/>
      <c r="I157" s="48"/>
      <c r="J157" s="49"/>
      <c r="K157" s="49"/>
      <c r="L157" s="49"/>
    </row>
    <row r="158" s="37" customFormat="1" spans="1:12">
      <c r="A158" s="42"/>
      <c r="B158" s="43" t="s">
        <v>255</v>
      </c>
      <c r="C158" s="43" t="s">
        <v>216</v>
      </c>
      <c r="D158" s="44" t="s">
        <v>256</v>
      </c>
      <c r="E158" s="45"/>
      <c r="F158" s="46"/>
      <c r="G158" s="46"/>
      <c r="H158" s="47"/>
      <c r="I158" s="48"/>
      <c r="J158" s="49"/>
      <c r="K158" s="49"/>
      <c r="L158" s="49"/>
    </row>
    <row r="159" s="37" customFormat="1" spans="1:12">
      <c r="A159" s="42"/>
      <c r="B159" s="43" t="s">
        <v>257</v>
      </c>
      <c r="C159" s="43" t="s">
        <v>220</v>
      </c>
      <c r="D159" s="44" t="s">
        <v>258</v>
      </c>
      <c r="E159" s="45"/>
      <c r="F159" s="46"/>
      <c r="G159" s="46"/>
      <c r="H159" s="47"/>
      <c r="I159" s="48"/>
      <c r="J159" s="49"/>
      <c r="K159" s="49"/>
      <c r="L159" s="49"/>
    </row>
    <row r="160" s="37" customFormat="1" spans="1:12">
      <c r="A160" s="42"/>
      <c r="B160" s="43" t="s">
        <v>262</v>
      </c>
      <c r="C160" s="43" t="s">
        <v>220</v>
      </c>
      <c r="D160" s="44" t="s">
        <v>263</v>
      </c>
      <c r="E160" s="45"/>
      <c r="F160" s="46"/>
      <c r="G160" s="46"/>
      <c r="H160" s="47"/>
      <c r="I160" s="48"/>
      <c r="J160" s="49"/>
      <c r="K160" s="49"/>
      <c r="L160" s="49"/>
    </row>
  </sheetData>
  <autoFilter xmlns:etc="http://www.wps.cn/officeDocument/2017/etCustomData" ref="A15:N160" etc:filterBottomFollowUsedRange="0">
    <extLst/>
  </autoFilter>
  <mergeCells count="5">
    <mergeCell ref="B2:H2"/>
    <mergeCell ref="B3:H3"/>
    <mergeCell ref="B7:H7"/>
    <mergeCell ref="B14:L14"/>
    <mergeCell ref="G10:G11"/>
  </mergeCells>
  <pageMargins left="0.7" right="0.7"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5"/>
  <sheetViews>
    <sheetView zoomScale="85" zoomScaleNormal="85" workbookViewId="0">
      <pane ySplit="5" topLeftCell="A45" activePane="bottomLeft" state="frozen"/>
      <selection/>
      <selection pane="bottomLeft" activeCell="C5" sqref="C5:D5"/>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1.8888888888889"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98</v>
      </c>
      <c r="D5" s="35" t="s">
        <v>99</v>
      </c>
      <c r="E5" s="11" t="s">
        <v>1026</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94</v>
      </c>
      <c r="D9" s="35" t="s">
        <v>96</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1828</v>
      </c>
      <c r="C16" s="32" t="s">
        <v>216</v>
      </c>
      <c r="D16" s="10" t="s">
        <v>2089</v>
      </c>
      <c r="E16" s="54"/>
      <c r="F16" s="39"/>
      <c r="G16" s="39"/>
      <c r="H16" s="55"/>
      <c r="I16" s="56"/>
      <c r="J16" s="56"/>
      <c r="K16" s="56"/>
      <c r="L16" s="56"/>
    </row>
    <row r="17" s="1" customFormat="1" spans="2:12">
      <c r="B17" s="32" t="s">
        <v>1026</v>
      </c>
      <c r="C17" s="32" t="s">
        <v>220</v>
      </c>
      <c r="D17" s="10" t="s">
        <v>66</v>
      </c>
      <c r="E17" s="54"/>
      <c r="F17" s="39"/>
      <c r="G17" s="39"/>
      <c r="H17" s="55"/>
      <c r="I17" s="56"/>
      <c r="J17" s="56"/>
      <c r="K17" s="56"/>
      <c r="L17" s="56"/>
    </row>
    <row r="18" s="1" customFormat="1" spans="2:12">
      <c r="B18" s="32" t="s">
        <v>1864</v>
      </c>
      <c r="C18" s="32" t="s">
        <v>220</v>
      </c>
      <c r="D18" s="10" t="s">
        <v>2686</v>
      </c>
      <c r="E18" s="54"/>
      <c r="F18" s="39"/>
      <c r="G18" s="39"/>
      <c r="H18" s="55"/>
      <c r="I18" s="56"/>
      <c r="J18" s="56"/>
      <c r="K18" s="56"/>
      <c r="L18" s="56"/>
    </row>
    <row r="19" s="1" customFormat="1" spans="2:12">
      <c r="B19" s="32" t="s">
        <v>1830</v>
      </c>
      <c r="C19" s="32" t="s">
        <v>220</v>
      </c>
      <c r="D19" s="10" t="s">
        <v>2092</v>
      </c>
      <c r="E19" s="54"/>
      <c r="F19" s="39"/>
      <c r="G19" s="39"/>
      <c r="H19" s="55"/>
      <c r="I19" s="56"/>
      <c r="J19" s="56"/>
      <c r="K19" s="56"/>
      <c r="L19" s="56"/>
    </row>
    <row r="20" s="1" customFormat="1" spans="2:12">
      <c r="B20" s="32" t="s">
        <v>1832</v>
      </c>
      <c r="C20" s="32" t="s">
        <v>220</v>
      </c>
      <c r="D20" s="10" t="s">
        <v>2093</v>
      </c>
      <c r="E20" s="54"/>
      <c r="F20" s="39"/>
      <c r="G20" s="39"/>
      <c r="H20" s="55"/>
      <c r="I20" s="56"/>
      <c r="J20" s="56"/>
      <c r="K20" s="56"/>
      <c r="L20" s="56"/>
    </row>
    <row r="21" s="1" customFormat="1" spans="2:12">
      <c r="B21" s="32" t="s">
        <v>1834</v>
      </c>
      <c r="C21" s="32" t="s">
        <v>220</v>
      </c>
      <c r="D21" s="10" t="s">
        <v>1320</v>
      </c>
      <c r="E21" s="54"/>
      <c r="F21" s="39"/>
      <c r="G21" s="39"/>
      <c r="H21" s="55"/>
      <c r="I21" s="56"/>
      <c r="J21" s="56"/>
      <c r="K21" s="56"/>
      <c r="L21" s="56"/>
    </row>
    <row r="22" s="1" customFormat="1" spans="2:12">
      <c r="B22" s="32" t="s">
        <v>1316</v>
      </c>
      <c r="C22" s="32" t="s">
        <v>216</v>
      </c>
      <c r="D22" s="10" t="s">
        <v>2019</v>
      </c>
      <c r="E22" s="54"/>
      <c r="F22" s="39"/>
      <c r="G22" s="39"/>
      <c r="H22" s="55"/>
      <c r="I22" s="56"/>
      <c r="J22" s="56"/>
      <c r="K22" s="56"/>
      <c r="L22" s="56"/>
    </row>
    <row r="23" s="1" customFormat="1" spans="2:12">
      <c r="B23" s="32" t="s">
        <v>1318</v>
      </c>
      <c r="C23" s="32" t="s">
        <v>216</v>
      </c>
      <c r="D23" s="10" t="s">
        <v>2021</v>
      </c>
      <c r="E23" s="54"/>
      <c r="F23" s="39"/>
      <c r="G23" s="39"/>
      <c r="H23" s="55"/>
      <c r="I23" s="56"/>
      <c r="J23" s="56"/>
      <c r="K23" s="56"/>
      <c r="L23" s="56"/>
    </row>
    <row r="24" s="1" customFormat="1" spans="2:12">
      <c r="B24" s="32" t="s">
        <v>2023</v>
      </c>
      <c r="C24" s="32" t="s">
        <v>216</v>
      </c>
      <c r="D24" s="10" t="s">
        <v>2024</v>
      </c>
      <c r="E24" s="54"/>
      <c r="F24" s="39"/>
      <c r="G24" s="39"/>
      <c r="H24" s="55"/>
      <c r="I24" s="56"/>
      <c r="J24" s="56"/>
      <c r="K24" s="56"/>
      <c r="L24" s="56"/>
    </row>
    <row r="25" s="1" customFormat="1" spans="2:12">
      <c r="B25" s="32" t="s">
        <v>1302</v>
      </c>
      <c r="C25" s="32" t="s">
        <v>220</v>
      </c>
      <c r="D25" s="10" t="s">
        <v>2587</v>
      </c>
      <c r="E25" s="54"/>
      <c r="F25" s="39"/>
      <c r="G25" s="39"/>
      <c r="H25" s="55"/>
      <c r="I25" s="56"/>
      <c r="J25" s="56"/>
      <c r="K25" s="56"/>
      <c r="L25" s="56"/>
    </row>
    <row r="26" s="1" customFormat="1" spans="2:12">
      <c r="B26" s="32" t="s">
        <v>302</v>
      </c>
      <c r="C26" s="32" t="s">
        <v>220</v>
      </c>
      <c r="D26" s="10" t="s">
        <v>1051</v>
      </c>
      <c r="E26" s="54"/>
      <c r="F26" s="39"/>
      <c r="G26" s="39"/>
      <c r="H26" s="55"/>
      <c r="I26" s="56"/>
      <c r="J26" s="56"/>
      <c r="K26" s="56"/>
      <c r="L26" s="56"/>
    </row>
    <row r="27" s="1" customFormat="1" spans="2:12">
      <c r="B27" s="32" t="s">
        <v>1306</v>
      </c>
      <c r="C27" s="32" t="s">
        <v>216</v>
      </c>
      <c r="D27" s="10" t="s">
        <v>1307</v>
      </c>
      <c r="E27" s="54"/>
      <c r="F27" s="39"/>
      <c r="G27" s="39"/>
      <c r="H27" s="55"/>
      <c r="I27" s="56"/>
      <c r="J27" s="56"/>
      <c r="K27" s="56"/>
      <c r="L27" s="56"/>
    </row>
    <row r="28" s="1" customFormat="1" spans="2:12">
      <c r="B28" s="32" t="s">
        <v>1308</v>
      </c>
      <c r="C28" s="32" t="s">
        <v>275</v>
      </c>
      <c r="D28" s="10" t="s">
        <v>1309</v>
      </c>
      <c r="E28" s="54"/>
      <c r="F28" s="39"/>
      <c r="G28" s="39"/>
      <c r="H28" s="55"/>
      <c r="I28" s="56"/>
      <c r="J28" s="56"/>
      <c r="K28" s="56"/>
      <c r="L28" s="56"/>
    </row>
    <row r="29" s="1" customFormat="1" spans="2:12">
      <c r="B29" s="32" t="s">
        <v>222</v>
      </c>
      <c r="C29" s="32" t="s">
        <v>275</v>
      </c>
      <c r="D29" s="10" t="s">
        <v>298</v>
      </c>
      <c r="E29" s="54"/>
      <c r="F29" s="39"/>
      <c r="G29" s="39"/>
      <c r="H29" s="55"/>
      <c r="I29" s="56"/>
      <c r="J29" s="56"/>
      <c r="K29" s="56"/>
      <c r="L29" s="56"/>
    </row>
    <row r="30" s="1" customFormat="1" spans="2:12">
      <c r="B30" s="32" t="s">
        <v>1836</v>
      </c>
      <c r="C30" s="32" t="s">
        <v>216</v>
      </c>
      <c r="D30" s="10" t="s">
        <v>1876</v>
      </c>
      <c r="E30" s="54"/>
      <c r="F30" s="39"/>
      <c r="G30" s="39"/>
      <c r="H30" s="55"/>
      <c r="I30" s="56"/>
      <c r="J30" s="56"/>
      <c r="K30" s="56"/>
      <c r="L30" s="56"/>
    </row>
    <row r="31" s="1" customFormat="1" spans="2:12">
      <c r="B31" s="32" t="s">
        <v>2678</v>
      </c>
      <c r="C31" s="32" t="s">
        <v>216</v>
      </c>
      <c r="D31" s="10" t="s">
        <v>2679</v>
      </c>
      <c r="E31" s="54"/>
      <c r="F31" s="39"/>
      <c r="G31" s="39"/>
      <c r="H31" s="55"/>
      <c r="I31" s="56"/>
      <c r="J31" s="56"/>
      <c r="K31" s="56"/>
      <c r="L31" s="56"/>
    </row>
    <row r="32" s="1" customFormat="1" spans="2:12">
      <c r="B32" s="32" t="s">
        <v>1808</v>
      </c>
      <c r="C32" s="32" t="s">
        <v>216</v>
      </c>
      <c r="D32" s="10" t="s">
        <v>2572</v>
      </c>
      <c r="E32" s="54"/>
      <c r="F32" s="39"/>
      <c r="G32" s="39"/>
      <c r="H32" s="55"/>
      <c r="I32" s="56"/>
      <c r="J32" s="56"/>
      <c r="K32" s="56"/>
      <c r="L32" s="56"/>
    </row>
    <row r="33" s="1" customFormat="1" spans="2:12">
      <c r="B33" s="32" t="s">
        <v>1310</v>
      </c>
      <c r="C33" s="32" t="s">
        <v>216</v>
      </c>
      <c r="D33" s="10" t="s">
        <v>1311</v>
      </c>
      <c r="E33" s="54"/>
      <c r="F33" s="39"/>
      <c r="G33" s="39"/>
      <c r="H33" s="55"/>
      <c r="I33" s="56"/>
      <c r="J33" s="56"/>
      <c r="K33" s="56"/>
      <c r="L33" s="56"/>
    </row>
    <row r="34" s="1" customFormat="1" spans="2:12">
      <c r="B34" s="32" t="s">
        <v>267</v>
      </c>
      <c r="C34" s="32" t="s">
        <v>216</v>
      </c>
      <c r="D34" s="10" t="s">
        <v>2094</v>
      </c>
      <c r="E34" s="54"/>
      <c r="F34" s="39"/>
      <c r="G34" s="39"/>
      <c r="H34" s="55"/>
      <c r="I34" s="56"/>
      <c r="J34" s="56"/>
      <c r="K34" s="56"/>
      <c r="L34" s="56"/>
    </row>
    <row r="35" s="1" customFormat="1" spans="2:12">
      <c r="B35" s="32" t="s">
        <v>2589</v>
      </c>
      <c r="C35" s="32" t="s">
        <v>216</v>
      </c>
      <c r="D35" s="10" t="s">
        <v>2590</v>
      </c>
      <c r="E35" s="54"/>
      <c r="F35" s="39"/>
      <c r="G35" s="39"/>
      <c r="H35" s="55"/>
      <c r="I35" s="56"/>
      <c r="J35" s="56"/>
      <c r="K35" s="56"/>
      <c r="L35" s="56"/>
    </row>
    <row r="36" s="1" customFormat="1" spans="2:12">
      <c r="B36" s="32" t="s">
        <v>1304</v>
      </c>
      <c r="C36" s="32" t="s">
        <v>216</v>
      </c>
      <c r="D36" s="10" t="s">
        <v>1305</v>
      </c>
      <c r="E36" s="54"/>
      <c r="F36" s="39"/>
      <c r="G36" s="39"/>
      <c r="H36" s="55"/>
      <c r="I36" s="56"/>
      <c r="J36" s="56"/>
      <c r="K36" s="56"/>
      <c r="L36" s="56"/>
    </row>
    <row r="37" s="1" customFormat="1" spans="2:12">
      <c r="B37" s="32" t="s">
        <v>1176</v>
      </c>
      <c r="C37" s="32" t="s">
        <v>220</v>
      </c>
      <c r="D37" s="10" t="s">
        <v>1312</v>
      </c>
      <c r="E37" s="54"/>
      <c r="F37" s="39"/>
      <c r="G37" s="39"/>
      <c r="H37" s="55"/>
      <c r="I37" s="56"/>
      <c r="J37" s="56"/>
      <c r="K37" s="56"/>
      <c r="L37" s="56"/>
    </row>
    <row r="38" s="1" customFormat="1" spans="2:12">
      <c r="B38" s="32" t="s">
        <v>2612</v>
      </c>
      <c r="C38" s="32" t="s">
        <v>216</v>
      </c>
      <c r="D38" s="10" t="s">
        <v>2613</v>
      </c>
      <c r="E38" s="54"/>
      <c r="F38" s="39"/>
      <c r="G38" s="39"/>
      <c r="H38" s="55"/>
      <c r="I38" s="56"/>
      <c r="J38" s="56"/>
      <c r="K38" s="56"/>
      <c r="L38" s="56"/>
    </row>
    <row r="39" s="1" customFormat="1" spans="2:12">
      <c r="B39" s="32" t="s">
        <v>2614</v>
      </c>
      <c r="C39" s="32" t="s">
        <v>216</v>
      </c>
      <c r="D39" s="10" t="s">
        <v>2615</v>
      </c>
      <c r="E39" s="54"/>
      <c r="F39" s="39"/>
      <c r="G39" s="39"/>
      <c r="H39" s="55"/>
      <c r="I39" s="56"/>
      <c r="J39" s="56"/>
      <c r="K39" s="56"/>
      <c r="L39" s="56"/>
    </row>
    <row r="40" s="1" customFormat="1" spans="2:12">
      <c r="B40" s="32" t="s">
        <v>2591</v>
      </c>
      <c r="C40" s="32" t="s">
        <v>216</v>
      </c>
      <c r="D40" s="10" t="s">
        <v>2098</v>
      </c>
      <c r="E40" s="54"/>
      <c r="F40" s="39"/>
      <c r="G40" s="39"/>
      <c r="H40" s="55"/>
      <c r="I40" s="56"/>
      <c r="J40" s="56"/>
      <c r="K40" s="56"/>
      <c r="L40" s="56"/>
    </row>
    <row r="41" s="1" customFormat="1" spans="2:12">
      <c r="B41" s="32" t="s">
        <v>2618</v>
      </c>
      <c r="C41" s="32" t="s">
        <v>220</v>
      </c>
      <c r="D41" s="10" t="s">
        <v>2618</v>
      </c>
      <c r="E41" s="54"/>
      <c r="F41" s="39"/>
      <c r="G41" s="39"/>
      <c r="H41" s="55"/>
      <c r="I41" s="56"/>
      <c r="J41" s="56"/>
      <c r="K41" s="56"/>
      <c r="L41" s="56"/>
    </row>
    <row r="42" s="1" customFormat="1" spans="2:12">
      <c r="B42" s="32" t="s">
        <v>2594</v>
      </c>
      <c r="C42" s="32" t="s">
        <v>216</v>
      </c>
      <c r="D42" s="10" t="s">
        <v>2595</v>
      </c>
      <c r="E42" s="54"/>
      <c r="F42" s="39"/>
      <c r="G42" s="39"/>
      <c r="H42" s="55"/>
      <c r="I42" s="56"/>
      <c r="J42" s="56"/>
      <c r="K42" s="56"/>
      <c r="L42" s="56"/>
    </row>
    <row r="43" s="1" customFormat="1" spans="2:12">
      <c r="B43" s="32" t="s">
        <v>2605</v>
      </c>
      <c r="C43" s="32" t="s">
        <v>216</v>
      </c>
      <c r="D43" s="10" t="s">
        <v>2606</v>
      </c>
      <c r="E43" s="54"/>
      <c r="F43" s="39"/>
      <c r="G43" s="39"/>
      <c r="H43" s="55"/>
      <c r="I43" s="56"/>
      <c r="J43" s="56"/>
      <c r="K43" s="56"/>
      <c r="L43" s="56"/>
    </row>
    <row r="44" s="1" customFormat="1" spans="2:12">
      <c r="B44" s="32" t="s">
        <v>1964</v>
      </c>
      <c r="C44" s="32" t="s">
        <v>220</v>
      </c>
      <c r="D44" s="10" t="s">
        <v>1964</v>
      </c>
      <c r="E44" s="54"/>
      <c r="F44" s="39"/>
      <c r="G44" s="39"/>
      <c r="H44" s="55"/>
      <c r="I44" s="56"/>
      <c r="J44" s="56"/>
      <c r="K44" s="56"/>
      <c r="L44" s="56"/>
    </row>
    <row r="45" s="1" customFormat="1" spans="2:12">
      <c r="B45" s="32" t="s">
        <v>2085</v>
      </c>
      <c r="C45" s="32" t="s">
        <v>220</v>
      </c>
      <c r="D45" s="10" t="s">
        <v>2687</v>
      </c>
      <c r="E45" s="54"/>
      <c r="F45" s="39"/>
      <c r="G45" s="39"/>
      <c r="H45" s="55"/>
      <c r="I45" s="56"/>
      <c r="J45" s="56"/>
      <c r="K45" s="56"/>
      <c r="L45" s="56"/>
    </row>
    <row r="46" s="1" customFormat="1" spans="2:12">
      <c r="B46" s="32" t="s">
        <v>2087</v>
      </c>
      <c r="C46" s="32" t="s">
        <v>216</v>
      </c>
      <c r="D46" s="10" t="s">
        <v>2088</v>
      </c>
      <c r="E46" s="54"/>
      <c r="F46" s="39"/>
      <c r="G46" s="39"/>
      <c r="H46" s="55"/>
      <c r="I46" s="56"/>
      <c r="J46" s="56"/>
      <c r="K46" s="56"/>
      <c r="L46" s="56"/>
    </row>
    <row r="47" s="33" customFormat="1" spans="2:12">
      <c r="B47" s="83" t="s">
        <v>1313</v>
      </c>
      <c r="C47" s="57" t="s">
        <v>216</v>
      </c>
      <c r="D47" s="29" t="s">
        <v>1893</v>
      </c>
      <c r="E47" s="65"/>
      <c r="F47" s="66"/>
      <c r="G47" s="66"/>
      <c r="H47" s="67"/>
      <c r="I47" s="34" t="s">
        <v>1315</v>
      </c>
      <c r="J47" s="69"/>
      <c r="K47" s="69"/>
      <c r="L47" s="69"/>
    </row>
    <row r="48" s="1" customFormat="1" spans="2:12">
      <c r="B48" s="32" t="s">
        <v>1289</v>
      </c>
      <c r="C48" s="32" t="s">
        <v>216</v>
      </c>
      <c r="D48" s="10" t="s">
        <v>1881</v>
      </c>
      <c r="E48" s="54"/>
      <c r="F48" s="39"/>
      <c r="G48" s="39"/>
      <c r="H48" s="55"/>
      <c r="I48" s="56"/>
      <c r="J48" s="56"/>
      <c r="K48" s="56"/>
      <c r="L48" s="56"/>
    </row>
    <row r="49" s="1" customFormat="1" spans="2:12">
      <c r="B49" s="32" t="s">
        <v>1323</v>
      </c>
      <c r="C49" s="32" t="s">
        <v>275</v>
      </c>
      <c r="D49" s="10" t="s">
        <v>1324</v>
      </c>
      <c r="E49" s="54"/>
      <c r="F49" s="39"/>
      <c r="G49" s="39"/>
      <c r="H49" s="55"/>
      <c r="I49" s="56"/>
      <c r="J49" s="56"/>
      <c r="K49" s="56"/>
      <c r="L49" s="56"/>
    </row>
    <row r="50" s="1" customFormat="1" spans="2:12">
      <c r="B50" s="32" t="s">
        <v>1325</v>
      </c>
      <c r="C50" s="32" t="s">
        <v>275</v>
      </c>
      <c r="D50" s="10" t="s">
        <v>1326</v>
      </c>
      <c r="E50" s="54"/>
      <c r="F50" s="39"/>
      <c r="G50" s="39"/>
      <c r="H50" s="55"/>
      <c r="I50" s="56"/>
      <c r="J50" s="56"/>
      <c r="K50" s="56"/>
      <c r="L50" s="56"/>
    </row>
    <row r="51" s="1" customFormat="1" spans="2:12">
      <c r="B51" s="32" t="s">
        <v>1327</v>
      </c>
      <c r="C51" s="32" t="s">
        <v>275</v>
      </c>
      <c r="D51" s="10" t="s">
        <v>1328</v>
      </c>
      <c r="E51" s="54"/>
      <c r="F51" s="39"/>
      <c r="G51" s="39"/>
      <c r="H51" s="55"/>
      <c r="I51" s="56"/>
      <c r="J51" s="56"/>
      <c r="K51" s="56"/>
      <c r="L51" s="56"/>
    </row>
    <row r="52" s="1" customFormat="1" ht="26.4" spans="2:12">
      <c r="B52" s="32" t="s">
        <v>2102</v>
      </c>
      <c r="C52" s="32" t="s">
        <v>275</v>
      </c>
      <c r="D52" s="10" t="s">
        <v>2103</v>
      </c>
      <c r="E52" s="54"/>
      <c r="F52" s="39"/>
      <c r="G52" s="39"/>
      <c r="H52" s="55"/>
      <c r="I52" s="56"/>
      <c r="J52" s="56"/>
      <c r="K52" s="56"/>
      <c r="L52" s="56"/>
    </row>
    <row r="53" s="1" customFormat="1" ht="26.4" spans="2:12">
      <c r="B53" s="32" t="s">
        <v>2104</v>
      </c>
      <c r="C53" s="32" t="s">
        <v>275</v>
      </c>
      <c r="D53" s="10" t="s">
        <v>2105</v>
      </c>
      <c r="E53" s="54"/>
      <c r="F53" s="39"/>
      <c r="G53" s="39"/>
      <c r="H53" s="55"/>
      <c r="I53" s="56"/>
      <c r="J53" s="56"/>
      <c r="K53" s="56"/>
      <c r="L53" s="56"/>
    </row>
    <row r="54" s="1" customFormat="1" ht="26.4" spans="2:12">
      <c r="B54" s="32" t="s">
        <v>2688</v>
      </c>
      <c r="C54" s="32" t="s">
        <v>275</v>
      </c>
      <c r="D54" s="10" t="s">
        <v>2689</v>
      </c>
      <c r="E54" s="54"/>
      <c r="F54" s="39"/>
      <c r="G54" s="39"/>
      <c r="H54" s="55"/>
      <c r="I54" s="56"/>
      <c r="J54" s="56"/>
      <c r="K54" s="56"/>
      <c r="L54" s="56"/>
    </row>
    <row r="55" s="1" customFormat="1" ht="26.4" spans="2:12">
      <c r="B55" s="32" t="s">
        <v>2107</v>
      </c>
      <c r="C55" s="32" t="s">
        <v>275</v>
      </c>
      <c r="D55" s="10" t="s">
        <v>2108</v>
      </c>
      <c r="E55" s="54"/>
      <c r="F55" s="39"/>
      <c r="G55" s="39"/>
      <c r="H55" s="55"/>
      <c r="I55" s="56"/>
      <c r="J55" s="56"/>
      <c r="K55" s="56"/>
      <c r="L55" s="56"/>
    </row>
    <row r="56" s="1" customFormat="1" ht="26.4" spans="2:12">
      <c r="B56" s="32" t="s">
        <v>2109</v>
      </c>
      <c r="C56" s="32" t="s">
        <v>275</v>
      </c>
      <c r="D56" s="10" t="s">
        <v>2110</v>
      </c>
      <c r="E56" s="54"/>
      <c r="F56" s="39"/>
      <c r="G56" s="39"/>
      <c r="H56" s="55"/>
      <c r="I56" s="56"/>
      <c r="J56" s="56"/>
      <c r="K56" s="56"/>
      <c r="L56" s="56"/>
    </row>
    <row r="57" s="1" customFormat="1" ht="26.4" spans="2:12">
      <c r="B57" s="32" t="s">
        <v>2690</v>
      </c>
      <c r="C57" s="32" t="s">
        <v>275</v>
      </c>
      <c r="D57" s="10" t="s">
        <v>2691</v>
      </c>
      <c r="E57" s="54"/>
      <c r="F57" s="39"/>
      <c r="G57" s="39"/>
      <c r="H57" s="55"/>
      <c r="I57" s="56"/>
      <c r="J57" s="56"/>
      <c r="K57" s="56"/>
      <c r="L57" s="56"/>
    </row>
    <row r="58" s="1" customFormat="1" ht="26.4" spans="2:12">
      <c r="B58" s="32" t="s">
        <v>2692</v>
      </c>
      <c r="C58" s="32" t="s">
        <v>275</v>
      </c>
      <c r="D58" s="10" t="s">
        <v>2693</v>
      </c>
      <c r="E58" s="54"/>
      <c r="F58" s="39"/>
      <c r="G58" s="39"/>
      <c r="H58" s="55"/>
      <c r="I58" s="56"/>
      <c r="J58" s="56"/>
      <c r="K58" s="56"/>
      <c r="L58" s="56"/>
    </row>
    <row r="59" s="1" customFormat="1" spans="2:12">
      <c r="B59" s="32" t="s">
        <v>1329</v>
      </c>
      <c r="C59" s="32" t="s">
        <v>275</v>
      </c>
      <c r="D59" s="10" t="s">
        <v>1330</v>
      </c>
      <c r="E59" s="54"/>
      <c r="F59" s="39"/>
      <c r="G59" s="39"/>
      <c r="H59" s="55"/>
      <c r="I59" s="56"/>
      <c r="J59" s="56"/>
      <c r="K59" s="56"/>
      <c r="L59" s="56"/>
    </row>
    <row r="60" s="1" customFormat="1" spans="2:12">
      <c r="B60" s="32" t="s">
        <v>1331</v>
      </c>
      <c r="C60" s="32" t="s">
        <v>275</v>
      </c>
      <c r="D60" s="10" t="s">
        <v>1332</v>
      </c>
      <c r="E60" s="54"/>
      <c r="F60" s="39"/>
      <c r="G60" s="39"/>
      <c r="H60" s="55"/>
      <c r="I60" s="56"/>
      <c r="J60" s="56"/>
      <c r="K60" s="56"/>
      <c r="L60" s="56"/>
    </row>
    <row r="61" s="1" customFormat="1" spans="2:12">
      <c r="B61" s="32" t="s">
        <v>1335</v>
      </c>
      <c r="C61" s="32" t="s">
        <v>275</v>
      </c>
      <c r="D61" s="10" t="s">
        <v>1336</v>
      </c>
      <c r="E61" s="54"/>
      <c r="F61" s="39"/>
      <c r="G61" s="39"/>
      <c r="H61" s="55"/>
      <c r="I61" s="56"/>
      <c r="J61" s="56"/>
      <c r="K61" s="56"/>
      <c r="L61" s="56"/>
    </row>
    <row r="62" s="1" customFormat="1" spans="2:12">
      <c r="B62" s="32" t="s">
        <v>1337</v>
      </c>
      <c r="C62" s="32" t="s">
        <v>275</v>
      </c>
      <c r="D62" s="10" t="s">
        <v>1338</v>
      </c>
      <c r="E62" s="54"/>
      <c r="F62" s="39"/>
      <c r="G62" s="39"/>
      <c r="H62" s="55"/>
      <c r="I62" s="56"/>
      <c r="J62" s="56"/>
      <c r="K62" s="56"/>
      <c r="L62" s="56"/>
    </row>
    <row r="63" s="1" customFormat="1" spans="2:12">
      <c r="B63" s="32" t="s">
        <v>2111</v>
      </c>
      <c r="C63" s="32" t="s">
        <v>275</v>
      </c>
      <c r="D63" s="10" t="s">
        <v>1340</v>
      </c>
      <c r="E63" s="54"/>
      <c r="F63" s="39"/>
      <c r="G63" s="39"/>
      <c r="H63" s="55"/>
      <c r="I63" s="56"/>
      <c r="J63" s="56"/>
      <c r="K63" s="56"/>
      <c r="L63" s="56"/>
    </row>
    <row r="64" s="1" customFormat="1" spans="2:12">
      <c r="B64" s="32" t="s">
        <v>2112</v>
      </c>
      <c r="C64" s="32" t="s">
        <v>275</v>
      </c>
      <c r="D64" s="10" t="s">
        <v>1342</v>
      </c>
      <c r="E64" s="54"/>
      <c r="F64" s="39"/>
      <c r="G64" s="39"/>
      <c r="H64" s="55"/>
      <c r="I64" s="56"/>
      <c r="J64" s="56"/>
      <c r="K64" s="56"/>
      <c r="L64" s="56"/>
    </row>
    <row r="65" s="1" customFormat="1" spans="2:12">
      <c r="B65" s="32" t="s">
        <v>1351</v>
      </c>
      <c r="C65" s="32" t="s">
        <v>275</v>
      </c>
      <c r="D65" s="10" t="s">
        <v>1352</v>
      </c>
      <c r="E65" s="54"/>
      <c r="F65" s="39"/>
      <c r="G65" s="39"/>
      <c r="H65" s="55"/>
      <c r="I65" s="56"/>
      <c r="J65" s="56"/>
      <c r="K65" s="56"/>
      <c r="L65" s="56"/>
    </row>
    <row r="66" s="1" customFormat="1" ht="26.4" spans="2:12">
      <c r="B66" s="32" t="s">
        <v>1353</v>
      </c>
      <c r="C66" s="32" t="s">
        <v>275</v>
      </c>
      <c r="D66" s="10" t="s">
        <v>1354</v>
      </c>
      <c r="E66" s="54"/>
      <c r="F66" s="39"/>
      <c r="G66" s="39"/>
      <c r="H66" s="55"/>
      <c r="I66" s="56"/>
      <c r="J66" s="56"/>
      <c r="K66" s="56"/>
      <c r="L66" s="56"/>
    </row>
    <row r="67" s="1" customFormat="1" spans="2:12">
      <c r="B67" s="32" t="s">
        <v>1782</v>
      </c>
      <c r="C67" s="32" t="s">
        <v>275</v>
      </c>
      <c r="D67" s="10" t="s">
        <v>1783</v>
      </c>
      <c r="E67" s="54"/>
      <c r="F67" s="39"/>
      <c r="G67" s="39"/>
      <c r="H67" s="55"/>
      <c r="I67" s="56"/>
      <c r="J67" s="56"/>
      <c r="K67" s="56"/>
      <c r="L67" s="56"/>
    </row>
    <row r="68" s="1" customFormat="1" spans="2:12">
      <c r="B68" s="32" t="s">
        <v>1784</v>
      </c>
      <c r="C68" s="32" t="s">
        <v>275</v>
      </c>
      <c r="D68" s="10" t="s">
        <v>1785</v>
      </c>
      <c r="E68" s="54"/>
      <c r="F68" s="39"/>
      <c r="G68" s="39"/>
      <c r="H68" s="55"/>
      <c r="I68" s="56"/>
      <c r="J68" s="56"/>
      <c r="K68" s="56"/>
      <c r="L68" s="56"/>
    </row>
    <row r="69" s="1" customFormat="1" spans="2:12">
      <c r="B69" s="32" t="s">
        <v>1786</v>
      </c>
      <c r="C69" s="32" t="s">
        <v>275</v>
      </c>
      <c r="D69" s="10" t="s">
        <v>1787</v>
      </c>
      <c r="E69" s="54"/>
      <c r="F69" s="39"/>
      <c r="G69" s="39"/>
      <c r="H69" s="55"/>
      <c r="I69" s="56"/>
      <c r="J69" s="56"/>
      <c r="K69" s="56"/>
      <c r="L69" s="56"/>
    </row>
    <row r="70" s="1" customFormat="1" spans="2:12">
      <c r="B70" s="32" t="s">
        <v>1788</v>
      </c>
      <c r="C70" s="32" t="s">
        <v>275</v>
      </c>
      <c r="D70" s="10" t="s">
        <v>1789</v>
      </c>
      <c r="E70" s="54"/>
      <c r="F70" s="39"/>
      <c r="G70" s="39"/>
      <c r="H70" s="55"/>
      <c r="I70" s="56"/>
      <c r="J70" s="56"/>
      <c r="K70" s="56"/>
      <c r="L70" s="56"/>
    </row>
    <row r="71" s="1" customFormat="1" spans="2:12">
      <c r="B71" s="32" t="s">
        <v>1355</v>
      </c>
      <c r="C71" s="32" t="s">
        <v>275</v>
      </c>
      <c r="D71" s="10" t="s">
        <v>1356</v>
      </c>
      <c r="E71" s="54"/>
      <c r="F71" s="39"/>
      <c r="G71" s="39"/>
      <c r="H71" s="55"/>
      <c r="I71" s="56"/>
      <c r="J71" s="56"/>
      <c r="K71" s="56"/>
      <c r="L71" s="56"/>
    </row>
    <row r="72" s="1" customFormat="1" spans="2:12">
      <c r="B72" s="32" t="s">
        <v>1357</v>
      </c>
      <c r="C72" s="32" t="s">
        <v>275</v>
      </c>
      <c r="D72" s="10" t="s">
        <v>1358</v>
      </c>
      <c r="E72" s="54"/>
      <c r="F72" s="39"/>
      <c r="G72" s="39"/>
      <c r="H72" s="55"/>
      <c r="I72" s="56"/>
      <c r="J72" s="56"/>
      <c r="K72" s="56"/>
      <c r="L72" s="56"/>
    </row>
    <row r="73" s="1" customFormat="1" spans="2:12">
      <c r="B73" s="32" t="s">
        <v>1359</v>
      </c>
      <c r="C73" s="32" t="s">
        <v>275</v>
      </c>
      <c r="D73" s="10" t="s">
        <v>1360</v>
      </c>
      <c r="E73" s="54"/>
      <c r="F73" s="39"/>
      <c r="G73" s="39"/>
      <c r="H73" s="55"/>
      <c r="I73" s="56"/>
      <c r="J73" s="56"/>
      <c r="K73" s="56"/>
      <c r="L73" s="56"/>
    </row>
    <row r="74" s="1" customFormat="1" spans="2:12">
      <c r="B74" s="32" t="s">
        <v>2694</v>
      </c>
      <c r="C74" s="32" t="s">
        <v>275</v>
      </c>
      <c r="D74" s="10" t="s">
        <v>2695</v>
      </c>
      <c r="E74" s="54"/>
      <c r="F74" s="39"/>
      <c r="G74" s="39"/>
      <c r="H74" s="55"/>
      <c r="I74" s="56"/>
      <c r="J74" s="56"/>
      <c r="K74" s="56"/>
      <c r="L74" s="56"/>
    </row>
    <row r="75" s="1" customFormat="1" spans="2:12">
      <c r="B75" s="32" t="s">
        <v>1361</v>
      </c>
      <c r="C75" s="32" t="s">
        <v>275</v>
      </c>
      <c r="D75" s="10" t="s">
        <v>1362</v>
      </c>
      <c r="E75" s="54"/>
      <c r="F75" s="39"/>
      <c r="G75" s="39"/>
      <c r="H75" s="55"/>
      <c r="I75" s="56"/>
      <c r="J75" s="56"/>
      <c r="K75" s="56"/>
      <c r="L75" s="56"/>
    </row>
    <row r="76" s="1" customFormat="1" spans="2:12">
      <c r="B76" s="32" t="s">
        <v>2696</v>
      </c>
      <c r="C76" s="32" t="s">
        <v>275</v>
      </c>
      <c r="D76" s="10" t="s">
        <v>2697</v>
      </c>
      <c r="E76" s="54"/>
      <c r="F76" s="39"/>
      <c r="G76" s="39"/>
      <c r="H76" s="55"/>
      <c r="I76" s="56"/>
      <c r="J76" s="56"/>
      <c r="K76" s="56"/>
      <c r="L76" s="56"/>
    </row>
    <row r="77" s="1" customFormat="1" ht="26.4" spans="2:12">
      <c r="B77" s="32" t="s">
        <v>2698</v>
      </c>
      <c r="C77" s="32" t="s">
        <v>275</v>
      </c>
      <c r="D77" s="10" t="s">
        <v>2699</v>
      </c>
      <c r="E77" s="54"/>
      <c r="F77" s="39"/>
      <c r="G77" s="39"/>
      <c r="H77" s="55"/>
      <c r="I77" s="56"/>
      <c r="J77" s="56"/>
      <c r="K77" s="56"/>
      <c r="L77" s="56"/>
    </row>
    <row r="78" s="1" customFormat="1" ht="26.4" spans="2:12">
      <c r="B78" s="32" t="s">
        <v>2100</v>
      </c>
      <c r="C78" s="32" t="s">
        <v>275</v>
      </c>
      <c r="D78" s="10" t="s">
        <v>2575</v>
      </c>
      <c r="E78" s="54"/>
      <c r="F78" s="39"/>
      <c r="G78" s="39"/>
      <c r="H78" s="55"/>
      <c r="I78" s="56"/>
      <c r="J78" s="56"/>
      <c r="K78" s="56"/>
      <c r="L78" s="56"/>
    </row>
    <row r="79" s="1" customFormat="1" ht="26.4" spans="2:12">
      <c r="B79" s="32" t="s">
        <v>2700</v>
      </c>
      <c r="C79" s="32" t="s">
        <v>275</v>
      </c>
      <c r="D79" s="10" t="s">
        <v>2701</v>
      </c>
      <c r="E79" s="54"/>
      <c r="F79" s="39"/>
      <c r="G79" s="39"/>
      <c r="H79" s="55"/>
      <c r="I79" s="56"/>
      <c r="J79" s="56"/>
      <c r="K79" s="56"/>
      <c r="L79" s="56"/>
    </row>
    <row r="80" s="1" customFormat="1" spans="2:12">
      <c r="B80" s="32" t="s">
        <v>1798</v>
      </c>
      <c r="C80" s="32" t="s">
        <v>275</v>
      </c>
      <c r="D80" s="10" t="s">
        <v>1799</v>
      </c>
      <c r="E80" s="54"/>
      <c r="F80" s="39"/>
      <c r="G80" s="39"/>
      <c r="H80" s="55"/>
      <c r="I80" s="56"/>
      <c r="J80" s="56"/>
      <c r="K80" s="56"/>
      <c r="L80" s="56"/>
    </row>
    <row r="81" s="1" customFormat="1" ht="26.4" spans="2:12">
      <c r="B81" s="32" t="s">
        <v>1363</v>
      </c>
      <c r="C81" s="32" t="s">
        <v>275</v>
      </c>
      <c r="D81" s="10" t="s">
        <v>1364</v>
      </c>
      <c r="E81" s="54"/>
      <c r="F81" s="39"/>
      <c r="G81" s="39"/>
      <c r="H81" s="55"/>
      <c r="I81" s="56"/>
      <c r="J81" s="56"/>
      <c r="K81" s="56"/>
      <c r="L81" s="56"/>
    </row>
    <row r="82" s="1" customFormat="1" ht="26.4" spans="2:12">
      <c r="B82" s="32" t="s">
        <v>1365</v>
      </c>
      <c r="C82" s="32" t="s">
        <v>275</v>
      </c>
      <c r="D82" s="10" t="s">
        <v>1366</v>
      </c>
      <c r="E82" s="54"/>
      <c r="F82" s="39"/>
      <c r="G82" s="39"/>
      <c r="H82" s="55"/>
      <c r="I82" s="56"/>
      <c r="J82" s="56"/>
      <c r="K82" s="56"/>
      <c r="L82" s="56"/>
    </row>
    <row r="83" s="1" customFormat="1" ht="26.4" spans="2:12">
      <c r="B83" s="32" t="s">
        <v>1367</v>
      </c>
      <c r="C83" s="32" t="s">
        <v>275</v>
      </c>
      <c r="D83" s="10" t="s">
        <v>1368</v>
      </c>
      <c r="E83" s="54"/>
      <c r="F83" s="39"/>
      <c r="G83" s="39"/>
      <c r="H83" s="55"/>
      <c r="I83" s="56"/>
      <c r="J83" s="56"/>
      <c r="K83" s="56"/>
      <c r="L83" s="56"/>
    </row>
    <row r="84" s="1" customFormat="1" ht="26.4" spans="2:12">
      <c r="B84" s="32" t="s">
        <v>1369</v>
      </c>
      <c r="C84" s="32" t="s">
        <v>275</v>
      </c>
      <c r="D84" s="10" t="s">
        <v>1370</v>
      </c>
      <c r="E84" s="54"/>
      <c r="F84" s="39"/>
      <c r="G84" s="39"/>
      <c r="H84" s="55"/>
      <c r="I84" s="56"/>
      <c r="J84" s="56"/>
      <c r="K84" s="56"/>
      <c r="L84" s="56"/>
    </row>
    <row r="85" s="1" customFormat="1" ht="26.4" spans="2:12">
      <c r="B85" s="32" t="s">
        <v>1371</v>
      </c>
      <c r="C85" s="32" t="s">
        <v>275</v>
      </c>
      <c r="D85" s="10" t="s">
        <v>1372</v>
      </c>
      <c r="E85" s="54"/>
      <c r="F85" s="39"/>
      <c r="G85" s="39"/>
      <c r="H85" s="55"/>
      <c r="I85" s="56"/>
      <c r="J85" s="56"/>
      <c r="K85" s="56"/>
      <c r="L85" s="56"/>
    </row>
    <row r="86" s="1" customFormat="1" ht="26.4" spans="2:12">
      <c r="B86" s="32" t="s">
        <v>1373</v>
      </c>
      <c r="C86" s="32" t="s">
        <v>275</v>
      </c>
      <c r="D86" s="10" t="s">
        <v>1374</v>
      </c>
      <c r="E86" s="54"/>
      <c r="F86" s="39"/>
      <c r="G86" s="39"/>
      <c r="H86" s="55"/>
      <c r="I86" s="56"/>
      <c r="J86" s="56"/>
      <c r="K86" s="56"/>
      <c r="L86" s="56"/>
    </row>
    <row r="87" s="1" customFormat="1" ht="26.4" spans="2:12">
      <c r="B87" s="32" t="s">
        <v>1375</v>
      </c>
      <c r="C87" s="32" t="s">
        <v>275</v>
      </c>
      <c r="D87" s="10" t="s">
        <v>1376</v>
      </c>
      <c r="E87" s="54"/>
      <c r="F87" s="39"/>
      <c r="G87" s="39"/>
      <c r="H87" s="55"/>
      <c r="I87" s="56"/>
      <c r="J87" s="56"/>
      <c r="K87" s="56"/>
      <c r="L87" s="56"/>
    </row>
    <row r="88" s="1" customFormat="1" ht="26.4" spans="2:12">
      <c r="B88" s="32" t="s">
        <v>1377</v>
      </c>
      <c r="C88" s="32" t="s">
        <v>275</v>
      </c>
      <c r="D88" s="10" t="s">
        <v>1378</v>
      </c>
      <c r="E88" s="54"/>
      <c r="F88" s="39"/>
      <c r="G88" s="39"/>
      <c r="H88" s="55"/>
      <c r="I88" s="56"/>
      <c r="J88" s="56"/>
      <c r="K88" s="56"/>
      <c r="L88" s="56"/>
    </row>
    <row r="89" s="1" customFormat="1" spans="2:12">
      <c r="B89" s="32" t="s">
        <v>2702</v>
      </c>
      <c r="C89" s="32" t="s">
        <v>275</v>
      </c>
      <c r="D89" s="10" t="s">
        <v>1380</v>
      </c>
      <c r="E89" s="54"/>
      <c r="F89" s="39"/>
      <c r="G89" s="39"/>
      <c r="H89" s="55"/>
      <c r="I89" s="56"/>
      <c r="J89" s="56"/>
      <c r="K89" s="56"/>
      <c r="L89" s="56"/>
    </row>
    <row r="90" s="1" customFormat="1" spans="2:12">
      <c r="B90" s="32" t="s">
        <v>2703</v>
      </c>
      <c r="C90" s="32" t="s">
        <v>275</v>
      </c>
      <c r="D90" s="10" t="s">
        <v>1382</v>
      </c>
      <c r="E90" s="54"/>
      <c r="F90" s="39"/>
      <c r="G90" s="39"/>
      <c r="H90" s="55"/>
      <c r="I90" s="56"/>
      <c r="J90" s="56"/>
      <c r="K90" s="56"/>
      <c r="L90" s="56"/>
    </row>
    <row r="91" s="1" customFormat="1" spans="2:12">
      <c r="B91" s="32" t="s">
        <v>2113</v>
      </c>
      <c r="C91" s="32" t="s">
        <v>275</v>
      </c>
      <c r="D91" s="10" t="s">
        <v>2114</v>
      </c>
      <c r="E91" s="54"/>
      <c r="F91" s="39"/>
      <c r="G91" s="39"/>
      <c r="H91" s="55"/>
      <c r="I91" s="56"/>
      <c r="J91" s="56"/>
      <c r="K91" s="56"/>
      <c r="L91" s="56"/>
    </row>
    <row r="92" s="1" customFormat="1" spans="2:12">
      <c r="B92" s="32" t="s">
        <v>2115</v>
      </c>
      <c r="C92" s="32" t="s">
        <v>275</v>
      </c>
      <c r="D92" s="10" t="s">
        <v>2704</v>
      </c>
      <c r="E92" s="54"/>
      <c r="F92" s="39"/>
      <c r="G92" s="39"/>
      <c r="H92" s="55"/>
      <c r="I92" s="56"/>
      <c r="J92" s="56"/>
      <c r="K92" s="56"/>
      <c r="L92" s="56"/>
    </row>
    <row r="93" s="1" customFormat="1" spans="2:12">
      <c r="B93" s="32" t="s">
        <v>2117</v>
      </c>
      <c r="C93" s="32" t="s">
        <v>275</v>
      </c>
      <c r="D93" s="10" t="s">
        <v>2118</v>
      </c>
      <c r="E93" s="54"/>
      <c r="F93" s="39"/>
      <c r="G93" s="39"/>
      <c r="H93" s="55"/>
      <c r="I93" s="56"/>
      <c r="J93" s="56"/>
      <c r="K93" s="56"/>
      <c r="L93" s="56"/>
    </row>
    <row r="94" s="1" customFormat="1" spans="2:12">
      <c r="B94" s="32" t="s">
        <v>2119</v>
      </c>
      <c r="C94" s="32" t="s">
        <v>275</v>
      </c>
      <c r="D94" s="10" t="s">
        <v>2120</v>
      </c>
      <c r="E94" s="54"/>
      <c r="F94" s="39"/>
      <c r="G94" s="39"/>
      <c r="H94" s="55"/>
      <c r="I94" s="56"/>
      <c r="J94" s="56"/>
      <c r="K94" s="56"/>
      <c r="L94" s="56"/>
    </row>
    <row r="95" s="1" customFormat="1" spans="2:12">
      <c r="B95" s="32" t="s">
        <v>2705</v>
      </c>
      <c r="C95" s="32" t="s">
        <v>275</v>
      </c>
      <c r="D95" s="10" t="s">
        <v>2683</v>
      </c>
      <c r="E95" s="54"/>
      <c r="F95" s="39"/>
      <c r="G95" s="39"/>
      <c r="H95" s="55"/>
      <c r="I95" s="56"/>
      <c r="J95" s="56"/>
      <c r="K95" s="56"/>
      <c r="L95" s="56"/>
    </row>
    <row r="96" s="1" customFormat="1" spans="2:12">
      <c r="B96" s="32" t="s">
        <v>2121</v>
      </c>
      <c r="C96" s="32" t="s">
        <v>275</v>
      </c>
      <c r="D96" s="10" t="s">
        <v>2045</v>
      </c>
      <c r="E96" s="54"/>
      <c r="F96" s="39"/>
      <c r="G96" s="39"/>
      <c r="H96" s="55"/>
      <c r="I96" s="56"/>
      <c r="J96" s="56"/>
      <c r="K96" s="56"/>
      <c r="L96" s="56"/>
    </row>
    <row r="97" s="1" customFormat="1" spans="2:12">
      <c r="B97" s="32" t="s">
        <v>2122</v>
      </c>
      <c r="C97" s="32" t="s">
        <v>240</v>
      </c>
      <c r="D97" s="10" t="s">
        <v>2123</v>
      </c>
      <c r="E97" s="54"/>
      <c r="F97" s="39"/>
      <c r="G97" s="39"/>
      <c r="H97" s="55"/>
      <c r="I97" s="56"/>
      <c r="J97" s="56"/>
      <c r="K97" s="56"/>
      <c r="L97" s="56"/>
    </row>
    <row r="98" s="1" customFormat="1" spans="2:12">
      <c r="B98" s="32" t="s">
        <v>2124</v>
      </c>
      <c r="C98" s="32" t="s">
        <v>275</v>
      </c>
      <c r="D98" s="10" t="s">
        <v>2125</v>
      </c>
      <c r="E98" s="54"/>
      <c r="F98" s="39"/>
      <c r="G98" s="39"/>
      <c r="H98" s="55"/>
      <c r="I98" s="56"/>
      <c r="J98" s="56"/>
      <c r="K98" s="56"/>
      <c r="L98" s="56"/>
    </row>
    <row r="99" s="1" customFormat="1" spans="2:12">
      <c r="B99" s="32" t="s">
        <v>2126</v>
      </c>
      <c r="C99" s="32" t="s">
        <v>275</v>
      </c>
      <c r="D99" s="10" t="s">
        <v>2127</v>
      </c>
      <c r="E99" s="54"/>
      <c r="F99" s="39"/>
      <c r="G99" s="39"/>
      <c r="H99" s="55"/>
      <c r="I99" s="56"/>
      <c r="J99" s="56"/>
      <c r="K99" s="56"/>
      <c r="L99" s="56"/>
    </row>
    <row r="100" s="1" customFormat="1" spans="2:12">
      <c r="B100" s="32" t="s">
        <v>2128</v>
      </c>
      <c r="C100" s="32" t="s">
        <v>275</v>
      </c>
      <c r="D100" s="10" t="s">
        <v>2129</v>
      </c>
      <c r="E100" s="54"/>
      <c r="F100" s="39"/>
      <c r="G100" s="39"/>
      <c r="H100" s="55"/>
      <c r="I100" s="56"/>
      <c r="J100" s="56"/>
      <c r="K100" s="56"/>
      <c r="L100" s="56"/>
    </row>
    <row r="101" s="1" customFormat="1" spans="2:12">
      <c r="B101" s="32" t="s">
        <v>2130</v>
      </c>
      <c r="C101" s="32" t="s">
        <v>275</v>
      </c>
      <c r="D101" s="10" t="s">
        <v>2131</v>
      </c>
      <c r="E101" s="54"/>
      <c r="F101" s="39"/>
      <c r="G101" s="39"/>
      <c r="H101" s="55"/>
      <c r="I101" s="56"/>
      <c r="J101" s="56"/>
      <c r="K101" s="56"/>
      <c r="L101" s="56"/>
    </row>
    <row r="102" s="1" customFormat="1" spans="2:12">
      <c r="B102" s="32" t="s">
        <v>2132</v>
      </c>
      <c r="C102" s="32" t="s">
        <v>275</v>
      </c>
      <c r="D102" s="10" t="s">
        <v>2133</v>
      </c>
      <c r="E102" s="54"/>
      <c r="F102" s="39"/>
      <c r="G102" s="39"/>
      <c r="H102" s="55"/>
      <c r="I102" s="56"/>
      <c r="J102" s="56"/>
      <c r="K102" s="56"/>
      <c r="L102" s="56"/>
    </row>
    <row r="103" s="1" customFormat="1" spans="2:12">
      <c r="B103" s="32" t="s">
        <v>2134</v>
      </c>
      <c r="C103" s="32" t="s">
        <v>240</v>
      </c>
      <c r="D103" s="10" t="s">
        <v>2080</v>
      </c>
      <c r="E103" s="54"/>
      <c r="F103" s="39"/>
      <c r="G103" s="39"/>
      <c r="H103" s="55"/>
      <c r="I103" s="56"/>
      <c r="J103" s="56"/>
      <c r="K103" s="56"/>
      <c r="L103" s="56"/>
    </row>
    <row r="104" s="1" customFormat="1" ht="26.4" spans="2:12">
      <c r="B104" s="32" t="s">
        <v>2135</v>
      </c>
      <c r="C104" s="32" t="s">
        <v>240</v>
      </c>
      <c r="D104" s="10" t="s">
        <v>2082</v>
      </c>
      <c r="E104" s="54"/>
      <c r="F104" s="39"/>
      <c r="G104" s="39"/>
      <c r="H104" s="55"/>
      <c r="I104" s="56"/>
      <c r="J104" s="56"/>
      <c r="K104" s="56"/>
      <c r="L104" s="56"/>
    </row>
    <row r="105" s="1" customFormat="1" spans="2:12">
      <c r="B105" s="32" t="s">
        <v>1451</v>
      </c>
      <c r="C105" s="32" t="s">
        <v>275</v>
      </c>
      <c r="D105" s="10" t="s">
        <v>1452</v>
      </c>
      <c r="E105" s="54"/>
      <c r="F105" s="39"/>
      <c r="G105" s="39"/>
      <c r="H105" s="55"/>
      <c r="I105" s="56"/>
      <c r="J105" s="56"/>
      <c r="K105" s="56"/>
      <c r="L105" s="56"/>
    </row>
    <row r="106" s="1" customFormat="1" spans="2:12">
      <c r="B106" s="32" t="s">
        <v>1453</v>
      </c>
      <c r="C106" s="32" t="s">
        <v>275</v>
      </c>
      <c r="D106" s="10" t="s">
        <v>2136</v>
      </c>
      <c r="E106" s="54"/>
      <c r="F106" s="39"/>
      <c r="G106" s="39"/>
      <c r="H106" s="55"/>
      <c r="I106" s="56"/>
      <c r="J106" s="56"/>
      <c r="K106" s="56"/>
      <c r="L106" s="56"/>
    </row>
    <row r="107" s="1" customFormat="1" spans="2:12">
      <c r="B107" s="32" t="s">
        <v>1455</v>
      </c>
      <c r="C107" s="32" t="s">
        <v>275</v>
      </c>
      <c r="D107" s="10" t="s">
        <v>1456</v>
      </c>
      <c r="E107" s="54"/>
      <c r="F107" s="39"/>
      <c r="G107" s="39"/>
      <c r="H107" s="55"/>
      <c r="I107" s="56"/>
      <c r="J107" s="56"/>
      <c r="K107" s="56"/>
      <c r="L107" s="56"/>
    </row>
    <row r="108" s="1" customFormat="1" spans="2:12">
      <c r="B108" s="32" t="s">
        <v>1457</v>
      </c>
      <c r="C108" s="32" t="s">
        <v>275</v>
      </c>
      <c r="D108" s="10" t="s">
        <v>1458</v>
      </c>
      <c r="E108" s="54"/>
      <c r="F108" s="39"/>
      <c r="G108" s="39"/>
      <c r="H108" s="55"/>
      <c r="I108" s="56"/>
      <c r="J108" s="56"/>
      <c r="K108" s="56"/>
      <c r="L108" s="56"/>
    </row>
    <row r="109" s="1" customFormat="1" spans="2:12">
      <c r="B109" s="32" t="s">
        <v>1459</v>
      </c>
      <c r="C109" s="32" t="s">
        <v>275</v>
      </c>
      <c r="D109" s="10" t="s">
        <v>1460</v>
      </c>
      <c r="E109" s="54"/>
      <c r="F109" s="39"/>
      <c r="G109" s="39"/>
      <c r="H109" s="55"/>
      <c r="I109" s="56"/>
      <c r="J109" s="56"/>
      <c r="K109" s="56"/>
      <c r="L109" s="56"/>
    </row>
    <row r="110" s="1" customFormat="1" spans="2:12">
      <c r="B110" s="32" t="s">
        <v>1461</v>
      </c>
      <c r="C110" s="32" t="s">
        <v>275</v>
      </c>
      <c r="D110" s="10" t="s">
        <v>1462</v>
      </c>
      <c r="E110" s="54"/>
      <c r="F110" s="39"/>
      <c r="G110" s="39"/>
      <c r="H110" s="55"/>
      <c r="I110" s="56"/>
      <c r="J110" s="56"/>
      <c r="K110" s="56"/>
      <c r="L110" s="56"/>
    </row>
    <row r="111" s="1" customFormat="1" ht="26.4" spans="2:12">
      <c r="B111" s="32" t="s">
        <v>1343</v>
      </c>
      <c r="C111" s="32" t="s">
        <v>275</v>
      </c>
      <c r="D111" s="10" t="s">
        <v>2137</v>
      </c>
      <c r="E111" s="54"/>
      <c r="F111" s="39"/>
      <c r="G111" s="39"/>
      <c r="H111" s="55"/>
      <c r="I111" s="56"/>
      <c r="J111" s="56"/>
      <c r="K111" s="56"/>
      <c r="L111" s="56"/>
    </row>
    <row r="112" s="1" customFormat="1" spans="2:12">
      <c r="B112" s="32" t="s">
        <v>1463</v>
      </c>
      <c r="C112" s="32" t="s">
        <v>275</v>
      </c>
      <c r="D112" s="10" t="s">
        <v>1464</v>
      </c>
      <c r="E112" s="54"/>
      <c r="F112" s="39"/>
      <c r="G112" s="39"/>
      <c r="H112" s="55"/>
      <c r="I112" s="56"/>
      <c r="J112" s="56"/>
      <c r="K112" s="56"/>
      <c r="L112" s="56"/>
    </row>
    <row r="113" s="1" customFormat="1" ht="26.4" spans="2:12">
      <c r="B113" s="32" t="s">
        <v>1465</v>
      </c>
      <c r="C113" s="32" t="s">
        <v>275</v>
      </c>
      <c r="D113" s="10" t="s">
        <v>1466</v>
      </c>
      <c r="E113" s="54"/>
      <c r="F113" s="39"/>
      <c r="G113" s="39"/>
      <c r="H113" s="55"/>
      <c r="I113" s="56"/>
      <c r="J113" s="56"/>
      <c r="K113" s="56"/>
      <c r="L113" s="56"/>
    </row>
    <row r="114" s="1" customFormat="1" ht="26.4" spans="2:12">
      <c r="B114" s="32" t="s">
        <v>1467</v>
      </c>
      <c r="C114" s="32" t="s">
        <v>275</v>
      </c>
      <c r="D114" s="10" t="s">
        <v>1468</v>
      </c>
      <c r="E114" s="54"/>
      <c r="F114" s="39"/>
      <c r="G114" s="39"/>
      <c r="H114" s="55"/>
      <c r="I114" s="56"/>
      <c r="J114" s="56"/>
      <c r="K114" s="56"/>
      <c r="L114" s="56"/>
    </row>
    <row r="115" s="1" customFormat="1" ht="26.4" spans="2:12">
      <c r="B115" s="32" t="s">
        <v>1469</v>
      </c>
      <c r="C115" s="32" t="s">
        <v>275</v>
      </c>
      <c r="D115" s="10" t="s">
        <v>1470</v>
      </c>
      <c r="E115" s="54"/>
      <c r="F115" s="39"/>
      <c r="G115" s="39"/>
      <c r="H115" s="55"/>
      <c r="I115" s="56"/>
      <c r="J115" s="56"/>
      <c r="K115" s="56"/>
      <c r="L115" s="56"/>
    </row>
    <row r="116" s="1" customFormat="1" ht="26.4" spans="2:12">
      <c r="B116" s="32" t="s">
        <v>1471</v>
      </c>
      <c r="C116" s="32" t="s">
        <v>275</v>
      </c>
      <c r="D116" s="10" t="s">
        <v>1472</v>
      </c>
      <c r="E116" s="54"/>
      <c r="F116" s="39"/>
      <c r="G116" s="39"/>
      <c r="H116" s="55"/>
      <c r="I116" s="56"/>
      <c r="J116" s="56"/>
      <c r="K116" s="56"/>
      <c r="L116" s="56"/>
    </row>
    <row r="117" s="1" customFormat="1" ht="26.4" spans="2:12">
      <c r="B117" s="32" t="s">
        <v>1473</v>
      </c>
      <c r="C117" s="32" t="s">
        <v>275</v>
      </c>
      <c r="D117" s="10" t="s">
        <v>1474</v>
      </c>
      <c r="E117" s="54"/>
      <c r="F117" s="39"/>
      <c r="G117" s="39"/>
      <c r="H117" s="55"/>
      <c r="I117" s="56"/>
      <c r="J117" s="56"/>
      <c r="K117" s="56"/>
      <c r="L117" s="56"/>
    </row>
    <row r="118" s="1" customFormat="1" spans="2:12">
      <c r="B118" s="32" t="s">
        <v>1344</v>
      </c>
      <c r="C118" s="32" t="s">
        <v>275</v>
      </c>
      <c r="D118" s="10" t="s">
        <v>2138</v>
      </c>
      <c r="E118" s="54"/>
      <c r="F118" s="39"/>
      <c r="G118" s="39"/>
      <c r="H118" s="55"/>
      <c r="I118" s="56"/>
      <c r="J118" s="56"/>
      <c r="K118" s="56"/>
      <c r="L118" s="56"/>
    </row>
    <row r="119" s="1" customFormat="1" spans="2:12">
      <c r="B119" s="32" t="s">
        <v>1475</v>
      </c>
      <c r="C119" s="32" t="s">
        <v>275</v>
      </c>
      <c r="D119" s="10" t="s">
        <v>1476</v>
      </c>
      <c r="E119" s="54"/>
      <c r="F119" s="39"/>
      <c r="G119" s="39"/>
      <c r="H119" s="55"/>
      <c r="I119" s="56"/>
      <c r="J119" s="56"/>
      <c r="K119" s="56"/>
      <c r="L119" s="56"/>
    </row>
    <row r="120" s="1" customFormat="1" spans="2:12">
      <c r="B120" s="32" t="s">
        <v>1477</v>
      </c>
      <c r="C120" s="32" t="s">
        <v>275</v>
      </c>
      <c r="D120" s="10" t="s">
        <v>1478</v>
      </c>
      <c r="E120" s="54"/>
      <c r="F120" s="39"/>
      <c r="G120" s="39"/>
      <c r="H120" s="55"/>
      <c r="I120" s="56"/>
      <c r="J120" s="56"/>
      <c r="K120" s="56"/>
      <c r="L120" s="56"/>
    </row>
    <row r="121" s="1" customFormat="1" spans="2:12">
      <c r="B121" s="32" t="s">
        <v>1479</v>
      </c>
      <c r="C121" s="32" t="s">
        <v>275</v>
      </c>
      <c r="D121" s="10" t="s">
        <v>1480</v>
      </c>
      <c r="E121" s="54"/>
      <c r="F121" s="39"/>
      <c r="G121" s="39"/>
      <c r="H121" s="55"/>
      <c r="I121" s="56"/>
      <c r="J121" s="56"/>
      <c r="K121" s="56"/>
      <c r="L121" s="56"/>
    </row>
    <row r="122" s="1" customFormat="1" spans="2:12">
      <c r="B122" s="32" t="s">
        <v>1481</v>
      </c>
      <c r="C122" s="32" t="s">
        <v>275</v>
      </c>
      <c r="D122" s="10" t="s">
        <v>1482</v>
      </c>
      <c r="E122" s="54"/>
      <c r="F122" s="39"/>
      <c r="G122" s="39"/>
      <c r="H122" s="55"/>
      <c r="I122" s="56"/>
      <c r="J122" s="56"/>
      <c r="K122" s="56"/>
      <c r="L122" s="56"/>
    </row>
    <row r="123" s="1" customFormat="1" spans="2:12">
      <c r="B123" s="32" t="s">
        <v>1483</v>
      </c>
      <c r="C123" s="32" t="s">
        <v>275</v>
      </c>
      <c r="D123" s="10" t="s">
        <v>1484</v>
      </c>
      <c r="E123" s="54"/>
      <c r="F123" s="39"/>
      <c r="G123" s="39"/>
      <c r="H123" s="55"/>
      <c r="I123" s="56"/>
      <c r="J123" s="56"/>
      <c r="K123" s="56"/>
      <c r="L123" s="56"/>
    </row>
    <row r="124" s="1" customFormat="1" spans="2:12">
      <c r="B124" s="32" t="s">
        <v>1485</v>
      </c>
      <c r="C124" s="32" t="s">
        <v>275</v>
      </c>
      <c r="D124" s="10" t="s">
        <v>1486</v>
      </c>
      <c r="E124" s="54"/>
      <c r="F124" s="39"/>
      <c r="G124" s="39"/>
      <c r="H124" s="55"/>
      <c r="I124" s="56"/>
      <c r="J124" s="56"/>
      <c r="K124" s="56"/>
      <c r="L124" s="56"/>
    </row>
    <row r="125" s="1" customFormat="1" spans="2:12">
      <c r="B125" s="32" t="s">
        <v>1345</v>
      </c>
      <c r="C125" s="32" t="s">
        <v>275</v>
      </c>
      <c r="D125" s="10" t="s">
        <v>2139</v>
      </c>
      <c r="E125" s="54"/>
      <c r="F125" s="39"/>
      <c r="G125" s="39"/>
      <c r="H125" s="55"/>
      <c r="I125" s="56"/>
      <c r="J125" s="56"/>
      <c r="K125" s="56"/>
      <c r="L125" s="56"/>
    </row>
    <row r="126" s="1" customFormat="1" spans="2:12">
      <c r="B126" s="32" t="s">
        <v>1487</v>
      </c>
      <c r="C126" s="32" t="s">
        <v>275</v>
      </c>
      <c r="D126" s="10" t="s">
        <v>1488</v>
      </c>
      <c r="E126" s="54"/>
      <c r="F126" s="39"/>
      <c r="G126" s="39"/>
      <c r="H126" s="55"/>
      <c r="I126" s="56"/>
      <c r="J126" s="56"/>
      <c r="K126" s="56"/>
      <c r="L126" s="56"/>
    </row>
    <row r="127" s="1" customFormat="1" spans="2:12">
      <c r="B127" s="32" t="s">
        <v>1489</v>
      </c>
      <c r="C127" s="32" t="s">
        <v>275</v>
      </c>
      <c r="D127" s="10" t="s">
        <v>1490</v>
      </c>
      <c r="E127" s="54"/>
      <c r="F127" s="39"/>
      <c r="G127" s="39"/>
      <c r="H127" s="55"/>
      <c r="I127" s="56"/>
      <c r="J127" s="56"/>
      <c r="K127" s="56"/>
      <c r="L127" s="56"/>
    </row>
    <row r="128" s="1" customFormat="1" spans="2:12">
      <c r="B128" s="32" t="s">
        <v>1491</v>
      </c>
      <c r="C128" s="32" t="s">
        <v>275</v>
      </c>
      <c r="D128" s="10" t="s">
        <v>1492</v>
      </c>
      <c r="E128" s="54"/>
      <c r="F128" s="39"/>
      <c r="G128" s="39"/>
      <c r="H128" s="55"/>
      <c r="I128" s="56"/>
      <c r="J128" s="56"/>
      <c r="K128" s="56"/>
      <c r="L128" s="56"/>
    </row>
    <row r="129" s="1" customFormat="1" spans="2:12">
      <c r="B129" s="32" t="s">
        <v>1493</v>
      </c>
      <c r="C129" s="32" t="s">
        <v>275</v>
      </c>
      <c r="D129" s="10" t="s">
        <v>1494</v>
      </c>
      <c r="E129" s="54"/>
      <c r="F129" s="39"/>
      <c r="G129" s="39"/>
      <c r="H129" s="55"/>
      <c r="I129" s="56"/>
      <c r="J129" s="56"/>
      <c r="K129" s="56"/>
      <c r="L129" s="56"/>
    </row>
    <row r="130" s="1" customFormat="1" spans="2:12">
      <c r="B130" s="32" t="s">
        <v>1495</v>
      </c>
      <c r="C130" s="32" t="s">
        <v>275</v>
      </c>
      <c r="D130" s="10" t="s">
        <v>1496</v>
      </c>
      <c r="E130" s="54"/>
      <c r="F130" s="39"/>
      <c r="G130" s="39"/>
      <c r="H130" s="55"/>
      <c r="I130" s="56"/>
      <c r="J130" s="56"/>
      <c r="K130" s="56"/>
      <c r="L130" s="56"/>
    </row>
    <row r="131" s="1" customFormat="1" spans="2:12">
      <c r="B131" s="32" t="s">
        <v>1497</v>
      </c>
      <c r="C131" s="32" t="s">
        <v>275</v>
      </c>
      <c r="D131" s="10" t="s">
        <v>1498</v>
      </c>
      <c r="E131" s="54"/>
      <c r="F131" s="39"/>
      <c r="G131" s="39"/>
      <c r="H131" s="55"/>
      <c r="I131" s="56"/>
      <c r="J131" s="56"/>
      <c r="K131" s="56"/>
      <c r="L131" s="56"/>
    </row>
    <row r="132" s="1" customFormat="1" spans="2:12">
      <c r="B132" s="32" t="s">
        <v>1790</v>
      </c>
      <c r="C132" s="32" t="s">
        <v>275</v>
      </c>
      <c r="D132" s="10" t="s">
        <v>1791</v>
      </c>
      <c r="E132" s="54"/>
      <c r="F132" s="39"/>
      <c r="G132" s="39"/>
      <c r="H132" s="55"/>
      <c r="I132" s="56"/>
      <c r="J132" s="56"/>
      <c r="K132" s="56"/>
      <c r="L132" s="56"/>
    </row>
    <row r="133" s="1" customFormat="1" spans="2:12">
      <c r="B133" s="32" t="s">
        <v>1792</v>
      </c>
      <c r="C133" s="32" t="s">
        <v>275</v>
      </c>
      <c r="D133" s="10" t="s">
        <v>1793</v>
      </c>
      <c r="E133" s="54"/>
      <c r="F133" s="39"/>
      <c r="G133" s="39"/>
      <c r="H133" s="55"/>
      <c r="I133" s="56"/>
      <c r="J133" s="56"/>
      <c r="K133" s="56"/>
      <c r="L133" s="56"/>
    </row>
    <row r="134" s="1" customFormat="1" ht="26.4" spans="2:12">
      <c r="B134" s="32" t="s">
        <v>1347</v>
      </c>
      <c r="C134" s="32" t="s">
        <v>275</v>
      </c>
      <c r="D134" s="10" t="s">
        <v>2140</v>
      </c>
      <c r="E134" s="54"/>
      <c r="F134" s="39"/>
      <c r="G134" s="39"/>
      <c r="H134" s="55"/>
      <c r="I134" s="56"/>
      <c r="J134" s="56"/>
      <c r="K134" s="56"/>
      <c r="L134" s="56"/>
    </row>
    <row r="135" s="1" customFormat="1" ht="26.4" spans="2:12">
      <c r="B135" s="32" t="s">
        <v>1794</v>
      </c>
      <c r="C135" s="32" t="s">
        <v>275</v>
      </c>
      <c r="D135" s="10" t="s">
        <v>1795</v>
      </c>
      <c r="E135" s="54"/>
      <c r="F135" s="39"/>
      <c r="G135" s="39"/>
      <c r="H135" s="55"/>
      <c r="I135" s="56"/>
      <c r="J135" s="56"/>
      <c r="K135" s="56"/>
      <c r="L135" s="56"/>
    </row>
    <row r="136" s="1" customFormat="1" ht="26.4" spans="2:12">
      <c r="B136" s="32" t="s">
        <v>1499</v>
      </c>
      <c r="C136" s="32" t="s">
        <v>275</v>
      </c>
      <c r="D136" s="10" t="s">
        <v>1500</v>
      </c>
      <c r="E136" s="54"/>
      <c r="F136" s="39"/>
      <c r="G136" s="39"/>
      <c r="H136" s="55"/>
      <c r="I136" s="56"/>
      <c r="J136" s="56"/>
      <c r="K136" s="56"/>
      <c r="L136" s="56"/>
    </row>
    <row r="137" s="1" customFormat="1" ht="26.4" spans="2:12">
      <c r="B137" s="32" t="s">
        <v>1501</v>
      </c>
      <c r="C137" s="32" t="s">
        <v>275</v>
      </c>
      <c r="D137" s="10" t="s">
        <v>1502</v>
      </c>
      <c r="E137" s="54"/>
      <c r="F137" s="39"/>
      <c r="G137" s="39"/>
      <c r="H137" s="55"/>
      <c r="I137" s="56"/>
      <c r="J137" s="56"/>
      <c r="K137" s="56"/>
      <c r="L137" s="56"/>
    </row>
    <row r="138" s="1" customFormat="1" ht="26.4" spans="2:12">
      <c r="B138" s="32" t="s">
        <v>1503</v>
      </c>
      <c r="C138" s="32" t="s">
        <v>275</v>
      </c>
      <c r="D138" s="10" t="s">
        <v>1504</v>
      </c>
      <c r="E138" s="54"/>
      <c r="F138" s="39"/>
      <c r="G138" s="39"/>
      <c r="H138" s="55"/>
      <c r="I138" s="56"/>
      <c r="J138" s="56"/>
      <c r="K138" s="56"/>
      <c r="L138" s="56"/>
    </row>
    <row r="139" s="1" customFormat="1" ht="26.4" spans="2:12">
      <c r="B139" s="32" t="s">
        <v>1505</v>
      </c>
      <c r="C139" s="32" t="s">
        <v>275</v>
      </c>
      <c r="D139" s="10" t="s">
        <v>1506</v>
      </c>
      <c r="E139" s="54"/>
      <c r="F139" s="39"/>
      <c r="G139" s="39"/>
      <c r="H139" s="55"/>
      <c r="I139" s="56"/>
      <c r="J139" s="56"/>
      <c r="K139" s="56"/>
      <c r="L139" s="56"/>
    </row>
    <row r="140" s="1" customFormat="1" ht="26.4" spans="2:12">
      <c r="B140" s="32" t="s">
        <v>1507</v>
      </c>
      <c r="C140" s="32" t="s">
        <v>275</v>
      </c>
      <c r="D140" s="10" t="s">
        <v>1508</v>
      </c>
      <c r="E140" s="54"/>
      <c r="F140" s="39"/>
      <c r="G140" s="39"/>
      <c r="H140" s="55"/>
      <c r="I140" s="56"/>
      <c r="J140" s="56"/>
      <c r="K140" s="56"/>
      <c r="L140" s="56"/>
    </row>
    <row r="141" s="1" customFormat="1" ht="26.4" spans="2:12">
      <c r="B141" s="32" t="s">
        <v>1509</v>
      </c>
      <c r="C141" s="32" t="s">
        <v>275</v>
      </c>
      <c r="D141" s="10" t="s">
        <v>1510</v>
      </c>
      <c r="E141" s="54"/>
      <c r="F141" s="39"/>
      <c r="G141" s="39"/>
      <c r="H141" s="55"/>
      <c r="I141" s="56"/>
      <c r="J141" s="56"/>
      <c r="K141" s="56"/>
      <c r="L141" s="56"/>
    </row>
    <row r="142" s="1" customFormat="1" ht="26.4" spans="2:12">
      <c r="B142" s="32" t="s">
        <v>1349</v>
      </c>
      <c r="C142" s="32" t="s">
        <v>275</v>
      </c>
      <c r="D142" s="10" t="s">
        <v>2141</v>
      </c>
      <c r="E142" s="54"/>
      <c r="F142" s="39"/>
      <c r="G142" s="39"/>
      <c r="H142" s="55"/>
      <c r="I142" s="56"/>
      <c r="J142" s="56"/>
      <c r="K142" s="56"/>
      <c r="L142" s="56"/>
    </row>
    <row r="143" s="1" customFormat="1" ht="26.4" spans="2:12">
      <c r="B143" s="32" t="s">
        <v>1796</v>
      </c>
      <c r="C143" s="32" t="s">
        <v>275</v>
      </c>
      <c r="D143" s="10" t="s">
        <v>1797</v>
      </c>
      <c r="E143" s="54"/>
      <c r="F143" s="39"/>
      <c r="G143" s="39"/>
      <c r="H143" s="55"/>
      <c r="I143" s="56"/>
      <c r="J143" s="56"/>
      <c r="K143" s="56"/>
      <c r="L143" s="56"/>
    </row>
    <row r="144" s="1" customFormat="1" ht="26.4" spans="2:12">
      <c r="B144" s="32" t="s">
        <v>1511</v>
      </c>
      <c r="C144" s="32" t="s">
        <v>275</v>
      </c>
      <c r="D144" s="10" t="s">
        <v>1512</v>
      </c>
      <c r="E144" s="54"/>
      <c r="F144" s="39"/>
      <c r="G144" s="39"/>
      <c r="H144" s="55"/>
      <c r="I144" s="56"/>
      <c r="J144" s="56"/>
      <c r="K144" s="56"/>
      <c r="L144" s="56"/>
    </row>
    <row r="145" s="1" customFormat="1" ht="26.4" spans="2:12">
      <c r="B145" s="32" t="s">
        <v>1513</v>
      </c>
      <c r="C145" s="32" t="s">
        <v>275</v>
      </c>
      <c r="D145" s="10" t="s">
        <v>1514</v>
      </c>
      <c r="E145" s="54"/>
      <c r="F145" s="39"/>
      <c r="G145" s="39"/>
      <c r="H145" s="55"/>
      <c r="I145" s="56"/>
      <c r="J145" s="56"/>
      <c r="K145" s="56"/>
      <c r="L145" s="56"/>
    </row>
    <row r="146" s="1" customFormat="1" ht="26.4" spans="2:12">
      <c r="B146" s="32" t="s">
        <v>1515</v>
      </c>
      <c r="C146" s="32" t="s">
        <v>275</v>
      </c>
      <c r="D146" s="10" t="s">
        <v>1516</v>
      </c>
      <c r="E146" s="54"/>
      <c r="F146" s="39"/>
      <c r="G146" s="39"/>
      <c r="H146" s="55"/>
      <c r="I146" s="56"/>
      <c r="J146" s="56"/>
      <c r="K146" s="56"/>
      <c r="L146" s="56"/>
    </row>
    <row r="147" s="1" customFormat="1" ht="26.4" spans="2:12">
      <c r="B147" s="32" t="s">
        <v>1517</v>
      </c>
      <c r="C147" s="32" t="s">
        <v>275</v>
      </c>
      <c r="D147" s="10" t="s">
        <v>1518</v>
      </c>
      <c r="E147" s="54"/>
      <c r="F147" s="39"/>
      <c r="G147" s="39"/>
      <c r="H147" s="55"/>
      <c r="I147" s="56"/>
      <c r="J147" s="56"/>
      <c r="K147" s="56"/>
      <c r="L147" s="56"/>
    </row>
    <row r="148" s="1" customFormat="1" ht="26.4" spans="2:12">
      <c r="B148" s="32" t="s">
        <v>1519</v>
      </c>
      <c r="C148" s="32" t="s">
        <v>275</v>
      </c>
      <c r="D148" s="10" t="s">
        <v>1520</v>
      </c>
      <c r="E148" s="54"/>
      <c r="F148" s="39"/>
      <c r="G148" s="39"/>
      <c r="H148" s="55"/>
      <c r="I148" s="56"/>
      <c r="J148" s="56"/>
      <c r="K148" s="56"/>
      <c r="L148" s="56"/>
    </row>
    <row r="149" s="1" customFormat="1" ht="26.4" spans="2:12">
      <c r="B149" s="32" t="s">
        <v>1521</v>
      </c>
      <c r="C149" s="32" t="s">
        <v>275</v>
      </c>
      <c r="D149" s="10" t="s">
        <v>1522</v>
      </c>
      <c r="E149" s="54"/>
      <c r="F149" s="39"/>
      <c r="G149" s="39"/>
      <c r="H149" s="55"/>
      <c r="I149" s="56"/>
      <c r="J149" s="56"/>
      <c r="K149" s="56"/>
      <c r="L149" s="56"/>
    </row>
    <row r="150" s="1" customFormat="1" spans="2:12">
      <c r="B150" s="32" t="s">
        <v>2142</v>
      </c>
      <c r="C150" s="32" t="s">
        <v>275</v>
      </c>
      <c r="D150" s="10" t="s">
        <v>2143</v>
      </c>
      <c r="E150" s="54"/>
      <c r="F150" s="39"/>
      <c r="G150" s="39"/>
      <c r="H150" s="55"/>
      <c r="I150" s="56"/>
      <c r="J150" s="56"/>
      <c r="K150" s="56"/>
      <c r="L150" s="56"/>
    </row>
    <row r="151" s="1" customFormat="1" spans="2:12">
      <c r="B151" s="32" t="s">
        <v>2144</v>
      </c>
      <c r="C151" s="32" t="s">
        <v>275</v>
      </c>
      <c r="D151" s="10" t="s">
        <v>2145</v>
      </c>
      <c r="E151" s="54"/>
      <c r="F151" s="39"/>
      <c r="G151" s="39"/>
      <c r="H151" s="55"/>
      <c r="I151" s="56"/>
      <c r="J151" s="56"/>
      <c r="K151" s="56"/>
      <c r="L151" s="56"/>
    </row>
    <row r="152" s="1" customFormat="1" spans="2:12">
      <c r="B152" s="32" t="s">
        <v>2146</v>
      </c>
      <c r="C152" s="32" t="s">
        <v>275</v>
      </c>
      <c r="D152" s="10" t="s">
        <v>2147</v>
      </c>
      <c r="E152" s="54"/>
      <c r="F152" s="39"/>
      <c r="G152" s="39"/>
      <c r="H152" s="55"/>
      <c r="I152" s="56"/>
      <c r="J152" s="56"/>
      <c r="K152" s="56"/>
      <c r="L152" s="56"/>
    </row>
    <row r="153" s="1" customFormat="1" spans="2:12">
      <c r="B153" s="32" t="s">
        <v>2148</v>
      </c>
      <c r="C153" s="32" t="s">
        <v>275</v>
      </c>
      <c r="D153" s="10" t="s">
        <v>2149</v>
      </c>
      <c r="E153" s="54"/>
      <c r="F153" s="39"/>
      <c r="G153" s="39"/>
      <c r="H153" s="55"/>
      <c r="I153" s="56"/>
      <c r="J153" s="56"/>
      <c r="K153" s="56"/>
      <c r="L153" s="56"/>
    </row>
    <row r="154" s="1" customFormat="1" spans="2:12">
      <c r="B154" s="32" t="s">
        <v>2150</v>
      </c>
      <c r="C154" s="32" t="s">
        <v>275</v>
      </c>
      <c r="D154" s="10" t="s">
        <v>2151</v>
      </c>
      <c r="E154" s="54"/>
      <c r="F154" s="39"/>
      <c r="G154" s="39"/>
      <c r="H154" s="55"/>
      <c r="I154" s="56"/>
      <c r="J154" s="56"/>
      <c r="K154" s="56"/>
      <c r="L154" s="56"/>
    </row>
    <row r="155" s="1" customFormat="1" spans="2:12">
      <c r="B155" s="32" t="s">
        <v>2152</v>
      </c>
      <c r="C155" s="32" t="s">
        <v>275</v>
      </c>
      <c r="D155" s="10" t="s">
        <v>2153</v>
      </c>
      <c r="E155" s="54"/>
      <c r="F155" s="39"/>
      <c r="G155" s="39"/>
      <c r="H155" s="55"/>
      <c r="I155" s="56"/>
      <c r="J155" s="56"/>
      <c r="K155" s="56"/>
      <c r="L155" s="56"/>
    </row>
    <row r="156" s="1" customFormat="1" spans="2:12">
      <c r="B156" s="32" t="s">
        <v>2154</v>
      </c>
      <c r="C156" s="32" t="s">
        <v>275</v>
      </c>
      <c r="D156" s="10" t="s">
        <v>2155</v>
      </c>
      <c r="E156" s="54"/>
      <c r="F156" s="39"/>
      <c r="G156" s="39"/>
      <c r="H156" s="55"/>
      <c r="I156" s="56"/>
      <c r="J156" s="56"/>
      <c r="K156" s="56"/>
      <c r="L156" s="56"/>
    </row>
    <row r="157" s="1" customFormat="1" ht="26.4" spans="2:12">
      <c r="B157" s="32" t="s">
        <v>2156</v>
      </c>
      <c r="C157" s="32" t="s">
        <v>275</v>
      </c>
      <c r="D157" s="10" t="s">
        <v>2157</v>
      </c>
      <c r="E157" s="54"/>
      <c r="F157" s="39"/>
      <c r="G157" s="39"/>
      <c r="H157" s="55"/>
      <c r="I157" s="56"/>
      <c r="J157" s="56"/>
      <c r="K157" s="56"/>
      <c r="L157" s="56"/>
    </row>
    <row r="158" s="1" customFormat="1" ht="26.4" spans="2:12">
      <c r="B158" s="32" t="s">
        <v>2158</v>
      </c>
      <c r="C158" s="32" t="s">
        <v>275</v>
      </c>
      <c r="D158" s="10" t="s">
        <v>2159</v>
      </c>
      <c r="E158" s="54"/>
      <c r="F158" s="39"/>
      <c r="G158" s="39"/>
      <c r="H158" s="55"/>
      <c r="I158" s="56"/>
      <c r="J158" s="56"/>
      <c r="K158" s="56"/>
      <c r="L158" s="56"/>
    </row>
    <row r="159" s="1" customFormat="1" ht="26.4" spans="2:12">
      <c r="B159" s="32" t="s">
        <v>2160</v>
      </c>
      <c r="C159" s="32" t="s">
        <v>275</v>
      </c>
      <c r="D159" s="10" t="s">
        <v>2161</v>
      </c>
      <c r="E159" s="54"/>
      <c r="F159" s="39"/>
      <c r="G159" s="39"/>
      <c r="H159" s="55"/>
      <c r="I159" s="56"/>
      <c r="J159" s="56"/>
      <c r="K159" s="56"/>
      <c r="L159" s="56"/>
    </row>
    <row r="160" s="1" customFormat="1" ht="26.4" spans="2:12">
      <c r="B160" s="32" t="s">
        <v>2162</v>
      </c>
      <c r="C160" s="32" t="s">
        <v>275</v>
      </c>
      <c r="D160" s="10" t="s">
        <v>2163</v>
      </c>
      <c r="E160" s="54"/>
      <c r="F160" s="39"/>
      <c r="G160" s="39"/>
      <c r="H160" s="55"/>
      <c r="I160" s="56"/>
      <c r="J160" s="56"/>
      <c r="K160" s="56"/>
      <c r="L160" s="56"/>
    </row>
    <row r="161" s="1" customFormat="1" ht="26.4" spans="2:12">
      <c r="B161" s="32" t="s">
        <v>2164</v>
      </c>
      <c r="C161" s="32" t="s">
        <v>275</v>
      </c>
      <c r="D161" s="10" t="s">
        <v>2165</v>
      </c>
      <c r="E161" s="54"/>
      <c r="F161" s="39"/>
      <c r="G161" s="39"/>
      <c r="H161" s="55"/>
      <c r="I161" s="56"/>
      <c r="J161" s="56"/>
      <c r="K161" s="56"/>
      <c r="L161" s="56"/>
    </row>
    <row r="162" s="1" customFormat="1" ht="26.4" spans="2:12">
      <c r="B162" s="32" t="s">
        <v>2166</v>
      </c>
      <c r="C162" s="32" t="s">
        <v>275</v>
      </c>
      <c r="D162" s="10" t="s">
        <v>2167</v>
      </c>
      <c r="E162" s="54"/>
      <c r="F162" s="39"/>
      <c r="G162" s="39"/>
      <c r="H162" s="55"/>
      <c r="I162" s="56"/>
      <c r="J162" s="56"/>
      <c r="K162" s="56"/>
      <c r="L162" s="56"/>
    </row>
    <row r="163" s="1" customFormat="1" ht="26.4" spans="2:12">
      <c r="B163" s="32" t="s">
        <v>2168</v>
      </c>
      <c r="C163" s="32" t="s">
        <v>275</v>
      </c>
      <c r="D163" s="10" t="s">
        <v>2169</v>
      </c>
      <c r="E163" s="54"/>
      <c r="F163" s="39"/>
      <c r="G163" s="39"/>
      <c r="H163" s="55"/>
      <c r="I163" s="56"/>
      <c r="J163" s="56"/>
      <c r="K163" s="56"/>
      <c r="L163" s="56"/>
    </row>
    <row r="164" s="1" customFormat="1" spans="2:12">
      <c r="B164" s="32" t="s">
        <v>2170</v>
      </c>
      <c r="C164" s="32" t="s">
        <v>275</v>
      </c>
      <c r="D164" s="10" t="s">
        <v>2171</v>
      </c>
      <c r="E164" s="54"/>
      <c r="F164" s="39"/>
      <c r="G164" s="39"/>
      <c r="H164" s="55"/>
      <c r="I164" s="56"/>
      <c r="J164" s="56"/>
      <c r="K164" s="56"/>
      <c r="L164" s="56"/>
    </row>
    <row r="165" s="1" customFormat="1" spans="2:12">
      <c r="B165" s="32" t="s">
        <v>2172</v>
      </c>
      <c r="C165" s="32" t="s">
        <v>275</v>
      </c>
      <c r="D165" s="10" t="s">
        <v>2173</v>
      </c>
      <c r="E165" s="54"/>
      <c r="F165" s="39"/>
      <c r="G165" s="39"/>
      <c r="H165" s="55"/>
      <c r="I165" s="56"/>
      <c r="J165" s="56"/>
      <c r="K165" s="56"/>
      <c r="L165" s="56"/>
    </row>
    <row r="166" s="1" customFormat="1" spans="2:12">
      <c r="B166" s="32" t="s">
        <v>2174</v>
      </c>
      <c r="C166" s="32" t="s">
        <v>275</v>
      </c>
      <c r="D166" s="10" t="s">
        <v>2175</v>
      </c>
      <c r="E166" s="54"/>
      <c r="F166" s="39"/>
      <c r="G166" s="39"/>
      <c r="H166" s="55"/>
      <c r="I166" s="56"/>
      <c r="J166" s="56"/>
      <c r="K166" s="56"/>
      <c r="L166" s="56"/>
    </row>
    <row r="167" s="1" customFormat="1" spans="2:12">
      <c r="B167" s="32" t="s">
        <v>2176</v>
      </c>
      <c r="C167" s="32" t="s">
        <v>275</v>
      </c>
      <c r="D167" s="10" t="s">
        <v>2177</v>
      </c>
      <c r="E167" s="54"/>
      <c r="F167" s="39"/>
      <c r="G167" s="39"/>
      <c r="H167" s="55"/>
      <c r="I167" s="56"/>
      <c r="J167" s="56"/>
      <c r="K167" s="56"/>
      <c r="L167" s="56"/>
    </row>
    <row r="168" s="1" customFormat="1" spans="2:12">
      <c r="B168" s="32" t="s">
        <v>2178</v>
      </c>
      <c r="C168" s="32" t="s">
        <v>275</v>
      </c>
      <c r="D168" s="10" t="s">
        <v>2179</v>
      </c>
      <c r="E168" s="54"/>
      <c r="F168" s="39"/>
      <c r="G168" s="39"/>
      <c r="H168" s="55"/>
      <c r="I168" s="56"/>
      <c r="J168" s="56"/>
      <c r="K168" s="56"/>
      <c r="L168" s="56"/>
    </row>
    <row r="169" s="1" customFormat="1" spans="2:12">
      <c r="B169" s="32" t="s">
        <v>2180</v>
      </c>
      <c r="C169" s="32" t="s">
        <v>275</v>
      </c>
      <c r="D169" s="10" t="s">
        <v>2181</v>
      </c>
      <c r="E169" s="54"/>
      <c r="F169" s="39"/>
      <c r="G169" s="39"/>
      <c r="H169" s="55"/>
      <c r="I169" s="56"/>
      <c r="J169" s="56"/>
      <c r="K169" s="56"/>
      <c r="L169" s="56"/>
    </row>
    <row r="170" s="1" customFormat="1" spans="2:12">
      <c r="B170" s="32" t="s">
        <v>2182</v>
      </c>
      <c r="C170" s="32" t="s">
        <v>275</v>
      </c>
      <c r="D170" s="10" t="s">
        <v>2183</v>
      </c>
      <c r="E170" s="54"/>
      <c r="F170" s="39"/>
      <c r="G170" s="39"/>
      <c r="H170" s="55"/>
      <c r="I170" s="56"/>
      <c r="J170" s="56"/>
      <c r="K170" s="56"/>
      <c r="L170" s="56"/>
    </row>
    <row r="171" s="1" customFormat="1" spans="2:12">
      <c r="B171" s="32" t="s">
        <v>2198</v>
      </c>
      <c r="C171" s="32" t="s">
        <v>275</v>
      </c>
      <c r="D171" s="10" t="s">
        <v>2199</v>
      </c>
      <c r="E171" s="54"/>
      <c r="F171" s="39"/>
      <c r="G171" s="39"/>
      <c r="H171" s="55"/>
      <c r="I171" s="56"/>
      <c r="J171" s="56"/>
      <c r="K171" s="56"/>
      <c r="L171" s="56"/>
    </row>
    <row r="172" s="1" customFormat="1" spans="2:12">
      <c r="B172" s="32" t="s">
        <v>2200</v>
      </c>
      <c r="C172" s="32" t="s">
        <v>275</v>
      </c>
      <c r="D172" s="10" t="s">
        <v>2201</v>
      </c>
      <c r="E172" s="54"/>
      <c r="F172" s="39"/>
      <c r="G172" s="39"/>
      <c r="H172" s="55"/>
      <c r="I172" s="56"/>
      <c r="J172" s="56"/>
      <c r="K172" s="56"/>
      <c r="L172" s="56"/>
    </row>
    <row r="173" s="1" customFormat="1" spans="2:12">
      <c r="B173" s="32" t="s">
        <v>2202</v>
      </c>
      <c r="C173" s="32" t="s">
        <v>275</v>
      </c>
      <c r="D173" s="10" t="s">
        <v>2203</v>
      </c>
      <c r="E173" s="54"/>
      <c r="F173" s="39"/>
      <c r="G173" s="39"/>
      <c r="H173" s="55"/>
      <c r="I173" s="56"/>
      <c r="J173" s="56"/>
      <c r="K173" s="56"/>
      <c r="L173" s="56"/>
    </row>
    <row r="174" s="1" customFormat="1" spans="2:12">
      <c r="B174" s="32" t="s">
        <v>2204</v>
      </c>
      <c r="C174" s="32" t="s">
        <v>275</v>
      </c>
      <c r="D174" s="10" t="s">
        <v>2205</v>
      </c>
      <c r="E174" s="54"/>
      <c r="F174" s="39"/>
      <c r="G174" s="39"/>
      <c r="H174" s="55"/>
      <c r="I174" s="56"/>
      <c r="J174" s="56"/>
      <c r="K174" s="56"/>
      <c r="L174" s="56"/>
    </row>
    <row r="175" s="1" customFormat="1" spans="2:12">
      <c r="B175" s="32" t="s">
        <v>2206</v>
      </c>
      <c r="C175" s="32" t="s">
        <v>275</v>
      </c>
      <c r="D175" s="10" t="s">
        <v>2207</v>
      </c>
      <c r="E175" s="54"/>
      <c r="F175" s="39"/>
      <c r="G175" s="39"/>
      <c r="H175" s="55"/>
      <c r="I175" s="56"/>
      <c r="J175" s="56"/>
      <c r="K175" s="56"/>
      <c r="L175" s="56"/>
    </row>
    <row r="176" s="1" customFormat="1" spans="2:12">
      <c r="B176" s="32" t="s">
        <v>2208</v>
      </c>
      <c r="C176" s="32" t="s">
        <v>275</v>
      </c>
      <c r="D176" s="10" t="s">
        <v>2209</v>
      </c>
      <c r="E176" s="54"/>
      <c r="F176" s="39"/>
      <c r="G176" s="39"/>
      <c r="H176" s="55"/>
      <c r="I176" s="56"/>
      <c r="J176" s="56"/>
      <c r="K176" s="56"/>
      <c r="L176" s="56"/>
    </row>
    <row r="177" s="1" customFormat="1" spans="2:12">
      <c r="B177" s="32" t="s">
        <v>2210</v>
      </c>
      <c r="C177" s="32" t="s">
        <v>275</v>
      </c>
      <c r="D177" s="10" t="s">
        <v>2211</v>
      </c>
      <c r="E177" s="54"/>
      <c r="F177" s="39"/>
      <c r="G177" s="39"/>
      <c r="H177" s="55"/>
      <c r="I177" s="56"/>
      <c r="J177" s="56"/>
      <c r="K177" s="56"/>
      <c r="L177" s="56"/>
    </row>
    <row r="178" s="1" customFormat="1" spans="2:12">
      <c r="B178" s="32" t="s">
        <v>2212</v>
      </c>
      <c r="C178" s="32" t="s">
        <v>275</v>
      </c>
      <c r="D178" s="10" t="s">
        <v>2213</v>
      </c>
      <c r="E178" s="54"/>
      <c r="F178" s="39"/>
      <c r="G178" s="39"/>
      <c r="H178" s="55"/>
      <c r="I178" s="56"/>
      <c r="J178" s="56"/>
      <c r="K178" s="56"/>
      <c r="L178" s="56"/>
    </row>
    <row r="179" s="1" customFormat="1" spans="2:12">
      <c r="B179" s="32" t="s">
        <v>2214</v>
      </c>
      <c r="C179" s="32" t="s">
        <v>275</v>
      </c>
      <c r="D179" s="10" t="s">
        <v>2215</v>
      </c>
      <c r="E179" s="54"/>
      <c r="F179" s="39"/>
      <c r="G179" s="39"/>
      <c r="H179" s="55"/>
      <c r="I179" s="56"/>
      <c r="J179" s="56"/>
      <c r="K179" s="56"/>
      <c r="L179" s="56"/>
    </row>
    <row r="180" s="1" customFormat="1" spans="2:12">
      <c r="B180" s="32" t="s">
        <v>2216</v>
      </c>
      <c r="C180" s="32" t="s">
        <v>275</v>
      </c>
      <c r="D180" s="10" t="s">
        <v>2217</v>
      </c>
      <c r="E180" s="54"/>
      <c r="F180" s="39"/>
      <c r="G180" s="39"/>
      <c r="H180" s="55"/>
      <c r="I180" s="56"/>
      <c r="J180" s="56"/>
      <c r="K180" s="56"/>
      <c r="L180" s="56"/>
    </row>
    <row r="181" s="1" customFormat="1" spans="2:12">
      <c r="B181" s="32" t="s">
        <v>2218</v>
      </c>
      <c r="C181" s="32" t="s">
        <v>275</v>
      </c>
      <c r="D181" s="10" t="s">
        <v>2219</v>
      </c>
      <c r="E181" s="54"/>
      <c r="F181" s="39"/>
      <c r="G181" s="39"/>
      <c r="H181" s="55"/>
      <c r="I181" s="56"/>
      <c r="J181" s="56"/>
      <c r="K181" s="56"/>
      <c r="L181" s="56"/>
    </row>
    <row r="182" s="1" customFormat="1" spans="2:12">
      <c r="B182" s="32" t="s">
        <v>2220</v>
      </c>
      <c r="C182" s="32" t="s">
        <v>275</v>
      </c>
      <c r="D182" s="10" t="s">
        <v>2221</v>
      </c>
      <c r="E182" s="54"/>
      <c r="F182" s="39"/>
      <c r="G182" s="39"/>
      <c r="H182" s="55"/>
      <c r="I182" s="56"/>
      <c r="J182" s="56"/>
      <c r="K182" s="56"/>
      <c r="L182" s="56"/>
    </row>
    <row r="183" s="1" customFormat="1" spans="2:12">
      <c r="B183" s="32" t="s">
        <v>2222</v>
      </c>
      <c r="C183" s="32" t="s">
        <v>275</v>
      </c>
      <c r="D183" s="10" t="s">
        <v>2223</v>
      </c>
      <c r="E183" s="54"/>
      <c r="F183" s="39"/>
      <c r="G183" s="39"/>
      <c r="H183" s="55"/>
      <c r="I183" s="56"/>
      <c r="J183" s="56"/>
      <c r="K183" s="56"/>
      <c r="L183" s="56"/>
    </row>
    <row r="184" s="1" customFormat="1" spans="2:12">
      <c r="B184" s="32" t="s">
        <v>2224</v>
      </c>
      <c r="C184" s="32" t="s">
        <v>275</v>
      </c>
      <c r="D184" s="10" t="s">
        <v>2225</v>
      </c>
      <c r="E184" s="54"/>
      <c r="F184" s="39"/>
      <c r="G184" s="39"/>
      <c r="H184" s="55"/>
      <c r="I184" s="56"/>
      <c r="J184" s="56"/>
      <c r="K184" s="56"/>
      <c r="L184" s="56"/>
    </row>
    <row r="185" s="1" customFormat="1" spans="2:12">
      <c r="B185" s="32" t="s">
        <v>2226</v>
      </c>
      <c r="C185" s="32" t="s">
        <v>275</v>
      </c>
      <c r="D185" s="10" t="s">
        <v>2227</v>
      </c>
      <c r="E185" s="54"/>
      <c r="F185" s="39"/>
      <c r="G185" s="39"/>
      <c r="H185" s="55"/>
      <c r="I185" s="56"/>
      <c r="J185" s="56"/>
      <c r="K185" s="56"/>
      <c r="L185" s="56"/>
    </row>
    <row r="186" s="1" customFormat="1" ht="26.4" spans="2:12">
      <c r="B186" s="32" t="s">
        <v>2228</v>
      </c>
      <c r="C186" s="32" t="s">
        <v>275</v>
      </c>
      <c r="D186" s="10" t="s">
        <v>2229</v>
      </c>
      <c r="E186" s="54"/>
      <c r="F186" s="39"/>
      <c r="G186" s="39"/>
      <c r="H186" s="55"/>
      <c r="I186" s="56"/>
      <c r="J186" s="56"/>
      <c r="K186" s="56"/>
      <c r="L186" s="56"/>
    </row>
    <row r="187" s="1" customFormat="1" ht="26.4" spans="2:12">
      <c r="B187" s="32" t="s">
        <v>2230</v>
      </c>
      <c r="C187" s="32" t="s">
        <v>275</v>
      </c>
      <c r="D187" s="10" t="s">
        <v>2231</v>
      </c>
      <c r="E187" s="54"/>
      <c r="F187" s="39"/>
      <c r="G187" s="39"/>
      <c r="H187" s="55"/>
      <c r="I187" s="56"/>
      <c r="J187" s="56"/>
      <c r="K187" s="56"/>
      <c r="L187" s="56"/>
    </row>
    <row r="188" s="1" customFormat="1" ht="26.4" spans="2:12">
      <c r="B188" s="32" t="s">
        <v>2232</v>
      </c>
      <c r="C188" s="32" t="s">
        <v>275</v>
      </c>
      <c r="D188" s="10" t="s">
        <v>2233</v>
      </c>
      <c r="E188" s="54"/>
      <c r="F188" s="39"/>
      <c r="G188" s="39"/>
      <c r="H188" s="55"/>
      <c r="I188" s="56"/>
      <c r="J188" s="56"/>
      <c r="K188" s="56"/>
      <c r="L188" s="56"/>
    </row>
    <row r="189" s="1" customFormat="1" ht="26.4" spans="2:12">
      <c r="B189" s="32" t="s">
        <v>2234</v>
      </c>
      <c r="C189" s="32" t="s">
        <v>275</v>
      </c>
      <c r="D189" s="10" t="s">
        <v>2235</v>
      </c>
      <c r="E189" s="54"/>
      <c r="F189" s="39"/>
      <c r="G189" s="39"/>
      <c r="H189" s="55"/>
      <c r="I189" s="56"/>
      <c r="J189" s="56"/>
      <c r="K189" s="56"/>
      <c r="L189" s="56"/>
    </row>
    <row r="190" s="1" customFormat="1" ht="26.4" spans="2:12">
      <c r="B190" s="32" t="s">
        <v>2236</v>
      </c>
      <c r="C190" s="32" t="s">
        <v>275</v>
      </c>
      <c r="D190" s="10" t="s">
        <v>2237</v>
      </c>
      <c r="E190" s="54"/>
      <c r="F190" s="39"/>
      <c r="G190" s="39"/>
      <c r="H190" s="55"/>
      <c r="I190" s="56"/>
      <c r="J190" s="56"/>
      <c r="K190" s="56"/>
      <c r="L190" s="56"/>
    </row>
    <row r="191" s="1" customFormat="1" ht="26.4" spans="2:12">
      <c r="B191" s="32" t="s">
        <v>2238</v>
      </c>
      <c r="C191" s="32" t="s">
        <v>275</v>
      </c>
      <c r="D191" s="10" t="s">
        <v>2239</v>
      </c>
      <c r="E191" s="54"/>
      <c r="F191" s="39"/>
      <c r="G191" s="39"/>
      <c r="H191" s="55"/>
      <c r="I191" s="56"/>
      <c r="J191" s="56"/>
      <c r="K191" s="56"/>
      <c r="L191" s="56"/>
    </row>
    <row r="192" s="1" customFormat="1" ht="26.4" spans="2:12">
      <c r="B192" s="32" t="s">
        <v>2240</v>
      </c>
      <c r="C192" s="32" t="s">
        <v>275</v>
      </c>
      <c r="D192" s="10" t="s">
        <v>2241</v>
      </c>
      <c r="E192" s="54"/>
      <c r="F192" s="39"/>
      <c r="G192" s="39"/>
      <c r="H192" s="55"/>
      <c r="I192" s="56"/>
      <c r="J192" s="56"/>
      <c r="K192" s="56"/>
      <c r="L192" s="56"/>
    </row>
    <row r="193" s="1" customFormat="1" ht="26.4" spans="2:12">
      <c r="B193" s="32" t="s">
        <v>2242</v>
      </c>
      <c r="C193" s="32" t="s">
        <v>275</v>
      </c>
      <c r="D193" s="10" t="s">
        <v>2243</v>
      </c>
      <c r="E193" s="54"/>
      <c r="F193" s="39"/>
      <c r="G193" s="39"/>
      <c r="H193" s="55"/>
      <c r="I193" s="56"/>
      <c r="J193" s="56"/>
      <c r="K193" s="56"/>
      <c r="L193" s="56"/>
    </row>
    <row r="194" s="1" customFormat="1" ht="26.4" spans="2:12">
      <c r="B194" s="32" t="s">
        <v>2244</v>
      </c>
      <c r="C194" s="32" t="s">
        <v>275</v>
      </c>
      <c r="D194" s="10" t="s">
        <v>2245</v>
      </c>
      <c r="E194" s="54"/>
      <c r="F194" s="39"/>
      <c r="G194" s="39"/>
      <c r="H194" s="55"/>
      <c r="I194" s="56"/>
      <c r="J194" s="56"/>
      <c r="K194" s="56"/>
      <c r="L194" s="56"/>
    </row>
    <row r="195" s="1" customFormat="1" ht="26.4" spans="2:12">
      <c r="B195" s="32" t="s">
        <v>2246</v>
      </c>
      <c r="C195" s="32" t="s">
        <v>275</v>
      </c>
      <c r="D195" s="10" t="s">
        <v>2247</v>
      </c>
      <c r="E195" s="54"/>
      <c r="F195" s="39"/>
      <c r="G195" s="39"/>
      <c r="H195" s="55"/>
      <c r="I195" s="56"/>
      <c r="J195" s="56"/>
      <c r="K195" s="56"/>
      <c r="L195" s="56"/>
    </row>
    <row r="196" s="1" customFormat="1" ht="26.4" spans="2:12">
      <c r="B196" s="32" t="s">
        <v>2248</v>
      </c>
      <c r="C196" s="32" t="s">
        <v>275</v>
      </c>
      <c r="D196" s="10" t="s">
        <v>2249</v>
      </c>
      <c r="E196" s="54"/>
      <c r="F196" s="39"/>
      <c r="G196" s="39"/>
      <c r="H196" s="55"/>
      <c r="I196" s="56"/>
      <c r="J196" s="56"/>
      <c r="K196" s="56"/>
      <c r="L196" s="56"/>
    </row>
    <row r="197" s="1" customFormat="1" ht="26.4" spans="2:12">
      <c r="B197" s="32" t="s">
        <v>2250</v>
      </c>
      <c r="C197" s="32" t="s">
        <v>275</v>
      </c>
      <c r="D197" s="10" t="s">
        <v>2251</v>
      </c>
      <c r="E197" s="54"/>
      <c r="F197" s="39"/>
      <c r="G197" s="39"/>
      <c r="H197" s="55"/>
      <c r="I197" s="56"/>
      <c r="J197" s="56"/>
      <c r="K197" s="56"/>
      <c r="L197" s="56"/>
    </row>
    <row r="198" s="1" customFormat="1" ht="26.4" spans="2:12">
      <c r="B198" s="32" t="s">
        <v>2252</v>
      </c>
      <c r="C198" s="32" t="s">
        <v>275</v>
      </c>
      <c r="D198" s="10" t="s">
        <v>2253</v>
      </c>
      <c r="E198" s="54"/>
      <c r="F198" s="39"/>
      <c r="G198" s="39"/>
      <c r="H198" s="55"/>
      <c r="I198" s="56"/>
      <c r="J198" s="56"/>
      <c r="K198" s="56"/>
      <c r="L198" s="56"/>
    </row>
    <row r="199" s="1" customFormat="1" ht="26.4" spans="2:12">
      <c r="B199" s="32" t="s">
        <v>2254</v>
      </c>
      <c r="C199" s="32" t="s">
        <v>275</v>
      </c>
      <c r="D199" s="10" t="s">
        <v>2255</v>
      </c>
      <c r="E199" s="54"/>
      <c r="F199" s="39"/>
      <c r="G199" s="39"/>
      <c r="H199" s="55"/>
      <c r="I199" s="56"/>
      <c r="J199" s="56"/>
      <c r="K199" s="56"/>
      <c r="L199" s="56"/>
    </row>
    <row r="200" s="1" customFormat="1" ht="26.4" spans="2:12">
      <c r="B200" s="32" t="s">
        <v>2256</v>
      </c>
      <c r="C200" s="32" t="s">
        <v>275</v>
      </c>
      <c r="D200" s="10" t="s">
        <v>2257</v>
      </c>
      <c r="E200" s="54"/>
      <c r="F200" s="39"/>
      <c r="G200" s="39"/>
      <c r="H200" s="55"/>
      <c r="I200" s="56"/>
      <c r="J200" s="56"/>
      <c r="K200" s="56"/>
      <c r="L200" s="56"/>
    </row>
    <row r="201" s="1" customFormat="1" ht="26.4" spans="2:12">
      <c r="B201" s="32" t="s">
        <v>2258</v>
      </c>
      <c r="C201" s="32" t="s">
        <v>275</v>
      </c>
      <c r="D201" s="10" t="s">
        <v>2259</v>
      </c>
      <c r="E201" s="54"/>
      <c r="F201" s="39"/>
      <c r="G201" s="39"/>
      <c r="H201" s="55"/>
      <c r="I201" s="56"/>
      <c r="J201" s="56"/>
      <c r="K201" s="56"/>
      <c r="L201" s="56"/>
    </row>
    <row r="202" s="1" customFormat="1" ht="26.4" spans="2:12">
      <c r="B202" s="32" t="s">
        <v>2260</v>
      </c>
      <c r="C202" s="32" t="s">
        <v>275</v>
      </c>
      <c r="D202" s="10" t="s">
        <v>2261</v>
      </c>
      <c r="E202" s="54"/>
      <c r="F202" s="39"/>
      <c r="G202" s="39"/>
      <c r="H202" s="55"/>
      <c r="I202" s="56"/>
      <c r="J202" s="56"/>
      <c r="K202" s="56"/>
      <c r="L202" s="56"/>
    </row>
    <row r="203" s="1" customFormat="1" ht="26.4" spans="2:12">
      <c r="B203" s="32" t="s">
        <v>2262</v>
      </c>
      <c r="C203" s="32" t="s">
        <v>275</v>
      </c>
      <c r="D203" s="10" t="s">
        <v>2263</v>
      </c>
      <c r="E203" s="54"/>
      <c r="F203" s="39"/>
      <c r="G203" s="39"/>
      <c r="H203" s="55"/>
      <c r="I203" s="56"/>
      <c r="J203" s="56"/>
      <c r="K203" s="56"/>
      <c r="L203" s="56"/>
    </row>
    <row r="204" s="1" customFormat="1" ht="26.4" spans="2:12">
      <c r="B204" s="32" t="s">
        <v>2264</v>
      </c>
      <c r="C204" s="32" t="s">
        <v>275</v>
      </c>
      <c r="D204" s="10" t="s">
        <v>2265</v>
      </c>
      <c r="E204" s="54"/>
      <c r="F204" s="39"/>
      <c r="G204" s="39"/>
      <c r="H204" s="55"/>
      <c r="I204" s="56"/>
      <c r="J204" s="56"/>
      <c r="K204" s="56"/>
      <c r="L204" s="56"/>
    </row>
    <row r="205" s="1" customFormat="1" ht="26.4" spans="2:12">
      <c r="B205" s="32" t="s">
        <v>2266</v>
      </c>
      <c r="C205" s="32" t="s">
        <v>275</v>
      </c>
      <c r="D205" s="10" t="s">
        <v>2267</v>
      </c>
      <c r="E205" s="54"/>
      <c r="F205" s="39"/>
      <c r="G205" s="39"/>
      <c r="H205" s="55"/>
      <c r="I205" s="56"/>
      <c r="J205" s="56"/>
      <c r="K205" s="56"/>
      <c r="L205" s="56"/>
    </row>
    <row r="206" s="1" customFormat="1" ht="26.4" spans="2:12">
      <c r="B206" s="32" t="s">
        <v>2268</v>
      </c>
      <c r="C206" s="32" t="s">
        <v>275</v>
      </c>
      <c r="D206" s="10" t="s">
        <v>2269</v>
      </c>
      <c r="E206" s="54"/>
      <c r="F206" s="39"/>
      <c r="G206" s="39"/>
      <c r="H206" s="55"/>
      <c r="I206" s="56"/>
      <c r="J206" s="56"/>
      <c r="K206" s="56"/>
      <c r="L206" s="56"/>
    </row>
    <row r="207" s="1" customFormat="1" ht="26.4" spans="2:12">
      <c r="B207" s="32" t="s">
        <v>2270</v>
      </c>
      <c r="C207" s="32" t="s">
        <v>275</v>
      </c>
      <c r="D207" s="10" t="s">
        <v>2271</v>
      </c>
      <c r="E207" s="54"/>
      <c r="F207" s="39"/>
      <c r="G207" s="39"/>
      <c r="H207" s="55"/>
      <c r="I207" s="56"/>
      <c r="J207" s="56"/>
      <c r="K207" s="56"/>
      <c r="L207" s="56"/>
    </row>
    <row r="208" s="1" customFormat="1" ht="26.4" spans="2:12">
      <c r="B208" s="32" t="s">
        <v>2272</v>
      </c>
      <c r="C208" s="32" t="s">
        <v>275</v>
      </c>
      <c r="D208" s="10" t="s">
        <v>2273</v>
      </c>
      <c r="E208" s="54"/>
      <c r="F208" s="39"/>
      <c r="G208" s="39"/>
      <c r="H208" s="55"/>
      <c r="I208" s="56"/>
      <c r="J208" s="56"/>
      <c r="K208" s="56"/>
      <c r="L208" s="56"/>
    </row>
    <row r="209" s="1" customFormat="1" ht="26.4" spans="2:12">
      <c r="B209" s="32" t="s">
        <v>2274</v>
      </c>
      <c r="C209" s="32" t="s">
        <v>275</v>
      </c>
      <c r="D209" s="10" t="s">
        <v>2275</v>
      </c>
      <c r="E209" s="54"/>
      <c r="F209" s="39"/>
      <c r="G209" s="39"/>
      <c r="H209" s="55"/>
      <c r="I209" s="56"/>
      <c r="J209" s="56"/>
      <c r="K209" s="56"/>
      <c r="L209" s="56"/>
    </row>
    <row r="210" s="1" customFormat="1" ht="26.4" spans="2:12">
      <c r="B210" s="32" t="s">
        <v>2276</v>
      </c>
      <c r="C210" s="32" t="s">
        <v>275</v>
      </c>
      <c r="D210" s="10" t="s">
        <v>2277</v>
      </c>
      <c r="E210" s="54"/>
      <c r="F210" s="39"/>
      <c r="G210" s="39"/>
      <c r="H210" s="55"/>
      <c r="I210" s="56"/>
      <c r="J210" s="56"/>
      <c r="K210" s="56"/>
      <c r="L210" s="56"/>
    </row>
    <row r="211" s="1" customFormat="1" ht="26.4" spans="2:12">
      <c r="B211" s="32" t="s">
        <v>2278</v>
      </c>
      <c r="C211" s="32" t="s">
        <v>275</v>
      </c>
      <c r="D211" s="10" t="s">
        <v>2279</v>
      </c>
      <c r="E211" s="54"/>
      <c r="F211" s="39"/>
      <c r="G211" s="39"/>
      <c r="H211" s="55"/>
      <c r="I211" s="56"/>
      <c r="J211" s="56"/>
      <c r="K211" s="56"/>
      <c r="L211" s="56"/>
    </row>
    <row r="212" s="1" customFormat="1" ht="26.4" spans="2:12">
      <c r="B212" s="32" t="s">
        <v>2280</v>
      </c>
      <c r="C212" s="32" t="s">
        <v>275</v>
      </c>
      <c r="D212" s="10" t="s">
        <v>2281</v>
      </c>
      <c r="E212" s="54"/>
      <c r="F212" s="39"/>
      <c r="G212" s="39"/>
      <c r="H212" s="55"/>
      <c r="I212" s="56"/>
      <c r="J212" s="56"/>
      <c r="K212" s="56"/>
      <c r="L212" s="56"/>
    </row>
    <row r="213" s="1" customFormat="1" ht="26.4" spans="2:12">
      <c r="B213" s="32" t="s">
        <v>2282</v>
      </c>
      <c r="C213" s="32" t="s">
        <v>275</v>
      </c>
      <c r="D213" s="10" t="s">
        <v>2283</v>
      </c>
      <c r="E213" s="54"/>
      <c r="F213" s="39"/>
      <c r="G213" s="39"/>
      <c r="H213" s="55"/>
      <c r="I213" s="56"/>
      <c r="J213" s="56"/>
      <c r="K213" s="56"/>
      <c r="L213" s="56"/>
    </row>
    <row r="214" s="1" customFormat="1" ht="26.4" spans="2:12">
      <c r="B214" s="32" t="s">
        <v>2284</v>
      </c>
      <c r="C214" s="32" t="s">
        <v>275</v>
      </c>
      <c r="D214" s="10" t="s">
        <v>2285</v>
      </c>
      <c r="E214" s="54"/>
      <c r="F214" s="39"/>
      <c r="G214" s="39"/>
      <c r="H214" s="55"/>
      <c r="I214" s="56"/>
      <c r="J214" s="56"/>
      <c r="K214" s="56"/>
      <c r="L214" s="56"/>
    </row>
    <row r="215" s="1" customFormat="1" ht="26.4" spans="2:12">
      <c r="B215" s="32" t="s">
        <v>2286</v>
      </c>
      <c r="C215" s="32" t="s">
        <v>275</v>
      </c>
      <c r="D215" s="10" t="s">
        <v>2287</v>
      </c>
      <c r="E215" s="54"/>
      <c r="F215" s="39"/>
      <c r="G215" s="39"/>
      <c r="H215" s="55"/>
      <c r="I215" s="56"/>
      <c r="J215" s="56"/>
      <c r="K215" s="56"/>
      <c r="L215" s="56"/>
    </row>
    <row r="216" s="1" customFormat="1" ht="26.4" spans="2:12">
      <c r="B216" s="32" t="s">
        <v>2288</v>
      </c>
      <c r="C216" s="32" t="s">
        <v>275</v>
      </c>
      <c r="D216" s="10" t="s">
        <v>2289</v>
      </c>
      <c r="E216" s="54"/>
      <c r="F216" s="39"/>
      <c r="G216" s="39"/>
      <c r="H216" s="55"/>
      <c r="I216" s="56"/>
      <c r="J216" s="56"/>
      <c r="K216" s="56"/>
      <c r="L216" s="56"/>
    </row>
    <row r="217" s="1" customFormat="1" ht="26.4" spans="2:12">
      <c r="B217" s="32" t="s">
        <v>2290</v>
      </c>
      <c r="C217" s="32" t="s">
        <v>275</v>
      </c>
      <c r="D217" s="10" t="s">
        <v>2291</v>
      </c>
      <c r="E217" s="54"/>
      <c r="F217" s="39"/>
      <c r="G217" s="39"/>
      <c r="H217" s="55"/>
      <c r="I217" s="56"/>
      <c r="J217" s="56"/>
      <c r="K217" s="56"/>
      <c r="L217" s="56"/>
    </row>
    <row r="218" s="1" customFormat="1" ht="26.4" spans="2:12">
      <c r="B218" s="32" t="s">
        <v>2292</v>
      </c>
      <c r="C218" s="32" t="s">
        <v>275</v>
      </c>
      <c r="D218" s="10" t="s">
        <v>2293</v>
      </c>
      <c r="E218" s="54"/>
      <c r="F218" s="39"/>
      <c r="G218" s="39"/>
      <c r="H218" s="55"/>
      <c r="I218" s="56"/>
      <c r="J218" s="56"/>
      <c r="K218" s="56"/>
      <c r="L218" s="56"/>
    </row>
    <row r="219" s="1" customFormat="1" ht="26.4" spans="2:12">
      <c r="B219" s="32" t="s">
        <v>2294</v>
      </c>
      <c r="C219" s="32" t="s">
        <v>275</v>
      </c>
      <c r="D219" s="10" t="s">
        <v>2295</v>
      </c>
      <c r="E219" s="54"/>
      <c r="F219" s="39"/>
      <c r="G219" s="39"/>
      <c r="H219" s="55"/>
      <c r="I219" s="56"/>
      <c r="J219" s="56"/>
      <c r="K219" s="56"/>
      <c r="L219" s="56"/>
    </row>
    <row r="220" s="1" customFormat="1" ht="26.4" spans="2:12">
      <c r="B220" s="32" t="s">
        <v>2296</v>
      </c>
      <c r="C220" s="32" t="s">
        <v>275</v>
      </c>
      <c r="D220" s="10" t="s">
        <v>2297</v>
      </c>
      <c r="E220" s="54"/>
      <c r="F220" s="39"/>
      <c r="G220" s="39"/>
      <c r="H220" s="55"/>
      <c r="I220" s="56"/>
      <c r="J220" s="56"/>
      <c r="K220" s="56"/>
      <c r="L220" s="56"/>
    </row>
    <row r="221" s="1" customFormat="1" ht="26.4" spans="2:12">
      <c r="B221" s="32" t="s">
        <v>2312</v>
      </c>
      <c r="C221" s="32" t="s">
        <v>275</v>
      </c>
      <c r="D221" s="10" t="s">
        <v>2313</v>
      </c>
      <c r="E221" s="54"/>
      <c r="F221" s="39"/>
      <c r="G221" s="39"/>
      <c r="H221" s="55"/>
      <c r="I221" s="56"/>
      <c r="J221" s="56"/>
      <c r="K221" s="56"/>
      <c r="L221" s="56"/>
    </row>
    <row r="222" s="1" customFormat="1" ht="26.4" spans="2:12">
      <c r="B222" s="32" t="s">
        <v>2314</v>
      </c>
      <c r="C222" s="32" t="s">
        <v>275</v>
      </c>
      <c r="D222" s="10" t="s">
        <v>2315</v>
      </c>
      <c r="E222" s="54"/>
      <c r="F222" s="39"/>
      <c r="G222" s="39"/>
      <c r="H222" s="55"/>
      <c r="I222" s="56"/>
      <c r="J222" s="56"/>
      <c r="K222" s="56"/>
      <c r="L222" s="56"/>
    </row>
    <row r="223" s="1" customFormat="1" ht="26.4" spans="2:12">
      <c r="B223" s="32" t="s">
        <v>2316</v>
      </c>
      <c r="C223" s="32" t="s">
        <v>275</v>
      </c>
      <c r="D223" s="10" t="s">
        <v>2317</v>
      </c>
      <c r="E223" s="54"/>
      <c r="F223" s="39"/>
      <c r="G223" s="39"/>
      <c r="H223" s="55"/>
      <c r="I223" s="56"/>
      <c r="J223" s="56"/>
      <c r="K223" s="56"/>
      <c r="L223" s="56"/>
    </row>
    <row r="224" s="1" customFormat="1" ht="26.4" spans="2:12">
      <c r="B224" s="32" t="s">
        <v>2318</v>
      </c>
      <c r="C224" s="32" t="s">
        <v>275</v>
      </c>
      <c r="D224" s="10" t="s">
        <v>2319</v>
      </c>
      <c r="E224" s="54"/>
      <c r="F224" s="39"/>
      <c r="G224" s="39"/>
      <c r="H224" s="55"/>
      <c r="I224" s="56"/>
      <c r="J224" s="56"/>
      <c r="K224" s="56"/>
      <c r="L224" s="56"/>
    </row>
    <row r="225" s="1" customFormat="1" ht="26.4" spans="2:12">
      <c r="B225" s="32" t="s">
        <v>2320</v>
      </c>
      <c r="C225" s="32" t="s">
        <v>275</v>
      </c>
      <c r="D225" s="10" t="s">
        <v>2321</v>
      </c>
      <c r="E225" s="54"/>
      <c r="F225" s="39"/>
      <c r="G225" s="39"/>
      <c r="H225" s="55"/>
      <c r="I225" s="56"/>
      <c r="J225" s="56"/>
      <c r="K225" s="56"/>
      <c r="L225" s="56"/>
    </row>
    <row r="226" s="1" customFormat="1" ht="26.4" spans="2:12">
      <c r="B226" s="32" t="s">
        <v>2322</v>
      </c>
      <c r="C226" s="32" t="s">
        <v>275</v>
      </c>
      <c r="D226" s="10" t="s">
        <v>2323</v>
      </c>
      <c r="E226" s="54"/>
      <c r="F226" s="39"/>
      <c r="G226" s="39"/>
      <c r="H226" s="55"/>
      <c r="I226" s="56"/>
      <c r="J226" s="56"/>
      <c r="K226" s="56"/>
      <c r="L226" s="56"/>
    </row>
    <row r="227" s="1" customFormat="1" ht="26.4" spans="2:12">
      <c r="B227" s="32" t="s">
        <v>2324</v>
      </c>
      <c r="C227" s="32" t="s">
        <v>275</v>
      </c>
      <c r="D227" s="10" t="s">
        <v>2325</v>
      </c>
      <c r="E227" s="54"/>
      <c r="F227" s="39"/>
      <c r="G227" s="39"/>
      <c r="H227" s="55"/>
      <c r="I227" s="56"/>
      <c r="J227" s="56"/>
      <c r="K227" s="56"/>
      <c r="L227" s="56"/>
    </row>
    <row r="228" s="1" customFormat="1" ht="26.4" spans="2:12">
      <c r="B228" s="32" t="s">
        <v>2326</v>
      </c>
      <c r="C228" s="32" t="s">
        <v>275</v>
      </c>
      <c r="D228" s="10" t="s">
        <v>2327</v>
      </c>
      <c r="E228" s="54"/>
      <c r="F228" s="39"/>
      <c r="G228" s="39"/>
      <c r="H228" s="55"/>
      <c r="I228" s="56"/>
      <c r="J228" s="56"/>
      <c r="K228" s="56"/>
      <c r="L228" s="56"/>
    </row>
    <row r="229" s="1" customFormat="1" ht="26.4" spans="2:12">
      <c r="B229" s="32" t="s">
        <v>2328</v>
      </c>
      <c r="C229" s="32" t="s">
        <v>275</v>
      </c>
      <c r="D229" s="10" t="s">
        <v>2329</v>
      </c>
      <c r="E229" s="54"/>
      <c r="F229" s="39"/>
      <c r="G229" s="39"/>
      <c r="H229" s="55"/>
      <c r="I229" s="56"/>
      <c r="J229" s="56"/>
      <c r="K229" s="56"/>
      <c r="L229" s="56"/>
    </row>
    <row r="230" s="1" customFormat="1" ht="26.4" spans="2:12">
      <c r="B230" s="32" t="s">
        <v>2330</v>
      </c>
      <c r="C230" s="32" t="s">
        <v>275</v>
      </c>
      <c r="D230" s="10" t="s">
        <v>2331</v>
      </c>
      <c r="E230" s="54"/>
      <c r="F230" s="39"/>
      <c r="G230" s="39"/>
      <c r="H230" s="55"/>
      <c r="I230" s="56"/>
      <c r="J230" s="56"/>
      <c r="K230" s="56"/>
      <c r="L230" s="56"/>
    </row>
    <row r="231" s="1" customFormat="1" ht="26.4" spans="2:12">
      <c r="B231" s="32" t="s">
        <v>2332</v>
      </c>
      <c r="C231" s="32" t="s">
        <v>275</v>
      </c>
      <c r="D231" s="10" t="s">
        <v>2333</v>
      </c>
      <c r="E231" s="54"/>
      <c r="F231" s="39"/>
      <c r="G231" s="39"/>
      <c r="H231" s="55"/>
      <c r="I231" s="56"/>
      <c r="J231" s="56"/>
      <c r="K231" s="56"/>
      <c r="L231" s="56"/>
    </row>
    <row r="232" s="1" customFormat="1" ht="26.4" spans="2:12">
      <c r="B232" s="32" t="s">
        <v>2334</v>
      </c>
      <c r="C232" s="32" t="s">
        <v>275</v>
      </c>
      <c r="D232" s="10" t="s">
        <v>2335</v>
      </c>
      <c r="E232" s="54"/>
      <c r="F232" s="39"/>
      <c r="G232" s="39"/>
      <c r="H232" s="55"/>
      <c r="I232" s="56"/>
      <c r="J232" s="56"/>
      <c r="K232" s="56"/>
      <c r="L232" s="56"/>
    </row>
    <row r="233" s="1" customFormat="1" ht="26.4" spans="2:12">
      <c r="B233" s="32" t="s">
        <v>2336</v>
      </c>
      <c r="C233" s="32" t="s">
        <v>275</v>
      </c>
      <c r="D233" s="10" t="s">
        <v>2337</v>
      </c>
      <c r="E233" s="54"/>
      <c r="F233" s="39"/>
      <c r="G233" s="39"/>
      <c r="H233" s="55"/>
      <c r="I233" s="56"/>
      <c r="J233" s="56"/>
      <c r="K233" s="56"/>
      <c r="L233" s="56"/>
    </row>
    <row r="234" s="1" customFormat="1" ht="26.4" spans="2:12">
      <c r="B234" s="32" t="s">
        <v>2338</v>
      </c>
      <c r="C234" s="32" t="s">
        <v>275</v>
      </c>
      <c r="D234" s="10" t="s">
        <v>2339</v>
      </c>
      <c r="E234" s="54"/>
      <c r="F234" s="39"/>
      <c r="G234" s="39"/>
      <c r="H234" s="55"/>
      <c r="I234" s="56"/>
      <c r="J234" s="56"/>
      <c r="K234" s="56"/>
      <c r="L234" s="56"/>
    </row>
    <row r="235" s="1" customFormat="1" ht="26.4" spans="2:12">
      <c r="B235" s="32" t="s">
        <v>2340</v>
      </c>
      <c r="C235" s="32" t="s">
        <v>275</v>
      </c>
      <c r="D235" s="10" t="s">
        <v>2341</v>
      </c>
      <c r="E235" s="54"/>
      <c r="F235" s="39"/>
      <c r="G235" s="39"/>
      <c r="H235" s="55"/>
      <c r="I235" s="56"/>
      <c r="J235" s="56"/>
      <c r="K235" s="56"/>
      <c r="L235" s="56"/>
    </row>
    <row r="236" s="1" customFormat="1" ht="26.4" spans="2:12">
      <c r="B236" s="32" t="s">
        <v>2342</v>
      </c>
      <c r="C236" s="32" t="s">
        <v>275</v>
      </c>
      <c r="D236" s="10" t="s">
        <v>2343</v>
      </c>
      <c r="E236" s="54"/>
      <c r="F236" s="39"/>
      <c r="G236" s="39"/>
      <c r="H236" s="55"/>
      <c r="I236" s="56"/>
      <c r="J236" s="56"/>
      <c r="K236" s="56"/>
      <c r="L236" s="56"/>
    </row>
    <row r="237" s="1" customFormat="1" ht="26.4" spans="2:12">
      <c r="B237" s="32" t="s">
        <v>2344</v>
      </c>
      <c r="C237" s="32" t="s">
        <v>275</v>
      </c>
      <c r="D237" s="10" t="s">
        <v>2345</v>
      </c>
      <c r="E237" s="54"/>
      <c r="F237" s="39"/>
      <c r="G237" s="39"/>
      <c r="H237" s="55"/>
      <c r="I237" s="56"/>
      <c r="J237" s="56"/>
      <c r="K237" s="56"/>
      <c r="L237" s="56"/>
    </row>
    <row r="238" s="1" customFormat="1" ht="26.4" spans="2:12">
      <c r="B238" s="32" t="s">
        <v>2346</v>
      </c>
      <c r="C238" s="32" t="s">
        <v>275</v>
      </c>
      <c r="D238" s="10" t="s">
        <v>2347</v>
      </c>
      <c r="E238" s="54"/>
      <c r="F238" s="39"/>
      <c r="G238" s="39"/>
      <c r="H238" s="55"/>
      <c r="I238" s="56"/>
      <c r="J238" s="56"/>
      <c r="K238" s="56"/>
      <c r="L238" s="56"/>
    </row>
    <row r="239" s="1" customFormat="1" ht="26.4" spans="2:12">
      <c r="B239" s="32" t="s">
        <v>2348</v>
      </c>
      <c r="C239" s="32" t="s">
        <v>275</v>
      </c>
      <c r="D239" s="10" t="s">
        <v>2349</v>
      </c>
      <c r="E239" s="54"/>
      <c r="F239" s="39"/>
      <c r="G239" s="39"/>
      <c r="H239" s="55"/>
      <c r="I239" s="56"/>
      <c r="J239" s="56"/>
      <c r="K239" s="56"/>
      <c r="L239" s="56"/>
    </row>
    <row r="240" s="1" customFormat="1" ht="26.4" spans="2:12">
      <c r="B240" s="32" t="s">
        <v>2350</v>
      </c>
      <c r="C240" s="32" t="s">
        <v>275</v>
      </c>
      <c r="D240" s="10" t="s">
        <v>2351</v>
      </c>
      <c r="E240" s="54"/>
      <c r="F240" s="39"/>
      <c r="G240" s="39"/>
      <c r="H240" s="55"/>
      <c r="I240" s="56"/>
      <c r="J240" s="56"/>
      <c r="K240" s="56"/>
      <c r="L240" s="56"/>
    </row>
    <row r="241" s="1" customFormat="1" ht="26.4" spans="2:12">
      <c r="B241" s="32" t="s">
        <v>2352</v>
      </c>
      <c r="C241" s="32" t="s">
        <v>275</v>
      </c>
      <c r="D241" s="10" t="s">
        <v>2353</v>
      </c>
      <c r="E241" s="54"/>
      <c r="F241" s="39"/>
      <c r="G241" s="39"/>
      <c r="H241" s="55"/>
      <c r="I241" s="56"/>
      <c r="J241" s="56"/>
      <c r="K241" s="56"/>
      <c r="L241" s="56"/>
    </row>
    <row r="242" s="1" customFormat="1" spans="2:12">
      <c r="B242" s="32" t="s">
        <v>2354</v>
      </c>
      <c r="C242" s="32" t="s">
        <v>275</v>
      </c>
      <c r="D242" s="10" t="s">
        <v>2355</v>
      </c>
      <c r="E242" s="54"/>
      <c r="F242" s="39"/>
      <c r="G242" s="39"/>
      <c r="H242" s="55"/>
      <c r="I242" s="56"/>
      <c r="J242" s="56"/>
      <c r="K242" s="56"/>
      <c r="L242" s="56"/>
    </row>
    <row r="243" s="1" customFormat="1" spans="2:12">
      <c r="B243" s="32" t="s">
        <v>2356</v>
      </c>
      <c r="C243" s="32" t="s">
        <v>275</v>
      </c>
      <c r="D243" s="10" t="s">
        <v>2357</v>
      </c>
      <c r="E243" s="54"/>
      <c r="F243" s="39"/>
      <c r="G243" s="39"/>
      <c r="H243" s="55"/>
      <c r="I243" s="56"/>
      <c r="J243" s="56"/>
      <c r="K243" s="56"/>
      <c r="L243" s="56"/>
    </row>
    <row r="244" s="1" customFormat="1" spans="2:12">
      <c r="B244" s="32" t="s">
        <v>2358</v>
      </c>
      <c r="C244" s="32" t="s">
        <v>275</v>
      </c>
      <c r="D244" s="10" t="s">
        <v>2359</v>
      </c>
      <c r="E244" s="54"/>
      <c r="F244" s="39"/>
      <c r="G244" s="39"/>
      <c r="H244" s="55"/>
      <c r="I244" s="56"/>
      <c r="J244" s="56"/>
      <c r="K244" s="56"/>
      <c r="L244" s="56"/>
    </row>
    <row r="245" s="1" customFormat="1" spans="2:12">
      <c r="B245" s="32" t="s">
        <v>2360</v>
      </c>
      <c r="C245" s="32" t="s">
        <v>275</v>
      </c>
      <c r="D245" s="10" t="s">
        <v>2361</v>
      </c>
      <c r="E245" s="54"/>
      <c r="F245" s="39"/>
      <c r="G245" s="39"/>
      <c r="H245" s="55"/>
      <c r="I245" s="56"/>
      <c r="J245" s="56"/>
      <c r="K245" s="56"/>
      <c r="L245" s="56"/>
    </row>
    <row r="246" s="1" customFormat="1" spans="2:12">
      <c r="B246" s="32" t="s">
        <v>2362</v>
      </c>
      <c r="C246" s="32" t="s">
        <v>275</v>
      </c>
      <c r="D246" s="10" t="s">
        <v>2363</v>
      </c>
      <c r="E246" s="54"/>
      <c r="F246" s="39"/>
      <c r="G246" s="39"/>
      <c r="H246" s="55"/>
      <c r="I246" s="56"/>
      <c r="J246" s="56"/>
      <c r="K246" s="56"/>
      <c r="L246" s="56"/>
    </row>
    <row r="247" s="1" customFormat="1" spans="2:12">
      <c r="B247" s="32" t="s">
        <v>2364</v>
      </c>
      <c r="C247" s="32" t="s">
        <v>275</v>
      </c>
      <c r="D247" s="10" t="s">
        <v>2365</v>
      </c>
      <c r="E247" s="54"/>
      <c r="F247" s="39"/>
      <c r="G247" s="39"/>
      <c r="H247" s="55"/>
      <c r="I247" s="56"/>
      <c r="J247" s="56"/>
      <c r="K247" s="56"/>
      <c r="L247" s="56"/>
    </row>
    <row r="248" s="1" customFormat="1" spans="2:12">
      <c r="B248" s="32" t="s">
        <v>2366</v>
      </c>
      <c r="C248" s="32" t="s">
        <v>275</v>
      </c>
      <c r="D248" s="10" t="s">
        <v>2367</v>
      </c>
      <c r="E248" s="54"/>
      <c r="F248" s="39"/>
      <c r="G248" s="39"/>
      <c r="H248" s="55"/>
      <c r="I248" s="56"/>
      <c r="J248" s="56"/>
      <c r="K248" s="56"/>
      <c r="L248" s="56"/>
    </row>
    <row r="249" s="1" customFormat="1" spans="2:12">
      <c r="B249" s="32" t="s">
        <v>2368</v>
      </c>
      <c r="C249" s="32" t="s">
        <v>240</v>
      </c>
      <c r="D249" s="10" t="s">
        <v>2369</v>
      </c>
      <c r="E249" s="54"/>
      <c r="F249" s="39"/>
      <c r="G249" s="39"/>
      <c r="H249" s="55"/>
      <c r="I249" s="56"/>
      <c r="J249" s="56"/>
      <c r="K249" s="56"/>
      <c r="L249" s="56"/>
    </row>
    <row r="250" s="1" customFormat="1" ht="26.4" spans="2:12">
      <c r="B250" s="32" t="s">
        <v>2370</v>
      </c>
      <c r="C250" s="32" t="s">
        <v>275</v>
      </c>
      <c r="D250" s="10" t="s">
        <v>2371</v>
      </c>
      <c r="E250" s="54"/>
      <c r="F250" s="39"/>
      <c r="G250" s="39"/>
      <c r="H250" s="55"/>
      <c r="I250" s="56"/>
      <c r="J250" s="56"/>
      <c r="K250" s="56"/>
      <c r="L250" s="56"/>
    </row>
    <row r="251" s="1" customFormat="1" ht="26.4" spans="2:12">
      <c r="B251" s="32" t="s">
        <v>2372</v>
      </c>
      <c r="C251" s="32" t="s">
        <v>275</v>
      </c>
      <c r="D251" s="10" t="s">
        <v>2373</v>
      </c>
      <c r="E251" s="54"/>
      <c r="F251" s="39"/>
      <c r="G251" s="39"/>
      <c r="H251" s="55"/>
      <c r="I251" s="56"/>
      <c r="J251" s="56"/>
      <c r="K251" s="56"/>
      <c r="L251" s="56"/>
    </row>
    <row r="252" s="1" customFormat="1" ht="26.4" spans="2:12">
      <c r="B252" s="32" t="s">
        <v>2374</v>
      </c>
      <c r="C252" s="32" t="s">
        <v>275</v>
      </c>
      <c r="D252" s="10" t="s">
        <v>2375</v>
      </c>
      <c r="E252" s="54"/>
      <c r="F252" s="39"/>
      <c r="G252" s="39"/>
      <c r="H252" s="55"/>
      <c r="I252" s="56"/>
      <c r="J252" s="56"/>
      <c r="K252" s="56"/>
      <c r="L252" s="56"/>
    </row>
    <row r="253" s="1" customFormat="1" ht="26.4" spans="2:12">
      <c r="B253" s="32" t="s">
        <v>2376</v>
      </c>
      <c r="C253" s="32" t="s">
        <v>275</v>
      </c>
      <c r="D253" s="10" t="s">
        <v>2377</v>
      </c>
      <c r="E253" s="54"/>
      <c r="F253" s="39"/>
      <c r="G253" s="39"/>
      <c r="H253" s="55"/>
      <c r="I253" s="56"/>
      <c r="J253" s="56"/>
      <c r="K253" s="56"/>
      <c r="L253" s="56"/>
    </row>
    <row r="254" s="1" customFormat="1" ht="26.4" spans="2:12">
      <c r="B254" s="32" t="s">
        <v>2378</v>
      </c>
      <c r="C254" s="32" t="s">
        <v>275</v>
      </c>
      <c r="D254" s="10" t="s">
        <v>2379</v>
      </c>
      <c r="E254" s="54"/>
      <c r="F254" s="39"/>
      <c r="G254" s="39"/>
      <c r="H254" s="55"/>
      <c r="I254" s="56"/>
      <c r="J254" s="56"/>
      <c r="K254" s="56"/>
      <c r="L254" s="56"/>
    </row>
    <row r="255" s="1" customFormat="1" spans="2:12">
      <c r="B255" s="32" t="s">
        <v>2380</v>
      </c>
      <c r="C255" s="32" t="s">
        <v>240</v>
      </c>
      <c r="D255" s="10" t="s">
        <v>2381</v>
      </c>
      <c r="E255" s="54"/>
      <c r="F255" s="39"/>
      <c r="G255" s="39"/>
      <c r="H255" s="55"/>
      <c r="I255" s="56"/>
      <c r="J255" s="56"/>
      <c r="K255" s="56"/>
      <c r="L255" s="56"/>
    </row>
    <row r="256" s="1" customFormat="1" ht="26.4" spans="2:12">
      <c r="B256" s="32" t="s">
        <v>2382</v>
      </c>
      <c r="C256" s="32" t="s">
        <v>275</v>
      </c>
      <c r="D256" s="10" t="s">
        <v>2383</v>
      </c>
      <c r="E256" s="54"/>
      <c r="F256" s="39"/>
      <c r="G256" s="39"/>
      <c r="H256" s="55"/>
      <c r="I256" s="56"/>
      <c r="J256" s="56"/>
      <c r="K256" s="56"/>
      <c r="L256" s="56"/>
    </row>
    <row r="257" s="1" customFormat="1" ht="26.4" spans="2:12">
      <c r="B257" s="32" t="s">
        <v>2384</v>
      </c>
      <c r="C257" s="32" t="s">
        <v>275</v>
      </c>
      <c r="D257" s="10" t="s">
        <v>2385</v>
      </c>
      <c r="E257" s="54"/>
      <c r="F257" s="39"/>
      <c r="G257" s="39"/>
      <c r="H257" s="55"/>
      <c r="I257" s="56"/>
      <c r="J257" s="56"/>
      <c r="K257" s="56"/>
      <c r="L257" s="56"/>
    </row>
    <row r="258" s="1" customFormat="1" ht="26.4" spans="2:12">
      <c r="B258" s="32" t="s">
        <v>2386</v>
      </c>
      <c r="C258" s="32" t="s">
        <v>275</v>
      </c>
      <c r="D258" s="10" t="s">
        <v>2387</v>
      </c>
      <c r="E258" s="54"/>
      <c r="F258" s="39"/>
      <c r="G258" s="39"/>
      <c r="H258" s="55"/>
      <c r="I258" s="56"/>
      <c r="J258" s="56"/>
      <c r="K258" s="56"/>
      <c r="L258" s="56"/>
    </row>
    <row r="259" s="1" customFormat="1" ht="26.4" spans="2:12">
      <c r="B259" s="32" t="s">
        <v>2388</v>
      </c>
      <c r="C259" s="32" t="s">
        <v>275</v>
      </c>
      <c r="D259" s="10" t="s">
        <v>2389</v>
      </c>
      <c r="E259" s="54"/>
      <c r="F259" s="39"/>
      <c r="G259" s="39"/>
      <c r="H259" s="55"/>
      <c r="I259" s="56"/>
      <c r="J259" s="56"/>
      <c r="K259" s="56"/>
      <c r="L259" s="56"/>
    </row>
    <row r="260" s="1" customFormat="1" ht="26.4" spans="2:12">
      <c r="B260" s="32" t="s">
        <v>2390</v>
      </c>
      <c r="C260" s="32" t="s">
        <v>275</v>
      </c>
      <c r="D260" s="10" t="s">
        <v>2391</v>
      </c>
      <c r="E260" s="54"/>
      <c r="F260" s="39"/>
      <c r="G260" s="39"/>
      <c r="H260" s="55"/>
      <c r="I260" s="56"/>
      <c r="J260" s="56"/>
      <c r="K260" s="56"/>
      <c r="L260" s="56"/>
    </row>
    <row r="261" s="1" customFormat="1" spans="2:12">
      <c r="B261" s="32" t="s">
        <v>2392</v>
      </c>
      <c r="C261" s="32" t="s">
        <v>240</v>
      </c>
      <c r="D261" s="10" t="s">
        <v>2393</v>
      </c>
      <c r="E261" s="54"/>
      <c r="F261" s="39"/>
      <c r="G261" s="39"/>
      <c r="H261" s="55"/>
      <c r="I261" s="56"/>
      <c r="J261" s="56"/>
      <c r="K261" s="56"/>
      <c r="L261" s="56"/>
    </row>
    <row r="262" s="1" customFormat="1" ht="26.4" spans="2:12">
      <c r="B262" s="32" t="s">
        <v>2394</v>
      </c>
      <c r="C262" s="32" t="s">
        <v>275</v>
      </c>
      <c r="D262" s="10" t="s">
        <v>2395</v>
      </c>
      <c r="E262" s="54"/>
      <c r="F262" s="39"/>
      <c r="G262" s="39"/>
      <c r="H262" s="55"/>
      <c r="I262" s="56"/>
      <c r="J262" s="56"/>
      <c r="K262" s="56"/>
      <c r="L262" s="56"/>
    </row>
    <row r="263" s="1" customFormat="1" ht="26.4" spans="2:12">
      <c r="B263" s="32" t="s">
        <v>2396</v>
      </c>
      <c r="C263" s="32" t="s">
        <v>275</v>
      </c>
      <c r="D263" s="10" t="s">
        <v>2397</v>
      </c>
      <c r="E263" s="54"/>
      <c r="F263" s="39"/>
      <c r="G263" s="39"/>
      <c r="H263" s="55"/>
      <c r="I263" s="56"/>
      <c r="J263" s="56"/>
      <c r="K263" s="56"/>
      <c r="L263" s="56"/>
    </row>
    <row r="264" s="1" customFormat="1" ht="26.4" spans="2:12">
      <c r="B264" s="32" t="s">
        <v>2398</v>
      </c>
      <c r="C264" s="32" t="s">
        <v>275</v>
      </c>
      <c r="D264" s="10" t="s">
        <v>2399</v>
      </c>
      <c r="E264" s="54"/>
      <c r="F264" s="39"/>
      <c r="G264" s="39"/>
      <c r="H264" s="55"/>
      <c r="I264" s="56"/>
      <c r="J264" s="56"/>
      <c r="K264" s="56"/>
      <c r="L264" s="56"/>
    </row>
    <row r="265" s="1" customFormat="1" ht="26.4" spans="2:12">
      <c r="B265" s="32" t="s">
        <v>2400</v>
      </c>
      <c r="C265" s="32" t="s">
        <v>275</v>
      </c>
      <c r="D265" s="10" t="s">
        <v>2401</v>
      </c>
      <c r="E265" s="54"/>
      <c r="F265" s="39"/>
      <c r="G265" s="39"/>
      <c r="H265" s="55"/>
      <c r="I265" s="56"/>
      <c r="J265" s="56"/>
      <c r="K265" s="56"/>
      <c r="L265" s="56"/>
    </row>
    <row r="266" s="1" customFormat="1" ht="26.4" spans="2:12">
      <c r="B266" s="32" t="s">
        <v>2402</v>
      </c>
      <c r="C266" s="32" t="s">
        <v>275</v>
      </c>
      <c r="D266" s="10" t="s">
        <v>2403</v>
      </c>
      <c r="E266" s="54"/>
      <c r="F266" s="39"/>
      <c r="G266" s="39"/>
      <c r="H266" s="55"/>
      <c r="I266" s="56"/>
      <c r="J266" s="56"/>
      <c r="K266" s="56"/>
      <c r="L266" s="56"/>
    </row>
    <row r="267" s="1" customFormat="1" spans="2:12">
      <c r="B267" s="32" t="s">
        <v>2404</v>
      </c>
      <c r="C267" s="32" t="s">
        <v>240</v>
      </c>
      <c r="D267" s="10" t="s">
        <v>2405</v>
      </c>
      <c r="E267" s="54"/>
      <c r="F267" s="39"/>
      <c r="G267" s="39"/>
      <c r="H267" s="55"/>
      <c r="I267" s="56"/>
      <c r="J267" s="56"/>
      <c r="K267" s="56"/>
      <c r="L267" s="56"/>
    </row>
    <row r="268" s="1" customFormat="1" ht="26.4" spans="2:12">
      <c r="B268" s="32" t="s">
        <v>2406</v>
      </c>
      <c r="C268" s="32" t="s">
        <v>275</v>
      </c>
      <c r="D268" s="10" t="s">
        <v>2407</v>
      </c>
      <c r="E268" s="54"/>
      <c r="F268" s="39"/>
      <c r="G268" s="39"/>
      <c r="H268" s="55"/>
      <c r="I268" s="56"/>
      <c r="J268" s="56"/>
      <c r="K268" s="56"/>
      <c r="L268" s="56"/>
    </row>
    <row r="269" s="1" customFormat="1" ht="26.4" spans="2:12">
      <c r="B269" s="32" t="s">
        <v>2408</v>
      </c>
      <c r="C269" s="32" t="s">
        <v>275</v>
      </c>
      <c r="D269" s="10" t="s">
        <v>2409</v>
      </c>
      <c r="E269" s="54"/>
      <c r="F269" s="39"/>
      <c r="G269" s="39"/>
      <c r="H269" s="55"/>
      <c r="I269" s="56"/>
      <c r="J269" s="56"/>
      <c r="K269" s="56"/>
      <c r="L269" s="56"/>
    </row>
    <row r="270" s="1" customFormat="1" ht="26.4" spans="2:12">
      <c r="B270" s="32" t="s">
        <v>2410</v>
      </c>
      <c r="C270" s="32" t="s">
        <v>275</v>
      </c>
      <c r="D270" s="10" t="s">
        <v>2411</v>
      </c>
      <c r="E270" s="54"/>
      <c r="F270" s="39"/>
      <c r="G270" s="39"/>
      <c r="H270" s="55"/>
      <c r="I270" s="56"/>
      <c r="J270" s="56"/>
      <c r="K270" s="56"/>
      <c r="L270" s="56"/>
    </row>
    <row r="271" s="1" customFormat="1" ht="26.4" spans="2:12">
      <c r="B271" s="32" t="s">
        <v>2412</v>
      </c>
      <c r="C271" s="32" t="s">
        <v>275</v>
      </c>
      <c r="D271" s="10" t="s">
        <v>2413</v>
      </c>
      <c r="E271" s="54"/>
      <c r="F271" s="39"/>
      <c r="G271" s="39"/>
      <c r="H271" s="55"/>
      <c r="I271" s="56"/>
      <c r="J271" s="56"/>
      <c r="K271" s="56"/>
      <c r="L271" s="56"/>
    </row>
    <row r="272" s="1" customFormat="1" ht="26.4" spans="2:12">
      <c r="B272" s="32" t="s">
        <v>2414</v>
      </c>
      <c r="C272" s="32" t="s">
        <v>275</v>
      </c>
      <c r="D272" s="10" t="s">
        <v>2415</v>
      </c>
      <c r="E272" s="54"/>
      <c r="F272" s="39"/>
      <c r="G272" s="39"/>
      <c r="H272" s="55"/>
      <c r="I272" s="56"/>
      <c r="J272" s="56"/>
      <c r="K272" s="56"/>
      <c r="L272" s="56"/>
    </row>
    <row r="273" s="1" customFormat="1" spans="2:12">
      <c r="B273" s="32" t="s">
        <v>2416</v>
      </c>
      <c r="C273" s="32" t="s">
        <v>240</v>
      </c>
      <c r="D273" s="10" t="s">
        <v>2417</v>
      </c>
      <c r="E273" s="54"/>
      <c r="F273" s="39"/>
      <c r="G273" s="39"/>
      <c r="H273" s="55"/>
      <c r="I273" s="56"/>
      <c r="J273" s="56"/>
      <c r="K273" s="56"/>
      <c r="L273" s="56"/>
    </row>
    <row r="274" s="1" customFormat="1" ht="26.4" spans="2:12">
      <c r="B274" s="32" t="s">
        <v>2418</v>
      </c>
      <c r="C274" s="32" t="s">
        <v>275</v>
      </c>
      <c r="D274" s="10" t="s">
        <v>2419</v>
      </c>
      <c r="E274" s="54"/>
      <c r="F274" s="39"/>
      <c r="G274" s="39"/>
      <c r="H274" s="55"/>
      <c r="I274" s="56"/>
      <c r="J274" s="56"/>
      <c r="K274" s="56"/>
      <c r="L274" s="56"/>
    </row>
    <row r="275" s="1" customFormat="1" ht="26.4" spans="2:12">
      <c r="B275" s="32" t="s">
        <v>2420</v>
      </c>
      <c r="C275" s="32" t="s">
        <v>275</v>
      </c>
      <c r="D275" s="10" t="s">
        <v>2421</v>
      </c>
      <c r="E275" s="54"/>
      <c r="F275" s="39"/>
      <c r="G275" s="39"/>
      <c r="H275" s="55"/>
      <c r="I275" s="56"/>
      <c r="J275" s="56"/>
      <c r="K275" s="56"/>
      <c r="L275" s="56"/>
    </row>
    <row r="276" s="1" customFormat="1" ht="26.4" spans="2:12">
      <c r="B276" s="32" t="s">
        <v>2422</v>
      </c>
      <c r="C276" s="32" t="s">
        <v>275</v>
      </c>
      <c r="D276" s="10" t="s">
        <v>2423</v>
      </c>
      <c r="E276" s="54"/>
      <c r="F276" s="39"/>
      <c r="G276" s="39"/>
      <c r="H276" s="55"/>
      <c r="I276" s="56"/>
      <c r="J276" s="56"/>
      <c r="K276" s="56"/>
      <c r="L276" s="56"/>
    </row>
    <row r="277" s="1" customFormat="1" ht="26.4" spans="2:12">
      <c r="B277" s="32" t="s">
        <v>2424</v>
      </c>
      <c r="C277" s="32" t="s">
        <v>275</v>
      </c>
      <c r="D277" s="10" t="s">
        <v>2425</v>
      </c>
      <c r="E277" s="54"/>
      <c r="F277" s="39"/>
      <c r="G277" s="39"/>
      <c r="H277" s="55"/>
      <c r="I277" s="56"/>
      <c r="J277" s="56"/>
      <c r="K277" s="56"/>
      <c r="L277" s="56"/>
    </row>
    <row r="278" s="1" customFormat="1" ht="26.4" spans="2:12">
      <c r="B278" s="32" t="s">
        <v>2426</v>
      </c>
      <c r="C278" s="32" t="s">
        <v>275</v>
      </c>
      <c r="D278" s="10" t="s">
        <v>2427</v>
      </c>
      <c r="E278" s="54"/>
      <c r="F278" s="39"/>
      <c r="G278" s="39"/>
      <c r="H278" s="55"/>
      <c r="I278" s="56"/>
      <c r="J278" s="56"/>
      <c r="K278" s="56"/>
      <c r="L278" s="56"/>
    </row>
    <row r="279" s="1" customFormat="1" spans="2:12">
      <c r="B279" s="32" t="s">
        <v>2428</v>
      </c>
      <c r="C279" s="32" t="s">
        <v>240</v>
      </c>
      <c r="D279" s="10" t="s">
        <v>2429</v>
      </c>
      <c r="E279" s="54"/>
      <c r="F279" s="39"/>
      <c r="G279" s="39"/>
      <c r="H279" s="55"/>
      <c r="I279" s="56"/>
      <c r="J279" s="56"/>
      <c r="K279" s="56"/>
      <c r="L279" s="56"/>
    </row>
    <row r="280" s="1" customFormat="1" ht="26.4" spans="2:12">
      <c r="B280" s="32" t="s">
        <v>2430</v>
      </c>
      <c r="C280" s="32" t="s">
        <v>275</v>
      </c>
      <c r="D280" s="10" t="s">
        <v>2431</v>
      </c>
      <c r="E280" s="54"/>
      <c r="F280" s="39"/>
      <c r="G280" s="39"/>
      <c r="H280" s="55"/>
      <c r="I280" s="56"/>
      <c r="J280" s="56"/>
      <c r="K280" s="56"/>
      <c r="L280" s="56"/>
    </row>
    <row r="281" s="1" customFormat="1" ht="26.4" spans="2:12">
      <c r="B281" s="32" t="s">
        <v>2432</v>
      </c>
      <c r="C281" s="32" t="s">
        <v>275</v>
      </c>
      <c r="D281" s="10" t="s">
        <v>2433</v>
      </c>
      <c r="E281" s="54"/>
      <c r="F281" s="39"/>
      <c r="G281" s="39"/>
      <c r="H281" s="55"/>
      <c r="I281" s="56"/>
      <c r="J281" s="56"/>
      <c r="K281" s="56"/>
      <c r="L281" s="56"/>
    </row>
    <row r="282" s="1" customFormat="1" ht="26.4" spans="2:12">
      <c r="B282" s="32" t="s">
        <v>2434</v>
      </c>
      <c r="C282" s="32" t="s">
        <v>275</v>
      </c>
      <c r="D282" s="10" t="s">
        <v>2435</v>
      </c>
      <c r="E282" s="54"/>
      <c r="F282" s="39"/>
      <c r="G282" s="39"/>
      <c r="H282" s="55"/>
      <c r="I282" s="56"/>
      <c r="J282" s="56"/>
      <c r="K282" s="56"/>
      <c r="L282" s="56"/>
    </row>
    <row r="283" s="1" customFormat="1" ht="26.4" spans="2:12">
      <c r="B283" s="32" t="s">
        <v>2436</v>
      </c>
      <c r="C283" s="32" t="s">
        <v>275</v>
      </c>
      <c r="D283" s="10" t="s">
        <v>2437</v>
      </c>
      <c r="E283" s="54"/>
      <c r="F283" s="39"/>
      <c r="G283" s="39"/>
      <c r="H283" s="55"/>
      <c r="I283" s="56"/>
      <c r="J283" s="56"/>
      <c r="K283" s="56"/>
      <c r="L283" s="56"/>
    </row>
    <row r="284" s="1" customFormat="1" ht="26.4" spans="2:12">
      <c r="B284" s="32" t="s">
        <v>2438</v>
      </c>
      <c r="C284" s="32" t="s">
        <v>275</v>
      </c>
      <c r="D284" s="10" t="s">
        <v>2439</v>
      </c>
      <c r="E284" s="54"/>
      <c r="F284" s="39"/>
      <c r="G284" s="39"/>
      <c r="H284" s="55"/>
      <c r="I284" s="56"/>
      <c r="J284" s="56"/>
      <c r="K284" s="56"/>
      <c r="L284" s="56"/>
    </row>
    <row r="285" s="1" customFormat="1" ht="26.4" spans="2:12">
      <c r="B285" s="32" t="s">
        <v>2440</v>
      </c>
      <c r="C285" s="32" t="s">
        <v>240</v>
      </c>
      <c r="D285" s="10" t="s">
        <v>2441</v>
      </c>
      <c r="E285" s="54"/>
      <c r="F285" s="39"/>
      <c r="G285" s="39"/>
      <c r="H285" s="55"/>
      <c r="I285" s="56"/>
      <c r="J285" s="56"/>
      <c r="K285" s="56"/>
      <c r="L285" s="56"/>
    </row>
    <row r="286" s="1" customFormat="1" ht="26.4" spans="2:12">
      <c r="B286" s="32" t="s">
        <v>2442</v>
      </c>
      <c r="C286" s="32" t="s">
        <v>240</v>
      </c>
      <c r="D286" s="10" t="s">
        <v>2443</v>
      </c>
      <c r="E286" s="54"/>
      <c r="F286" s="39"/>
      <c r="G286" s="39"/>
      <c r="H286" s="55"/>
      <c r="I286" s="56"/>
      <c r="J286" s="56"/>
      <c r="K286" s="56"/>
      <c r="L286" s="56"/>
    </row>
    <row r="287" s="1" customFormat="1" ht="26.4" spans="2:12">
      <c r="B287" s="32" t="s">
        <v>2444</v>
      </c>
      <c r="C287" s="32" t="s">
        <v>240</v>
      </c>
      <c r="D287" s="10" t="s">
        <v>2445</v>
      </c>
      <c r="E287" s="54"/>
      <c r="F287" s="39"/>
      <c r="G287" s="39"/>
      <c r="H287" s="55"/>
      <c r="I287" s="56"/>
      <c r="J287" s="56"/>
      <c r="K287" s="56"/>
      <c r="L287" s="56"/>
    </row>
    <row r="288" s="1" customFormat="1" spans="2:12">
      <c r="B288" s="32" t="s">
        <v>2446</v>
      </c>
      <c r="C288" s="32" t="s">
        <v>275</v>
      </c>
      <c r="D288" s="10" t="s">
        <v>2447</v>
      </c>
      <c r="E288" s="54"/>
      <c r="F288" s="39"/>
      <c r="G288" s="39"/>
      <c r="H288" s="55"/>
      <c r="I288" s="56"/>
      <c r="J288" s="56"/>
      <c r="K288" s="56"/>
      <c r="L288" s="56"/>
    </row>
    <row r="289" s="1" customFormat="1" spans="2:12">
      <c r="B289" s="32" t="s">
        <v>2448</v>
      </c>
      <c r="C289" s="32" t="s">
        <v>275</v>
      </c>
      <c r="D289" s="10" t="s">
        <v>2449</v>
      </c>
      <c r="E289" s="54"/>
      <c r="F289" s="39"/>
      <c r="G289" s="39"/>
      <c r="H289" s="55"/>
      <c r="I289" s="56"/>
      <c r="J289" s="56"/>
      <c r="K289" s="56"/>
      <c r="L289" s="56"/>
    </row>
    <row r="290" s="1" customFormat="1" spans="2:12">
      <c r="B290" s="32" t="s">
        <v>2450</v>
      </c>
      <c r="C290" s="32" t="s">
        <v>275</v>
      </c>
      <c r="D290" s="10" t="s">
        <v>2451</v>
      </c>
      <c r="E290" s="54"/>
      <c r="F290" s="39"/>
      <c r="G290" s="39"/>
      <c r="H290" s="55"/>
      <c r="I290" s="56"/>
      <c r="J290" s="56"/>
      <c r="K290" s="56"/>
      <c r="L290" s="56"/>
    </row>
    <row r="291" s="1" customFormat="1" spans="2:12">
      <c r="B291" s="32" t="s">
        <v>2452</v>
      </c>
      <c r="C291" s="32" t="s">
        <v>275</v>
      </c>
      <c r="D291" s="10" t="s">
        <v>2453</v>
      </c>
      <c r="E291" s="54"/>
      <c r="F291" s="39"/>
      <c r="G291" s="39"/>
      <c r="H291" s="55"/>
      <c r="I291" s="56"/>
      <c r="J291" s="56"/>
      <c r="K291" s="56"/>
      <c r="L291" s="56"/>
    </row>
    <row r="292" s="1" customFormat="1" spans="2:12">
      <c r="B292" s="32" t="s">
        <v>2454</v>
      </c>
      <c r="C292" s="32" t="s">
        <v>275</v>
      </c>
      <c r="D292" s="10" t="s">
        <v>2455</v>
      </c>
      <c r="E292" s="54"/>
      <c r="F292" s="39"/>
      <c r="G292" s="39"/>
      <c r="H292" s="55"/>
      <c r="I292" s="56"/>
      <c r="J292" s="56"/>
      <c r="K292" s="56"/>
      <c r="L292" s="56"/>
    </row>
    <row r="293" s="1" customFormat="1" spans="2:12">
      <c r="B293" s="32" t="s">
        <v>2456</v>
      </c>
      <c r="C293" s="32" t="s">
        <v>275</v>
      </c>
      <c r="D293" s="10" t="s">
        <v>2457</v>
      </c>
      <c r="E293" s="54"/>
      <c r="F293" s="39"/>
      <c r="G293" s="39"/>
      <c r="H293" s="55"/>
      <c r="I293" s="56"/>
      <c r="J293" s="56"/>
      <c r="K293" s="56"/>
      <c r="L293" s="56"/>
    </row>
    <row r="294" s="1" customFormat="1" spans="2:12">
      <c r="B294" s="32" t="s">
        <v>2458</v>
      </c>
      <c r="C294" s="32" t="s">
        <v>275</v>
      </c>
      <c r="D294" s="10" t="s">
        <v>2459</v>
      </c>
      <c r="E294" s="54"/>
      <c r="F294" s="39"/>
      <c r="G294" s="39"/>
      <c r="H294" s="55"/>
      <c r="I294" s="56"/>
      <c r="J294" s="56"/>
      <c r="K294" s="56"/>
      <c r="L294" s="56"/>
    </row>
    <row r="295" s="1" customFormat="1" spans="2:12">
      <c r="B295" s="32" t="s">
        <v>2460</v>
      </c>
      <c r="C295" s="32" t="s">
        <v>275</v>
      </c>
      <c r="D295" s="10" t="s">
        <v>2461</v>
      </c>
      <c r="E295" s="54"/>
      <c r="F295" s="39"/>
      <c r="G295" s="39"/>
      <c r="H295" s="55"/>
      <c r="I295" s="56"/>
      <c r="J295" s="56"/>
      <c r="K295" s="56"/>
      <c r="L295" s="56"/>
    </row>
    <row r="296" s="1" customFormat="1" spans="2:12">
      <c r="B296" s="32" t="s">
        <v>2462</v>
      </c>
      <c r="C296" s="32" t="s">
        <v>275</v>
      </c>
      <c r="D296" s="10" t="s">
        <v>2463</v>
      </c>
      <c r="E296" s="54"/>
      <c r="F296" s="39"/>
      <c r="G296" s="39"/>
      <c r="H296" s="55"/>
      <c r="I296" s="56"/>
      <c r="J296" s="56"/>
      <c r="K296" s="56"/>
      <c r="L296" s="56"/>
    </row>
    <row r="297" s="1" customFormat="1" spans="2:12">
      <c r="B297" s="32" t="s">
        <v>2464</v>
      </c>
      <c r="C297" s="32" t="s">
        <v>275</v>
      </c>
      <c r="D297" s="10" t="s">
        <v>2465</v>
      </c>
      <c r="E297" s="54"/>
      <c r="F297" s="39"/>
      <c r="G297" s="39"/>
      <c r="H297" s="55"/>
      <c r="I297" s="56"/>
      <c r="J297" s="56"/>
      <c r="K297" s="56"/>
      <c r="L297" s="56"/>
    </row>
    <row r="298" s="1" customFormat="1" spans="2:12">
      <c r="B298" s="32" t="s">
        <v>2466</v>
      </c>
      <c r="C298" s="32" t="s">
        <v>275</v>
      </c>
      <c r="D298" s="10" t="s">
        <v>2467</v>
      </c>
      <c r="E298" s="54"/>
      <c r="F298" s="39"/>
      <c r="G298" s="39"/>
      <c r="H298" s="55"/>
      <c r="I298" s="56"/>
      <c r="J298" s="56"/>
      <c r="K298" s="56"/>
      <c r="L298" s="56"/>
    </row>
    <row r="299" s="1" customFormat="1" spans="2:12">
      <c r="B299" s="32" t="s">
        <v>2468</v>
      </c>
      <c r="C299" s="32" t="s">
        <v>275</v>
      </c>
      <c r="D299" s="10" t="s">
        <v>1807</v>
      </c>
      <c r="E299" s="54"/>
      <c r="F299" s="39"/>
      <c r="G299" s="39"/>
      <c r="H299" s="55"/>
      <c r="I299" s="56"/>
      <c r="J299" s="56"/>
      <c r="K299" s="56"/>
      <c r="L299" s="56"/>
    </row>
    <row r="300" s="1" customFormat="1" spans="2:12">
      <c r="B300" s="32" t="s">
        <v>1814</v>
      </c>
      <c r="C300" s="32" t="s">
        <v>275</v>
      </c>
      <c r="D300" s="10" t="s">
        <v>1815</v>
      </c>
      <c r="E300" s="54"/>
      <c r="F300" s="39"/>
      <c r="G300" s="39"/>
      <c r="H300" s="55"/>
      <c r="I300" s="56"/>
      <c r="J300" s="56"/>
      <c r="K300" s="56"/>
      <c r="L300" s="56"/>
    </row>
    <row r="301" s="36" customFormat="1" spans="1:12">
      <c r="A301" s="41"/>
      <c r="B301" s="29" t="s">
        <v>1817</v>
      </c>
      <c r="C301" s="29" t="s">
        <v>216</v>
      </c>
      <c r="D301" s="29" t="s">
        <v>1818</v>
      </c>
      <c r="E301" s="29"/>
      <c r="F301" s="29"/>
      <c r="G301" s="29" t="s">
        <v>2469</v>
      </c>
      <c r="H301" s="29"/>
      <c r="I301" s="29" t="s">
        <v>1211</v>
      </c>
      <c r="J301" s="29" t="s">
        <v>345</v>
      </c>
      <c r="K301" s="29" t="s">
        <v>323</v>
      </c>
      <c r="L301" s="29" t="s">
        <v>323</v>
      </c>
    </row>
    <row r="302" s="36" customFormat="1" spans="1:12">
      <c r="A302" s="41"/>
      <c r="B302" s="29" t="s">
        <v>1820</v>
      </c>
      <c r="C302" s="29" t="s">
        <v>216</v>
      </c>
      <c r="D302" s="29" t="s">
        <v>1821</v>
      </c>
      <c r="E302" s="29"/>
      <c r="F302" s="29"/>
      <c r="G302" s="29" t="s">
        <v>2470</v>
      </c>
      <c r="H302" s="29"/>
      <c r="I302" s="29" t="s">
        <v>1211</v>
      </c>
      <c r="J302" s="29" t="s">
        <v>345</v>
      </c>
      <c r="K302" s="29" t="s">
        <v>323</v>
      </c>
      <c r="L302" s="29" t="s">
        <v>323</v>
      </c>
    </row>
    <row r="303" s="37" customFormat="1" spans="1:12">
      <c r="A303" s="42"/>
      <c r="B303" s="43" t="s">
        <v>252</v>
      </c>
      <c r="C303" s="43" t="s">
        <v>220</v>
      </c>
      <c r="D303" s="44" t="s">
        <v>254</v>
      </c>
      <c r="E303" s="45"/>
      <c r="F303" s="46"/>
      <c r="G303" s="46"/>
      <c r="H303" s="47"/>
      <c r="I303" s="48"/>
      <c r="J303" s="49"/>
      <c r="K303" s="49"/>
      <c r="L303" s="49"/>
    </row>
    <row r="304" s="37" customFormat="1" spans="1:12">
      <c r="A304" s="42"/>
      <c r="B304" s="43" t="s">
        <v>255</v>
      </c>
      <c r="C304" s="43" t="s">
        <v>216</v>
      </c>
      <c r="D304" s="44" t="s">
        <v>256</v>
      </c>
      <c r="E304" s="45"/>
      <c r="F304" s="46"/>
      <c r="G304" s="46"/>
      <c r="H304" s="47"/>
      <c r="I304" s="48"/>
      <c r="J304" s="49"/>
      <c r="K304" s="49"/>
      <c r="L304" s="49"/>
    </row>
    <row r="305" s="37" customFormat="1" spans="1:12">
      <c r="A305" s="42"/>
      <c r="B305" s="43" t="s">
        <v>257</v>
      </c>
      <c r="C305" s="43" t="s">
        <v>220</v>
      </c>
      <c r="D305" s="44" t="s">
        <v>258</v>
      </c>
      <c r="E305" s="45"/>
      <c r="F305" s="46"/>
      <c r="G305" s="46"/>
      <c r="H305" s="47"/>
      <c r="I305" s="48"/>
      <c r="J305" s="49"/>
      <c r="K305" s="49"/>
      <c r="L305" s="49"/>
    </row>
  </sheetData>
  <autoFilter xmlns:etc="http://www.wps.cn/officeDocument/2017/etCustomData" ref="A15:N305"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zoomScale="85" zoomScaleNormal="85" workbookViewId="0">
      <pane ySplit="5" topLeftCell="A6" activePane="bottomLeft" state="frozen"/>
      <selection/>
      <selection pane="bottomLeft" activeCell="N16" sqref="N1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100</v>
      </c>
      <c r="D5" s="10" t="s">
        <v>101</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98</v>
      </c>
      <c r="D9" s="35" t="s">
        <v>99</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c r="J16" s="23" t="s">
        <v>322</v>
      </c>
      <c r="K16" s="23" t="s">
        <v>323</v>
      </c>
      <c r="L16" s="23" t="s">
        <v>323</v>
      </c>
      <c r="M16" s="1" t="str">
        <f>_xlfn.CONCAT(F16," as ",B16)</f>
        <v>p_date as day</v>
      </c>
      <c r="N16" s="16" t="str">
        <f>_xlfn.CONCAT("`",B16,"` ",C16,",")</f>
        <v>`day` string,</v>
      </c>
    </row>
    <row r="17" s="1" customFormat="1" spans="2:14">
      <c r="B17" s="19" t="s">
        <v>1026</v>
      </c>
      <c r="C17" s="19" t="s">
        <v>220</v>
      </c>
      <c r="D17" s="10" t="s">
        <v>66</v>
      </c>
      <c r="E17" s="20" t="s">
        <v>199</v>
      </c>
      <c r="F17" s="19" t="s">
        <v>257</v>
      </c>
      <c r="G17" s="19" t="s">
        <v>218</v>
      </c>
      <c r="H17" s="20"/>
      <c r="I17" s="23"/>
      <c r="J17" s="23" t="s">
        <v>322</v>
      </c>
      <c r="K17" s="23" t="s">
        <v>323</v>
      </c>
      <c r="L17" s="23" t="s">
        <v>323</v>
      </c>
      <c r="M17" s="1" t="str">
        <f t="shared" ref="M17:M34" si="0">_xlfn.CONCAT(F17," as ",B17)</f>
        <v>p_hour as hour</v>
      </c>
      <c r="N17" s="16" t="str">
        <f t="shared" ref="N17:N34" si="1">_xlfn.CONCAT("`",B17,"` ",C17,",")</f>
        <v>`hour` int,</v>
      </c>
    </row>
    <row r="18" s="1" customFormat="1" spans="2:14">
      <c r="B18" s="19" t="s">
        <v>1830</v>
      </c>
      <c r="C18" s="19" t="s">
        <v>220</v>
      </c>
      <c r="D18" s="10" t="s">
        <v>1831</v>
      </c>
      <c r="E18" s="20" t="s">
        <v>199</v>
      </c>
      <c r="F18" s="19" t="s">
        <v>252</v>
      </c>
      <c r="G18" s="19" t="s">
        <v>218</v>
      </c>
      <c r="H18" s="20"/>
      <c r="I18" s="23"/>
      <c r="J18" s="23" t="s">
        <v>322</v>
      </c>
      <c r="K18" s="23" t="s">
        <v>323</v>
      </c>
      <c r="L18" s="23" t="s">
        <v>323</v>
      </c>
      <c r="M18" s="1" t="str">
        <f t="shared" si="0"/>
        <v>p_provincecode as provincecode</v>
      </c>
      <c r="N18" s="16" t="str">
        <f t="shared" si="1"/>
        <v>`provincecode` int,</v>
      </c>
    </row>
    <row r="19" s="1" customFormat="1" spans="2:14">
      <c r="B19" s="19" t="s">
        <v>1832</v>
      </c>
      <c r="C19" s="19" t="s">
        <v>220</v>
      </c>
      <c r="D19" s="10" t="s">
        <v>1833</v>
      </c>
      <c r="E19" s="20" t="s">
        <v>199</v>
      </c>
      <c r="F19" s="19" t="s">
        <v>1832</v>
      </c>
      <c r="G19" s="19" t="s">
        <v>218</v>
      </c>
      <c r="H19" s="20"/>
      <c r="I19" s="23"/>
      <c r="J19" s="23" t="s">
        <v>322</v>
      </c>
      <c r="K19" s="23" t="s">
        <v>323</v>
      </c>
      <c r="L19" s="23" t="s">
        <v>323</v>
      </c>
      <c r="M19" s="1" t="str">
        <f t="shared" si="0"/>
        <v>citycode as citycode</v>
      </c>
      <c r="N19" s="16" t="str">
        <f t="shared" si="1"/>
        <v>`citycode` int,</v>
      </c>
    </row>
    <row r="20" s="1" customFormat="1" spans="2:14">
      <c r="B20" s="19" t="s">
        <v>1834</v>
      </c>
      <c r="C20" s="19" t="s">
        <v>220</v>
      </c>
      <c r="D20" s="10" t="s">
        <v>1835</v>
      </c>
      <c r="E20" s="20" t="s">
        <v>199</v>
      </c>
      <c r="F20" s="19" t="s">
        <v>1834</v>
      </c>
      <c r="G20" s="19" t="s">
        <v>218</v>
      </c>
      <c r="H20" s="20"/>
      <c r="I20" s="23"/>
      <c r="J20" s="23" t="s">
        <v>322</v>
      </c>
      <c r="K20" s="23" t="s">
        <v>323</v>
      </c>
      <c r="L20" s="23" t="s">
        <v>323</v>
      </c>
      <c r="M20" s="1" t="str">
        <f t="shared" si="0"/>
        <v>districtcode as districtcode</v>
      </c>
      <c r="N20" s="16" t="str">
        <f t="shared" si="1"/>
        <v>`districtcode` int,</v>
      </c>
    </row>
    <row r="21" s="1" customFormat="1" spans="2:14">
      <c r="B21" s="19" t="s">
        <v>1836</v>
      </c>
      <c r="C21" s="19" t="s">
        <v>216</v>
      </c>
      <c r="D21" s="10" t="s">
        <v>1837</v>
      </c>
      <c r="E21" s="20" t="s">
        <v>199</v>
      </c>
      <c r="F21" s="19" t="s">
        <v>1836</v>
      </c>
      <c r="G21" s="19" t="s">
        <v>218</v>
      </c>
      <c r="H21" s="20"/>
      <c r="I21" s="23"/>
      <c r="J21" s="23" t="s">
        <v>322</v>
      </c>
      <c r="K21" s="23" t="s">
        <v>323</v>
      </c>
      <c r="L21" s="23" t="s">
        <v>323</v>
      </c>
      <c r="M21" s="1" t="str">
        <f t="shared" si="0"/>
        <v>cellkey as cellkey</v>
      </c>
      <c r="N21" s="16" t="str">
        <f t="shared" si="1"/>
        <v>`cellkey` string,</v>
      </c>
    </row>
    <row r="22" s="1" customFormat="1" spans="2:14">
      <c r="B22" s="19" t="s">
        <v>224</v>
      </c>
      <c r="C22" s="19" t="s">
        <v>216</v>
      </c>
      <c r="D22" s="10" t="s">
        <v>292</v>
      </c>
      <c r="E22" s="20" t="s">
        <v>199</v>
      </c>
      <c r="F22" s="19" t="s">
        <v>1310</v>
      </c>
      <c r="G22" s="19" t="s">
        <v>218</v>
      </c>
      <c r="H22" s="20"/>
      <c r="I22" s="23"/>
      <c r="J22" s="23" t="s">
        <v>322</v>
      </c>
      <c r="K22" s="23" t="s">
        <v>323</v>
      </c>
      <c r="L22" s="23" t="s">
        <v>323</v>
      </c>
      <c r="M22" s="1" t="str">
        <f t="shared" si="0"/>
        <v>imsi_supi as imsi</v>
      </c>
      <c r="N22" s="16" t="str">
        <f t="shared" si="1"/>
        <v>`imsi` string,</v>
      </c>
    </row>
    <row r="23" s="1" customFormat="1" spans="2:14">
      <c r="B23" s="19" t="s">
        <v>267</v>
      </c>
      <c r="C23" s="19" t="s">
        <v>216</v>
      </c>
      <c r="D23" s="10" t="s">
        <v>294</v>
      </c>
      <c r="E23" s="20" t="s">
        <v>199</v>
      </c>
      <c r="F23" s="19" t="s">
        <v>267</v>
      </c>
      <c r="G23" s="19" t="s">
        <v>218</v>
      </c>
      <c r="H23" s="20"/>
      <c r="I23" s="23"/>
      <c r="J23" s="23" t="s">
        <v>322</v>
      </c>
      <c r="K23" s="23" t="s">
        <v>323</v>
      </c>
      <c r="L23" s="23" t="s">
        <v>323</v>
      </c>
      <c r="M23" s="1" t="str">
        <f t="shared" si="0"/>
        <v>msisdn as msisdn</v>
      </c>
      <c r="N23" s="16" t="str">
        <f t="shared" si="1"/>
        <v>`msisdn` string,</v>
      </c>
    </row>
    <row r="24" s="1" customFormat="1" spans="2:14">
      <c r="B24" s="19" t="s">
        <v>1053</v>
      </c>
      <c r="C24" s="19" t="s">
        <v>216</v>
      </c>
      <c r="D24" s="10" t="s">
        <v>1839</v>
      </c>
      <c r="E24" s="20" t="s">
        <v>199</v>
      </c>
      <c r="F24" s="19" t="s">
        <v>2589</v>
      </c>
      <c r="G24" s="19" t="s">
        <v>218</v>
      </c>
      <c r="H24" s="20"/>
      <c r="I24" s="23"/>
      <c r="J24" s="23" t="s">
        <v>322</v>
      </c>
      <c r="K24" s="23" t="s">
        <v>323</v>
      </c>
      <c r="L24" s="23" t="s">
        <v>323</v>
      </c>
      <c r="M24" s="1" t="str">
        <f t="shared" si="0"/>
        <v>pei as imei</v>
      </c>
      <c r="N24" s="16" t="str">
        <f t="shared" si="1"/>
        <v>`imei` string,</v>
      </c>
    </row>
    <row r="25" s="1" customFormat="1" spans="2:14">
      <c r="B25" s="19" t="s">
        <v>1313</v>
      </c>
      <c r="C25" s="19" t="s">
        <v>216</v>
      </c>
      <c r="D25" s="10" t="s">
        <v>1314</v>
      </c>
      <c r="E25" s="20" t="s">
        <v>199</v>
      </c>
      <c r="F25" s="19" t="s">
        <v>1313</v>
      </c>
      <c r="G25" s="19" t="s">
        <v>218</v>
      </c>
      <c r="H25" s="20"/>
      <c r="I25" s="23"/>
      <c r="J25" s="23" t="s">
        <v>322</v>
      </c>
      <c r="K25" s="23" t="s">
        <v>323</v>
      </c>
      <c r="L25" s="23" t="s">
        <v>323</v>
      </c>
      <c r="M25" s="1" t="str">
        <f t="shared" si="0"/>
        <v>servicetype as servicetype</v>
      </c>
      <c r="N25" s="16" t="str">
        <f t="shared" si="1"/>
        <v>`servicetype` string,</v>
      </c>
    </row>
    <row r="26" s="1" customFormat="1" spans="2:14">
      <c r="B26" s="19" t="s">
        <v>1840</v>
      </c>
      <c r="C26" s="19" t="s">
        <v>216</v>
      </c>
      <c r="D26" s="10" t="s">
        <v>1841</v>
      </c>
      <c r="E26" s="20" t="s">
        <v>199</v>
      </c>
      <c r="F26" s="19" t="s">
        <v>1842</v>
      </c>
      <c r="G26" s="19" t="s">
        <v>1842</v>
      </c>
      <c r="H26" s="20"/>
      <c r="I26" s="23"/>
      <c r="J26" s="23" t="s">
        <v>322</v>
      </c>
      <c r="K26" s="23" t="s">
        <v>323</v>
      </c>
      <c r="L26" s="23" t="s">
        <v>323</v>
      </c>
      <c r="M26" s="1" t="str">
        <f t="shared" si="0"/>
        <v>substr(servicetype,1,2) as app_type</v>
      </c>
      <c r="N26" s="16" t="str">
        <f t="shared" si="1"/>
        <v>`app_type` string,</v>
      </c>
    </row>
    <row r="27" s="1" customFormat="1" spans="2:14">
      <c r="B27" s="19" t="s">
        <v>1843</v>
      </c>
      <c r="C27" s="19" t="s">
        <v>216</v>
      </c>
      <c r="D27" s="10" t="s">
        <v>1844</v>
      </c>
      <c r="E27" s="20" t="s">
        <v>202</v>
      </c>
      <c r="F27" s="19" t="s">
        <v>1845</v>
      </c>
      <c r="G27" s="19" t="s">
        <v>218</v>
      </c>
      <c r="H27" s="20"/>
      <c r="I27" s="23"/>
      <c r="J27" s="23" t="s">
        <v>322</v>
      </c>
      <c r="K27" s="23" t="s">
        <v>323</v>
      </c>
      <c r="L27" s="23" t="s">
        <v>323</v>
      </c>
      <c r="M27" s="1" t="str">
        <f t="shared" si="0"/>
        <v>servicetype_name as app_name</v>
      </c>
      <c r="N27" s="16" t="str">
        <f t="shared" si="1"/>
        <v>`app_name` string,</v>
      </c>
    </row>
    <row r="28" s="1" customFormat="1" spans="2:14">
      <c r="B28" s="19" t="s">
        <v>1817</v>
      </c>
      <c r="C28" s="19" t="s">
        <v>216</v>
      </c>
      <c r="D28" s="10" t="s">
        <v>1818</v>
      </c>
      <c r="E28" s="20" t="s">
        <v>199</v>
      </c>
      <c r="F28" s="19" t="s">
        <v>1846</v>
      </c>
      <c r="G28" s="19" t="s">
        <v>1846</v>
      </c>
      <c r="H28" s="20"/>
      <c r="I28" s="23"/>
      <c r="J28" s="23" t="s">
        <v>345</v>
      </c>
      <c r="K28" s="23" t="s">
        <v>323</v>
      </c>
      <c r="L28" s="23" t="s">
        <v>323</v>
      </c>
      <c r="M28" s="1" t="str">
        <f t="shared" si="0"/>
        <v>min(min_starttime) as min_starttime</v>
      </c>
      <c r="N28" s="16" t="str">
        <f t="shared" si="1"/>
        <v>`min_starttime` string,</v>
      </c>
    </row>
    <row r="29" s="1" customFormat="1" spans="2:14">
      <c r="B29" s="19" t="s">
        <v>1820</v>
      </c>
      <c r="C29" s="19" t="s">
        <v>216</v>
      </c>
      <c r="D29" s="10" t="s">
        <v>1821</v>
      </c>
      <c r="E29" s="20" t="s">
        <v>199</v>
      </c>
      <c r="F29" s="19" t="s">
        <v>1847</v>
      </c>
      <c r="G29" s="19" t="s">
        <v>1847</v>
      </c>
      <c r="H29" s="20"/>
      <c r="I29" s="23"/>
      <c r="J29" s="23" t="s">
        <v>345</v>
      </c>
      <c r="K29" s="23" t="s">
        <v>323</v>
      </c>
      <c r="L29" s="23" t="s">
        <v>323</v>
      </c>
      <c r="M29" s="1" t="str">
        <f t="shared" si="0"/>
        <v>max(max_endtime) as max_endtime</v>
      </c>
      <c r="N29" s="16" t="str">
        <f t="shared" si="1"/>
        <v>`max_endtime` string,</v>
      </c>
    </row>
    <row r="30" s="1" customFormat="1" spans="2:14">
      <c r="B30" s="19" t="s">
        <v>1848</v>
      </c>
      <c r="C30" s="19" t="s">
        <v>275</v>
      </c>
      <c r="D30" s="10" t="s">
        <v>1849</v>
      </c>
      <c r="E30" s="20" t="s">
        <v>199</v>
      </c>
      <c r="F30" s="19" t="s">
        <v>2471</v>
      </c>
      <c r="G30" s="19" t="s">
        <v>2471</v>
      </c>
      <c r="H30" s="20"/>
      <c r="I30" s="23"/>
      <c r="J30" s="23" t="s">
        <v>345</v>
      </c>
      <c r="K30" s="23" t="s">
        <v>323</v>
      </c>
      <c r="L30" s="23" t="s">
        <v>339</v>
      </c>
      <c r="M30" s="1" t="str">
        <f t="shared" si="0"/>
        <v>sum(httpwebreqcount) as total_cnt</v>
      </c>
      <c r="N30" s="16" t="str">
        <f t="shared" si="1"/>
        <v>`total_cnt` bigint,</v>
      </c>
    </row>
    <row r="31" s="1" customFormat="1" spans="2:14">
      <c r="B31" s="19" t="s">
        <v>1814</v>
      </c>
      <c r="C31" s="19" t="s">
        <v>275</v>
      </c>
      <c r="D31" s="10" t="s">
        <v>1851</v>
      </c>
      <c r="E31" s="20" t="s">
        <v>199</v>
      </c>
      <c r="F31" s="19" t="s">
        <v>1852</v>
      </c>
      <c r="G31" s="19" t="s">
        <v>1852</v>
      </c>
      <c r="H31" s="20"/>
      <c r="I31" s="23"/>
      <c r="J31" s="23" t="s">
        <v>345</v>
      </c>
      <c r="K31" s="23" t="s">
        <v>323</v>
      </c>
      <c r="L31" s="23" t="s">
        <v>339</v>
      </c>
      <c r="M31" s="1" t="str">
        <f t="shared" si="0"/>
        <v>sum(abnormal_cnt) as abnormal_cnt</v>
      </c>
      <c r="N31" s="16" t="str">
        <f t="shared" si="1"/>
        <v>`abnormal_cnt` bigint,</v>
      </c>
    </row>
    <row r="32" s="1" customFormat="1" ht="26.4" spans="2:14">
      <c r="B32" s="19" t="s">
        <v>1853</v>
      </c>
      <c r="C32" s="19" t="s">
        <v>240</v>
      </c>
      <c r="D32" s="10" t="s">
        <v>1854</v>
      </c>
      <c r="E32" s="20" t="s">
        <v>199</v>
      </c>
      <c r="F32" s="19" t="s">
        <v>2472</v>
      </c>
      <c r="G32" s="19" t="s">
        <v>2472</v>
      </c>
      <c r="H32" s="20"/>
      <c r="I32" s="23"/>
      <c r="J32" s="23" t="s">
        <v>345</v>
      </c>
      <c r="K32" s="23" t="s">
        <v>323</v>
      </c>
      <c r="L32" s="23" t="s">
        <v>1856</v>
      </c>
      <c r="M32" s="1" t="str">
        <f t="shared" si="0"/>
        <v>sum(abnormal_cnt)/sum(httpwebreqcount) as abnormal_rate</v>
      </c>
      <c r="N32" s="16" t="str">
        <f t="shared" si="1"/>
        <v>`abnormal_rate` double,</v>
      </c>
    </row>
    <row r="33" s="1" customFormat="1" spans="2:14">
      <c r="B33" s="19" t="s">
        <v>1170</v>
      </c>
      <c r="C33" s="19" t="s">
        <v>275</v>
      </c>
      <c r="D33" s="10" t="s">
        <v>1857</v>
      </c>
      <c r="E33" s="20" t="s">
        <v>199</v>
      </c>
      <c r="F33" s="19" t="s">
        <v>1858</v>
      </c>
      <c r="G33" s="19" t="s">
        <v>1858</v>
      </c>
      <c r="H33" s="20"/>
      <c r="I33" s="23"/>
      <c r="J33" s="23" t="s">
        <v>345</v>
      </c>
      <c r="K33" s="23" t="s">
        <v>1859</v>
      </c>
      <c r="L33" s="23" t="s">
        <v>339</v>
      </c>
      <c r="M33" s="1" t="str">
        <f t="shared" si="0"/>
        <v>sum(duration_sum) as duration</v>
      </c>
      <c r="N33" s="16" t="str">
        <f t="shared" si="1"/>
        <v>`duration` bigint,</v>
      </c>
    </row>
    <row r="34" s="1" customFormat="1" ht="26.4" spans="2:14">
      <c r="B34" s="19" t="s">
        <v>1860</v>
      </c>
      <c r="C34" s="19" t="s">
        <v>275</v>
      </c>
      <c r="D34" s="10" t="s">
        <v>1861</v>
      </c>
      <c r="E34" s="20" t="s">
        <v>199</v>
      </c>
      <c r="F34" s="19" t="s">
        <v>1862</v>
      </c>
      <c r="G34" s="19" t="s">
        <v>1862</v>
      </c>
      <c r="H34" s="20"/>
      <c r="I34" s="23"/>
      <c r="J34" s="23" t="s">
        <v>345</v>
      </c>
      <c r="K34" s="23" t="s">
        <v>1863</v>
      </c>
      <c r="L34" s="23" t="s">
        <v>339</v>
      </c>
      <c r="M34" s="1" t="str">
        <f t="shared" si="0"/>
        <v>sum(outputoctets_sum+inputoctets_sum) as flux</v>
      </c>
      <c r="N34" s="16" t="str">
        <f t="shared" si="1"/>
        <v>`flux` bigint,</v>
      </c>
    </row>
    <row r="35" s="2" customFormat="1" spans="1:12">
      <c r="A35" s="21"/>
      <c r="B35" s="22" t="s">
        <v>252</v>
      </c>
      <c r="C35" s="22" t="s">
        <v>220</v>
      </c>
      <c r="D35" s="22" t="s">
        <v>254</v>
      </c>
      <c r="E35" s="22"/>
      <c r="F35" s="22"/>
      <c r="G35" s="22"/>
      <c r="H35" s="22"/>
      <c r="I35" s="22"/>
      <c r="J35" s="22"/>
      <c r="K35" s="22"/>
      <c r="L35" s="22"/>
    </row>
    <row r="36" s="2" customFormat="1" spans="1:12">
      <c r="A36" s="21"/>
      <c r="B36" s="22" t="s">
        <v>255</v>
      </c>
      <c r="C36" s="22" t="s">
        <v>216</v>
      </c>
      <c r="D36" s="22" t="s">
        <v>256</v>
      </c>
      <c r="E36" s="22"/>
      <c r="F36" s="22"/>
      <c r="G36" s="22"/>
      <c r="H36" s="22"/>
      <c r="I36" s="22"/>
      <c r="J36" s="22"/>
      <c r="K36" s="22"/>
      <c r="L36" s="22"/>
    </row>
    <row r="37" s="2" customFormat="1" spans="1:12">
      <c r="A37" s="21"/>
      <c r="B37" s="22" t="s">
        <v>257</v>
      </c>
      <c r="C37" s="22" t="s">
        <v>220</v>
      </c>
      <c r="D37" s="22" t="s">
        <v>258</v>
      </c>
      <c r="E37" s="22"/>
      <c r="F37" s="22"/>
      <c r="G37" s="22"/>
      <c r="H37" s="22"/>
      <c r="I37" s="22"/>
      <c r="J37" s="22"/>
      <c r="K37" s="22"/>
      <c r="L37" s="22"/>
    </row>
  </sheetData>
  <autoFilter xmlns:etc="http://www.wps.cn/officeDocument/2017/etCustomData" ref="A15:N37"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0"/>
  <sheetViews>
    <sheetView zoomScale="85" zoomScaleNormal="85" workbookViewId="0">
      <pane ySplit="5" topLeftCell="A93" activePane="bottomLeft" state="frozen"/>
      <selection/>
      <selection pane="bottomLeft" activeCell="C5" sqref="C5:C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0.2222222222222" style="3" customWidth="1"/>
    <col min="10" max="10" width="7.88888888888889"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102</v>
      </c>
      <c r="D5" s="35" t="s">
        <v>2706</v>
      </c>
      <c r="E5" s="11" t="s">
        <v>1026</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2707</v>
      </c>
      <c r="D9" s="35" t="s">
        <v>2708</v>
      </c>
      <c r="E9" s="11" t="s">
        <v>199</v>
      </c>
      <c r="F9" s="11"/>
      <c r="G9" s="13"/>
      <c r="H9" s="15"/>
    </row>
    <row r="10" spans="2:8">
      <c r="B10" s="11"/>
      <c r="C10" s="10" t="s">
        <v>1029</v>
      </c>
      <c r="D10" s="10" t="s">
        <v>1030</v>
      </c>
      <c r="E10" s="11" t="s">
        <v>202</v>
      </c>
      <c r="F10" s="11"/>
      <c r="G10" s="52" t="s">
        <v>1031</v>
      </c>
      <c r="H10" s="15"/>
    </row>
    <row r="11" spans="2:8">
      <c r="B11" s="11"/>
      <c r="C11" s="10" t="s">
        <v>1032</v>
      </c>
      <c r="D11" s="10" t="s">
        <v>1033</v>
      </c>
      <c r="E11" s="11" t="s">
        <v>1034</v>
      </c>
      <c r="F11" s="38"/>
      <c r="G11" s="53"/>
      <c r="H11" s="11"/>
    </row>
    <row r="12" spans="7:7">
      <c r="G12" s="17"/>
    </row>
    <row r="13" spans="2:2">
      <c r="B13" s="3" t="s">
        <v>204</v>
      </c>
    </row>
    <row r="14" spans="2:12">
      <c r="B14" s="7" t="s">
        <v>204</v>
      </c>
      <c r="C14" s="7"/>
      <c r="D14" s="7"/>
      <c r="E14" s="7"/>
      <c r="F14" s="7"/>
      <c r="G14" s="7"/>
      <c r="H14" s="7"/>
      <c r="I14" s="7"/>
      <c r="J14" s="7"/>
      <c r="K14" s="7"/>
      <c r="L14" s="7"/>
    </row>
    <row r="15"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1302</v>
      </c>
      <c r="C16" s="32" t="s">
        <v>220</v>
      </c>
      <c r="D16" s="10" t="str">
        <f>VLOOKUP(B16,'[1]4'!$B:$D,3,0)</f>
        <v>接口</v>
      </c>
      <c r="E16" s="54"/>
      <c r="F16" s="39"/>
      <c r="G16" s="39"/>
      <c r="H16" s="55"/>
      <c r="I16" s="56"/>
      <c r="J16" s="56"/>
      <c r="K16" s="56"/>
      <c r="L16" s="56"/>
    </row>
    <row r="17" s="1" customFormat="1" spans="2:12">
      <c r="B17" s="32" t="s">
        <v>2588</v>
      </c>
      <c r="C17" s="32" t="s">
        <v>216</v>
      </c>
      <c r="D17" s="10" t="str">
        <f>VLOOKUP(B17,'[1]4'!$B:$D,3,0)</f>
        <v>永久用户标识</v>
      </c>
      <c r="E17" s="54"/>
      <c r="F17" s="39"/>
      <c r="G17" s="39"/>
      <c r="H17" s="55"/>
      <c r="I17" s="56"/>
      <c r="J17" s="56"/>
      <c r="K17" s="56"/>
      <c r="L17" s="56"/>
    </row>
    <row r="18" s="1" customFormat="1" spans="2:12">
      <c r="B18" s="32" t="s">
        <v>267</v>
      </c>
      <c r="C18" s="32" t="s">
        <v>216</v>
      </c>
      <c r="D18" s="10" t="str">
        <f>VLOOKUP(B18,'[1]4'!$B:$D,3,0)</f>
        <v>用户号码</v>
      </c>
      <c r="E18" s="54"/>
      <c r="F18" s="39"/>
      <c r="G18" s="39"/>
      <c r="H18" s="55"/>
      <c r="I18" s="56"/>
      <c r="J18" s="56"/>
      <c r="K18" s="56"/>
      <c r="L18" s="56"/>
    </row>
    <row r="19" s="1" customFormat="1" spans="1:12">
      <c r="A19" s="40"/>
      <c r="B19" s="32" t="s">
        <v>2589</v>
      </c>
      <c r="C19" s="32" t="s">
        <v>216</v>
      </c>
      <c r="D19" s="10" t="str">
        <f>VLOOKUP(B19,'[1]4'!$B:$D,3,0)</f>
        <v>永久设备标识</v>
      </c>
      <c r="E19" s="54"/>
      <c r="F19" s="39"/>
      <c r="G19" s="39"/>
      <c r="H19" s="55"/>
      <c r="I19" s="80"/>
      <c r="J19" s="56"/>
      <c r="K19" s="56"/>
      <c r="L19" s="56"/>
    </row>
    <row r="20" s="1" customFormat="1" spans="1:12">
      <c r="A20" s="40"/>
      <c r="B20" s="32" t="s">
        <v>2591</v>
      </c>
      <c r="C20" s="32" t="s">
        <v>216</v>
      </c>
      <c r="D20" s="10" t="str">
        <f>VLOOKUP(B20,'[1]4'!$B:$D,3,0)</f>
        <v>网络接入标识</v>
      </c>
      <c r="E20" s="54"/>
      <c r="F20" s="39"/>
      <c r="G20" s="39"/>
      <c r="H20" s="55"/>
      <c r="I20" s="80"/>
      <c r="J20" s="56"/>
      <c r="K20" s="56"/>
      <c r="L20" s="56"/>
    </row>
    <row r="21" s="1" customFormat="1" spans="1:12">
      <c r="A21" s="40"/>
      <c r="B21" s="32" t="s">
        <v>1878</v>
      </c>
      <c r="C21" s="32" t="s">
        <v>216</v>
      </c>
      <c r="D21" s="10" t="str">
        <f>VLOOKUP(B21,'[1]4'!$B:$D,3,0)</f>
        <v>用户访问的目标IPv4或IPv6地址</v>
      </c>
      <c r="E21" s="54"/>
      <c r="F21" s="39"/>
      <c r="G21" s="39"/>
      <c r="H21" s="55"/>
      <c r="I21" s="80"/>
      <c r="J21" s="56"/>
      <c r="K21" s="56"/>
      <c r="L21" s="56"/>
    </row>
    <row r="22" s="1" customFormat="1" spans="1:12">
      <c r="A22" s="40"/>
      <c r="B22" s="11" t="s">
        <v>2482</v>
      </c>
      <c r="C22" s="11" t="s">
        <v>220</v>
      </c>
      <c r="D22" s="10" t="str">
        <f>VLOOKUP(B22,'[1]4'!$B:$D,3,0)</f>
        <v>用户访问的目标端口号</v>
      </c>
      <c r="E22" s="54"/>
      <c r="F22" s="10"/>
      <c r="G22" s="39"/>
      <c r="H22" s="55"/>
      <c r="I22" s="80"/>
      <c r="J22" s="56"/>
      <c r="K22" s="56"/>
      <c r="L22" s="56"/>
    </row>
    <row r="23" s="1" customFormat="1" spans="1:12">
      <c r="A23" s="40"/>
      <c r="B23" s="11" t="s">
        <v>1287</v>
      </c>
      <c r="C23" s="11" t="s">
        <v>216</v>
      </c>
      <c r="D23" s="10" t="str">
        <f>VLOOKUP(B23,'[1]4'!$B:$D,3,0)</f>
        <v>用户访问外部网络时使用的IPv4或IPv6地址</v>
      </c>
      <c r="E23" s="54"/>
      <c r="F23" s="10"/>
      <c r="G23" s="39"/>
      <c r="H23" s="55"/>
      <c r="I23" s="80"/>
      <c r="J23" s="56"/>
      <c r="K23" s="56"/>
      <c r="L23" s="56"/>
    </row>
    <row r="24" s="1" customFormat="1" spans="1:12">
      <c r="A24" s="40"/>
      <c r="B24" s="11" t="s">
        <v>2485</v>
      </c>
      <c r="C24" s="11" t="s">
        <v>220</v>
      </c>
      <c r="D24" s="10" t="str">
        <f>VLOOKUP(B24,'[1]4'!$B:$D,3,0)</f>
        <v>用户访问外部网络时使用的端口号</v>
      </c>
      <c r="E24" s="54"/>
      <c r="F24" s="10"/>
      <c r="G24" s="39"/>
      <c r="H24" s="55"/>
      <c r="I24" s="80"/>
      <c r="J24" s="56"/>
      <c r="K24" s="56"/>
      <c r="L24" s="56"/>
    </row>
    <row r="25" s="1" customFormat="1" spans="1:12">
      <c r="A25" s="40"/>
      <c r="B25" s="11" t="s">
        <v>2594</v>
      </c>
      <c r="C25" s="11" t="s">
        <v>216</v>
      </c>
      <c r="D25" s="10" t="str">
        <f>VLOOKUP(B25,'[1]4'!$B:$D,3,0)</f>
        <v>UPF的IPv4或IPv6地址</v>
      </c>
      <c r="E25" s="54"/>
      <c r="F25" s="10"/>
      <c r="G25" s="39"/>
      <c r="H25" s="55"/>
      <c r="I25" s="80"/>
      <c r="J25" s="56"/>
      <c r="K25" s="56"/>
      <c r="L25" s="56"/>
    </row>
    <row r="26" s="1" customFormat="1" spans="1:12">
      <c r="A26" s="40"/>
      <c r="B26" s="11" t="s">
        <v>2709</v>
      </c>
      <c r="C26" s="11" t="s">
        <v>216</v>
      </c>
      <c r="D26" s="10" t="str">
        <f>VLOOKUP(B26,'[1]4'!$B:$D,3,0)</f>
        <v>NCGI：NR 小区全局标识符，MCC+MNC+NRCELLID；</v>
      </c>
      <c r="E26" s="54"/>
      <c r="F26" s="10"/>
      <c r="G26" s="39"/>
      <c r="H26" s="55"/>
      <c r="I26" s="80"/>
      <c r="J26" s="56"/>
      <c r="K26" s="56"/>
      <c r="L26" s="56"/>
    </row>
    <row r="27" s="1" customFormat="1" spans="1:12">
      <c r="A27" s="40"/>
      <c r="B27" s="32" t="s">
        <v>1306</v>
      </c>
      <c r="C27" s="32" t="s">
        <v>216</v>
      </c>
      <c r="D27" s="10" t="str">
        <f>VLOOKUP(B27,'[1]4'!$B:$D,3,0)</f>
        <v>跟踪区标识</v>
      </c>
      <c r="E27" s="54"/>
      <c r="F27" s="39"/>
      <c r="G27" s="39"/>
      <c r="H27" s="55"/>
      <c r="I27" s="80"/>
      <c r="J27" s="56"/>
      <c r="K27" s="56"/>
      <c r="L27" s="56"/>
    </row>
    <row r="28" s="1" customFormat="1" spans="1:12">
      <c r="A28" s="40"/>
      <c r="B28" s="11" t="s">
        <v>1304</v>
      </c>
      <c r="C28" s="11" t="s">
        <v>216</v>
      </c>
      <c r="D28" s="10" t="str">
        <f>VLOOKUP(B28,'[1]4'!$B:$D,3,0)</f>
        <v>拜访网络标识</v>
      </c>
      <c r="E28" s="54"/>
      <c r="F28" s="39"/>
      <c r="G28" s="13"/>
      <c r="H28" s="55"/>
      <c r="I28" s="80"/>
      <c r="J28" s="56"/>
      <c r="K28" s="56"/>
      <c r="L28" s="56"/>
    </row>
    <row r="29" s="1" customFormat="1" spans="1:12">
      <c r="A29" s="40"/>
      <c r="B29" s="11" t="s">
        <v>302</v>
      </c>
      <c r="C29" s="11" t="s">
        <v>220</v>
      </c>
      <c r="D29" s="10" t="str">
        <f>VLOOKUP(B29,'[1]4'!$B:$D,3,0)</f>
        <v>用户所接入的网络类型</v>
      </c>
      <c r="E29" s="54"/>
      <c r="F29" s="39"/>
      <c r="G29" s="13"/>
      <c r="H29" s="55"/>
      <c r="I29" s="80"/>
      <c r="J29" s="56"/>
      <c r="K29" s="56"/>
      <c r="L29" s="56"/>
    </row>
    <row r="30" s="1" customFormat="1" spans="1:12">
      <c r="A30" s="40"/>
      <c r="B30" s="11" t="s">
        <v>1889</v>
      </c>
      <c r="C30" s="11" t="s">
        <v>220</v>
      </c>
      <c r="D30" s="10" t="str">
        <f>VLOOKUP(B30,'[1]4'!$B:$D,3,0)</f>
        <v>协议类型，参见附录J</v>
      </c>
      <c r="E30" s="54"/>
      <c r="F30" s="39"/>
      <c r="G30" s="13"/>
      <c r="H30" s="55"/>
      <c r="I30" s="80"/>
      <c r="J30" s="56"/>
      <c r="K30" s="56"/>
      <c r="L30" s="56"/>
    </row>
    <row r="31" s="1" customFormat="1" spans="1:12">
      <c r="A31" s="40"/>
      <c r="B31" s="11" t="s">
        <v>1313</v>
      </c>
      <c r="C31" s="11" t="s">
        <v>216</v>
      </c>
      <c r="D31" s="10" t="str">
        <f>VLOOKUP(B31,'[1]4'!$B:$D,3,0)</f>
        <v>业务应用</v>
      </c>
      <c r="E31" s="54"/>
      <c r="F31" s="39"/>
      <c r="G31" s="13"/>
      <c r="H31" s="55"/>
      <c r="I31" s="80"/>
      <c r="J31" s="56"/>
      <c r="K31" s="56"/>
      <c r="L31" s="56"/>
    </row>
    <row r="32" s="1" customFormat="1" spans="1:12">
      <c r="A32" s="40"/>
      <c r="B32" s="32" t="s">
        <v>1897</v>
      </c>
      <c r="C32" s="32" t="s">
        <v>1071</v>
      </c>
      <c r="D32" s="10" t="str">
        <f>VLOOKUP(B32,'[1]4'!$B:$D,3,0)</f>
        <v>业务流开始时间，格式为YYYYMMDDhhmmss（24小时制），如果开启中间记录模式，每条记录都填写相同的开始时间。</v>
      </c>
      <c r="E32" s="54"/>
      <c r="F32" s="39"/>
      <c r="G32" s="39"/>
      <c r="H32" s="55"/>
      <c r="I32" s="80"/>
      <c r="J32" s="56"/>
      <c r="K32" s="56"/>
      <c r="L32" s="56"/>
    </row>
    <row r="33" s="1" customFormat="1" spans="2:12">
      <c r="B33" s="32" t="s">
        <v>1899</v>
      </c>
      <c r="C33" s="32" t="s">
        <v>1071</v>
      </c>
      <c r="D33" s="10" t="str">
        <f>VLOOKUP(B33,'[1]4'!$B:$D,3,0)</f>
        <v>业务流结束时间，格式为YYYYMMDDhhmmss（24小时制），如果开启中间记录模式，只在最后一条记录填写结束时间。</v>
      </c>
      <c r="E33" s="54"/>
      <c r="F33" s="39"/>
      <c r="G33" s="39"/>
      <c r="H33" s="55"/>
      <c r="I33" s="56"/>
      <c r="J33" s="56"/>
      <c r="K33" s="56"/>
      <c r="L33" s="56"/>
    </row>
    <row r="34" s="1" customFormat="1" spans="2:12">
      <c r="B34" s="32" t="s">
        <v>1170</v>
      </c>
      <c r="C34" s="32" t="s">
        <v>275</v>
      </c>
      <c r="D34" s="10" t="str">
        <f>VLOOKUP(B34,'[1]4'!$B:$D,3,0)</f>
        <v>持续时间，单位毫秒</v>
      </c>
      <c r="E34" s="54"/>
      <c r="F34" s="39"/>
      <c r="G34" s="39"/>
      <c r="H34" s="55"/>
      <c r="I34" s="56"/>
      <c r="J34" s="56"/>
      <c r="K34" s="56"/>
      <c r="L34" s="56"/>
    </row>
    <row r="35" s="40" customFormat="1" spans="2:12">
      <c r="B35" s="32" t="s">
        <v>1902</v>
      </c>
      <c r="C35" s="32" t="s">
        <v>275</v>
      </c>
      <c r="D35" s="10" t="str">
        <f>VLOOKUP(B35,'[1]4'!$B:$D,3,0)</f>
        <v>发给用户的业务字节数</v>
      </c>
      <c r="E35" s="54"/>
      <c r="F35" s="19"/>
      <c r="G35" s="39"/>
      <c r="H35" s="55"/>
      <c r="I35" s="80"/>
      <c r="J35" s="56"/>
      <c r="K35" s="56"/>
      <c r="L35" s="56"/>
    </row>
    <row r="36" s="40" customFormat="1" spans="2:12">
      <c r="B36" s="32" t="s">
        <v>1904</v>
      </c>
      <c r="C36" s="32" t="s">
        <v>275</v>
      </c>
      <c r="D36" s="10" t="str">
        <f>VLOOKUP(B36,'[1]4'!$B:$D,3,0)</f>
        <v>用户发出的业务字节数</v>
      </c>
      <c r="E36" s="54"/>
      <c r="F36" s="19"/>
      <c r="G36" s="39"/>
      <c r="H36" s="55"/>
      <c r="I36" s="80"/>
      <c r="J36" s="56"/>
      <c r="K36" s="56"/>
      <c r="L36" s="56"/>
    </row>
    <row r="37" s="70" customFormat="1" spans="1:12">
      <c r="A37" s="75"/>
      <c r="B37" s="78" t="s">
        <v>1906</v>
      </c>
      <c r="C37" s="78" t="s">
        <v>275</v>
      </c>
      <c r="D37" s="10" t="str">
        <f>VLOOKUP(B37,'[1]4'!$B:$D,3,0)</f>
        <v>发给用户的业务数据包数量</v>
      </c>
      <c r="E37" s="54"/>
      <c r="F37" s="39"/>
      <c r="G37" s="39"/>
      <c r="H37" s="55"/>
      <c r="I37" s="81"/>
      <c r="J37" s="56"/>
      <c r="K37" s="56"/>
      <c r="L37" s="56"/>
    </row>
    <row r="38" s="1" customFormat="1" spans="1:12">
      <c r="A38" s="40"/>
      <c r="B38" s="11" t="s">
        <v>1907</v>
      </c>
      <c r="C38" s="11" t="s">
        <v>275</v>
      </c>
      <c r="D38" s="10" t="str">
        <f>VLOOKUP(B38,'[1]4'!$B:$D,3,0)</f>
        <v>用户发出的业务数据包数量</v>
      </c>
      <c r="E38" s="54"/>
      <c r="F38" s="39"/>
      <c r="G38" s="13"/>
      <c r="H38" s="55"/>
      <c r="I38" s="80"/>
      <c r="J38" s="56"/>
      <c r="K38" s="56"/>
      <c r="L38" s="56"/>
    </row>
    <row r="39" s="40" customFormat="1" spans="2:12">
      <c r="B39" s="32" t="s">
        <v>2603</v>
      </c>
      <c r="C39" s="32" t="s">
        <v>1071</v>
      </c>
      <c r="D39" s="10" t="str">
        <f>VLOOKUP(B39,'[1]4'!$B:$D,3,0)</f>
        <v>PDU连接的ID标识号</v>
      </c>
      <c r="E39" s="54"/>
      <c r="F39" s="39"/>
      <c r="G39" s="39"/>
      <c r="H39" s="55"/>
      <c r="I39" s="80"/>
      <c r="J39" s="56"/>
      <c r="K39" s="56"/>
      <c r="L39" s="56"/>
    </row>
    <row r="40" s="40" customFormat="1" spans="2:12">
      <c r="B40" s="32" t="s">
        <v>1939</v>
      </c>
      <c r="C40" s="32" t="s">
        <v>220</v>
      </c>
      <c r="D40" s="10" t="str">
        <f>VLOOKUP(B40,'[1]4'!$B:$D,3,0)</f>
        <v>记录关闭原因</v>
      </c>
      <c r="E40" s="54"/>
      <c r="F40" s="39"/>
      <c r="G40" s="39"/>
      <c r="H40" s="55"/>
      <c r="I40" s="80"/>
      <c r="J40" s="56"/>
      <c r="K40" s="56"/>
      <c r="L40" s="56"/>
    </row>
    <row r="41" s="40" customFormat="1" spans="2:12">
      <c r="B41" s="32" t="s">
        <v>2605</v>
      </c>
      <c r="C41" s="32" t="s">
        <v>216</v>
      </c>
      <c r="D41" s="10" t="str">
        <f>VLOOKUP(B41,'[1]4'!$B:$D,3,0)</f>
        <v>gNB的IPv4或IPv6地址</v>
      </c>
      <c r="E41" s="54"/>
      <c r="F41" s="39"/>
      <c r="G41" s="39"/>
      <c r="H41" s="55"/>
      <c r="I41" s="80"/>
      <c r="J41" s="56"/>
      <c r="K41" s="56"/>
      <c r="L41" s="56"/>
    </row>
    <row r="42" s="40" customFormat="1" spans="2:12">
      <c r="B42" s="32" t="s">
        <v>2607</v>
      </c>
      <c r="C42" s="79" t="s">
        <v>275</v>
      </c>
      <c r="D42" s="10" t="str">
        <f>VLOOKUP(B42,'[1]4'!$B:$D,3,0)</f>
        <v>填写该业务对应承载的gNB侧GTP-TEID</v>
      </c>
      <c r="E42" s="54"/>
      <c r="F42" s="39"/>
      <c r="G42" s="39"/>
      <c r="H42" s="55"/>
      <c r="I42" s="80"/>
      <c r="J42" s="56"/>
      <c r="K42" s="56"/>
      <c r="L42" s="56"/>
    </row>
    <row r="43" s="3" customFormat="1" spans="2:12">
      <c r="B43" s="32" t="s">
        <v>2609</v>
      </c>
      <c r="C43" s="79" t="s">
        <v>275</v>
      </c>
      <c r="D43" s="10" t="str">
        <f>VLOOKUP(B43,'[1]4'!$B:$D,3,0)</f>
        <v>填写该业务对应承载的UPF侧GTP-TEID</v>
      </c>
      <c r="E43" s="54"/>
      <c r="F43" s="39"/>
      <c r="G43" s="39"/>
      <c r="H43" s="55"/>
      <c r="I43" s="80"/>
      <c r="J43" s="56"/>
      <c r="K43" s="56"/>
      <c r="L43" s="56"/>
    </row>
    <row r="44" s="3" customFormat="1" spans="2:12">
      <c r="B44" s="32" t="s">
        <v>1808</v>
      </c>
      <c r="C44" s="79" t="s">
        <v>216</v>
      </c>
      <c r="D44" s="10" t="str">
        <f>VLOOKUP(B44,'[1]4'!$B:$D,3,0)</f>
        <v>归属省份</v>
      </c>
      <c r="E44" s="54"/>
      <c r="F44" s="39"/>
      <c r="G44" s="39"/>
      <c r="H44" s="55"/>
      <c r="I44" s="80"/>
      <c r="J44" s="56"/>
      <c r="K44" s="56"/>
      <c r="L44" s="56"/>
    </row>
    <row r="45" s="1" customFormat="1" spans="1:12">
      <c r="A45" s="40"/>
      <c r="B45" s="32" t="s">
        <v>1895</v>
      </c>
      <c r="C45" s="32" t="s">
        <v>220</v>
      </c>
      <c r="D45" s="10" t="str">
        <f>VLOOKUP(B45,'[1]4'!$B:$D,3,0)</f>
        <v>L4 protocol</v>
      </c>
      <c r="E45" s="54"/>
      <c r="F45" s="39"/>
      <c r="G45" s="39"/>
      <c r="H45" s="32"/>
      <c r="I45" s="80"/>
      <c r="J45" s="56"/>
      <c r="K45" s="56"/>
      <c r="L45" s="56"/>
    </row>
    <row r="46" s="3" customFormat="1" spans="2:12">
      <c r="B46" s="32" t="s">
        <v>1908</v>
      </c>
      <c r="C46" s="79" t="s">
        <v>220</v>
      </c>
      <c r="D46" s="10" t="str">
        <f>VLOOKUP(B46,'[1]4'!$B:$D,3,0)</f>
        <v>上行TCP乱序报文数</v>
      </c>
      <c r="E46" s="54"/>
      <c r="F46" s="39"/>
      <c r="G46" s="39"/>
      <c r="H46" s="55"/>
      <c r="I46" s="80"/>
      <c r="J46" s="56"/>
      <c r="K46" s="56"/>
      <c r="L46" s="56"/>
    </row>
    <row r="47" s="3" customFormat="1" spans="2:12">
      <c r="B47" s="32" t="s">
        <v>1910</v>
      </c>
      <c r="C47" s="79" t="s">
        <v>220</v>
      </c>
      <c r="D47" s="10" t="str">
        <f>VLOOKUP(B47,'[1]4'!$B:$D,3,0)</f>
        <v>下行TCP乱序报文数</v>
      </c>
      <c r="E47" s="54"/>
      <c r="F47" s="39"/>
      <c r="G47" s="39"/>
      <c r="H47" s="55"/>
      <c r="I47" s="80"/>
      <c r="J47" s="56"/>
      <c r="K47" s="56"/>
      <c r="L47" s="56"/>
    </row>
    <row r="48" s="3" customFormat="1" spans="2:12">
      <c r="B48" s="32" t="s">
        <v>1912</v>
      </c>
      <c r="C48" s="79" t="s">
        <v>220</v>
      </c>
      <c r="D48" s="10" t="str">
        <f>VLOOKUP(B48,'[1]4'!$B:$D,3,0)</f>
        <v>上行TCP重传报文数</v>
      </c>
      <c r="E48" s="54"/>
      <c r="F48" s="39"/>
      <c r="G48" s="39"/>
      <c r="H48" s="55"/>
      <c r="I48" s="80"/>
      <c r="J48" s="56"/>
      <c r="K48" s="56"/>
      <c r="L48" s="56"/>
    </row>
    <row r="49" s="3" customFormat="1" spans="2:12">
      <c r="B49" s="78" t="s">
        <v>1914</v>
      </c>
      <c r="C49" s="78" t="s">
        <v>220</v>
      </c>
      <c r="D49" s="10" t="str">
        <f>VLOOKUP(B49,'[1]4'!$B:$D,3,0)</f>
        <v>下行TCP重传报文数</v>
      </c>
      <c r="E49" s="54"/>
      <c r="F49" s="39"/>
      <c r="G49" s="39"/>
      <c r="H49" s="55"/>
      <c r="I49" s="81"/>
      <c r="J49" s="56"/>
      <c r="K49" s="56"/>
      <c r="L49" s="56"/>
    </row>
    <row r="50" s="70" customFormat="1" spans="1:12">
      <c r="A50" s="75"/>
      <c r="B50" s="78" t="s">
        <v>1276</v>
      </c>
      <c r="C50" s="78" t="s">
        <v>220</v>
      </c>
      <c r="D50" s="10" t="str">
        <f>VLOOKUP(B50,'[1]4'!$B:$D,3,0)</f>
        <v>TCP建链响应时延（ms）</v>
      </c>
      <c r="E50" s="54"/>
      <c r="F50" s="39"/>
      <c r="G50" s="39"/>
      <c r="H50" s="55"/>
      <c r="I50" s="81"/>
      <c r="J50" s="56"/>
      <c r="K50" s="56"/>
      <c r="L50" s="56"/>
    </row>
    <row r="51" s="70" customFormat="1" spans="1:12">
      <c r="A51" s="75"/>
      <c r="B51" s="78" t="s">
        <v>1278</v>
      </c>
      <c r="C51" s="78" t="s">
        <v>220</v>
      </c>
      <c r="D51" s="10" t="str">
        <f>VLOOKUP(B51,'[1]4'!$B:$D,3,0)</f>
        <v>TCP建链确认时延（ms）</v>
      </c>
      <c r="E51" s="54"/>
      <c r="F51" s="39"/>
      <c r="G51" s="39"/>
      <c r="H51" s="55"/>
      <c r="I51" s="81"/>
      <c r="J51" s="56"/>
      <c r="K51" s="56"/>
      <c r="L51" s="56"/>
    </row>
    <row r="52" s="70" customFormat="1" spans="1:12">
      <c r="A52" s="75"/>
      <c r="B52" s="78" t="s">
        <v>2049</v>
      </c>
      <c r="C52" s="78" t="s">
        <v>275</v>
      </c>
      <c r="D52" s="10" t="str">
        <f>VLOOKUP(B52,'[1]4'!$B:$D,3,0)</f>
        <v>TCP建立时延</v>
      </c>
      <c r="E52" s="54"/>
      <c r="F52" s="39"/>
      <c r="G52" s="39"/>
      <c r="H52" s="55"/>
      <c r="I52" s="81"/>
      <c r="J52" s="56"/>
      <c r="K52" s="56"/>
      <c r="L52" s="56"/>
    </row>
    <row r="53" s="70" customFormat="1" spans="1:12">
      <c r="A53" s="75"/>
      <c r="B53" s="78" t="s">
        <v>1291</v>
      </c>
      <c r="C53" s="78" t="s">
        <v>220</v>
      </c>
      <c r="D53" s="10" t="str">
        <f>VLOOKUP(B53,'[1]4'!$B:$D,3,0)</f>
        <v>UL_IP_FRAG_PACKETS</v>
      </c>
      <c r="E53" s="54"/>
      <c r="F53" s="39"/>
      <c r="G53" s="39"/>
      <c r="H53" s="55"/>
      <c r="I53" s="81"/>
      <c r="J53" s="56"/>
      <c r="K53" s="56"/>
      <c r="L53" s="56"/>
    </row>
    <row r="54" s="70" customFormat="1" spans="1:12">
      <c r="A54" s="75"/>
      <c r="B54" s="78" t="s">
        <v>1293</v>
      </c>
      <c r="C54" s="78" t="s">
        <v>220</v>
      </c>
      <c r="D54" s="10" t="str">
        <f>VLOOKUP(B54,'[1]4'!$B:$D,3,0)</f>
        <v>DL_IP_FRAG_PACKETS</v>
      </c>
      <c r="E54" s="54"/>
      <c r="F54" s="39"/>
      <c r="G54" s="39"/>
      <c r="H54" s="55"/>
      <c r="I54" s="81"/>
      <c r="J54" s="56"/>
      <c r="K54" s="56"/>
      <c r="L54" s="56"/>
    </row>
    <row r="55" s="70" customFormat="1" spans="1:12">
      <c r="A55" s="75"/>
      <c r="B55" s="78" t="s">
        <v>2051</v>
      </c>
      <c r="C55" s="78" t="s">
        <v>220</v>
      </c>
      <c r="D55" s="10" t="str">
        <f>VLOOKUP(B55,'[1]4'!$B:$D,3,0)</f>
        <v>TCP建链成功到第一条事务请求的时延（ms）</v>
      </c>
      <c r="E55" s="54"/>
      <c r="F55" s="39"/>
      <c r="G55" s="39"/>
      <c r="H55" s="55"/>
      <c r="I55" s="81"/>
      <c r="J55" s="56"/>
      <c r="K55" s="56"/>
      <c r="L55" s="56"/>
    </row>
    <row r="56" s="70" customFormat="1" ht="26.4" spans="1:12">
      <c r="A56" s="75"/>
      <c r="B56" s="78" t="s">
        <v>2052</v>
      </c>
      <c r="C56" s="78" t="s">
        <v>220</v>
      </c>
      <c r="D56" s="10" t="str">
        <f>VLOOKUP(B56,'[1]4'!$B:$D,3,0)</f>
        <v>第一条事务请求到其第一个响应包时延（ms）</v>
      </c>
      <c r="E56" s="54"/>
      <c r="F56" s="39"/>
      <c r="G56" s="39"/>
      <c r="H56" s="55"/>
      <c r="I56" s="81"/>
      <c r="J56" s="56"/>
      <c r="K56" s="56"/>
      <c r="L56" s="56"/>
    </row>
    <row r="57" s="70" customFormat="1" spans="1:12">
      <c r="A57" s="75"/>
      <c r="B57" s="78" t="s">
        <v>1928</v>
      </c>
      <c r="C57" s="78" t="s">
        <v>220</v>
      </c>
      <c r="D57" s="10" t="str">
        <f>VLOOKUP(B57,'[1]4'!$B:$D,3,0)</f>
        <v>MSS大小</v>
      </c>
      <c r="E57" s="54"/>
      <c r="F57" s="39"/>
      <c r="G57" s="39"/>
      <c r="H57" s="55"/>
      <c r="I57" s="81"/>
      <c r="J57" s="56"/>
      <c r="K57" s="56"/>
      <c r="L57" s="56"/>
    </row>
    <row r="58" s="70" customFormat="1" spans="1:12">
      <c r="A58" s="75"/>
      <c r="B58" s="78" t="s">
        <v>1930</v>
      </c>
      <c r="C58" s="78" t="s">
        <v>220</v>
      </c>
      <c r="D58" s="10" t="str">
        <f>VLOOKUP(B58,'[1]4'!$B:$D,3,0)</f>
        <v>TCP建链尝试次数</v>
      </c>
      <c r="E58" s="54"/>
      <c r="F58" s="39"/>
      <c r="G58" s="39"/>
      <c r="H58" s="55"/>
      <c r="I58" s="81"/>
      <c r="J58" s="56"/>
      <c r="K58" s="56"/>
      <c r="L58" s="56"/>
    </row>
    <row r="59" s="70" customFormat="1" spans="1:12">
      <c r="A59" s="75"/>
      <c r="B59" s="78" t="s">
        <v>1931</v>
      </c>
      <c r="C59" s="78" t="s">
        <v>220</v>
      </c>
      <c r="D59" s="10" t="str">
        <f>VLOOKUP(B59,'[1]4'!$B:$D,3,0)</f>
        <v>TCP连接状态指示</v>
      </c>
      <c r="E59" s="54"/>
      <c r="F59" s="39"/>
      <c r="G59" s="39"/>
      <c r="H59" s="55"/>
      <c r="I59" s="81"/>
      <c r="J59" s="56"/>
      <c r="K59" s="56"/>
      <c r="L59" s="56"/>
    </row>
    <row r="60" s="70" customFormat="1" spans="1:12">
      <c r="A60" s="75"/>
      <c r="B60" s="78" t="s">
        <v>1933</v>
      </c>
      <c r="C60" s="78" t="s">
        <v>220</v>
      </c>
      <c r="D60" s="10" t="str">
        <f>VLOOKUP(B60,'[1]4'!$B:$D,3,0)</f>
        <v>会话是否结束标志</v>
      </c>
      <c r="E60" s="54"/>
      <c r="F60" s="39"/>
      <c r="G60" s="39"/>
      <c r="H60" s="55"/>
      <c r="I60" s="81"/>
      <c r="J60" s="56"/>
      <c r="K60" s="56"/>
      <c r="L60" s="56"/>
    </row>
    <row r="61" s="3" customFormat="1" spans="2:12">
      <c r="B61" s="32" t="s">
        <v>2612</v>
      </c>
      <c r="C61" s="79" t="s">
        <v>220</v>
      </c>
      <c r="D61" s="10" t="str">
        <f>VLOOKUP(B61,'[1]4'!$B:$D,3,0)</f>
        <v>Slice Service Type (SST)</v>
      </c>
      <c r="E61" s="54"/>
      <c r="F61" s="39"/>
      <c r="G61" s="39"/>
      <c r="H61" s="55"/>
      <c r="I61" s="80"/>
      <c r="J61" s="56"/>
      <c r="K61" s="56"/>
      <c r="L61" s="56"/>
    </row>
    <row r="62" spans="1:12">
      <c r="A62" s="4"/>
      <c r="B62" s="32" t="s">
        <v>2614</v>
      </c>
      <c r="C62" s="79" t="s">
        <v>220</v>
      </c>
      <c r="D62" s="10" t="str">
        <f>VLOOKUP(B62,'[1]4'!$B:$D,3,0)</f>
        <v>Slice Differentiator（SD）</v>
      </c>
      <c r="E62" s="54"/>
      <c r="F62" s="39"/>
      <c r="G62" s="39"/>
      <c r="H62" s="55"/>
      <c r="I62" s="56"/>
      <c r="J62" s="56"/>
      <c r="K62" s="56"/>
      <c r="L62" s="56"/>
    </row>
    <row r="63" spans="1:12">
      <c r="A63" s="4"/>
      <c r="B63" s="32" t="s">
        <v>2616</v>
      </c>
      <c r="C63" s="79" t="s">
        <v>220</v>
      </c>
      <c r="D63" s="10" t="s">
        <v>2616</v>
      </c>
      <c r="E63" s="54"/>
      <c r="F63" s="39"/>
      <c r="G63" s="39"/>
      <c r="H63" s="55"/>
      <c r="I63" s="56"/>
      <c r="J63" s="56"/>
      <c r="K63" s="56"/>
      <c r="L63" s="56"/>
    </row>
    <row r="64" spans="1:12">
      <c r="A64" s="4"/>
      <c r="B64" s="32" t="s">
        <v>2617</v>
      </c>
      <c r="C64" s="79" t="s">
        <v>220</v>
      </c>
      <c r="D64" s="10" t="s">
        <v>2617</v>
      </c>
      <c r="E64" s="54"/>
      <c r="F64" s="39"/>
      <c r="G64" s="39"/>
      <c r="H64" s="55"/>
      <c r="I64" s="56"/>
      <c r="J64" s="56"/>
      <c r="K64" s="56"/>
      <c r="L64" s="56"/>
    </row>
    <row r="65" spans="1:12">
      <c r="A65" s="4"/>
      <c r="B65" s="32" t="s">
        <v>2618</v>
      </c>
      <c r="C65" s="79" t="s">
        <v>220</v>
      </c>
      <c r="D65" s="10" t="s">
        <v>2618</v>
      </c>
      <c r="E65" s="54"/>
      <c r="F65" s="39"/>
      <c r="G65" s="39"/>
      <c r="H65" s="55"/>
      <c r="I65" s="56"/>
      <c r="J65" s="56"/>
      <c r="K65" s="56"/>
      <c r="L65" s="56"/>
    </row>
    <row r="66" s="1" customFormat="1" spans="1:12">
      <c r="A66" s="40"/>
      <c r="B66" s="32" t="s">
        <v>2619</v>
      </c>
      <c r="C66" s="79" t="s">
        <v>220</v>
      </c>
      <c r="D66" s="10" t="str">
        <f>VLOOKUP(B66,'[1]4'!$B:$D,3,0)</f>
        <v>用户侧初始有效TCP窗口大小</v>
      </c>
      <c r="E66" s="54"/>
      <c r="F66" s="39"/>
      <c r="G66" s="39"/>
      <c r="H66" s="55"/>
      <c r="I66" s="80"/>
      <c r="J66" s="56"/>
      <c r="K66" s="56"/>
      <c r="L66" s="56"/>
    </row>
    <row r="67" spans="1:12">
      <c r="A67" s="4"/>
      <c r="B67" s="32" t="s">
        <v>2621</v>
      </c>
      <c r="C67" s="79" t="s">
        <v>220</v>
      </c>
      <c r="D67" s="10" t="str">
        <f>VLOOKUP(B67,'[1]4'!$B:$D,3,0)</f>
        <v>服务器侧初始有效TCP窗口大小</v>
      </c>
      <c r="E67" s="54"/>
      <c r="F67" s="39"/>
      <c r="G67" s="39"/>
      <c r="H67" s="55"/>
      <c r="I67" s="56"/>
      <c r="J67" s="56"/>
      <c r="K67" s="56"/>
      <c r="L67" s="56"/>
    </row>
    <row r="68" s="1" customFormat="1" spans="1:12">
      <c r="A68" s="40"/>
      <c r="B68" s="32" t="s">
        <v>2623</v>
      </c>
      <c r="C68" s="79" t="s">
        <v>220</v>
      </c>
      <c r="D68" s="10" t="str">
        <f>VLOOKUP(B68,'[1]4'!$B:$D,3,0)</f>
        <v>用户侧结束有效TCP窗口大小</v>
      </c>
      <c r="E68" s="54"/>
      <c r="F68" s="39"/>
      <c r="G68" s="39"/>
      <c r="H68" s="55"/>
      <c r="I68" s="80"/>
      <c r="J68" s="56"/>
      <c r="K68" s="56"/>
      <c r="L68" s="56"/>
    </row>
    <row r="69" s="1" customFormat="1" spans="1:12">
      <c r="A69" s="40"/>
      <c r="B69" s="32" t="s">
        <v>2625</v>
      </c>
      <c r="C69" s="79" t="s">
        <v>220</v>
      </c>
      <c r="D69" s="10" t="str">
        <f>VLOOKUP(B69,'[1]4'!$B:$D,3,0)</f>
        <v>服务器侧结束有效TCP窗口大小</v>
      </c>
      <c r="E69" s="54"/>
      <c r="F69" s="39"/>
      <c r="G69" s="39"/>
      <c r="H69" s="55"/>
      <c r="I69" s="80"/>
      <c r="J69" s="56"/>
      <c r="K69" s="56"/>
      <c r="L69" s="56"/>
    </row>
    <row r="70" s="1" customFormat="1" spans="1:12">
      <c r="A70" s="40"/>
      <c r="B70" s="32" t="s">
        <v>2627</v>
      </c>
      <c r="C70" s="79" t="s">
        <v>220</v>
      </c>
      <c r="D70" s="10" t="str">
        <f>VLOOKUP(B70,'[1]4'!$B:$D,3,0)</f>
        <v>用户侧最小有效TCP窗口大小</v>
      </c>
      <c r="E70" s="54"/>
      <c r="F70" s="39"/>
      <c r="G70" s="39"/>
      <c r="H70" s="55"/>
      <c r="I70" s="80"/>
      <c r="J70" s="56"/>
      <c r="K70" s="56"/>
      <c r="L70" s="56"/>
    </row>
    <row r="71" s="1" customFormat="1" spans="1:12">
      <c r="A71" s="40"/>
      <c r="B71" s="32" t="s">
        <v>2629</v>
      </c>
      <c r="C71" s="79" t="s">
        <v>220</v>
      </c>
      <c r="D71" s="10" t="str">
        <f>VLOOKUP(B71,'[1]4'!$B:$D,3,0)</f>
        <v>服务器侧最小有效TCP窗口大小</v>
      </c>
      <c r="E71" s="54"/>
      <c r="F71" s="39"/>
      <c r="G71" s="39"/>
      <c r="H71" s="55"/>
      <c r="I71" s="80"/>
      <c r="J71" s="56"/>
      <c r="K71" s="56"/>
      <c r="L71" s="56"/>
    </row>
    <row r="72" s="1" customFormat="1" spans="1:12">
      <c r="A72" s="40"/>
      <c r="B72" s="32" t="s">
        <v>2631</v>
      </c>
      <c r="C72" s="79" t="s">
        <v>220</v>
      </c>
      <c r="D72" s="10" t="str">
        <f>VLOOKUP(B72,'[1]4'!$B:$D,3,0)</f>
        <v>用户侧最大有效TCP窗口大小</v>
      </c>
      <c r="E72" s="54"/>
      <c r="F72" s="39"/>
      <c r="G72" s="39"/>
      <c r="H72" s="55"/>
      <c r="I72" s="80"/>
      <c r="J72" s="56"/>
      <c r="K72" s="56"/>
      <c r="L72" s="56"/>
    </row>
    <row r="73" s="1" customFormat="1" spans="1:12">
      <c r="A73" s="40"/>
      <c r="B73" s="32" t="s">
        <v>2633</v>
      </c>
      <c r="C73" s="79" t="s">
        <v>220</v>
      </c>
      <c r="D73" s="10" t="str">
        <f>VLOOKUP(B73,'[1]4'!$B:$D,3,0)</f>
        <v>服务器侧最大有效TCP窗口大小</v>
      </c>
      <c r="E73" s="54"/>
      <c r="F73" s="39"/>
      <c r="G73" s="39"/>
      <c r="H73" s="55"/>
      <c r="I73" s="80"/>
      <c r="J73" s="56"/>
      <c r="K73" s="56"/>
      <c r="L73" s="56"/>
    </row>
    <row r="74" s="70" customFormat="1" customHeight="1" spans="1:12">
      <c r="A74" s="75"/>
      <c r="B74" s="32" t="s">
        <v>2635</v>
      </c>
      <c r="C74" s="78" t="s">
        <v>275</v>
      </c>
      <c r="D74" s="10" t="str">
        <f>VLOOKUP(B74,'[1]4'!$B:$D,3,0)</f>
        <v>TCP上行数传时长，单位为毫秒</v>
      </c>
      <c r="E74" s="54"/>
      <c r="F74" s="39"/>
      <c r="G74" s="39"/>
      <c r="H74" s="55"/>
      <c r="I74" s="81"/>
      <c r="J74" s="56"/>
      <c r="K74" s="56"/>
      <c r="L74" s="56"/>
    </row>
    <row r="75" s="70" customFormat="1" spans="1:12">
      <c r="A75" s="75"/>
      <c r="B75" s="78" t="s">
        <v>2636</v>
      </c>
      <c r="C75" s="78" t="s">
        <v>275</v>
      </c>
      <c r="D75" s="10" t="str">
        <f>VLOOKUP(B75,'[1]4'!$B:$D,3,0)</f>
        <v>TCP下行数传时长，单位为毫秒</v>
      </c>
      <c r="E75" s="54"/>
      <c r="F75" s="39"/>
      <c r="G75" s="39"/>
      <c r="H75" s="55"/>
      <c r="I75" s="81"/>
      <c r="J75" s="56"/>
      <c r="K75" s="56"/>
      <c r="L75" s="56"/>
    </row>
    <row r="76" s="70" customFormat="1" spans="1:12">
      <c r="A76" s="75"/>
      <c r="B76" s="78" t="s">
        <v>2637</v>
      </c>
      <c r="C76" s="78" t="s">
        <v>220</v>
      </c>
      <c r="D76" s="10" t="str">
        <f>VLOOKUP(B76,'[1]4'!$B:$D,3,0)</f>
        <v>UDP上行包大小个数：包大小 &lt; 15 Byte</v>
      </c>
      <c r="E76" s="54"/>
      <c r="F76" s="39"/>
      <c r="G76" s="39"/>
      <c r="H76" s="55"/>
      <c r="I76" s="81"/>
      <c r="J76" s="56"/>
      <c r="K76" s="56"/>
      <c r="L76" s="56"/>
    </row>
    <row r="77" s="70" customFormat="1" spans="1:12">
      <c r="A77" s="75"/>
      <c r="B77" s="78" t="s">
        <v>2638</v>
      </c>
      <c r="C77" s="78" t="s">
        <v>220</v>
      </c>
      <c r="D77" s="10" t="str">
        <f>VLOOKUP(B77,'[1]4'!$B:$D,3,0)</f>
        <v>UDP上行包大小个数：15Byte&lt; 包大小 &lt; 36 Byte</v>
      </c>
      <c r="E77" s="54"/>
      <c r="F77" s="39"/>
      <c r="G77" s="39"/>
      <c r="H77" s="55"/>
      <c r="I77" s="81"/>
      <c r="J77" s="56"/>
      <c r="K77" s="56"/>
      <c r="L77" s="56"/>
    </row>
    <row r="78" s="70" customFormat="1" spans="1:12">
      <c r="A78" s="75"/>
      <c r="B78" s="78" t="s">
        <v>2639</v>
      </c>
      <c r="C78" s="78" t="s">
        <v>220</v>
      </c>
      <c r="D78" s="10" t="str">
        <f>VLOOKUP(B78,'[1]4'!$B:$D,3,0)</f>
        <v>UDP上行包大小个数：36Byte&lt;= 包大小&lt;= 56Byte</v>
      </c>
      <c r="E78" s="54"/>
      <c r="F78" s="39"/>
      <c r="G78" s="39"/>
      <c r="H78" s="55"/>
      <c r="I78" s="81"/>
      <c r="J78" s="56"/>
      <c r="K78" s="56"/>
      <c r="L78" s="56"/>
    </row>
    <row r="79" s="70" customFormat="1" spans="1:12">
      <c r="A79" s="75"/>
      <c r="B79" s="78" t="s">
        <v>2640</v>
      </c>
      <c r="C79" s="78" t="s">
        <v>220</v>
      </c>
      <c r="D79" s="10" t="str">
        <f>VLOOKUP(B79,'[1]4'!$B:$D,3,0)</f>
        <v>UDP上行包大小个数：包大小 &gt; 56 Byte</v>
      </c>
      <c r="E79" s="54"/>
      <c r="F79" s="39"/>
      <c r="G79" s="39"/>
      <c r="H79" s="55"/>
      <c r="I79" s="81"/>
      <c r="J79" s="56"/>
      <c r="K79" s="56"/>
      <c r="L79" s="56"/>
    </row>
    <row r="80" s="70" customFormat="1" spans="1:12">
      <c r="A80" s="75"/>
      <c r="B80" s="78" t="s">
        <v>2641</v>
      </c>
      <c r="C80" s="78" t="s">
        <v>220</v>
      </c>
      <c r="D80" s="10" t="str">
        <f>VLOOKUP(B80,'[1]4'!$B:$D,3,0)</f>
        <v>UDP下行包大小个数：包大小 &lt; 15 Byte</v>
      </c>
      <c r="E80" s="54"/>
      <c r="F80" s="39"/>
      <c r="G80" s="39"/>
      <c r="H80" s="55"/>
      <c r="I80" s="81"/>
      <c r="J80" s="56"/>
      <c r="K80" s="56"/>
      <c r="L80" s="56"/>
    </row>
    <row r="81" s="70" customFormat="1" spans="1:12">
      <c r="A81" s="75"/>
      <c r="B81" s="78" t="s">
        <v>2642</v>
      </c>
      <c r="C81" s="78" t="s">
        <v>220</v>
      </c>
      <c r="D81" s="10" t="str">
        <f>VLOOKUP(B81,'[1]4'!$B:$D,3,0)</f>
        <v>UDP下行包大小个数：15Byte&lt; 包大小 &lt; 36 Byte</v>
      </c>
      <c r="E81" s="54"/>
      <c r="F81" s="39"/>
      <c r="G81" s="39"/>
      <c r="H81" s="55"/>
      <c r="I81" s="81"/>
      <c r="J81" s="56"/>
      <c r="K81" s="56"/>
      <c r="L81" s="56"/>
    </row>
    <row r="82" s="70" customFormat="1" spans="1:12">
      <c r="A82" s="75"/>
      <c r="B82" s="78" t="s">
        <v>2643</v>
      </c>
      <c r="C82" s="78" t="s">
        <v>220</v>
      </c>
      <c r="D82" s="10" t="str">
        <f>VLOOKUP(B82,'[1]4'!$B:$D,3,0)</f>
        <v>UDP下行包大小个数：36Byte&lt;=包大小&lt;= 56Byte</v>
      </c>
      <c r="E82" s="54"/>
      <c r="F82" s="39"/>
      <c r="G82" s="39"/>
      <c r="H82" s="55"/>
      <c r="I82" s="81"/>
      <c r="J82" s="56"/>
      <c r="K82" s="56"/>
      <c r="L82" s="56"/>
    </row>
    <row r="83" s="70" customFormat="1" spans="1:12">
      <c r="A83" s="75"/>
      <c r="B83" s="78" t="s">
        <v>2644</v>
      </c>
      <c r="C83" s="78" t="s">
        <v>220</v>
      </c>
      <c r="D83" s="10" t="str">
        <f>VLOOKUP(B83,'[1]4'!$B:$D,3,0)</f>
        <v>UDP下行包大小个数：包大小 &gt; 56 Byte</v>
      </c>
      <c r="E83" s="54"/>
      <c r="F83" s="39"/>
      <c r="G83" s="39"/>
      <c r="H83" s="55"/>
      <c r="I83" s="81"/>
      <c r="J83" s="56"/>
      <c r="K83" s="56"/>
      <c r="L83" s="56"/>
    </row>
    <row r="84" s="70" customFormat="1" spans="1:12">
      <c r="A84" s="75"/>
      <c r="B84" s="78" t="s">
        <v>2645</v>
      </c>
      <c r="C84" s="78" t="s">
        <v>220</v>
      </c>
      <c r="D84" s="10" t="str">
        <f>VLOOKUP(B84,'[1]4'!$B:$D,3,0)</f>
        <v>UDP上行平均包大小</v>
      </c>
      <c r="E84" s="54"/>
      <c r="F84" s="39"/>
      <c r="G84" s="39"/>
      <c r="H84" s="55"/>
      <c r="I84" s="81"/>
      <c r="J84" s="56"/>
      <c r="K84" s="56"/>
      <c r="L84" s="56"/>
    </row>
    <row r="85" s="70" customFormat="1" spans="1:12">
      <c r="A85" s="75"/>
      <c r="B85" s="78" t="s">
        <v>2646</v>
      </c>
      <c r="C85" s="78" t="s">
        <v>220</v>
      </c>
      <c r="D85" s="10" t="str">
        <f>VLOOKUP(B85,'[1]4'!$B:$D,3,0)</f>
        <v>UDP下行平均包大小</v>
      </c>
      <c r="E85" s="54"/>
      <c r="F85" s="39"/>
      <c r="G85" s="39"/>
      <c r="H85" s="55"/>
      <c r="I85" s="81"/>
      <c r="J85" s="56"/>
      <c r="K85" s="56"/>
      <c r="L85" s="56"/>
    </row>
    <row r="86" s="70" customFormat="1" spans="1:12">
      <c r="A86" s="75"/>
      <c r="B86" s="78" t="s">
        <v>2647</v>
      </c>
      <c r="C86" s="78" t="s">
        <v>220</v>
      </c>
      <c r="D86" s="10" t="str">
        <f>VLOOKUP(B86,'[1]4'!$B:$D,3,0)</f>
        <v>UDP上行平均包间隔</v>
      </c>
      <c r="E86" s="54"/>
      <c r="F86" s="39"/>
      <c r="G86" s="39"/>
      <c r="H86" s="55"/>
      <c r="I86" s="81"/>
      <c r="J86" s="56"/>
      <c r="K86" s="56"/>
      <c r="L86" s="56"/>
    </row>
    <row r="87" s="70" customFormat="1" spans="1:12">
      <c r="A87" s="75"/>
      <c r="B87" s="78" t="s">
        <v>2648</v>
      </c>
      <c r="C87" s="78" t="s">
        <v>220</v>
      </c>
      <c r="D87" s="10" t="str">
        <f>VLOOKUP(B87,'[1]4'!$B:$D,3,0)</f>
        <v>UDP下行平均包间隔</v>
      </c>
      <c r="E87" s="54"/>
      <c r="F87" s="39"/>
      <c r="G87" s="39"/>
      <c r="H87" s="55"/>
      <c r="I87" s="81"/>
      <c r="J87" s="56"/>
      <c r="K87" s="56"/>
      <c r="L87" s="56"/>
    </row>
    <row r="88" s="70" customFormat="1" spans="1:12">
      <c r="A88" s="75"/>
      <c r="B88" s="78" t="s">
        <v>2649</v>
      </c>
      <c r="C88" s="78" t="s">
        <v>220</v>
      </c>
      <c r="D88" s="10" t="str">
        <f>VLOOKUP(B88,'[1]4'!$B:$D,3,0)</f>
        <v>UDP上行平均包间隔抖动</v>
      </c>
      <c r="E88" s="54"/>
      <c r="F88" s="39"/>
      <c r="G88" s="39"/>
      <c r="H88" s="55"/>
      <c r="I88" s="81"/>
      <c r="J88" s="56"/>
      <c r="K88" s="56"/>
      <c r="L88" s="56"/>
    </row>
    <row r="89" s="70" customFormat="1" spans="1:12">
      <c r="A89" s="75"/>
      <c r="B89" s="78" t="s">
        <v>2650</v>
      </c>
      <c r="C89" s="78" t="s">
        <v>220</v>
      </c>
      <c r="D89" s="10" t="str">
        <f>VLOOKUP(B89,'[1]4'!$B:$D,3,0)</f>
        <v>UDP下行平均包间隔抖动</v>
      </c>
      <c r="E89" s="54"/>
      <c r="F89" s="39"/>
      <c r="G89" s="39"/>
      <c r="H89" s="55"/>
      <c r="I89" s="81"/>
      <c r="J89" s="56"/>
      <c r="K89" s="56"/>
      <c r="L89" s="56"/>
    </row>
    <row r="90" s="70" customFormat="1" spans="1:12">
      <c r="A90" s="75"/>
      <c r="B90" s="78" t="s">
        <v>2710</v>
      </c>
      <c r="C90" s="78" t="s">
        <v>220</v>
      </c>
      <c r="D90" s="10" t="str">
        <f>VLOOKUP(B90,'[1]4'!$B:$D,3,0)</f>
        <v>视频成功播放的标识</v>
      </c>
      <c r="E90" s="54"/>
      <c r="F90" s="39"/>
      <c r="G90" s="39"/>
      <c r="H90" s="55"/>
      <c r="I90" s="81"/>
      <c r="J90" s="56"/>
      <c r="K90" s="56"/>
      <c r="L90" s="56"/>
    </row>
    <row r="91" s="70" customFormat="1" spans="1:12">
      <c r="A91" s="75"/>
      <c r="B91" s="78" t="s">
        <v>2711</v>
      </c>
      <c r="C91" s="78" t="s">
        <v>275</v>
      </c>
      <c r="D91" s="10" t="str">
        <f>VLOOKUP(B91,'[1]4'!$B:$D,3,0)</f>
        <v>视频播放等待时长</v>
      </c>
      <c r="E91" s="54"/>
      <c r="F91" s="39"/>
      <c r="G91" s="39"/>
      <c r="H91" s="55"/>
      <c r="I91" s="81"/>
      <c r="J91" s="56"/>
      <c r="K91" s="56"/>
      <c r="L91" s="56"/>
    </row>
    <row r="92" s="70" customFormat="1" spans="1:12">
      <c r="A92" s="75"/>
      <c r="B92" s="78" t="s">
        <v>1284</v>
      </c>
      <c r="C92" s="78" t="s">
        <v>275</v>
      </c>
      <c r="D92" s="10" t="str">
        <f>VLOOKUP(B92,'[1]4'!$B:$D,3,0)</f>
        <v>视频播放卡顿次数</v>
      </c>
      <c r="E92" s="54"/>
      <c r="F92" s="39"/>
      <c r="G92" s="39"/>
      <c r="H92" s="55"/>
      <c r="I92" s="81"/>
      <c r="J92" s="56"/>
      <c r="K92" s="56"/>
      <c r="L92" s="56"/>
    </row>
    <row r="93" s="70" customFormat="1" spans="1:12">
      <c r="A93" s="75"/>
      <c r="B93" s="78" t="s">
        <v>2712</v>
      </c>
      <c r="C93" s="78" t="s">
        <v>275</v>
      </c>
      <c r="D93" s="10" t="str">
        <f>VLOOKUP(B93,'[1]4'!$B:$D,3,0)</f>
        <v>视频卡顿时长</v>
      </c>
      <c r="E93" s="54"/>
      <c r="F93" s="39"/>
      <c r="G93" s="39"/>
      <c r="H93" s="55"/>
      <c r="I93" s="81"/>
      <c r="J93" s="56"/>
      <c r="K93" s="56"/>
      <c r="L93" s="56"/>
    </row>
    <row r="94" s="70" customFormat="1" spans="1:12">
      <c r="A94" s="75"/>
      <c r="B94" s="78" t="s">
        <v>2713</v>
      </c>
      <c r="C94" s="78" t="s">
        <v>275</v>
      </c>
      <c r="D94" s="10" t="str">
        <f>VLOOKUP(B94,'[1]4'!$B:$D,3,0)</f>
        <v>视频下行第一个有效数据包时间戳</v>
      </c>
      <c r="E94" s="54"/>
      <c r="F94" s="39"/>
      <c r="G94" s="39"/>
      <c r="H94" s="55"/>
      <c r="I94" s="81"/>
      <c r="J94" s="56"/>
      <c r="K94" s="56"/>
      <c r="L94" s="56"/>
    </row>
    <row r="95" s="70" customFormat="1" spans="1:12">
      <c r="A95" s="75"/>
      <c r="B95" s="78" t="s">
        <v>2714</v>
      </c>
      <c r="C95" s="78" t="s">
        <v>275</v>
      </c>
      <c r="D95" s="10" t="str">
        <f>VLOOKUP(B95,'[1]4'!$B:$D,3,0)</f>
        <v>视频下行最后一个有效数据包时间戳</v>
      </c>
      <c r="E95" s="54"/>
      <c r="F95" s="39"/>
      <c r="G95" s="39"/>
      <c r="H95" s="54"/>
      <c r="I95" s="81"/>
      <c r="J95" s="56"/>
      <c r="K95" s="56"/>
      <c r="L95" s="56"/>
    </row>
    <row r="96" s="70" customFormat="1" spans="1:12">
      <c r="A96" s="75"/>
      <c r="B96" s="78" t="s">
        <v>1409</v>
      </c>
      <c r="C96" s="78" t="s">
        <v>220</v>
      </c>
      <c r="D96" s="10" t="str">
        <f>VLOOKUP(B96,'[1]4'!$B:$D,3,0)</f>
        <v>总流数</v>
      </c>
      <c r="E96" s="54"/>
      <c r="F96" s="39"/>
      <c r="G96" s="39"/>
      <c r="H96" s="11"/>
      <c r="I96" s="81"/>
      <c r="J96" s="56"/>
      <c r="K96" s="56"/>
      <c r="L96" s="56"/>
    </row>
    <row r="97" s="70" customFormat="1" spans="1:12">
      <c r="A97" s="75"/>
      <c r="B97" s="78" t="s">
        <v>1282</v>
      </c>
      <c r="C97" s="78" t="s">
        <v>275</v>
      </c>
      <c r="D97" s="10" t="str">
        <f>VLOOKUP(B97,'[1]4'!$B:$D,3,0)</f>
        <v>视频文件大小</v>
      </c>
      <c r="E97" s="54"/>
      <c r="F97" s="39"/>
      <c r="G97" s="39"/>
      <c r="H97" s="54"/>
      <c r="I97" s="81"/>
      <c r="J97" s="56"/>
      <c r="K97" s="56"/>
      <c r="L97" s="56"/>
    </row>
    <row r="98" s="70" customFormat="1" spans="1:12">
      <c r="A98" s="75"/>
      <c r="B98" s="78" t="s">
        <v>1419</v>
      </c>
      <c r="C98" s="78" t="s">
        <v>275</v>
      </c>
      <c r="D98" s="10" t="str">
        <f>VLOOKUP(B98,'[1]4'!$B:$D,3,0)</f>
        <v>视频下载速率</v>
      </c>
      <c r="E98" s="54"/>
      <c r="F98" s="39"/>
      <c r="G98" s="39"/>
      <c r="H98" s="54"/>
      <c r="I98" s="81"/>
      <c r="J98" s="56"/>
      <c r="K98" s="56"/>
      <c r="L98" s="56"/>
    </row>
    <row r="99" s="70" customFormat="1" spans="1:12">
      <c r="A99" s="75"/>
      <c r="B99" s="78" t="s">
        <v>1812</v>
      </c>
      <c r="C99" s="78" t="s">
        <v>220</v>
      </c>
      <c r="D99" s="10" t="str">
        <f>VLOOKUP(B99,'[1]4'!$B:$D,3,0)</f>
        <v>视频文件格式</v>
      </c>
      <c r="E99" s="54"/>
      <c r="F99" s="39"/>
      <c r="G99" s="39"/>
      <c r="H99" s="54"/>
      <c r="I99" s="81"/>
      <c r="J99" s="56"/>
      <c r="K99" s="56"/>
      <c r="L99" s="56"/>
    </row>
    <row r="100" s="70" customFormat="1" spans="1:12">
      <c r="A100" s="75"/>
      <c r="B100" s="78" t="s">
        <v>1280</v>
      </c>
      <c r="C100" s="78" t="s">
        <v>275</v>
      </c>
      <c r="D100" s="10" t="str">
        <f>VLOOKUP(B100,'[1]4'!$B:$D,3,0)</f>
        <v>视频码率</v>
      </c>
      <c r="E100" s="54"/>
      <c r="F100" s="39"/>
      <c r="G100" s="39"/>
      <c r="H100" s="54"/>
      <c r="I100" s="81"/>
      <c r="J100" s="56"/>
      <c r="K100" s="56"/>
      <c r="L100" s="56"/>
    </row>
    <row r="101" s="70" customFormat="1" spans="1:12">
      <c r="A101" s="75"/>
      <c r="B101" s="78" t="s">
        <v>1274</v>
      </c>
      <c r="C101" s="78" t="s">
        <v>275</v>
      </c>
      <c r="D101" s="10" t="str">
        <f>VLOOKUP(B101,'[1]4'!$B:$D,3,0)</f>
        <v>视频缓冲段下载速率。算法见《中国电信移动互联网业务感知质量评价细则》</v>
      </c>
      <c r="E101" s="54"/>
      <c r="F101" s="39"/>
      <c r="G101" s="39"/>
      <c r="H101" s="55"/>
      <c r="I101" s="81"/>
      <c r="J101" s="56"/>
      <c r="K101" s="56"/>
      <c r="L101" s="56"/>
    </row>
    <row r="102" s="70" customFormat="1" spans="1:12">
      <c r="A102" s="75"/>
      <c r="B102" s="78" t="s">
        <v>1951</v>
      </c>
      <c r="C102" s="78" t="s">
        <v>216</v>
      </c>
      <c r="D102" s="10" t="str">
        <f>VLOOKUP(B102,'[1]4'!$B:$D,3,0)</f>
        <v>用户访问的目标视频网站的URL。</v>
      </c>
      <c r="E102" s="54"/>
      <c r="F102" s="39"/>
      <c r="G102" s="39"/>
      <c r="H102" s="55"/>
      <c r="I102" s="81"/>
      <c r="J102" s="56"/>
      <c r="K102" s="56"/>
      <c r="L102" s="56"/>
    </row>
    <row r="103" s="70" customFormat="1" spans="1:21">
      <c r="A103" s="75"/>
      <c r="B103" s="78" t="s">
        <v>1286</v>
      </c>
      <c r="C103" s="78" t="s">
        <v>216</v>
      </c>
      <c r="D103" s="10" t="str">
        <f>VLOOKUP(B103,'[1]4'!$B:$D,3,0)</f>
        <v>主机名</v>
      </c>
      <c r="E103" s="54"/>
      <c r="F103" s="39"/>
      <c r="G103" s="39"/>
      <c r="H103" s="55"/>
      <c r="I103" s="81"/>
      <c r="J103" s="56"/>
      <c r="K103" s="56"/>
      <c r="L103" s="56"/>
      <c r="P103" s="70" t="s">
        <v>1210</v>
      </c>
      <c r="S103" s="70" t="s">
        <v>1211</v>
      </c>
      <c r="T103" s="70" t="s">
        <v>155</v>
      </c>
      <c r="U103" s="70" t="s">
        <v>235</v>
      </c>
    </row>
    <row r="104" s="70" customFormat="1" spans="1:21">
      <c r="A104" s="75"/>
      <c r="B104" s="78" t="s">
        <v>1270</v>
      </c>
      <c r="C104" s="78" t="s">
        <v>275</v>
      </c>
      <c r="D104" s="10" t="str">
        <f>VLOOKUP(B104,'[1]4'!$B:$D,3,0)</f>
        <v>缓冲段视频大小</v>
      </c>
      <c r="E104" s="54"/>
      <c r="F104" s="39"/>
      <c r="G104" s="39"/>
      <c r="H104" s="55"/>
      <c r="I104" s="81"/>
      <c r="J104" s="56"/>
      <c r="K104" s="56"/>
      <c r="L104" s="56"/>
      <c r="P104" s="70" t="s">
        <v>1214</v>
      </c>
      <c r="S104" s="70" t="s">
        <v>1211</v>
      </c>
      <c r="T104" s="70" t="s">
        <v>155</v>
      </c>
      <c r="U104" s="70" t="s">
        <v>235</v>
      </c>
    </row>
    <row r="105" s="70" customFormat="1" spans="1:21">
      <c r="A105" s="75"/>
      <c r="B105" s="78" t="s">
        <v>1272</v>
      </c>
      <c r="C105" s="78" t="s">
        <v>275</v>
      </c>
      <c r="D105" s="10" t="str">
        <f>VLOOKUP(B105,'[1]4'!$B:$D,3,0)</f>
        <v>缓冲段视频下载时长</v>
      </c>
      <c r="E105" s="54"/>
      <c r="F105" s="39"/>
      <c r="G105" s="39"/>
      <c r="H105" s="55"/>
      <c r="I105" s="81"/>
      <c r="J105" s="56"/>
      <c r="K105" s="56"/>
      <c r="L105" s="56"/>
      <c r="P105" s="70" t="s">
        <v>1217</v>
      </c>
      <c r="S105" s="70" t="s">
        <v>1211</v>
      </c>
      <c r="T105" s="70" t="s">
        <v>155</v>
      </c>
      <c r="U105" s="70" t="s">
        <v>235</v>
      </c>
    </row>
    <row r="106" s="70" customFormat="1" spans="1:12">
      <c r="A106" s="75"/>
      <c r="B106" s="78" t="s">
        <v>1425</v>
      </c>
      <c r="C106" s="78" t="s">
        <v>275</v>
      </c>
      <c r="D106" s="10" t="str">
        <f>VLOOKUP(B106,'[1]4'!$B:$D,3,0)</f>
        <v>视频清晰度，取值范围100~500，分值越高越清晰</v>
      </c>
      <c r="E106" s="54"/>
      <c r="F106" s="39"/>
      <c r="G106" s="39"/>
      <c r="H106" s="55"/>
      <c r="I106" s="81"/>
      <c r="J106" s="56"/>
      <c r="K106" s="56"/>
      <c r="L106" s="56"/>
    </row>
    <row r="107" s="70" customFormat="1" spans="1:12">
      <c r="A107" s="75"/>
      <c r="B107" s="78" t="s">
        <v>1427</v>
      </c>
      <c r="C107" s="78" t="s">
        <v>275</v>
      </c>
      <c r="D107" s="10" t="str">
        <f>VLOOKUP(B107,'[1]4'!$B:$D,3,0)</f>
        <v>视频流畅度，取值100~500，分值越高越流畅</v>
      </c>
      <c r="E107" s="54"/>
      <c r="F107" s="39"/>
      <c r="G107" s="39"/>
      <c r="H107" s="55"/>
      <c r="I107" s="81"/>
      <c r="J107" s="56"/>
      <c r="K107" s="56"/>
      <c r="L107" s="56"/>
    </row>
    <row r="108" s="70" customFormat="1" spans="1:12">
      <c r="A108" s="75"/>
      <c r="B108" s="78" t="s">
        <v>2715</v>
      </c>
      <c r="C108" s="78" t="s">
        <v>216</v>
      </c>
      <c r="D108" s="10" t="str">
        <f>VLOOKUP(B108,'[1]4'!$B:$D,3,0)</f>
        <v>视频分辨率</v>
      </c>
      <c r="E108" s="54"/>
      <c r="F108" s="39"/>
      <c r="G108" s="39"/>
      <c r="H108" s="55"/>
      <c r="I108" s="81"/>
      <c r="J108" s="56"/>
      <c r="K108" s="56"/>
      <c r="L108" s="56"/>
    </row>
    <row r="109" s="70" customFormat="1" spans="1:12">
      <c r="A109" s="75"/>
      <c r="B109" s="78" t="s">
        <v>1176</v>
      </c>
      <c r="C109" s="78" t="s">
        <v>220</v>
      </c>
      <c r="D109" s="10" t="str">
        <f>VLOOKUP(B109,'[1]4'!$B:$D,3,0)</f>
        <v>tacid，取PEI前8位</v>
      </c>
      <c r="E109" s="54"/>
      <c r="F109" s="39"/>
      <c r="G109" s="39"/>
      <c r="H109" s="55"/>
      <c r="I109" s="81"/>
      <c r="J109" s="56"/>
      <c r="K109" s="56"/>
      <c r="L109" s="56"/>
    </row>
    <row r="110" s="70" customFormat="1" spans="1:12">
      <c r="A110" s="75"/>
      <c r="B110" s="78" t="s">
        <v>1308</v>
      </c>
      <c r="C110" s="78" t="s">
        <v>275</v>
      </c>
      <c r="D110" s="10" t="str">
        <f>VLOOKUP(B110,'[1]4'!$B:$D,3,0)</f>
        <v>4G eNodeBID/5G gNBID</v>
      </c>
      <c r="E110" s="54"/>
      <c r="F110" s="39"/>
      <c r="G110" s="39"/>
      <c r="H110" s="55"/>
      <c r="I110" s="81"/>
      <c r="J110" s="56"/>
      <c r="K110" s="56"/>
      <c r="L110" s="56"/>
    </row>
    <row r="111" s="70" customFormat="1" spans="1:12">
      <c r="A111" s="75"/>
      <c r="B111" s="78" t="s">
        <v>222</v>
      </c>
      <c r="C111" s="78" t="s">
        <v>275</v>
      </c>
      <c r="D111" s="10" t="str">
        <f>VLOOKUP(B111,'[1]4'!$B:$D,3,0)</f>
        <v>小区ID</v>
      </c>
      <c r="E111" s="54"/>
      <c r="F111" s="39"/>
      <c r="G111" s="39"/>
      <c r="H111" s="55"/>
      <c r="I111" s="81"/>
      <c r="J111" s="56"/>
      <c r="K111" s="56"/>
      <c r="L111" s="56"/>
    </row>
    <row r="112" s="70" customFormat="1" spans="1:12">
      <c r="A112" s="75"/>
      <c r="B112" s="78" t="s">
        <v>1836</v>
      </c>
      <c r="C112" s="78" t="s">
        <v>216</v>
      </c>
      <c r="D112" s="10" t="str">
        <f>VLOOKUP(B112,'[1]4'!$B:$D,3,0)</f>
        <v>cellkey</v>
      </c>
      <c r="E112" s="54"/>
      <c r="F112" s="39"/>
      <c r="G112" s="39"/>
      <c r="H112" s="55"/>
      <c r="I112" s="81"/>
      <c r="J112" s="56"/>
      <c r="K112" s="56"/>
      <c r="L112" s="56"/>
    </row>
    <row r="113" s="51" customFormat="1" ht="26.4" spans="1:21">
      <c r="A113" s="63"/>
      <c r="B113" s="64" t="s">
        <v>2678</v>
      </c>
      <c r="C113" s="64" t="s">
        <v>216</v>
      </c>
      <c r="D113" s="66" t="str">
        <f>VLOOKUP(B113,'[1]4'!$B:$D,3,0)</f>
        <v>小区名称</v>
      </c>
      <c r="E113" s="65" t="s">
        <v>1037</v>
      </c>
      <c r="F113" s="60" t="s">
        <v>2680</v>
      </c>
      <c r="G113" s="66" t="s">
        <v>218</v>
      </c>
      <c r="H113" s="67"/>
      <c r="I113" s="68" t="s">
        <v>2018</v>
      </c>
      <c r="J113" s="69" t="s">
        <v>26</v>
      </c>
      <c r="K113" s="69" t="s">
        <v>323</v>
      </c>
      <c r="L113" s="69" t="s">
        <v>323</v>
      </c>
      <c r="P113" s="51" t="s">
        <v>1234</v>
      </c>
      <c r="S113" s="51" t="s">
        <v>1211</v>
      </c>
      <c r="T113" s="51" t="s">
        <v>155</v>
      </c>
      <c r="U113" s="51" t="s">
        <v>235</v>
      </c>
    </row>
    <row r="114" s="70" customFormat="1" spans="1:21">
      <c r="A114" s="75"/>
      <c r="B114" s="78" t="s">
        <v>1830</v>
      </c>
      <c r="C114" s="78" t="s">
        <v>220</v>
      </c>
      <c r="D114" s="10" t="str">
        <f>VLOOKUP(B114,'[1]4'!$B:$D,3,0)</f>
        <v>拜访地省份</v>
      </c>
      <c r="E114" s="54"/>
      <c r="F114" s="82"/>
      <c r="G114" s="39"/>
      <c r="H114" s="55"/>
      <c r="I114" s="81"/>
      <c r="J114" s="56"/>
      <c r="K114" s="56"/>
      <c r="L114" s="56"/>
      <c r="P114" s="70" t="s">
        <v>1237</v>
      </c>
      <c r="S114" s="70" t="s">
        <v>1211</v>
      </c>
      <c r="T114" s="70" t="s">
        <v>155</v>
      </c>
      <c r="U114" s="70" t="s">
        <v>235</v>
      </c>
    </row>
    <row r="115" s="51" customFormat="1" spans="1:21">
      <c r="A115" s="63"/>
      <c r="B115" s="64" t="s">
        <v>1832</v>
      </c>
      <c r="C115" s="64" t="s">
        <v>220</v>
      </c>
      <c r="D115" s="66" t="str">
        <f>VLOOKUP(B115,'[1]4'!$B:$D,3,0)</f>
        <v>拜访地地市</v>
      </c>
      <c r="E115" s="65" t="s">
        <v>199</v>
      </c>
      <c r="F115" s="60" t="s">
        <v>252</v>
      </c>
      <c r="G115" s="66" t="s">
        <v>218</v>
      </c>
      <c r="H115" s="67"/>
      <c r="I115" s="68" t="s">
        <v>2018</v>
      </c>
      <c r="J115" s="69" t="s">
        <v>26</v>
      </c>
      <c r="K115" s="69" t="s">
        <v>323</v>
      </c>
      <c r="L115" s="69" t="s">
        <v>323</v>
      </c>
      <c r="P115" s="51" t="s">
        <v>1240</v>
      </c>
      <c r="S115" s="51" t="s">
        <v>1211</v>
      </c>
      <c r="T115" s="51" t="s">
        <v>155</v>
      </c>
      <c r="U115" s="51" t="s">
        <v>235</v>
      </c>
    </row>
    <row r="116" s="51" customFormat="1" ht="26.4" spans="1:12">
      <c r="A116" s="63"/>
      <c r="B116" s="64" t="s">
        <v>1834</v>
      </c>
      <c r="C116" s="64" t="s">
        <v>220</v>
      </c>
      <c r="D116" s="66" t="str">
        <f>VLOOKUP(B116,'[1]4'!$B:$D,3,0)</f>
        <v>拜访地区县</v>
      </c>
      <c r="E116" s="65" t="s">
        <v>1037</v>
      </c>
      <c r="F116" s="60" t="s">
        <v>1038</v>
      </c>
      <c r="G116" s="66" t="s">
        <v>218</v>
      </c>
      <c r="H116" s="67"/>
      <c r="I116" s="68" t="s">
        <v>2018</v>
      </c>
      <c r="J116" s="69" t="s">
        <v>26</v>
      </c>
      <c r="K116" s="69" t="s">
        <v>323</v>
      </c>
      <c r="L116" s="69" t="s">
        <v>323</v>
      </c>
    </row>
    <row r="117" s="51" customFormat="1" ht="26.4" spans="1:21">
      <c r="A117" s="63"/>
      <c r="B117" s="64" t="s">
        <v>1316</v>
      </c>
      <c r="C117" s="64" t="s">
        <v>216</v>
      </c>
      <c r="D117" s="66" t="str">
        <f>VLOOKUP(B117,'[1]4'!$B:$D,3,0)</f>
        <v>拜访地省份</v>
      </c>
      <c r="E117" s="65" t="s">
        <v>1037</v>
      </c>
      <c r="F117" s="60" t="s">
        <v>1066</v>
      </c>
      <c r="G117" s="66" t="s">
        <v>218</v>
      </c>
      <c r="H117" s="67"/>
      <c r="I117" s="68" t="s">
        <v>2018</v>
      </c>
      <c r="J117" s="69" t="s">
        <v>26</v>
      </c>
      <c r="K117" s="69" t="s">
        <v>323</v>
      </c>
      <c r="L117" s="69" t="s">
        <v>323</v>
      </c>
      <c r="P117" s="51" t="s">
        <v>1245</v>
      </c>
      <c r="S117" s="51" t="s">
        <v>1211</v>
      </c>
      <c r="T117" s="51" t="s">
        <v>155</v>
      </c>
      <c r="U117" s="51" t="s">
        <v>235</v>
      </c>
    </row>
    <row r="118" s="51" customFormat="1" ht="26.4" spans="1:12">
      <c r="A118" s="63"/>
      <c r="B118" s="64" t="s">
        <v>1318</v>
      </c>
      <c r="C118" s="64" t="s">
        <v>216</v>
      </c>
      <c r="D118" s="66" t="str">
        <f>VLOOKUP(B118,'[1]4'!$B:$D,3,0)</f>
        <v>拜访地地市</v>
      </c>
      <c r="E118" s="65" t="s">
        <v>1037</v>
      </c>
      <c r="F118" s="60" t="s">
        <v>2020</v>
      </c>
      <c r="G118" s="66" t="s">
        <v>218</v>
      </c>
      <c r="H118" s="67"/>
      <c r="I118" s="68" t="s">
        <v>2018</v>
      </c>
      <c r="J118" s="69" t="s">
        <v>26</v>
      </c>
      <c r="K118" s="69" t="s">
        <v>323</v>
      </c>
      <c r="L118" s="69" t="s">
        <v>323</v>
      </c>
    </row>
    <row r="119" s="51" customFormat="1" ht="26.4" spans="1:12">
      <c r="A119" s="63"/>
      <c r="B119" s="64" t="s">
        <v>2023</v>
      </c>
      <c r="C119" s="64" t="s">
        <v>216</v>
      </c>
      <c r="D119" s="66" t="str">
        <f>VLOOKUP(B119,'[1]4'!$B:$D,3,0)</f>
        <v>拜访地区县</v>
      </c>
      <c r="E119" s="65" t="s">
        <v>1037</v>
      </c>
      <c r="F119" s="60" t="s">
        <v>2022</v>
      </c>
      <c r="G119" s="66" t="s">
        <v>218</v>
      </c>
      <c r="H119" s="67"/>
      <c r="I119" s="68" t="s">
        <v>2018</v>
      </c>
      <c r="J119" s="69" t="s">
        <v>26</v>
      </c>
      <c r="K119" s="69" t="s">
        <v>323</v>
      </c>
      <c r="L119" s="69" t="s">
        <v>323</v>
      </c>
    </row>
    <row r="120" s="51" customFormat="1" ht="26.4" spans="1:12">
      <c r="A120" s="63"/>
      <c r="B120" s="64" t="s">
        <v>2716</v>
      </c>
      <c r="C120" s="64" t="s">
        <v>275</v>
      </c>
      <c r="D120" s="66" t="str">
        <f>VLOOKUP(B120,'[1]4'!$B:$D,3,0)</f>
        <v>视频清晰度总和</v>
      </c>
      <c r="E120" s="65" t="s">
        <v>1037</v>
      </c>
      <c r="F120" s="60" t="s">
        <v>2025</v>
      </c>
      <c r="G120" s="66" t="s">
        <v>218</v>
      </c>
      <c r="H120" s="67"/>
      <c r="I120" s="68" t="s">
        <v>2018</v>
      </c>
      <c r="J120" s="69" t="s">
        <v>26</v>
      </c>
      <c r="K120" s="69" t="s">
        <v>323</v>
      </c>
      <c r="L120" s="69" t="s">
        <v>323</v>
      </c>
    </row>
    <row r="121" s="70" customFormat="1" customHeight="1" spans="1:12">
      <c r="A121" s="75"/>
      <c r="B121" s="78" t="s">
        <v>2717</v>
      </c>
      <c r="C121" s="78" t="s">
        <v>275</v>
      </c>
      <c r="D121" s="10" t="str">
        <f>VLOOKUP(B121,'[1]4'!$B:$D,3,0)</f>
        <v>视频清晰度次数</v>
      </c>
      <c r="E121" s="54"/>
      <c r="F121" s="39"/>
      <c r="G121" s="39"/>
      <c r="H121" s="55"/>
      <c r="I121" s="81"/>
      <c r="J121" s="56"/>
      <c r="K121" s="56"/>
      <c r="L121" s="56"/>
    </row>
    <row r="122" s="70" customFormat="1" customHeight="1" spans="1:12">
      <c r="A122" s="75"/>
      <c r="B122" s="78" t="s">
        <v>2718</v>
      </c>
      <c r="C122" s="78" t="s">
        <v>275</v>
      </c>
      <c r="D122" s="10" t="str">
        <f>VLOOKUP(B122,'[1]4'!$B:$D,3,0)</f>
        <v>视频流畅度总和</v>
      </c>
      <c r="E122" s="54"/>
      <c r="F122" s="39"/>
      <c r="G122" s="39"/>
      <c r="H122" s="55"/>
      <c r="I122" s="81"/>
      <c r="J122" s="56"/>
      <c r="K122" s="56"/>
      <c r="L122" s="56"/>
    </row>
    <row r="123" s="70" customFormat="1" spans="1:12">
      <c r="A123" s="75"/>
      <c r="B123" s="78" t="s">
        <v>2719</v>
      </c>
      <c r="C123" s="78" t="s">
        <v>275</v>
      </c>
      <c r="D123" s="10" t="str">
        <f>VLOOKUP(B123,'[1]4'!$B:$D,3,0)</f>
        <v>视频流畅度次数</v>
      </c>
      <c r="E123" s="54"/>
      <c r="F123" s="39"/>
      <c r="G123" s="39"/>
      <c r="H123" s="55"/>
      <c r="I123" s="81"/>
      <c r="J123" s="56"/>
      <c r="K123" s="56"/>
      <c r="L123" s="56"/>
    </row>
    <row r="124" s="70" customFormat="1" spans="1:12">
      <c r="A124" s="75"/>
      <c r="B124" s="78" t="s">
        <v>2720</v>
      </c>
      <c r="C124" s="78" t="s">
        <v>275</v>
      </c>
      <c r="D124" s="10" t="str">
        <f>VLOOKUP(B124,'[1]4'!$B:$D,3,0)</f>
        <v>视频播放时长，不含卡顿时长，单位毫秒</v>
      </c>
      <c r="E124" s="54"/>
      <c r="F124" s="39"/>
      <c r="G124" s="39"/>
      <c r="H124" s="55"/>
      <c r="I124" s="81"/>
      <c r="J124" s="56"/>
      <c r="K124" s="56"/>
      <c r="L124" s="56"/>
    </row>
    <row r="125" s="70" customFormat="1" spans="1:12">
      <c r="A125" s="75"/>
      <c r="B125" s="78" t="s">
        <v>2721</v>
      </c>
      <c r="C125" s="78" t="s">
        <v>275</v>
      </c>
      <c r="D125" s="10" t="str">
        <f>VLOOKUP(B125,'[1]4'!$B:$D,3,0)</f>
        <v>视频播放卡顿频次，单位次/分钟</v>
      </c>
      <c r="E125" s="54"/>
      <c r="F125" s="39"/>
      <c r="G125" s="39"/>
      <c r="H125" s="55"/>
      <c r="I125" s="81"/>
      <c r="J125" s="56"/>
      <c r="K125" s="56"/>
      <c r="L125" s="56"/>
    </row>
    <row r="126" s="70" customFormat="1" spans="1:12">
      <c r="A126" s="75"/>
      <c r="B126" s="78" t="s">
        <v>2722</v>
      </c>
      <c r="C126" s="78" t="s">
        <v>275</v>
      </c>
      <c r="D126" s="10" t="str">
        <f>VLOOKUP(B126,'[1]4'!$B:$D,3,0)</f>
        <v>视频卡顿时长占比</v>
      </c>
      <c r="E126" s="54"/>
      <c r="F126" s="39"/>
      <c r="G126" s="39"/>
      <c r="H126" s="55"/>
      <c r="I126" s="81"/>
      <c r="J126" s="56"/>
      <c r="K126" s="56"/>
      <c r="L126" s="56"/>
    </row>
    <row r="127" s="70" customFormat="1" spans="1:12">
      <c r="A127" s="75"/>
      <c r="B127" s="78" t="s">
        <v>1435</v>
      </c>
      <c r="C127" s="78" t="s">
        <v>275</v>
      </c>
      <c r="D127" s="10" t="str">
        <f>VLOOKUP(B127,'[1]4'!$B:$D,3,0)</f>
        <v>视频播放等待时长占比</v>
      </c>
      <c r="E127" s="54"/>
      <c r="F127" s="39"/>
      <c r="G127" s="39"/>
      <c r="H127" s="55"/>
      <c r="I127" s="81"/>
      <c r="J127" s="56"/>
      <c r="K127" s="56"/>
      <c r="L127" s="56"/>
    </row>
    <row r="128" s="70" customFormat="1" spans="1:12">
      <c r="A128" s="75"/>
      <c r="B128" s="78" t="s">
        <v>1437</v>
      </c>
      <c r="C128" s="78" t="s">
        <v>275</v>
      </c>
      <c r="D128" s="10" t="str">
        <f>VLOOKUP(B128,'[1]4'!$B:$D,3,0)</f>
        <v>缓冲段视频下载时长占比</v>
      </c>
      <c r="E128" s="54"/>
      <c r="F128" s="39"/>
      <c r="G128" s="39"/>
      <c r="H128" s="55"/>
      <c r="I128" s="81"/>
      <c r="J128" s="56"/>
      <c r="K128" s="56"/>
      <c r="L128" s="56"/>
    </row>
    <row r="129" s="70" customFormat="1" spans="1:12">
      <c r="A129" s="75"/>
      <c r="B129" s="78" t="s">
        <v>2083</v>
      </c>
      <c r="C129" s="78" t="s">
        <v>275</v>
      </c>
      <c r="D129" s="10" t="str">
        <f>VLOOKUP(B129,'[1]4'!$B:$D,3,0)</f>
        <v>HTTP下载速率</v>
      </c>
      <c r="E129" s="54"/>
      <c r="F129" s="39"/>
      <c r="G129" s="39"/>
      <c r="H129" s="55"/>
      <c r="I129" s="81"/>
      <c r="J129" s="56"/>
      <c r="K129" s="56"/>
      <c r="L129" s="56"/>
    </row>
    <row r="130" s="70" customFormat="1" spans="1:12">
      <c r="A130" s="75"/>
      <c r="B130" s="78" t="s">
        <v>2723</v>
      </c>
      <c r="C130" s="78" t="s">
        <v>275</v>
      </c>
      <c r="D130" s="10" t="str">
        <f>VLOOKUP(B130,'[1]4'!$B:$D,3,0)</f>
        <v>视频码率总和</v>
      </c>
      <c r="E130" s="54"/>
      <c r="F130" s="39"/>
      <c r="G130" s="39"/>
      <c r="H130" s="55"/>
      <c r="I130" s="81"/>
      <c r="J130" s="56"/>
      <c r="K130" s="56"/>
      <c r="L130" s="56"/>
    </row>
    <row r="131" s="70" customFormat="1" spans="1:12">
      <c r="A131" s="75"/>
      <c r="B131" s="78" t="s">
        <v>2724</v>
      </c>
      <c r="C131" s="78" t="s">
        <v>275</v>
      </c>
      <c r="D131" s="10" t="str">
        <f>VLOOKUP(B131,'[1]4'!$B:$D,3,0)</f>
        <v>视频码率次数</v>
      </c>
      <c r="E131" s="54"/>
      <c r="F131" s="39"/>
      <c r="G131" s="39"/>
      <c r="H131" s="55"/>
      <c r="I131" s="81"/>
      <c r="J131" s="56"/>
      <c r="K131" s="56"/>
      <c r="L131" s="56"/>
    </row>
    <row r="132" s="70" customFormat="1" ht="26.4" spans="1:12">
      <c r="A132" s="75"/>
      <c r="B132" s="78" t="s">
        <v>2725</v>
      </c>
      <c r="C132" s="78" t="s">
        <v>240</v>
      </c>
      <c r="D132" s="10" t="str">
        <f>VLOOKUP(B132,'[1]4'!$B:$D,3,0)</f>
        <v>速率码率比分子</v>
      </c>
      <c r="E132" s="54"/>
      <c r="F132" s="39"/>
      <c r="G132" s="39"/>
      <c r="H132" s="55"/>
      <c r="I132" s="81"/>
      <c r="J132" s="56"/>
      <c r="K132" s="56"/>
      <c r="L132" s="56"/>
    </row>
    <row r="133" s="70" customFormat="1" ht="26.4" spans="1:12">
      <c r="A133" s="75"/>
      <c r="B133" s="78" t="s">
        <v>2726</v>
      </c>
      <c r="C133" s="78" t="s">
        <v>240</v>
      </c>
      <c r="D133" s="10" t="str">
        <f>VLOOKUP(B133,'[1]4'!$B:$D,3,0)</f>
        <v>速率码率比分母</v>
      </c>
      <c r="E133" s="54"/>
      <c r="F133" s="39"/>
      <c r="G133" s="39"/>
      <c r="H133" s="55"/>
      <c r="I133" s="81"/>
      <c r="J133" s="56"/>
      <c r="K133" s="56"/>
      <c r="L133" s="56"/>
    </row>
    <row r="134" s="70" customFormat="1" ht="26.4" spans="1:12">
      <c r="A134" s="75"/>
      <c r="B134" s="78" t="s">
        <v>2727</v>
      </c>
      <c r="C134" s="78" t="s">
        <v>240</v>
      </c>
      <c r="D134" s="10" t="str">
        <f>VLOOKUP(B134,'[1]4'!$B:$D,3,0)</f>
        <v>速率码率比</v>
      </c>
      <c r="E134" s="54"/>
      <c r="F134" s="39"/>
      <c r="G134" s="39"/>
      <c r="H134" s="55"/>
      <c r="I134" s="81"/>
      <c r="J134" s="56"/>
      <c r="K134" s="56"/>
      <c r="L134" s="56"/>
    </row>
    <row r="135" s="70" customFormat="1" spans="1:12">
      <c r="A135" s="75"/>
      <c r="B135" s="78" t="s">
        <v>2728</v>
      </c>
      <c r="C135" s="78" t="s">
        <v>275</v>
      </c>
      <c r="D135" s="10" t="str">
        <f>VLOOKUP(B135,'[1]4'!$B:$D,3,0)</f>
        <v>视频下载速率_分子</v>
      </c>
      <c r="E135" s="54"/>
      <c r="F135" s="39"/>
      <c r="G135" s="39"/>
      <c r="H135" s="55"/>
      <c r="I135" s="81"/>
      <c r="J135" s="56"/>
      <c r="K135" s="56"/>
      <c r="L135" s="56"/>
    </row>
    <row r="136" s="70" customFormat="1" spans="1:12">
      <c r="A136" s="75"/>
      <c r="B136" s="78" t="s">
        <v>2729</v>
      </c>
      <c r="C136" s="78" t="s">
        <v>275</v>
      </c>
      <c r="D136" s="10" t="str">
        <f>VLOOKUP(B136,'[1]4'!$B:$D,3,0)</f>
        <v>视频下载速率_分母</v>
      </c>
      <c r="E136" s="54"/>
      <c r="F136" s="39"/>
      <c r="G136" s="39"/>
      <c r="H136" s="55"/>
      <c r="I136" s="81"/>
      <c r="J136" s="56"/>
      <c r="K136" s="56"/>
      <c r="L136" s="56"/>
    </row>
    <row r="137" s="70" customFormat="1" ht="26.4" spans="1:12">
      <c r="A137" s="75"/>
      <c r="B137" s="78" t="s">
        <v>2730</v>
      </c>
      <c r="C137" s="78" t="s">
        <v>275</v>
      </c>
      <c r="D137" s="10" t="str">
        <f>VLOOKUP(B137,'[1]4'!$B:$D,3,0)</f>
        <v>视频缓存下载速率_分子</v>
      </c>
      <c r="E137" s="54"/>
      <c r="F137" s="39"/>
      <c r="G137" s="39"/>
      <c r="H137" s="55"/>
      <c r="I137" s="81"/>
      <c r="J137" s="56"/>
      <c r="K137" s="56"/>
      <c r="L137" s="56"/>
    </row>
    <row r="138" s="70" customFormat="1" spans="1:12">
      <c r="A138" s="75"/>
      <c r="B138" s="78" t="s">
        <v>2731</v>
      </c>
      <c r="C138" s="78" t="s">
        <v>275</v>
      </c>
      <c r="D138" s="10" t="str">
        <f>VLOOKUP(B138,'[1]4'!$B:$D,3,0)</f>
        <v>视频缓存下载速率_分母</v>
      </c>
      <c r="E138" s="54"/>
      <c r="F138" s="39"/>
      <c r="G138" s="39"/>
      <c r="H138" s="55"/>
      <c r="I138" s="81"/>
      <c r="J138" s="56"/>
      <c r="K138" s="56"/>
      <c r="L138" s="56"/>
    </row>
    <row r="139" s="70" customFormat="1" spans="1:12">
      <c r="A139" s="75"/>
      <c r="B139" s="78" t="s">
        <v>2732</v>
      </c>
      <c r="C139" s="78" t="s">
        <v>240</v>
      </c>
      <c r="D139" s="10" t="str">
        <f>VLOOKUP(B139,'[1]4'!$B:$D,3,0)</f>
        <v>视频卡顿率_分子</v>
      </c>
      <c r="E139" s="54"/>
      <c r="F139" s="39"/>
      <c r="G139" s="39"/>
      <c r="H139" s="55"/>
      <c r="I139" s="81"/>
      <c r="J139" s="56"/>
      <c r="K139" s="56"/>
      <c r="L139" s="56"/>
    </row>
    <row r="140" s="70" customFormat="1" spans="1:12">
      <c r="A140" s="75"/>
      <c r="B140" s="78" t="s">
        <v>2733</v>
      </c>
      <c r="C140" s="78" t="s">
        <v>240</v>
      </c>
      <c r="D140" s="10" t="str">
        <f>VLOOKUP(B140,'[1]4'!$B:$D,3,0)</f>
        <v>视频卡顿率_分母</v>
      </c>
      <c r="E140" s="54"/>
      <c r="F140" s="39"/>
      <c r="G140" s="39"/>
      <c r="H140" s="55"/>
      <c r="I140" s="81"/>
      <c r="J140" s="56"/>
      <c r="K140" s="56"/>
      <c r="L140" s="56"/>
    </row>
    <row r="141" s="70" customFormat="1" ht="26.4" spans="1:12">
      <c r="A141" s="75"/>
      <c r="B141" s="78" t="s">
        <v>2734</v>
      </c>
      <c r="C141" s="78" t="s">
        <v>240</v>
      </c>
      <c r="D141" s="10" t="str">
        <f>VLOOKUP(B141,'[1]4'!$B:$D,3,0)</f>
        <v>视频卡顿率_分子_客户自定义</v>
      </c>
      <c r="E141" s="54"/>
      <c r="F141" s="39"/>
      <c r="G141" s="39"/>
      <c r="H141" s="55"/>
      <c r="I141" s="81"/>
      <c r="J141" s="56"/>
      <c r="K141" s="56"/>
      <c r="L141" s="56"/>
    </row>
    <row r="142" s="70" customFormat="1" ht="26.4" spans="1:12">
      <c r="A142" s="75"/>
      <c r="B142" s="78" t="s">
        <v>2735</v>
      </c>
      <c r="C142" s="78" t="s">
        <v>240</v>
      </c>
      <c r="D142" s="10" t="str">
        <f>VLOOKUP(B142,'[1]4'!$B:$D,3,0)</f>
        <v>视频卡顿率_分母_客户自定义</v>
      </c>
      <c r="E142" s="54"/>
      <c r="F142" s="39"/>
      <c r="G142" s="39"/>
      <c r="H142" s="55"/>
      <c r="I142" s="81"/>
      <c r="J142" s="56"/>
      <c r="K142" s="56"/>
      <c r="L142" s="56"/>
    </row>
    <row r="143" s="70" customFormat="1" ht="26.4" spans="1:12">
      <c r="A143" s="75"/>
      <c r="B143" s="78" t="s">
        <v>2736</v>
      </c>
      <c r="C143" s="78" t="s">
        <v>220</v>
      </c>
      <c r="D143" s="10" t="str">
        <f>VLOOKUP(B143,'[1]4'!$B:$D,3,0)</f>
        <v>速率码率比优良率_分子_客户自定义</v>
      </c>
      <c r="E143" s="54"/>
      <c r="F143" s="39"/>
      <c r="G143" s="39"/>
      <c r="H143" s="55"/>
      <c r="I143" s="81"/>
      <c r="J143" s="56"/>
      <c r="K143" s="56"/>
      <c r="L143" s="56"/>
    </row>
    <row r="144" s="70" customFormat="1" ht="26.4" spans="1:12">
      <c r="A144" s="75"/>
      <c r="B144" s="78" t="s">
        <v>2737</v>
      </c>
      <c r="C144" s="78" t="s">
        <v>220</v>
      </c>
      <c r="D144" s="10" t="str">
        <f>VLOOKUP(B144,'[1]4'!$B:$D,3,0)</f>
        <v>速率码率比优良率_分母_客户自定义</v>
      </c>
      <c r="E144" s="54"/>
      <c r="F144" s="39"/>
      <c r="G144" s="39"/>
      <c r="H144" s="55"/>
      <c r="I144" s="81"/>
      <c r="J144" s="56"/>
      <c r="K144" s="56"/>
      <c r="L144" s="56"/>
    </row>
    <row r="145" s="70" customFormat="1" spans="1:12">
      <c r="A145" s="75"/>
      <c r="B145" s="78" t="s">
        <v>2087</v>
      </c>
      <c r="C145" s="78" t="s">
        <v>216</v>
      </c>
      <c r="D145" s="10" t="str">
        <f>VLOOKUP(B145,'[1]4'!$B:$D,3,0)</f>
        <v>业务类型</v>
      </c>
      <c r="E145" s="54"/>
      <c r="F145" s="39"/>
      <c r="G145" s="39"/>
      <c r="H145" s="55"/>
      <c r="I145" s="81"/>
      <c r="J145" s="56"/>
      <c r="K145" s="56"/>
      <c r="L145" s="56"/>
    </row>
    <row r="146" s="70" customFormat="1" spans="1:12">
      <c r="A146" s="75"/>
      <c r="B146" s="78" t="s">
        <v>2685</v>
      </c>
      <c r="C146" s="78" t="s">
        <v>220</v>
      </c>
      <c r="D146" s="10" t="str">
        <f>VLOOKUP(B146,'[1]4'!$B:$D,3,0)</f>
        <v>是否质差话单</v>
      </c>
      <c r="E146" s="54"/>
      <c r="F146" s="39"/>
      <c r="G146" s="39"/>
      <c r="H146" s="55"/>
      <c r="I146" s="81"/>
      <c r="J146" s="56"/>
      <c r="K146" s="56"/>
      <c r="L146" s="56"/>
    </row>
    <row r="147" s="37" customFormat="1" spans="1:12">
      <c r="A147" s="42"/>
      <c r="B147" s="43" t="s">
        <v>252</v>
      </c>
      <c r="C147" s="43" t="s">
        <v>220</v>
      </c>
      <c r="D147" s="44" t="s">
        <v>254</v>
      </c>
      <c r="E147" s="45"/>
      <c r="F147" s="46"/>
      <c r="G147" s="46"/>
      <c r="H147" s="47"/>
      <c r="I147" s="48"/>
      <c r="J147" s="49"/>
      <c r="K147" s="49"/>
      <c r="L147" s="49"/>
    </row>
    <row r="148" s="37" customFormat="1" spans="1:12">
      <c r="A148" s="42"/>
      <c r="B148" s="43" t="s">
        <v>255</v>
      </c>
      <c r="C148" s="43" t="s">
        <v>216</v>
      </c>
      <c r="D148" s="44" t="s">
        <v>256</v>
      </c>
      <c r="E148" s="45"/>
      <c r="F148" s="46"/>
      <c r="G148" s="46"/>
      <c r="H148" s="47"/>
      <c r="I148" s="48"/>
      <c r="J148" s="49"/>
      <c r="K148" s="49"/>
      <c r="L148" s="49"/>
    </row>
    <row r="149" s="37" customFormat="1" spans="1:12">
      <c r="A149" s="42"/>
      <c r="B149" s="43" t="s">
        <v>257</v>
      </c>
      <c r="C149" s="43" t="s">
        <v>220</v>
      </c>
      <c r="D149" s="44" t="s">
        <v>258</v>
      </c>
      <c r="E149" s="45"/>
      <c r="F149" s="46"/>
      <c r="G149" s="46"/>
      <c r="H149" s="47"/>
      <c r="I149" s="48"/>
      <c r="J149" s="49"/>
      <c r="K149" s="49"/>
      <c r="L149" s="49"/>
    </row>
    <row r="150" s="37" customFormat="1" spans="1:12">
      <c r="A150" s="42"/>
      <c r="B150" s="43" t="s">
        <v>262</v>
      </c>
      <c r="C150" s="43" t="s">
        <v>220</v>
      </c>
      <c r="D150" s="44" t="s">
        <v>263</v>
      </c>
      <c r="E150" s="45"/>
      <c r="F150" s="46"/>
      <c r="G150" s="46"/>
      <c r="H150" s="47"/>
      <c r="I150" s="48"/>
      <c r="J150" s="49"/>
      <c r="K150" s="49"/>
      <c r="L150" s="49"/>
    </row>
  </sheetData>
  <autoFilter xmlns:etc="http://www.wps.cn/officeDocument/2017/etCustomData" ref="A15:N150" etc:filterBottomFollowUsedRange="0">
    <extLst/>
  </autoFilter>
  <mergeCells count="5">
    <mergeCell ref="B2:H2"/>
    <mergeCell ref="B3:H3"/>
    <mergeCell ref="B7:H7"/>
    <mergeCell ref="B14:L14"/>
    <mergeCell ref="G10:G11"/>
  </mergeCell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3"/>
  <sheetViews>
    <sheetView zoomScale="85" zoomScaleNormal="85" workbookViewId="0">
      <pane ySplit="5" topLeftCell="A36" activePane="bottomLeft" state="frozen"/>
      <selection/>
      <selection pane="bottomLeft" activeCell="B32" sqref="B$1:B$104857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1.8888888888889"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106</v>
      </c>
      <c r="D5" s="35" t="s">
        <v>107</v>
      </c>
      <c r="E5" s="11" t="s">
        <v>1026</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102</v>
      </c>
      <c r="D9" s="35" t="s">
        <v>2706</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1828</v>
      </c>
      <c r="C16" s="32" t="s">
        <v>216</v>
      </c>
      <c r="D16" s="10" t="s">
        <v>2089</v>
      </c>
      <c r="E16" s="54"/>
      <c r="F16" s="39"/>
      <c r="G16" s="39"/>
      <c r="H16" s="55"/>
      <c r="I16" s="56"/>
      <c r="J16" s="56"/>
      <c r="K16" s="56"/>
      <c r="L16" s="56"/>
    </row>
    <row r="17" s="1" customFormat="1" spans="2:12">
      <c r="B17" s="32" t="s">
        <v>1026</v>
      </c>
      <c r="C17" s="32" t="s">
        <v>220</v>
      </c>
      <c r="D17" s="10" t="s">
        <v>66</v>
      </c>
      <c r="E17" s="54"/>
      <c r="F17" s="39"/>
      <c r="G17" s="39"/>
      <c r="H17" s="55"/>
      <c r="I17" s="56"/>
      <c r="J17" s="56"/>
      <c r="K17" s="56"/>
      <c r="L17" s="56"/>
    </row>
    <row r="18" s="1" customFormat="1" spans="2:12">
      <c r="B18" s="32" t="s">
        <v>1864</v>
      </c>
      <c r="C18" s="32" t="s">
        <v>220</v>
      </c>
      <c r="D18" s="10" t="s">
        <v>2686</v>
      </c>
      <c r="E18" s="54"/>
      <c r="F18" s="39"/>
      <c r="G18" s="39"/>
      <c r="H18" s="55"/>
      <c r="I18" s="56"/>
      <c r="J18" s="56"/>
      <c r="K18" s="56"/>
      <c r="L18" s="56"/>
    </row>
    <row r="19" s="1" customFormat="1" spans="2:12">
      <c r="B19" s="32" t="s">
        <v>1302</v>
      </c>
      <c r="C19" s="32" t="s">
        <v>220</v>
      </c>
      <c r="D19" s="10" t="s">
        <v>1303</v>
      </c>
      <c r="E19" s="54"/>
      <c r="F19" s="39"/>
      <c r="G19" s="39"/>
      <c r="H19" s="55"/>
      <c r="I19" s="56"/>
      <c r="J19" s="56"/>
      <c r="K19" s="56"/>
      <c r="L19" s="56"/>
    </row>
    <row r="20" s="1" customFormat="1" spans="2:12">
      <c r="B20" s="32" t="s">
        <v>1304</v>
      </c>
      <c r="C20" s="32" t="s">
        <v>216</v>
      </c>
      <c r="D20" s="10" t="s">
        <v>1305</v>
      </c>
      <c r="E20" s="54"/>
      <c r="F20" s="39"/>
      <c r="G20" s="39"/>
      <c r="H20" s="55"/>
      <c r="I20" s="56"/>
      <c r="J20" s="56"/>
      <c r="K20" s="56"/>
      <c r="L20" s="56"/>
    </row>
    <row r="21" s="1" customFormat="1" spans="2:12">
      <c r="B21" s="32" t="s">
        <v>1306</v>
      </c>
      <c r="C21" s="32" t="s">
        <v>216</v>
      </c>
      <c r="D21" s="10" t="s">
        <v>1307</v>
      </c>
      <c r="E21" s="54"/>
      <c r="F21" s="39"/>
      <c r="G21" s="39"/>
      <c r="H21" s="55"/>
      <c r="I21" s="56"/>
      <c r="J21" s="56"/>
      <c r="K21" s="56"/>
      <c r="L21" s="56"/>
    </row>
    <row r="22" s="1" customFormat="1" spans="2:12">
      <c r="B22" s="32" t="s">
        <v>302</v>
      </c>
      <c r="C22" s="32" t="s">
        <v>220</v>
      </c>
      <c r="D22" s="10" t="s">
        <v>1051</v>
      </c>
      <c r="E22" s="54"/>
      <c r="F22" s="39"/>
      <c r="G22" s="39"/>
      <c r="H22" s="55"/>
      <c r="I22" s="56"/>
      <c r="J22" s="56"/>
      <c r="K22" s="56"/>
      <c r="L22" s="56"/>
    </row>
    <row r="23" s="1" customFormat="1" spans="2:12">
      <c r="B23" s="32" t="s">
        <v>2612</v>
      </c>
      <c r="C23" s="32" t="s">
        <v>220</v>
      </c>
      <c r="D23" s="10" t="s">
        <v>2738</v>
      </c>
      <c r="E23" s="54"/>
      <c r="F23" s="39"/>
      <c r="G23" s="39"/>
      <c r="H23" s="55"/>
      <c r="I23" s="56"/>
      <c r="J23" s="56"/>
      <c r="K23" s="56"/>
      <c r="L23" s="56"/>
    </row>
    <row r="24" s="1" customFormat="1" spans="2:12">
      <c r="B24" s="32" t="s">
        <v>2614</v>
      </c>
      <c r="C24" s="32" t="s">
        <v>275</v>
      </c>
      <c r="D24" s="10" t="s">
        <v>2739</v>
      </c>
      <c r="E24" s="54"/>
      <c r="F24" s="39"/>
      <c r="G24" s="39"/>
      <c r="H24" s="55"/>
      <c r="I24" s="56"/>
      <c r="J24" s="56"/>
      <c r="K24" s="56"/>
      <c r="L24" s="56"/>
    </row>
    <row r="25" s="1" customFormat="1" spans="2:12">
      <c r="B25" s="32" t="s">
        <v>1308</v>
      </c>
      <c r="C25" s="32" t="s">
        <v>275</v>
      </c>
      <c r="D25" s="10" t="s">
        <v>1309</v>
      </c>
      <c r="E25" s="54"/>
      <c r="F25" s="39"/>
      <c r="G25" s="39"/>
      <c r="H25" s="55"/>
      <c r="I25" s="56"/>
      <c r="J25" s="56"/>
      <c r="K25" s="56"/>
      <c r="L25" s="56"/>
    </row>
    <row r="26" s="1" customFormat="1" spans="2:12">
      <c r="B26" s="32" t="s">
        <v>222</v>
      </c>
      <c r="C26" s="32" t="s">
        <v>216</v>
      </c>
      <c r="D26" s="10" t="s">
        <v>298</v>
      </c>
      <c r="E26" s="54"/>
      <c r="F26" s="39"/>
      <c r="G26" s="39"/>
      <c r="H26" s="55"/>
      <c r="I26" s="56"/>
      <c r="J26" s="56"/>
      <c r="K26" s="56"/>
      <c r="L26" s="56"/>
    </row>
    <row r="27" s="1" customFormat="1" spans="2:12">
      <c r="B27" s="32" t="s">
        <v>1836</v>
      </c>
      <c r="C27" s="32" t="s">
        <v>216</v>
      </c>
      <c r="D27" s="10" t="s">
        <v>1836</v>
      </c>
      <c r="E27" s="54"/>
      <c r="F27" s="39"/>
      <c r="G27" s="39"/>
      <c r="H27" s="55"/>
      <c r="I27" s="56"/>
      <c r="J27" s="56"/>
      <c r="K27" s="56"/>
      <c r="L27" s="56"/>
    </row>
    <row r="28" s="1" customFormat="1" spans="2:12">
      <c r="B28" s="32" t="s">
        <v>2678</v>
      </c>
      <c r="C28" s="32" t="s">
        <v>216</v>
      </c>
      <c r="D28" s="10" t="s">
        <v>2679</v>
      </c>
      <c r="E28" s="54"/>
      <c r="F28" s="39"/>
      <c r="G28" s="39"/>
      <c r="H28" s="55"/>
      <c r="I28" s="56"/>
      <c r="J28" s="56"/>
      <c r="K28" s="56"/>
      <c r="L28" s="56"/>
    </row>
    <row r="29" s="1" customFormat="1" spans="2:12">
      <c r="B29" s="32" t="s">
        <v>1310</v>
      </c>
      <c r="C29" s="32" t="s">
        <v>216</v>
      </c>
      <c r="D29" s="10" t="s">
        <v>1311</v>
      </c>
      <c r="E29" s="54"/>
      <c r="F29" s="39"/>
      <c r="G29" s="39"/>
      <c r="H29" s="55"/>
      <c r="I29" s="56"/>
      <c r="J29" s="56"/>
      <c r="K29" s="56"/>
      <c r="L29" s="56"/>
    </row>
    <row r="30" s="1" customFormat="1" spans="2:12">
      <c r="B30" s="32" t="s">
        <v>267</v>
      </c>
      <c r="C30" s="32" t="s">
        <v>275</v>
      </c>
      <c r="D30" s="10" t="s">
        <v>2570</v>
      </c>
      <c r="E30" s="54"/>
      <c r="F30" s="39"/>
      <c r="G30" s="39"/>
      <c r="H30" s="55"/>
      <c r="I30" s="56"/>
      <c r="J30" s="56"/>
      <c r="K30" s="56"/>
      <c r="L30" s="56"/>
    </row>
    <row r="31" s="1" customFormat="1" spans="2:12">
      <c r="B31" s="32" t="s">
        <v>2589</v>
      </c>
      <c r="C31" s="32" t="s">
        <v>216</v>
      </c>
      <c r="D31" s="10" t="s">
        <v>2590</v>
      </c>
      <c r="E31" s="54"/>
      <c r="F31" s="39"/>
      <c r="G31" s="39"/>
      <c r="H31" s="55"/>
      <c r="I31" s="56"/>
      <c r="J31" s="56"/>
      <c r="K31" s="56"/>
      <c r="L31" s="56"/>
    </row>
    <row r="32" s="1" customFormat="1" spans="2:12">
      <c r="B32" s="32" t="s">
        <v>1176</v>
      </c>
      <c r="C32" s="32" t="s">
        <v>275</v>
      </c>
      <c r="D32" s="10" t="s">
        <v>1312</v>
      </c>
      <c r="E32" s="54"/>
      <c r="F32" s="39"/>
      <c r="G32" s="39"/>
      <c r="H32" s="55"/>
      <c r="I32" s="56"/>
      <c r="J32" s="56"/>
      <c r="K32" s="56"/>
      <c r="L32" s="56"/>
    </row>
    <row r="33" s="1" customFormat="1" spans="2:12">
      <c r="B33" s="32" t="s">
        <v>2594</v>
      </c>
      <c r="C33" s="32" t="s">
        <v>216</v>
      </c>
      <c r="D33" s="10" t="s">
        <v>2595</v>
      </c>
      <c r="E33" s="54"/>
      <c r="F33" s="39"/>
      <c r="G33" s="39"/>
      <c r="H33" s="55"/>
      <c r="I33" s="56"/>
      <c r="J33" s="56"/>
      <c r="K33" s="56"/>
      <c r="L33" s="56"/>
    </row>
    <row r="34" s="1" customFormat="1" spans="2:12">
      <c r="B34" s="32" t="s">
        <v>2605</v>
      </c>
      <c r="C34" s="32" t="s">
        <v>216</v>
      </c>
      <c r="D34" s="10" t="s">
        <v>2606</v>
      </c>
      <c r="E34" s="54"/>
      <c r="F34" s="39"/>
      <c r="G34" s="39"/>
      <c r="H34" s="55"/>
      <c r="I34" s="56"/>
      <c r="J34" s="56"/>
      <c r="K34" s="56"/>
      <c r="L34" s="56"/>
    </row>
    <row r="35" s="1" customFormat="1" spans="2:12">
      <c r="B35" s="32" t="s">
        <v>2715</v>
      </c>
      <c r="C35" s="32" t="s">
        <v>216</v>
      </c>
      <c r="D35" s="10" t="s">
        <v>2740</v>
      </c>
      <c r="E35" s="54"/>
      <c r="F35" s="39"/>
      <c r="G35" s="39"/>
      <c r="H35" s="55"/>
      <c r="I35" s="56"/>
      <c r="J35" s="56"/>
      <c r="K35" s="56"/>
      <c r="L35" s="56"/>
    </row>
    <row r="36" s="1" customFormat="1" spans="2:12">
      <c r="B36" s="32" t="s">
        <v>1812</v>
      </c>
      <c r="C36" s="32" t="s">
        <v>220</v>
      </c>
      <c r="D36" s="10" t="s">
        <v>2741</v>
      </c>
      <c r="E36" s="54"/>
      <c r="F36" s="39"/>
      <c r="G36" s="39"/>
      <c r="H36" s="55"/>
      <c r="I36" s="56"/>
      <c r="J36" s="56"/>
      <c r="K36" s="56"/>
      <c r="L36" s="56"/>
    </row>
    <row r="37" s="1" customFormat="1" spans="2:12">
      <c r="B37" s="32" t="s">
        <v>2591</v>
      </c>
      <c r="C37" s="32" t="s">
        <v>216</v>
      </c>
      <c r="D37" s="10" t="s">
        <v>2098</v>
      </c>
      <c r="E37" s="54"/>
      <c r="F37" s="39"/>
      <c r="G37" s="39"/>
      <c r="H37" s="55"/>
      <c r="I37" s="56"/>
      <c r="J37" s="56"/>
      <c r="K37" s="56"/>
      <c r="L37" s="56"/>
    </row>
    <row r="38" s="1" customFormat="1" spans="2:12">
      <c r="B38" s="32" t="s">
        <v>1289</v>
      </c>
      <c r="C38" s="32" t="s">
        <v>216</v>
      </c>
      <c r="D38" s="10" t="s">
        <v>1813</v>
      </c>
      <c r="E38" s="54"/>
      <c r="F38" s="39"/>
      <c r="G38" s="39"/>
      <c r="H38" s="55"/>
      <c r="I38" s="56"/>
      <c r="J38" s="56"/>
      <c r="K38" s="56"/>
      <c r="L38" s="56"/>
    </row>
    <row r="39" s="1" customFormat="1" spans="2:12">
      <c r="B39" s="32" t="s">
        <v>1313</v>
      </c>
      <c r="C39" s="32" t="s">
        <v>216</v>
      </c>
      <c r="D39" s="10" t="s">
        <v>1893</v>
      </c>
      <c r="E39" s="54"/>
      <c r="F39" s="39"/>
      <c r="G39" s="39"/>
      <c r="H39" s="55"/>
      <c r="I39" s="56"/>
      <c r="J39" s="56"/>
      <c r="K39" s="56"/>
      <c r="L39" s="56"/>
    </row>
    <row r="40" s="1" customFormat="1" spans="2:12">
      <c r="B40" s="32" t="s">
        <v>1808</v>
      </c>
      <c r="C40" s="32" t="s">
        <v>216</v>
      </c>
      <c r="D40" s="10" t="s">
        <v>2572</v>
      </c>
      <c r="E40" s="54"/>
      <c r="F40" s="39"/>
      <c r="G40" s="39"/>
      <c r="H40" s="55"/>
      <c r="I40" s="56"/>
      <c r="J40" s="56"/>
      <c r="K40" s="56"/>
      <c r="L40" s="56"/>
    </row>
    <row r="41" s="1" customFormat="1" spans="2:12">
      <c r="B41" s="32" t="s">
        <v>1830</v>
      </c>
      <c r="C41" s="32" t="s">
        <v>220</v>
      </c>
      <c r="D41" s="10" t="s">
        <v>2092</v>
      </c>
      <c r="E41" s="54"/>
      <c r="F41" s="39"/>
      <c r="G41" s="39"/>
      <c r="H41" s="55"/>
      <c r="I41" s="56"/>
      <c r="J41" s="56"/>
      <c r="K41" s="56"/>
      <c r="L41" s="56"/>
    </row>
    <row r="42" s="1" customFormat="1" spans="2:12">
      <c r="B42" s="32" t="s">
        <v>1832</v>
      </c>
      <c r="C42" s="32" t="s">
        <v>220</v>
      </c>
      <c r="D42" s="10" t="s">
        <v>2093</v>
      </c>
      <c r="E42" s="54"/>
      <c r="F42" s="39"/>
      <c r="G42" s="39"/>
      <c r="H42" s="55"/>
      <c r="I42" s="56"/>
      <c r="J42" s="56"/>
      <c r="K42" s="56"/>
      <c r="L42" s="56"/>
    </row>
    <row r="43" s="1" customFormat="1" spans="2:12">
      <c r="B43" s="32" t="s">
        <v>1834</v>
      </c>
      <c r="C43" s="32" t="s">
        <v>220</v>
      </c>
      <c r="D43" s="10" t="s">
        <v>1320</v>
      </c>
      <c r="E43" s="54"/>
      <c r="F43" s="39"/>
      <c r="G43" s="39"/>
      <c r="H43" s="55"/>
      <c r="I43" s="56"/>
      <c r="J43" s="56"/>
      <c r="K43" s="56"/>
      <c r="L43" s="56"/>
    </row>
    <row r="44" s="1" customFormat="1" spans="2:12">
      <c r="B44" s="32" t="s">
        <v>1316</v>
      </c>
      <c r="C44" s="32" t="s">
        <v>216</v>
      </c>
      <c r="D44" s="10" t="s">
        <v>2742</v>
      </c>
      <c r="E44" s="54"/>
      <c r="F44" s="39"/>
      <c r="G44" s="39"/>
      <c r="H44" s="55"/>
      <c r="I44" s="56"/>
      <c r="J44" s="56"/>
      <c r="K44" s="56"/>
      <c r="L44" s="56"/>
    </row>
    <row r="45" s="1" customFormat="1" spans="2:12">
      <c r="B45" s="32" t="s">
        <v>1318</v>
      </c>
      <c r="C45" s="32" t="s">
        <v>216</v>
      </c>
      <c r="D45" s="10" t="s">
        <v>2743</v>
      </c>
      <c r="E45" s="54"/>
      <c r="F45" s="39"/>
      <c r="G45" s="39"/>
      <c r="H45" s="55"/>
      <c r="I45" s="56"/>
      <c r="J45" s="56"/>
      <c r="K45" s="56"/>
      <c r="L45" s="56"/>
    </row>
    <row r="46" s="1" customFormat="1" spans="2:12">
      <c r="B46" s="32" t="s">
        <v>2023</v>
      </c>
      <c r="C46" s="32" t="s">
        <v>216</v>
      </c>
      <c r="D46" s="10" t="s">
        <v>2744</v>
      </c>
      <c r="E46" s="54"/>
      <c r="F46" s="39"/>
      <c r="G46" s="39"/>
      <c r="H46" s="55"/>
      <c r="I46" s="56"/>
      <c r="J46" s="56"/>
      <c r="K46" s="56"/>
      <c r="L46" s="56"/>
    </row>
    <row r="47" s="1" customFormat="1" spans="2:12">
      <c r="B47" s="32" t="s">
        <v>2087</v>
      </c>
      <c r="C47" s="32" t="s">
        <v>216</v>
      </c>
      <c r="D47" s="10" t="s">
        <v>2745</v>
      </c>
      <c r="E47" s="54"/>
      <c r="F47" s="39"/>
      <c r="G47" s="39"/>
      <c r="H47" s="55"/>
      <c r="I47" s="56"/>
      <c r="J47" s="56"/>
      <c r="K47" s="56"/>
      <c r="L47" s="56"/>
    </row>
    <row r="48" s="1" customFormat="1" spans="2:12">
      <c r="B48" s="32" t="s">
        <v>1323</v>
      </c>
      <c r="C48" s="32" t="s">
        <v>275</v>
      </c>
      <c r="D48" s="10" t="s">
        <v>1324</v>
      </c>
      <c r="E48" s="54"/>
      <c r="F48" s="39"/>
      <c r="G48" s="39"/>
      <c r="H48" s="55"/>
      <c r="I48" s="56"/>
      <c r="J48" s="56"/>
      <c r="K48" s="56"/>
      <c r="L48" s="56"/>
    </row>
    <row r="49" s="1" customFormat="1" spans="2:12">
      <c r="B49" s="32" t="s">
        <v>1325</v>
      </c>
      <c r="C49" s="32" t="s">
        <v>275</v>
      </c>
      <c r="D49" s="10" t="s">
        <v>1326</v>
      </c>
      <c r="E49" s="54"/>
      <c r="F49" s="39"/>
      <c r="G49" s="39"/>
      <c r="H49" s="55"/>
      <c r="I49" s="56"/>
      <c r="J49" s="56"/>
      <c r="K49" s="56"/>
      <c r="L49" s="56"/>
    </row>
    <row r="50" s="1" customFormat="1" spans="2:12">
      <c r="B50" s="32" t="s">
        <v>1327</v>
      </c>
      <c r="C50" s="32" t="s">
        <v>275</v>
      </c>
      <c r="D50" s="10" t="s">
        <v>1328</v>
      </c>
      <c r="E50" s="54"/>
      <c r="F50" s="39"/>
      <c r="G50" s="39"/>
      <c r="H50" s="55"/>
      <c r="I50" s="56"/>
      <c r="J50" s="56"/>
      <c r="K50" s="56"/>
      <c r="L50" s="56"/>
    </row>
    <row r="51" s="1" customFormat="1" spans="2:12">
      <c r="B51" s="32" t="s">
        <v>1331</v>
      </c>
      <c r="C51" s="32" t="s">
        <v>275</v>
      </c>
      <c r="D51" s="10" t="s">
        <v>1092</v>
      </c>
      <c r="E51" s="54"/>
      <c r="F51" s="39"/>
      <c r="G51" s="39"/>
      <c r="H51" s="55"/>
      <c r="I51" s="56"/>
      <c r="J51" s="56"/>
      <c r="K51" s="56"/>
      <c r="L51" s="56"/>
    </row>
    <row r="52" s="1" customFormat="1" spans="2:12">
      <c r="B52" s="32" t="s">
        <v>1329</v>
      </c>
      <c r="C52" s="32" t="s">
        <v>275</v>
      </c>
      <c r="D52" s="10" t="s">
        <v>1094</v>
      </c>
      <c r="E52" s="54"/>
      <c r="F52" s="39"/>
      <c r="G52" s="39"/>
      <c r="H52" s="55"/>
      <c r="I52" s="56"/>
      <c r="J52" s="56"/>
      <c r="K52" s="56"/>
      <c r="L52" s="56"/>
    </row>
    <row r="53" s="1" customFormat="1" spans="2:12">
      <c r="B53" s="32" t="s">
        <v>1335</v>
      </c>
      <c r="C53" s="32" t="s">
        <v>275</v>
      </c>
      <c r="D53" s="10" t="s">
        <v>1336</v>
      </c>
      <c r="E53" s="54"/>
      <c r="F53" s="39"/>
      <c r="G53" s="39"/>
      <c r="H53" s="55"/>
      <c r="I53" s="56"/>
      <c r="J53" s="56"/>
      <c r="K53" s="56"/>
      <c r="L53" s="56"/>
    </row>
    <row r="54" s="1" customFormat="1" spans="2:12">
      <c r="B54" s="32" t="s">
        <v>1337</v>
      </c>
      <c r="C54" s="32" t="s">
        <v>275</v>
      </c>
      <c r="D54" s="10" t="s">
        <v>1338</v>
      </c>
      <c r="E54" s="54"/>
      <c r="F54" s="39"/>
      <c r="G54" s="39"/>
      <c r="H54" s="55"/>
      <c r="I54" s="56"/>
      <c r="J54" s="56"/>
      <c r="K54" s="56"/>
      <c r="L54" s="56"/>
    </row>
    <row r="55" s="1" customFormat="1" spans="2:12">
      <c r="B55" s="32" t="s">
        <v>2111</v>
      </c>
      <c r="C55" s="32" t="s">
        <v>275</v>
      </c>
      <c r="D55" s="10" t="s">
        <v>1340</v>
      </c>
      <c r="E55" s="54"/>
      <c r="F55" s="39"/>
      <c r="G55" s="39"/>
      <c r="H55" s="55"/>
      <c r="I55" s="56"/>
      <c r="J55" s="56"/>
      <c r="K55" s="56"/>
      <c r="L55" s="56"/>
    </row>
    <row r="56" s="1" customFormat="1" spans="2:12">
      <c r="B56" s="32" t="s">
        <v>2112</v>
      </c>
      <c r="C56" s="32" t="s">
        <v>275</v>
      </c>
      <c r="D56" s="10" t="s">
        <v>1342</v>
      </c>
      <c r="E56" s="54"/>
      <c r="F56" s="39"/>
      <c r="G56" s="39"/>
      <c r="H56" s="55"/>
      <c r="I56" s="56"/>
      <c r="J56" s="56"/>
      <c r="K56" s="56"/>
      <c r="L56" s="56"/>
    </row>
    <row r="57" s="1" customFormat="1" spans="2:12">
      <c r="B57" s="32" t="s">
        <v>1351</v>
      </c>
      <c r="C57" s="32" t="s">
        <v>275</v>
      </c>
      <c r="D57" s="10" t="s">
        <v>1352</v>
      </c>
      <c r="E57" s="54"/>
      <c r="F57" s="39"/>
      <c r="G57" s="39"/>
      <c r="H57" s="55"/>
      <c r="I57" s="56"/>
      <c r="J57" s="56"/>
      <c r="K57" s="56"/>
      <c r="L57" s="56"/>
    </row>
    <row r="58" s="1" customFormat="1" ht="26.4" spans="2:12">
      <c r="B58" s="32" t="s">
        <v>1353</v>
      </c>
      <c r="C58" s="32" t="s">
        <v>275</v>
      </c>
      <c r="D58" s="10" t="s">
        <v>1354</v>
      </c>
      <c r="E58" s="54"/>
      <c r="F58" s="39"/>
      <c r="G58" s="39"/>
      <c r="H58" s="55"/>
      <c r="I58" s="56"/>
      <c r="J58" s="56"/>
      <c r="K58" s="56"/>
      <c r="L58" s="56"/>
    </row>
    <row r="59" s="1" customFormat="1" ht="26.4" spans="2:12">
      <c r="B59" s="32" t="s">
        <v>1343</v>
      </c>
      <c r="C59" s="32" t="s">
        <v>275</v>
      </c>
      <c r="D59" s="10" t="s">
        <v>2137</v>
      </c>
      <c r="E59" s="54"/>
      <c r="F59" s="39"/>
      <c r="G59" s="39"/>
      <c r="H59" s="55"/>
      <c r="I59" s="56"/>
      <c r="J59" s="56"/>
      <c r="K59" s="56"/>
      <c r="L59" s="56"/>
    </row>
    <row r="60" s="1" customFormat="1" spans="2:12">
      <c r="B60" s="32" t="s">
        <v>1344</v>
      </c>
      <c r="C60" s="32" t="s">
        <v>275</v>
      </c>
      <c r="D60" s="10" t="s">
        <v>2138</v>
      </c>
      <c r="E60" s="54"/>
      <c r="F60" s="39"/>
      <c r="G60" s="39"/>
      <c r="H60" s="55"/>
      <c r="I60" s="56"/>
      <c r="J60" s="56"/>
      <c r="K60" s="56"/>
      <c r="L60" s="56"/>
    </row>
    <row r="61" s="1" customFormat="1" spans="2:12">
      <c r="B61" s="32" t="s">
        <v>1345</v>
      </c>
      <c r="C61" s="32" t="s">
        <v>275</v>
      </c>
      <c r="D61" s="10" t="s">
        <v>2139</v>
      </c>
      <c r="E61" s="54"/>
      <c r="F61" s="39"/>
      <c r="G61" s="39"/>
      <c r="H61" s="55"/>
      <c r="I61" s="56"/>
      <c r="J61" s="56"/>
      <c r="K61" s="56"/>
      <c r="L61" s="56"/>
    </row>
    <row r="62" s="1" customFormat="1" spans="2:12">
      <c r="B62" s="32" t="s">
        <v>1355</v>
      </c>
      <c r="C62" s="32" t="s">
        <v>275</v>
      </c>
      <c r="D62" s="10" t="s">
        <v>1356</v>
      </c>
      <c r="E62" s="54"/>
      <c r="F62" s="39"/>
      <c r="G62" s="39"/>
      <c r="H62" s="55"/>
      <c r="I62" s="56"/>
      <c r="J62" s="56"/>
      <c r="K62" s="56"/>
      <c r="L62" s="56"/>
    </row>
    <row r="63" s="1" customFormat="1" spans="2:12">
      <c r="B63" s="32" t="s">
        <v>1357</v>
      </c>
      <c r="C63" s="32" t="s">
        <v>275</v>
      </c>
      <c r="D63" s="10" t="s">
        <v>1358</v>
      </c>
      <c r="E63" s="54"/>
      <c r="F63" s="39"/>
      <c r="G63" s="39"/>
      <c r="H63" s="55"/>
      <c r="I63" s="56"/>
      <c r="J63" s="56"/>
      <c r="K63" s="56"/>
      <c r="L63" s="56"/>
    </row>
    <row r="64" s="1" customFormat="1" spans="2:12">
      <c r="B64" s="32" t="s">
        <v>1359</v>
      </c>
      <c r="C64" s="32" t="s">
        <v>275</v>
      </c>
      <c r="D64" s="10" t="s">
        <v>1360</v>
      </c>
      <c r="E64" s="54"/>
      <c r="F64" s="39"/>
      <c r="G64" s="39"/>
      <c r="H64" s="55"/>
      <c r="I64" s="56"/>
      <c r="J64" s="56"/>
      <c r="K64" s="56"/>
      <c r="L64" s="56"/>
    </row>
    <row r="65" s="1" customFormat="1" spans="2:12">
      <c r="B65" s="32" t="s">
        <v>1361</v>
      </c>
      <c r="C65" s="32" t="s">
        <v>275</v>
      </c>
      <c r="D65" s="10" t="s">
        <v>1362</v>
      </c>
      <c r="E65" s="54"/>
      <c r="F65" s="39"/>
      <c r="G65" s="39"/>
      <c r="H65" s="55"/>
      <c r="I65" s="56"/>
      <c r="J65" s="56"/>
      <c r="K65" s="56"/>
      <c r="L65" s="56"/>
    </row>
    <row r="66" s="1" customFormat="1" ht="26.4" spans="2:12">
      <c r="B66" s="32" t="s">
        <v>1363</v>
      </c>
      <c r="C66" s="32" t="s">
        <v>275</v>
      </c>
      <c r="D66" s="10" t="s">
        <v>1364</v>
      </c>
      <c r="E66" s="54"/>
      <c r="F66" s="39"/>
      <c r="G66" s="39"/>
      <c r="H66" s="55"/>
      <c r="I66" s="56"/>
      <c r="J66" s="56"/>
      <c r="K66" s="56"/>
      <c r="L66" s="56"/>
    </row>
    <row r="67" s="1" customFormat="1" ht="26.4" spans="2:12">
      <c r="B67" s="32" t="s">
        <v>1365</v>
      </c>
      <c r="C67" s="32" t="s">
        <v>275</v>
      </c>
      <c r="D67" s="10" t="s">
        <v>1366</v>
      </c>
      <c r="E67" s="54"/>
      <c r="F67" s="39"/>
      <c r="G67" s="39"/>
      <c r="H67" s="55"/>
      <c r="I67" s="56"/>
      <c r="J67" s="56"/>
      <c r="K67" s="56"/>
      <c r="L67" s="56"/>
    </row>
    <row r="68" s="1" customFormat="1" ht="26.4" spans="2:12">
      <c r="B68" s="32" t="s">
        <v>1367</v>
      </c>
      <c r="C68" s="32" t="s">
        <v>275</v>
      </c>
      <c r="D68" s="10" t="s">
        <v>1368</v>
      </c>
      <c r="E68" s="54"/>
      <c r="F68" s="39"/>
      <c r="G68" s="39"/>
      <c r="H68" s="55"/>
      <c r="I68" s="56"/>
      <c r="J68" s="56"/>
      <c r="K68" s="56"/>
      <c r="L68" s="56"/>
    </row>
    <row r="69" s="1" customFormat="1" ht="26.4" spans="2:12">
      <c r="B69" s="32" t="s">
        <v>1369</v>
      </c>
      <c r="C69" s="32" t="s">
        <v>275</v>
      </c>
      <c r="D69" s="10" t="s">
        <v>1370</v>
      </c>
      <c r="E69" s="54"/>
      <c r="F69" s="39"/>
      <c r="G69" s="39"/>
      <c r="H69" s="55"/>
      <c r="I69" s="56"/>
      <c r="J69" s="56"/>
      <c r="K69" s="56"/>
      <c r="L69" s="56"/>
    </row>
    <row r="70" s="1" customFormat="1" ht="26.4" spans="2:12">
      <c r="B70" s="32" t="s">
        <v>1371</v>
      </c>
      <c r="C70" s="32" t="s">
        <v>275</v>
      </c>
      <c r="D70" s="10" t="s">
        <v>1372</v>
      </c>
      <c r="E70" s="54"/>
      <c r="F70" s="39"/>
      <c r="G70" s="39"/>
      <c r="H70" s="55"/>
      <c r="I70" s="56"/>
      <c r="J70" s="56"/>
      <c r="K70" s="56"/>
      <c r="L70" s="56"/>
    </row>
    <row r="71" s="1" customFormat="1" ht="26.4" spans="2:12">
      <c r="B71" s="32" t="s">
        <v>1373</v>
      </c>
      <c r="C71" s="32" t="s">
        <v>275</v>
      </c>
      <c r="D71" s="10" t="s">
        <v>1374</v>
      </c>
      <c r="E71" s="54"/>
      <c r="F71" s="39"/>
      <c r="G71" s="39"/>
      <c r="H71" s="55"/>
      <c r="I71" s="56"/>
      <c r="J71" s="56"/>
      <c r="K71" s="56"/>
      <c r="L71" s="56"/>
    </row>
    <row r="72" s="1" customFormat="1" ht="26.4" spans="2:12">
      <c r="B72" s="32" t="s">
        <v>1375</v>
      </c>
      <c r="C72" s="32" t="s">
        <v>275</v>
      </c>
      <c r="D72" s="10" t="s">
        <v>1376</v>
      </c>
      <c r="E72" s="54"/>
      <c r="F72" s="39"/>
      <c r="G72" s="39"/>
      <c r="H72" s="55"/>
      <c r="I72" s="56"/>
      <c r="J72" s="56"/>
      <c r="K72" s="56"/>
      <c r="L72" s="56"/>
    </row>
    <row r="73" s="1" customFormat="1" ht="26.4" spans="2:12">
      <c r="B73" s="32" t="s">
        <v>1377</v>
      </c>
      <c r="C73" s="32" t="s">
        <v>275</v>
      </c>
      <c r="D73" s="10" t="s">
        <v>1378</v>
      </c>
      <c r="E73" s="54"/>
      <c r="F73" s="39"/>
      <c r="G73" s="39"/>
      <c r="H73" s="55"/>
      <c r="I73" s="56"/>
      <c r="J73" s="56"/>
      <c r="K73" s="56"/>
      <c r="L73" s="56"/>
    </row>
    <row r="74" s="1" customFormat="1" spans="2:12">
      <c r="B74" s="32" t="s">
        <v>2702</v>
      </c>
      <c r="C74" s="32" t="s">
        <v>275</v>
      </c>
      <c r="D74" s="10" t="s">
        <v>1380</v>
      </c>
      <c r="E74" s="54"/>
      <c r="F74" s="39"/>
      <c r="G74" s="39"/>
      <c r="H74" s="55"/>
      <c r="I74" s="56"/>
      <c r="J74" s="56"/>
      <c r="K74" s="56"/>
      <c r="L74" s="56"/>
    </row>
    <row r="75" s="1" customFormat="1" spans="2:12">
      <c r="B75" s="32" t="s">
        <v>2703</v>
      </c>
      <c r="C75" s="32" t="s">
        <v>275</v>
      </c>
      <c r="D75" s="10" t="s">
        <v>1382</v>
      </c>
      <c r="E75" s="54"/>
      <c r="F75" s="39"/>
      <c r="G75" s="39"/>
      <c r="H75" s="55"/>
      <c r="I75" s="56"/>
      <c r="J75" s="56"/>
      <c r="K75" s="56"/>
      <c r="L75" s="56"/>
    </row>
    <row r="76" s="1" customFormat="1" spans="2:12">
      <c r="B76" s="32" t="s">
        <v>1401</v>
      </c>
      <c r="C76" s="32" t="s">
        <v>275</v>
      </c>
      <c r="D76" s="10" t="s">
        <v>1402</v>
      </c>
      <c r="E76" s="54"/>
      <c r="F76" s="39"/>
      <c r="G76" s="39"/>
      <c r="H76" s="55"/>
      <c r="I76" s="56"/>
      <c r="J76" s="56"/>
      <c r="K76" s="56"/>
      <c r="L76" s="56"/>
    </row>
    <row r="77" s="1" customFormat="1" spans="2:12">
      <c r="B77" s="32" t="s">
        <v>1403</v>
      </c>
      <c r="C77" s="32" t="s">
        <v>275</v>
      </c>
      <c r="D77" s="10" t="s">
        <v>1404</v>
      </c>
      <c r="E77" s="54"/>
      <c r="F77" s="39"/>
      <c r="G77" s="39"/>
      <c r="H77" s="55"/>
      <c r="I77" s="56"/>
      <c r="J77" s="56"/>
      <c r="K77" s="56"/>
      <c r="L77" s="56"/>
    </row>
    <row r="78" s="1" customFormat="1" spans="2:12">
      <c r="B78" s="32" t="s">
        <v>1405</v>
      </c>
      <c r="C78" s="32" t="s">
        <v>275</v>
      </c>
      <c r="D78" s="10" t="s">
        <v>1406</v>
      </c>
      <c r="E78" s="54"/>
      <c r="F78" s="39"/>
      <c r="G78" s="39"/>
      <c r="H78" s="55"/>
      <c r="I78" s="56"/>
      <c r="J78" s="56"/>
      <c r="K78" s="56"/>
      <c r="L78" s="56"/>
    </row>
    <row r="79" s="1" customFormat="1" spans="2:12">
      <c r="B79" s="32" t="s">
        <v>1284</v>
      </c>
      <c r="C79" s="32" t="s">
        <v>275</v>
      </c>
      <c r="D79" s="10" t="s">
        <v>1285</v>
      </c>
      <c r="E79" s="54"/>
      <c r="F79" s="39"/>
      <c r="G79" s="39"/>
      <c r="H79" s="55"/>
      <c r="I79" s="56"/>
      <c r="J79" s="56"/>
      <c r="K79" s="56"/>
      <c r="L79" s="56"/>
    </row>
    <row r="80" s="1" customFormat="1" spans="2:12">
      <c r="B80" s="32" t="s">
        <v>1407</v>
      </c>
      <c r="C80" s="32" t="s">
        <v>275</v>
      </c>
      <c r="D80" s="10" t="s">
        <v>1408</v>
      </c>
      <c r="E80" s="54"/>
      <c r="F80" s="39"/>
      <c r="G80" s="39"/>
      <c r="H80" s="55"/>
      <c r="I80" s="56"/>
      <c r="J80" s="56"/>
      <c r="K80" s="56"/>
      <c r="L80" s="56"/>
    </row>
    <row r="81" s="1" customFormat="1" spans="2:12">
      <c r="B81" s="32" t="s">
        <v>1409</v>
      </c>
      <c r="C81" s="32" t="s">
        <v>275</v>
      </c>
      <c r="D81" s="10" t="s">
        <v>2746</v>
      </c>
      <c r="E81" s="54"/>
      <c r="F81" s="39"/>
      <c r="G81" s="39"/>
      <c r="H81" s="55"/>
      <c r="I81" s="56"/>
      <c r="J81" s="56"/>
      <c r="K81" s="56"/>
      <c r="L81" s="56"/>
    </row>
    <row r="82" s="1" customFormat="1" spans="2:12">
      <c r="B82" s="32" t="s">
        <v>1411</v>
      </c>
      <c r="C82" s="32" t="s">
        <v>275</v>
      </c>
      <c r="D82" s="10" t="s">
        <v>1412</v>
      </c>
      <c r="E82" s="54"/>
      <c r="F82" s="39"/>
      <c r="G82" s="39"/>
      <c r="H82" s="55"/>
      <c r="I82" s="56"/>
      <c r="J82" s="56"/>
      <c r="K82" s="56"/>
      <c r="L82" s="56"/>
    </row>
    <row r="83" s="1" customFormat="1" ht="26.4" spans="2:12">
      <c r="B83" s="32" t="s">
        <v>1413</v>
      </c>
      <c r="C83" s="32" t="s">
        <v>275</v>
      </c>
      <c r="D83" s="10" t="s">
        <v>1414</v>
      </c>
      <c r="E83" s="54"/>
      <c r="F83" s="39"/>
      <c r="G83" s="39"/>
      <c r="H83" s="55"/>
      <c r="I83" s="56"/>
      <c r="J83" s="56"/>
      <c r="K83" s="56"/>
      <c r="L83" s="56"/>
    </row>
    <row r="84" s="1" customFormat="1" spans="2:12">
      <c r="B84" s="32" t="s">
        <v>1415</v>
      </c>
      <c r="C84" s="32" t="s">
        <v>275</v>
      </c>
      <c r="D84" s="10" t="s">
        <v>1416</v>
      </c>
      <c r="E84" s="54"/>
      <c r="F84" s="39"/>
      <c r="G84" s="39"/>
      <c r="H84" s="55"/>
      <c r="I84" s="56"/>
      <c r="J84" s="56"/>
      <c r="K84" s="56"/>
      <c r="L84" s="56"/>
    </row>
    <row r="85" s="1" customFormat="1" spans="2:12">
      <c r="B85" s="32" t="s">
        <v>1417</v>
      </c>
      <c r="C85" s="32" t="s">
        <v>275</v>
      </c>
      <c r="D85" s="10" t="s">
        <v>1418</v>
      </c>
      <c r="E85" s="54"/>
      <c r="F85" s="39"/>
      <c r="G85" s="39"/>
      <c r="H85" s="55"/>
      <c r="I85" s="56"/>
      <c r="J85" s="56"/>
      <c r="K85" s="56"/>
      <c r="L85" s="56"/>
    </row>
    <row r="86" s="1" customFormat="1" spans="2:12">
      <c r="B86" s="32" t="s">
        <v>2728</v>
      </c>
      <c r="C86" s="32" t="s">
        <v>240</v>
      </c>
      <c r="D86" s="10" t="s">
        <v>1754</v>
      </c>
      <c r="E86" s="54"/>
      <c r="F86" s="39"/>
      <c r="G86" s="39"/>
      <c r="H86" s="55"/>
      <c r="I86" s="56"/>
      <c r="J86" s="56"/>
      <c r="K86" s="56"/>
      <c r="L86" s="56"/>
    </row>
    <row r="87" s="1" customFormat="1" spans="2:12">
      <c r="B87" s="32" t="s">
        <v>2729</v>
      </c>
      <c r="C87" s="32" t="s">
        <v>275</v>
      </c>
      <c r="D87" s="10" t="s">
        <v>1752</v>
      </c>
      <c r="E87" s="54"/>
      <c r="F87" s="39"/>
      <c r="G87" s="39"/>
      <c r="H87" s="55"/>
      <c r="I87" s="56"/>
      <c r="J87" s="56"/>
      <c r="K87" s="56"/>
      <c r="L87" s="56"/>
    </row>
    <row r="88" s="1" customFormat="1" ht="26.4" spans="2:12">
      <c r="B88" s="32" t="s">
        <v>2730</v>
      </c>
      <c r="C88" s="32" t="s">
        <v>240</v>
      </c>
      <c r="D88" s="10" t="s">
        <v>2747</v>
      </c>
      <c r="E88" s="54"/>
      <c r="F88" s="39"/>
      <c r="G88" s="39"/>
      <c r="H88" s="55"/>
      <c r="I88" s="56"/>
      <c r="J88" s="56"/>
      <c r="K88" s="56"/>
      <c r="L88" s="56"/>
    </row>
    <row r="89" s="1" customFormat="1" spans="2:12">
      <c r="B89" s="32" t="s">
        <v>2731</v>
      </c>
      <c r="C89" s="32" t="s">
        <v>275</v>
      </c>
      <c r="D89" s="10" t="s">
        <v>2748</v>
      </c>
      <c r="E89" s="54"/>
      <c r="F89" s="39"/>
      <c r="G89" s="39"/>
      <c r="H89" s="55"/>
      <c r="I89" s="56"/>
      <c r="J89" s="56"/>
      <c r="K89" s="56"/>
      <c r="L89" s="56"/>
    </row>
    <row r="90" s="1" customFormat="1" spans="2:12">
      <c r="B90" s="32" t="s">
        <v>1282</v>
      </c>
      <c r="C90" s="32" t="s">
        <v>275</v>
      </c>
      <c r="D90" s="10" t="s">
        <v>1283</v>
      </c>
      <c r="E90" s="54"/>
      <c r="F90" s="39"/>
      <c r="G90" s="39"/>
      <c r="H90" s="55"/>
      <c r="I90" s="56"/>
      <c r="J90" s="56"/>
      <c r="K90" s="56"/>
      <c r="L90" s="56"/>
    </row>
    <row r="91" s="1" customFormat="1" spans="2:12">
      <c r="B91" s="32" t="s">
        <v>2723</v>
      </c>
      <c r="C91" s="32" t="s">
        <v>275</v>
      </c>
      <c r="D91" s="10" t="s">
        <v>2749</v>
      </c>
      <c r="E91" s="54"/>
      <c r="F91" s="39"/>
      <c r="G91" s="39"/>
      <c r="H91" s="55"/>
      <c r="I91" s="56"/>
      <c r="J91" s="56"/>
      <c r="K91" s="56"/>
      <c r="L91" s="56"/>
    </row>
    <row r="92" s="1" customFormat="1" spans="2:12">
      <c r="B92" s="32" t="s">
        <v>2724</v>
      </c>
      <c r="C92" s="32" t="s">
        <v>275</v>
      </c>
      <c r="D92" s="10" t="s">
        <v>2750</v>
      </c>
      <c r="E92" s="54"/>
      <c r="F92" s="39"/>
      <c r="G92" s="39"/>
      <c r="H92" s="55"/>
      <c r="I92" s="56"/>
      <c r="J92" s="56"/>
      <c r="K92" s="56"/>
      <c r="L92" s="56"/>
    </row>
    <row r="93" s="1" customFormat="1" spans="2:12">
      <c r="B93" s="32" t="s">
        <v>1270</v>
      </c>
      <c r="C93" s="32" t="s">
        <v>275</v>
      </c>
      <c r="D93" s="10" t="s">
        <v>1271</v>
      </c>
      <c r="E93" s="54"/>
      <c r="F93" s="39"/>
      <c r="G93" s="39"/>
      <c r="H93" s="55"/>
      <c r="I93" s="56"/>
      <c r="J93" s="56"/>
      <c r="K93" s="56"/>
      <c r="L93" s="56"/>
    </row>
    <row r="94" s="1" customFormat="1" spans="2:12">
      <c r="B94" s="32" t="s">
        <v>1424</v>
      </c>
      <c r="C94" s="32" t="s">
        <v>275</v>
      </c>
      <c r="D94" s="10" t="s">
        <v>1273</v>
      </c>
      <c r="E94" s="54"/>
      <c r="F94" s="39"/>
      <c r="G94" s="39"/>
      <c r="H94" s="55"/>
      <c r="I94" s="56"/>
      <c r="J94" s="56"/>
      <c r="K94" s="56"/>
      <c r="L94" s="56"/>
    </row>
    <row r="95" s="1" customFormat="1" spans="2:12">
      <c r="B95" s="32" t="s">
        <v>2716</v>
      </c>
      <c r="C95" s="32" t="s">
        <v>275</v>
      </c>
      <c r="D95" s="10" t="s">
        <v>2751</v>
      </c>
      <c r="E95" s="54"/>
      <c r="F95" s="39"/>
      <c r="G95" s="39"/>
      <c r="H95" s="55"/>
      <c r="I95" s="56"/>
      <c r="J95" s="56"/>
      <c r="K95" s="56"/>
      <c r="L95" s="56"/>
    </row>
    <row r="96" s="1" customFormat="1" spans="2:12">
      <c r="B96" s="32" t="s">
        <v>2717</v>
      </c>
      <c r="C96" s="32" t="s">
        <v>275</v>
      </c>
      <c r="D96" s="10" t="s">
        <v>2752</v>
      </c>
      <c r="E96" s="54"/>
      <c r="F96" s="39"/>
      <c r="G96" s="39"/>
      <c r="H96" s="55"/>
      <c r="I96" s="56"/>
      <c r="J96" s="56"/>
      <c r="K96" s="56"/>
      <c r="L96" s="56"/>
    </row>
    <row r="97" s="1" customFormat="1" spans="2:12">
      <c r="B97" s="32" t="s">
        <v>1425</v>
      </c>
      <c r="C97" s="32" t="s">
        <v>275</v>
      </c>
      <c r="D97" s="10" t="s">
        <v>1426</v>
      </c>
      <c r="E97" s="54"/>
      <c r="F97" s="39"/>
      <c r="G97" s="39"/>
      <c r="H97" s="55"/>
      <c r="I97" s="56"/>
      <c r="J97" s="56"/>
      <c r="K97" s="56"/>
      <c r="L97" s="56"/>
    </row>
    <row r="98" s="1" customFormat="1" spans="2:12">
      <c r="B98" s="32" t="s">
        <v>2718</v>
      </c>
      <c r="C98" s="32" t="s">
        <v>275</v>
      </c>
      <c r="D98" s="10" t="s">
        <v>2753</v>
      </c>
      <c r="E98" s="54"/>
      <c r="F98" s="39"/>
      <c r="G98" s="39"/>
      <c r="H98" s="55"/>
      <c r="I98" s="56"/>
      <c r="J98" s="56"/>
      <c r="K98" s="56"/>
      <c r="L98" s="56"/>
    </row>
    <row r="99" s="1" customFormat="1" spans="2:12">
      <c r="B99" s="32" t="s">
        <v>2719</v>
      </c>
      <c r="C99" s="32" t="s">
        <v>275</v>
      </c>
      <c r="D99" s="10" t="s">
        <v>2754</v>
      </c>
      <c r="E99" s="54"/>
      <c r="F99" s="39"/>
      <c r="G99" s="39"/>
      <c r="H99" s="55"/>
      <c r="I99" s="56"/>
      <c r="J99" s="56"/>
      <c r="K99" s="56"/>
      <c r="L99" s="56"/>
    </row>
    <row r="100" s="1" customFormat="1" spans="2:12">
      <c r="B100" s="32" t="s">
        <v>1427</v>
      </c>
      <c r="C100" s="32" t="s">
        <v>275</v>
      </c>
      <c r="D100" s="10" t="s">
        <v>1428</v>
      </c>
      <c r="E100" s="54"/>
      <c r="F100" s="39"/>
      <c r="G100" s="39"/>
      <c r="H100" s="55"/>
      <c r="I100" s="56"/>
      <c r="J100" s="56"/>
      <c r="K100" s="56"/>
      <c r="L100" s="56"/>
    </row>
    <row r="101" s="1" customFormat="1" spans="2:12">
      <c r="B101" s="32" t="s">
        <v>1429</v>
      </c>
      <c r="C101" s="32" t="s">
        <v>275</v>
      </c>
      <c r="D101" s="10" t="s">
        <v>2755</v>
      </c>
      <c r="E101" s="54"/>
      <c r="F101" s="39"/>
      <c r="G101" s="39"/>
      <c r="H101" s="55"/>
      <c r="I101" s="56"/>
      <c r="J101" s="56"/>
      <c r="K101" s="56"/>
      <c r="L101" s="56"/>
    </row>
    <row r="102" s="1" customFormat="1" spans="2:12">
      <c r="B102" s="32" t="s">
        <v>2732</v>
      </c>
      <c r="C102" s="32" t="s">
        <v>240</v>
      </c>
      <c r="D102" s="10" t="s">
        <v>2756</v>
      </c>
      <c r="E102" s="54"/>
      <c r="F102" s="39"/>
      <c r="G102" s="39"/>
      <c r="H102" s="55"/>
      <c r="I102" s="56"/>
      <c r="J102" s="56"/>
      <c r="K102" s="56"/>
      <c r="L102" s="56"/>
    </row>
    <row r="103" s="1" customFormat="1" spans="2:12">
      <c r="B103" s="32" t="s">
        <v>2733</v>
      </c>
      <c r="C103" s="32" t="s">
        <v>240</v>
      </c>
      <c r="D103" s="10" t="s">
        <v>2757</v>
      </c>
      <c r="E103" s="54"/>
      <c r="F103" s="39"/>
      <c r="G103" s="39"/>
      <c r="H103" s="55"/>
      <c r="I103" s="56"/>
      <c r="J103" s="56"/>
      <c r="K103" s="56"/>
      <c r="L103" s="56"/>
    </row>
    <row r="104" s="1" customFormat="1" ht="26.4" spans="2:12">
      <c r="B104" s="32" t="s">
        <v>2734</v>
      </c>
      <c r="C104" s="32" t="s">
        <v>240</v>
      </c>
      <c r="D104" s="10" t="s">
        <v>2758</v>
      </c>
      <c r="E104" s="54"/>
      <c r="F104" s="39"/>
      <c r="G104" s="39"/>
      <c r="H104" s="55"/>
      <c r="I104" s="56"/>
      <c r="J104" s="56"/>
      <c r="K104" s="56"/>
      <c r="L104" s="56"/>
    </row>
    <row r="105" s="1" customFormat="1" ht="26.4" spans="2:12">
      <c r="B105" s="32" t="s">
        <v>2735</v>
      </c>
      <c r="C105" s="32" t="s">
        <v>240</v>
      </c>
      <c r="D105" s="10" t="s">
        <v>2759</v>
      </c>
      <c r="E105" s="54"/>
      <c r="F105" s="39"/>
      <c r="G105" s="39"/>
      <c r="H105" s="55"/>
      <c r="I105" s="56"/>
      <c r="J105" s="56"/>
      <c r="K105" s="56"/>
      <c r="L105" s="56"/>
    </row>
    <row r="106" s="1" customFormat="1" spans="2:12">
      <c r="B106" s="32" t="s">
        <v>2721</v>
      </c>
      <c r="C106" s="32" t="s">
        <v>275</v>
      </c>
      <c r="D106" s="10" t="s">
        <v>1432</v>
      </c>
      <c r="E106" s="54"/>
      <c r="F106" s="39"/>
      <c r="G106" s="39"/>
      <c r="H106" s="55"/>
      <c r="I106" s="56"/>
      <c r="J106" s="56"/>
      <c r="K106" s="56"/>
      <c r="L106" s="56"/>
    </row>
    <row r="107" s="1" customFormat="1" spans="2:12">
      <c r="B107" s="32" t="s">
        <v>2722</v>
      </c>
      <c r="C107" s="32" t="s">
        <v>275</v>
      </c>
      <c r="D107" s="10" t="s">
        <v>1434</v>
      </c>
      <c r="E107" s="54"/>
      <c r="F107" s="39"/>
      <c r="G107" s="39"/>
      <c r="H107" s="55"/>
      <c r="I107" s="56"/>
      <c r="J107" s="56"/>
      <c r="K107" s="56"/>
      <c r="L107" s="56"/>
    </row>
    <row r="108" s="1" customFormat="1" spans="2:12">
      <c r="B108" s="32" t="s">
        <v>1435</v>
      </c>
      <c r="C108" s="32" t="s">
        <v>275</v>
      </c>
      <c r="D108" s="10" t="s">
        <v>1436</v>
      </c>
      <c r="E108" s="54"/>
      <c r="F108" s="39"/>
      <c r="G108" s="39"/>
      <c r="H108" s="55"/>
      <c r="I108" s="56"/>
      <c r="J108" s="56"/>
      <c r="K108" s="56"/>
      <c r="L108" s="56"/>
    </row>
    <row r="109" s="1" customFormat="1" spans="2:12">
      <c r="B109" s="32" t="s">
        <v>1437</v>
      </c>
      <c r="C109" s="32" t="s">
        <v>275</v>
      </c>
      <c r="D109" s="10" t="s">
        <v>1438</v>
      </c>
      <c r="E109" s="54"/>
      <c r="F109" s="39"/>
      <c r="G109" s="39"/>
      <c r="H109" s="55"/>
      <c r="I109" s="56"/>
      <c r="J109" s="56"/>
      <c r="K109" s="56"/>
      <c r="L109" s="56"/>
    </row>
    <row r="110" s="1" customFormat="1" spans="2:12">
      <c r="B110" s="32" t="s">
        <v>1768</v>
      </c>
      <c r="C110" s="32" t="s">
        <v>275</v>
      </c>
      <c r="D110" s="10" t="s">
        <v>1769</v>
      </c>
      <c r="E110" s="54"/>
      <c r="F110" s="39"/>
      <c r="G110" s="39"/>
      <c r="H110" s="55"/>
      <c r="I110" s="56"/>
      <c r="J110" s="56"/>
      <c r="K110" s="56"/>
      <c r="L110" s="56"/>
    </row>
    <row r="111" s="1" customFormat="1" spans="2:12">
      <c r="B111" s="32" t="s">
        <v>1770</v>
      </c>
      <c r="C111" s="32" t="s">
        <v>275</v>
      </c>
      <c r="D111" s="10" t="s">
        <v>1771</v>
      </c>
      <c r="E111" s="54"/>
      <c r="F111" s="39"/>
      <c r="G111" s="39"/>
      <c r="H111" s="55"/>
      <c r="I111" s="56"/>
      <c r="J111" s="56"/>
      <c r="K111" s="56"/>
      <c r="L111" s="56"/>
    </row>
    <row r="112" s="1" customFormat="1" spans="2:12">
      <c r="B112" s="32" t="s">
        <v>1773</v>
      </c>
      <c r="C112" s="32" t="s">
        <v>275</v>
      </c>
      <c r="D112" s="10" t="s">
        <v>1774</v>
      </c>
      <c r="E112" s="54"/>
      <c r="F112" s="39"/>
      <c r="G112" s="39"/>
      <c r="H112" s="55"/>
      <c r="I112" s="56"/>
      <c r="J112" s="56"/>
      <c r="K112" s="56"/>
      <c r="L112" s="56"/>
    </row>
    <row r="113" s="1" customFormat="1" spans="2:12">
      <c r="B113" s="32" t="s">
        <v>1775</v>
      </c>
      <c r="C113" s="32" t="s">
        <v>275</v>
      </c>
      <c r="D113" s="10" t="s">
        <v>1776</v>
      </c>
      <c r="E113" s="54"/>
      <c r="F113" s="39"/>
      <c r="G113" s="39"/>
      <c r="H113" s="55"/>
      <c r="I113" s="56"/>
      <c r="J113" s="56"/>
      <c r="K113" s="56"/>
      <c r="L113" s="56"/>
    </row>
    <row r="114" s="1" customFormat="1" spans="2:12">
      <c r="B114" s="32" t="s">
        <v>1777</v>
      </c>
      <c r="C114" s="32" t="s">
        <v>275</v>
      </c>
      <c r="D114" s="10" t="s">
        <v>1778</v>
      </c>
      <c r="E114" s="54"/>
      <c r="F114" s="39"/>
      <c r="G114" s="39"/>
      <c r="H114" s="55"/>
      <c r="I114" s="56"/>
      <c r="J114" s="56"/>
      <c r="K114" s="56"/>
      <c r="L114" s="56"/>
    </row>
    <row r="115" s="1" customFormat="1" spans="2:12">
      <c r="B115" s="32" t="s">
        <v>1779</v>
      </c>
      <c r="C115" s="32" t="s">
        <v>275</v>
      </c>
      <c r="D115" s="10" t="s">
        <v>1780</v>
      </c>
      <c r="E115" s="54"/>
      <c r="F115" s="39"/>
      <c r="G115" s="39"/>
      <c r="H115" s="55"/>
      <c r="I115" s="56"/>
      <c r="J115" s="56"/>
      <c r="K115" s="56"/>
      <c r="L115" s="56"/>
    </row>
    <row r="116" s="1" customFormat="1" spans="2:12">
      <c r="B116" s="32" t="s">
        <v>1782</v>
      </c>
      <c r="C116" s="32" t="s">
        <v>275</v>
      </c>
      <c r="D116" s="10" t="s">
        <v>1783</v>
      </c>
      <c r="E116" s="54"/>
      <c r="F116" s="39"/>
      <c r="G116" s="39"/>
      <c r="H116" s="55"/>
      <c r="I116" s="56"/>
      <c r="J116" s="56"/>
      <c r="K116" s="56"/>
      <c r="L116" s="56"/>
    </row>
    <row r="117" s="1" customFormat="1" spans="2:12">
      <c r="B117" s="32" t="s">
        <v>1784</v>
      </c>
      <c r="C117" s="32" t="s">
        <v>275</v>
      </c>
      <c r="D117" s="10" t="s">
        <v>1785</v>
      </c>
      <c r="E117" s="54"/>
      <c r="F117" s="39"/>
      <c r="G117" s="39"/>
      <c r="H117" s="55"/>
      <c r="I117" s="56"/>
      <c r="J117" s="56"/>
      <c r="K117" s="56"/>
      <c r="L117" s="56"/>
    </row>
    <row r="118" s="1" customFormat="1" spans="2:12">
      <c r="B118" s="32" t="s">
        <v>1786</v>
      </c>
      <c r="C118" s="32" t="s">
        <v>275</v>
      </c>
      <c r="D118" s="10" t="s">
        <v>1787</v>
      </c>
      <c r="E118" s="54"/>
      <c r="F118" s="39"/>
      <c r="G118" s="39"/>
      <c r="H118" s="55"/>
      <c r="I118" s="56"/>
      <c r="J118" s="56"/>
      <c r="K118" s="56"/>
      <c r="L118" s="56"/>
    </row>
    <row r="119" s="1" customFormat="1" spans="2:12">
      <c r="B119" s="32" t="s">
        <v>1788</v>
      </c>
      <c r="C119" s="32" t="s">
        <v>275</v>
      </c>
      <c r="D119" s="10" t="s">
        <v>1789</v>
      </c>
      <c r="E119" s="54"/>
      <c r="F119" s="39"/>
      <c r="G119" s="39"/>
      <c r="H119" s="55"/>
      <c r="I119" s="56"/>
      <c r="J119" s="56"/>
      <c r="K119" s="56"/>
      <c r="L119" s="56"/>
    </row>
    <row r="120" s="1" customFormat="1" spans="2:12">
      <c r="B120" s="32" t="s">
        <v>1790</v>
      </c>
      <c r="C120" s="32" t="s">
        <v>275</v>
      </c>
      <c r="D120" s="10" t="s">
        <v>1791</v>
      </c>
      <c r="E120" s="54"/>
      <c r="F120" s="39"/>
      <c r="G120" s="39"/>
      <c r="H120" s="55"/>
      <c r="I120" s="56"/>
      <c r="J120" s="56"/>
      <c r="K120" s="56"/>
      <c r="L120" s="56"/>
    </row>
    <row r="121" s="1" customFormat="1" spans="2:12">
      <c r="B121" s="32" t="s">
        <v>1792</v>
      </c>
      <c r="C121" s="32" t="s">
        <v>275</v>
      </c>
      <c r="D121" s="10" t="s">
        <v>1793</v>
      </c>
      <c r="E121" s="54"/>
      <c r="F121" s="39"/>
      <c r="G121" s="39"/>
      <c r="H121" s="55"/>
      <c r="I121" s="56"/>
      <c r="J121" s="56"/>
      <c r="K121" s="56"/>
      <c r="L121" s="56"/>
    </row>
    <row r="122" s="1" customFormat="1" spans="2:12">
      <c r="B122" s="32" t="s">
        <v>2694</v>
      </c>
      <c r="C122" s="32" t="s">
        <v>275</v>
      </c>
      <c r="D122" s="10" t="s">
        <v>2695</v>
      </c>
      <c r="E122" s="54"/>
      <c r="F122" s="39"/>
      <c r="G122" s="39"/>
      <c r="H122" s="55"/>
      <c r="I122" s="56"/>
      <c r="J122" s="56"/>
      <c r="K122" s="56"/>
      <c r="L122" s="56"/>
    </row>
    <row r="123" s="1" customFormat="1" spans="2:12">
      <c r="B123" s="32" t="s">
        <v>2760</v>
      </c>
      <c r="C123" s="32" t="s">
        <v>275</v>
      </c>
      <c r="D123" s="10" t="s">
        <v>2697</v>
      </c>
      <c r="E123" s="54"/>
      <c r="F123" s="39"/>
      <c r="G123" s="39"/>
      <c r="H123" s="55"/>
      <c r="I123" s="56"/>
      <c r="J123" s="56"/>
      <c r="K123" s="56"/>
      <c r="L123" s="56"/>
    </row>
    <row r="124" s="1" customFormat="1" ht="26.4" spans="2:12">
      <c r="B124" s="32" t="s">
        <v>1347</v>
      </c>
      <c r="C124" s="32" t="s">
        <v>275</v>
      </c>
      <c r="D124" s="10" t="s">
        <v>2140</v>
      </c>
      <c r="E124" s="54"/>
      <c r="F124" s="39"/>
      <c r="G124" s="39"/>
      <c r="H124" s="55"/>
      <c r="I124" s="56"/>
      <c r="J124" s="56"/>
      <c r="K124" s="56"/>
      <c r="L124" s="56"/>
    </row>
    <row r="125" s="1" customFormat="1" ht="26.4" spans="2:12">
      <c r="B125" s="32" t="s">
        <v>2761</v>
      </c>
      <c r="C125" s="32" t="s">
        <v>275</v>
      </c>
      <c r="D125" s="10" t="s">
        <v>2762</v>
      </c>
      <c r="E125" s="54"/>
      <c r="F125" s="39"/>
      <c r="G125" s="39"/>
      <c r="H125" s="55"/>
      <c r="I125" s="56"/>
      <c r="J125" s="56"/>
      <c r="K125" s="56"/>
      <c r="L125" s="56"/>
    </row>
    <row r="126" s="1" customFormat="1" ht="26.4" spans="2:12">
      <c r="B126" s="32" t="s">
        <v>1349</v>
      </c>
      <c r="C126" s="32" t="s">
        <v>275</v>
      </c>
      <c r="D126" s="10" t="s">
        <v>2141</v>
      </c>
      <c r="E126" s="54"/>
      <c r="F126" s="39"/>
      <c r="G126" s="39"/>
      <c r="H126" s="55"/>
      <c r="I126" s="56"/>
      <c r="J126" s="56"/>
      <c r="K126" s="56"/>
      <c r="L126" s="56"/>
    </row>
    <row r="127" s="1" customFormat="1" ht="26.4" spans="2:12">
      <c r="B127" s="32" t="s">
        <v>2763</v>
      </c>
      <c r="C127" s="32" t="s">
        <v>275</v>
      </c>
      <c r="D127" s="10" t="s">
        <v>2764</v>
      </c>
      <c r="E127" s="54"/>
      <c r="F127" s="39"/>
      <c r="G127" s="39"/>
      <c r="H127" s="55"/>
      <c r="I127" s="56"/>
      <c r="J127" s="56"/>
      <c r="K127" s="56"/>
      <c r="L127" s="56"/>
    </row>
    <row r="128" s="1" customFormat="1" ht="26.4" spans="2:12">
      <c r="B128" s="32" t="s">
        <v>2100</v>
      </c>
      <c r="C128" s="32" t="s">
        <v>275</v>
      </c>
      <c r="D128" s="10" t="s">
        <v>2575</v>
      </c>
      <c r="E128" s="54"/>
      <c r="F128" s="39"/>
      <c r="G128" s="39"/>
      <c r="H128" s="55"/>
      <c r="I128" s="56"/>
      <c r="J128" s="56"/>
      <c r="K128" s="56"/>
      <c r="L128" s="56"/>
    </row>
    <row r="129" s="1" customFormat="1" ht="26.4" spans="2:12">
      <c r="B129" s="32" t="s">
        <v>2698</v>
      </c>
      <c r="C129" s="32" t="s">
        <v>275</v>
      </c>
      <c r="D129" s="10" t="s">
        <v>2699</v>
      </c>
      <c r="E129" s="54"/>
      <c r="F129" s="39"/>
      <c r="G129" s="39"/>
      <c r="H129" s="55"/>
      <c r="I129" s="56"/>
      <c r="J129" s="56"/>
      <c r="K129" s="56"/>
      <c r="L129" s="56"/>
    </row>
    <row r="130" s="1" customFormat="1" spans="2:12">
      <c r="B130" s="32" t="s">
        <v>1798</v>
      </c>
      <c r="C130" s="32" t="s">
        <v>275</v>
      </c>
      <c r="D130" s="10" t="s">
        <v>1799</v>
      </c>
      <c r="E130" s="54"/>
      <c r="F130" s="39"/>
      <c r="G130" s="39"/>
      <c r="H130" s="55"/>
      <c r="I130" s="56"/>
      <c r="J130" s="56"/>
      <c r="K130" s="56"/>
      <c r="L130" s="56"/>
    </row>
    <row r="131" s="1" customFormat="1" ht="26.4" spans="2:12">
      <c r="B131" s="32" t="s">
        <v>2700</v>
      </c>
      <c r="C131" s="32" t="s">
        <v>275</v>
      </c>
      <c r="D131" s="10" t="s">
        <v>2701</v>
      </c>
      <c r="E131" s="54"/>
      <c r="F131" s="39"/>
      <c r="G131" s="39"/>
      <c r="H131" s="55"/>
      <c r="I131" s="56"/>
      <c r="J131" s="56"/>
      <c r="K131" s="56"/>
      <c r="L131" s="56"/>
    </row>
    <row r="132" s="1" customFormat="1" ht="26.4" spans="2:12">
      <c r="B132" s="32" t="s">
        <v>1800</v>
      </c>
      <c r="C132" s="32" t="s">
        <v>275</v>
      </c>
      <c r="D132" s="10" t="s">
        <v>1801</v>
      </c>
      <c r="E132" s="54"/>
      <c r="F132" s="39"/>
      <c r="G132" s="39"/>
      <c r="H132" s="55"/>
      <c r="I132" s="56"/>
      <c r="J132" s="56"/>
      <c r="K132" s="56"/>
      <c r="L132" s="56"/>
    </row>
    <row r="133" s="1" customFormat="1" ht="26.4" spans="2:12">
      <c r="B133" s="32" t="s">
        <v>1802</v>
      </c>
      <c r="C133" s="32" t="s">
        <v>275</v>
      </c>
      <c r="D133" s="10" t="s">
        <v>1803</v>
      </c>
      <c r="E133" s="54"/>
      <c r="F133" s="39"/>
      <c r="G133" s="39"/>
      <c r="H133" s="55"/>
      <c r="I133" s="56"/>
      <c r="J133" s="56"/>
      <c r="K133" s="56"/>
      <c r="L133" s="56"/>
    </row>
    <row r="134" s="1" customFormat="1" ht="26.4" spans="2:12">
      <c r="B134" s="32" t="s">
        <v>1804</v>
      </c>
      <c r="C134" s="32" t="s">
        <v>240</v>
      </c>
      <c r="D134" s="10" t="s">
        <v>1805</v>
      </c>
      <c r="E134" s="54"/>
      <c r="F134" s="39"/>
      <c r="G134" s="39"/>
      <c r="H134" s="55"/>
      <c r="I134" s="56"/>
      <c r="J134" s="56"/>
      <c r="K134" s="56"/>
      <c r="L134" s="56"/>
    </row>
    <row r="135" s="1" customFormat="1" spans="2:12">
      <c r="B135" s="32" t="s">
        <v>1806</v>
      </c>
      <c r="C135" s="32" t="s">
        <v>275</v>
      </c>
      <c r="D135" s="10" t="s">
        <v>1807</v>
      </c>
      <c r="E135" s="54"/>
      <c r="F135" s="39"/>
      <c r="G135" s="39"/>
      <c r="H135" s="55"/>
      <c r="I135" s="56"/>
      <c r="J135" s="56"/>
      <c r="K135" s="56"/>
      <c r="L135" s="56"/>
    </row>
    <row r="136" s="1" customFormat="1" ht="26.4" spans="2:12">
      <c r="B136" s="32" t="s">
        <v>2736</v>
      </c>
      <c r="C136" s="32" t="s">
        <v>275</v>
      </c>
      <c r="D136" s="10" t="s">
        <v>1757</v>
      </c>
      <c r="E136" s="54"/>
      <c r="F136" s="39"/>
      <c r="G136" s="39"/>
      <c r="H136" s="55"/>
      <c r="I136" s="56"/>
      <c r="J136" s="56"/>
      <c r="K136" s="56"/>
      <c r="L136" s="56"/>
    </row>
    <row r="137" s="1" customFormat="1" ht="26.4" spans="2:12">
      <c r="B137" s="32" t="s">
        <v>2737</v>
      </c>
      <c r="C137" s="32" t="s">
        <v>275</v>
      </c>
      <c r="D137" s="10" t="s">
        <v>1759</v>
      </c>
      <c r="E137" s="54"/>
      <c r="F137" s="39"/>
      <c r="G137" s="39"/>
      <c r="H137" s="55"/>
      <c r="I137" s="56"/>
      <c r="J137" s="56"/>
      <c r="K137" s="56"/>
      <c r="L137" s="56"/>
    </row>
    <row r="138" s="1" customFormat="1" ht="26.4" spans="2:12">
      <c r="B138" s="32" t="s">
        <v>2765</v>
      </c>
      <c r="C138" s="32" t="s">
        <v>240</v>
      </c>
      <c r="D138" s="10" t="s">
        <v>1761</v>
      </c>
      <c r="E138" s="54"/>
      <c r="F138" s="39"/>
      <c r="G138" s="39"/>
      <c r="H138" s="55"/>
      <c r="I138" s="56"/>
      <c r="J138" s="56"/>
      <c r="K138" s="56"/>
      <c r="L138" s="56"/>
    </row>
    <row r="139" s="1" customFormat="1" spans="2:12">
      <c r="B139" s="32" t="s">
        <v>1439</v>
      </c>
      <c r="C139" s="32" t="s">
        <v>275</v>
      </c>
      <c r="D139" s="10" t="s">
        <v>1440</v>
      </c>
      <c r="E139" s="54"/>
      <c r="F139" s="39"/>
      <c r="G139" s="39"/>
      <c r="H139" s="55"/>
      <c r="I139" s="56"/>
      <c r="J139" s="56"/>
      <c r="K139" s="56"/>
      <c r="L139" s="56"/>
    </row>
    <row r="140" s="1" customFormat="1" spans="2:12">
      <c r="B140" s="32" t="s">
        <v>1441</v>
      </c>
      <c r="C140" s="32" t="s">
        <v>275</v>
      </c>
      <c r="D140" s="10" t="s">
        <v>1442</v>
      </c>
      <c r="E140" s="54"/>
      <c r="F140" s="39"/>
      <c r="G140" s="39"/>
      <c r="H140" s="55"/>
      <c r="I140" s="56"/>
      <c r="J140" s="56"/>
      <c r="K140" s="56"/>
      <c r="L140" s="56"/>
    </row>
    <row r="141" s="1" customFormat="1" spans="2:12">
      <c r="B141" s="32" t="s">
        <v>1443</v>
      </c>
      <c r="C141" s="32" t="s">
        <v>275</v>
      </c>
      <c r="D141" s="10" t="s">
        <v>1444</v>
      </c>
      <c r="E141" s="54"/>
      <c r="F141" s="39"/>
      <c r="G141" s="39"/>
      <c r="H141" s="55"/>
      <c r="I141" s="56"/>
      <c r="J141" s="56"/>
      <c r="K141" s="56"/>
      <c r="L141" s="56"/>
    </row>
    <row r="142" s="1" customFormat="1" spans="2:12">
      <c r="B142" s="32" t="s">
        <v>1445</v>
      </c>
      <c r="C142" s="32" t="s">
        <v>275</v>
      </c>
      <c r="D142" s="10" t="s">
        <v>1446</v>
      </c>
      <c r="E142" s="54"/>
      <c r="F142" s="39"/>
      <c r="G142" s="39"/>
      <c r="H142" s="55"/>
      <c r="I142" s="56"/>
      <c r="J142" s="56"/>
      <c r="K142" s="56"/>
      <c r="L142" s="56"/>
    </row>
    <row r="143" s="1" customFormat="1" spans="2:12">
      <c r="B143" s="32" t="s">
        <v>1447</v>
      </c>
      <c r="C143" s="32" t="s">
        <v>275</v>
      </c>
      <c r="D143" s="10" t="s">
        <v>1448</v>
      </c>
      <c r="E143" s="54"/>
      <c r="F143" s="39"/>
      <c r="G143" s="39"/>
      <c r="H143" s="55"/>
      <c r="I143" s="56"/>
      <c r="J143" s="56"/>
      <c r="K143" s="56"/>
      <c r="L143" s="56"/>
    </row>
    <row r="144" s="1" customFormat="1" spans="2:12">
      <c r="B144" s="32" t="s">
        <v>1449</v>
      </c>
      <c r="C144" s="32" t="s">
        <v>275</v>
      </c>
      <c r="D144" s="10" t="s">
        <v>1450</v>
      </c>
      <c r="E144" s="54"/>
      <c r="F144" s="39"/>
      <c r="G144" s="39"/>
      <c r="H144" s="55"/>
      <c r="I144" s="56"/>
      <c r="J144" s="56"/>
      <c r="K144" s="56"/>
      <c r="L144" s="56"/>
    </row>
    <row r="145" s="1" customFormat="1" spans="2:12">
      <c r="B145" s="32" t="s">
        <v>2766</v>
      </c>
      <c r="C145" s="32" t="s">
        <v>275</v>
      </c>
      <c r="D145" s="10" t="s">
        <v>2767</v>
      </c>
      <c r="E145" s="54"/>
      <c r="F145" s="39"/>
      <c r="G145" s="39"/>
      <c r="H145" s="55"/>
      <c r="I145" s="56"/>
      <c r="J145" s="56"/>
      <c r="K145" s="56"/>
      <c r="L145" s="56"/>
    </row>
    <row r="146" s="1" customFormat="1" spans="2:12">
      <c r="B146" s="32" t="s">
        <v>1451</v>
      </c>
      <c r="C146" s="32" t="s">
        <v>275</v>
      </c>
      <c r="D146" s="10" t="s">
        <v>2768</v>
      </c>
      <c r="E146" s="54"/>
      <c r="F146" s="39"/>
      <c r="G146" s="39"/>
      <c r="H146" s="55"/>
      <c r="I146" s="56"/>
      <c r="J146" s="56"/>
      <c r="K146" s="56"/>
      <c r="L146" s="56"/>
    </row>
    <row r="147" s="1" customFormat="1" spans="2:12">
      <c r="B147" s="32" t="s">
        <v>1453</v>
      </c>
      <c r="C147" s="32" t="s">
        <v>275</v>
      </c>
      <c r="D147" s="10" t="s">
        <v>2769</v>
      </c>
      <c r="E147" s="54"/>
      <c r="F147" s="39"/>
      <c r="G147" s="39"/>
      <c r="H147" s="55"/>
      <c r="I147" s="56"/>
      <c r="J147" s="56"/>
      <c r="K147" s="56"/>
      <c r="L147" s="56"/>
    </row>
    <row r="148" s="1" customFormat="1" spans="2:12">
      <c r="B148" s="32" t="s">
        <v>1455</v>
      </c>
      <c r="C148" s="32" t="s">
        <v>275</v>
      </c>
      <c r="D148" s="10" t="s">
        <v>2770</v>
      </c>
      <c r="E148" s="54"/>
      <c r="F148" s="39"/>
      <c r="G148" s="39"/>
      <c r="H148" s="55"/>
      <c r="I148" s="56"/>
      <c r="J148" s="56"/>
      <c r="K148" s="56"/>
      <c r="L148" s="56"/>
    </row>
    <row r="149" s="1" customFormat="1" spans="2:12">
      <c r="B149" s="32" t="s">
        <v>1457</v>
      </c>
      <c r="C149" s="32" t="s">
        <v>275</v>
      </c>
      <c r="D149" s="10" t="s">
        <v>2771</v>
      </c>
      <c r="E149" s="54"/>
      <c r="F149" s="39"/>
      <c r="G149" s="39"/>
      <c r="H149" s="55"/>
      <c r="I149" s="56"/>
      <c r="J149" s="56"/>
      <c r="K149" s="56"/>
      <c r="L149" s="56"/>
    </row>
    <row r="150" s="1" customFormat="1" spans="2:12">
      <c r="B150" s="32" t="s">
        <v>1459</v>
      </c>
      <c r="C150" s="32" t="s">
        <v>275</v>
      </c>
      <c r="D150" s="10" t="s">
        <v>2772</v>
      </c>
      <c r="E150" s="54"/>
      <c r="F150" s="39"/>
      <c r="G150" s="39"/>
      <c r="H150" s="55"/>
      <c r="I150" s="56"/>
      <c r="J150" s="56"/>
      <c r="K150" s="56"/>
      <c r="L150" s="56"/>
    </row>
    <row r="151" s="1" customFormat="1" spans="2:12">
      <c r="B151" s="32" t="s">
        <v>1461</v>
      </c>
      <c r="C151" s="32" t="s">
        <v>275</v>
      </c>
      <c r="D151" s="10" t="s">
        <v>2773</v>
      </c>
      <c r="E151" s="54"/>
      <c r="F151" s="39"/>
      <c r="G151" s="39"/>
      <c r="H151" s="55"/>
      <c r="I151" s="56"/>
      <c r="J151" s="56"/>
      <c r="K151" s="56"/>
      <c r="L151" s="56"/>
    </row>
    <row r="152" s="1" customFormat="1" spans="2:12">
      <c r="B152" s="32" t="s">
        <v>1463</v>
      </c>
      <c r="C152" s="32" t="s">
        <v>275</v>
      </c>
      <c r="D152" s="10" t="s">
        <v>1464</v>
      </c>
      <c r="E152" s="54"/>
      <c r="F152" s="39"/>
      <c r="G152" s="39"/>
      <c r="H152" s="55"/>
      <c r="I152" s="56"/>
      <c r="J152" s="56"/>
      <c r="K152" s="56"/>
      <c r="L152" s="56"/>
    </row>
    <row r="153" s="1" customFormat="1" ht="26.4" spans="2:12">
      <c r="B153" s="32" t="s">
        <v>1465</v>
      </c>
      <c r="C153" s="32" t="s">
        <v>275</v>
      </c>
      <c r="D153" s="10" t="s">
        <v>1466</v>
      </c>
      <c r="E153" s="54"/>
      <c r="F153" s="39"/>
      <c r="G153" s="39"/>
      <c r="H153" s="55"/>
      <c r="I153" s="56"/>
      <c r="J153" s="56"/>
      <c r="K153" s="56"/>
      <c r="L153" s="56"/>
    </row>
    <row r="154" s="1" customFormat="1" ht="26.4" spans="2:12">
      <c r="B154" s="32" t="s">
        <v>1467</v>
      </c>
      <c r="C154" s="32" t="s">
        <v>275</v>
      </c>
      <c r="D154" s="10" t="s">
        <v>1468</v>
      </c>
      <c r="E154" s="54"/>
      <c r="F154" s="39"/>
      <c r="G154" s="39"/>
      <c r="H154" s="55"/>
      <c r="I154" s="56"/>
      <c r="J154" s="56"/>
      <c r="K154" s="56"/>
      <c r="L154" s="56"/>
    </row>
    <row r="155" s="1" customFormat="1" ht="26.4" spans="2:12">
      <c r="B155" s="32" t="s">
        <v>1469</v>
      </c>
      <c r="C155" s="32" t="s">
        <v>275</v>
      </c>
      <c r="D155" s="10" t="s">
        <v>1470</v>
      </c>
      <c r="E155" s="54"/>
      <c r="F155" s="39"/>
      <c r="G155" s="39"/>
      <c r="H155" s="55"/>
      <c r="I155" s="56"/>
      <c r="J155" s="56"/>
      <c r="K155" s="56"/>
      <c r="L155" s="56"/>
    </row>
    <row r="156" s="1" customFormat="1" ht="26.4" spans="2:12">
      <c r="B156" s="32" t="s">
        <v>1471</v>
      </c>
      <c r="C156" s="32" t="s">
        <v>275</v>
      </c>
      <c r="D156" s="10" t="s">
        <v>1472</v>
      </c>
      <c r="E156" s="54"/>
      <c r="F156" s="39"/>
      <c r="G156" s="39"/>
      <c r="H156" s="55"/>
      <c r="I156" s="56"/>
      <c r="J156" s="56"/>
      <c r="K156" s="56"/>
      <c r="L156" s="56"/>
    </row>
    <row r="157" s="1" customFormat="1" ht="26.4" spans="2:12">
      <c r="B157" s="32" t="s">
        <v>1473</v>
      </c>
      <c r="C157" s="32" t="s">
        <v>275</v>
      </c>
      <c r="D157" s="10" t="s">
        <v>1474</v>
      </c>
      <c r="E157" s="54"/>
      <c r="F157" s="39"/>
      <c r="G157" s="39"/>
      <c r="H157" s="55"/>
      <c r="I157" s="56"/>
      <c r="J157" s="56"/>
      <c r="K157" s="56"/>
      <c r="L157" s="56"/>
    </row>
    <row r="158" s="1" customFormat="1" spans="2:12">
      <c r="B158" s="32" t="s">
        <v>1475</v>
      </c>
      <c r="C158" s="32" t="s">
        <v>275</v>
      </c>
      <c r="D158" s="10" t="s">
        <v>1476</v>
      </c>
      <c r="E158" s="54"/>
      <c r="F158" s="39"/>
      <c r="G158" s="39"/>
      <c r="H158" s="55"/>
      <c r="I158" s="56"/>
      <c r="J158" s="56"/>
      <c r="K158" s="56"/>
      <c r="L158" s="56"/>
    </row>
    <row r="159" s="1" customFormat="1" spans="2:12">
      <c r="B159" s="32" t="s">
        <v>1477</v>
      </c>
      <c r="C159" s="32" t="s">
        <v>275</v>
      </c>
      <c r="D159" s="10" t="s">
        <v>1478</v>
      </c>
      <c r="E159" s="54"/>
      <c r="F159" s="39"/>
      <c r="G159" s="39"/>
      <c r="H159" s="55"/>
      <c r="I159" s="56"/>
      <c r="J159" s="56"/>
      <c r="K159" s="56"/>
      <c r="L159" s="56"/>
    </row>
    <row r="160" s="1" customFormat="1" spans="2:12">
      <c r="B160" s="32" t="s">
        <v>1479</v>
      </c>
      <c r="C160" s="32" t="s">
        <v>275</v>
      </c>
      <c r="D160" s="10" t="s">
        <v>1480</v>
      </c>
      <c r="E160" s="54"/>
      <c r="F160" s="39"/>
      <c r="G160" s="39"/>
      <c r="H160" s="55"/>
      <c r="I160" s="56"/>
      <c r="J160" s="56"/>
      <c r="K160" s="56"/>
      <c r="L160" s="56"/>
    </row>
    <row r="161" s="1" customFormat="1" spans="2:12">
      <c r="B161" s="32" t="s">
        <v>1481</v>
      </c>
      <c r="C161" s="32" t="s">
        <v>275</v>
      </c>
      <c r="D161" s="10" t="s">
        <v>1482</v>
      </c>
      <c r="E161" s="54"/>
      <c r="F161" s="39"/>
      <c r="G161" s="39"/>
      <c r="H161" s="55"/>
      <c r="I161" s="56"/>
      <c r="J161" s="56"/>
      <c r="K161" s="56"/>
      <c r="L161" s="56"/>
    </row>
    <row r="162" s="1" customFormat="1" spans="2:12">
      <c r="B162" s="32" t="s">
        <v>1483</v>
      </c>
      <c r="C162" s="32" t="s">
        <v>275</v>
      </c>
      <c r="D162" s="10" t="s">
        <v>1484</v>
      </c>
      <c r="E162" s="54"/>
      <c r="F162" s="39"/>
      <c r="G162" s="39"/>
      <c r="H162" s="55"/>
      <c r="I162" s="56"/>
      <c r="J162" s="56"/>
      <c r="K162" s="56"/>
      <c r="L162" s="56"/>
    </row>
    <row r="163" s="1" customFormat="1" spans="2:12">
      <c r="B163" s="32" t="s">
        <v>1485</v>
      </c>
      <c r="C163" s="32" t="s">
        <v>275</v>
      </c>
      <c r="D163" s="10" t="s">
        <v>1486</v>
      </c>
      <c r="E163" s="54"/>
      <c r="F163" s="39"/>
      <c r="G163" s="39"/>
      <c r="H163" s="55"/>
      <c r="I163" s="56"/>
      <c r="J163" s="56"/>
      <c r="K163" s="56"/>
      <c r="L163" s="56"/>
    </row>
    <row r="164" s="1" customFormat="1" spans="2:12">
      <c r="B164" s="32" t="s">
        <v>1487</v>
      </c>
      <c r="C164" s="32" t="s">
        <v>275</v>
      </c>
      <c r="D164" s="10" t="s">
        <v>1488</v>
      </c>
      <c r="E164" s="54"/>
      <c r="F164" s="39"/>
      <c r="G164" s="39"/>
      <c r="H164" s="55"/>
      <c r="I164" s="56"/>
      <c r="J164" s="56"/>
      <c r="K164" s="56"/>
      <c r="L164" s="56"/>
    </row>
    <row r="165" s="1" customFormat="1" spans="2:12">
      <c r="B165" s="32" t="s">
        <v>1489</v>
      </c>
      <c r="C165" s="32" t="s">
        <v>275</v>
      </c>
      <c r="D165" s="10" t="s">
        <v>1490</v>
      </c>
      <c r="E165" s="54"/>
      <c r="F165" s="39"/>
      <c r="G165" s="39"/>
      <c r="H165" s="55"/>
      <c r="I165" s="56"/>
      <c r="J165" s="56"/>
      <c r="K165" s="56"/>
      <c r="L165" s="56"/>
    </row>
    <row r="166" s="1" customFormat="1" spans="2:12">
      <c r="B166" s="32" t="s">
        <v>1491</v>
      </c>
      <c r="C166" s="32" t="s">
        <v>275</v>
      </c>
      <c r="D166" s="10" t="s">
        <v>1492</v>
      </c>
      <c r="E166" s="54"/>
      <c r="F166" s="39"/>
      <c r="G166" s="39"/>
      <c r="H166" s="55"/>
      <c r="I166" s="56"/>
      <c r="J166" s="56"/>
      <c r="K166" s="56"/>
      <c r="L166" s="56"/>
    </row>
    <row r="167" s="1" customFormat="1" spans="2:12">
      <c r="B167" s="32" t="s">
        <v>1493</v>
      </c>
      <c r="C167" s="32" t="s">
        <v>275</v>
      </c>
      <c r="D167" s="10" t="s">
        <v>1494</v>
      </c>
      <c r="E167" s="54"/>
      <c r="F167" s="39"/>
      <c r="G167" s="39"/>
      <c r="H167" s="55"/>
      <c r="I167" s="56"/>
      <c r="J167" s="56"/>
      <c r="K167" s="56"/>
      <c r="L167" s="56"/>
    </row>
    <row r="168" s="1" customFormat="1" spans="2:12">
      <c r="B168" s="32" t="s">
        <v>1495</v>
      </c>
      <c r="C168" s="32" t="s">
        <v>275</v>
      </c>
      <c r="D168" s="10" t="s">
        <v>1496</v>
      </c>
      <c r="E168" s="54"/>
      <c r="F168" s="39"/>
      <c r="G168" s="39"/>
      <c r="H168" s="55"/>
      <c r="I168" s="56"/>
      <c r="J168" s="56"/>
      <c r="K168" s="56"/>
      <c r="L168" s="56"/>
    </row>
    <row r="169" s="1" customFormat="1" spans="2:12">
      <c r="B169" s="32" t="s">
        <v>1497</v>
      </c>
      <c r="C169" s="32" t="s">
        <v>275</v>
      </c>
      <c r="D169" s="10" t="s">
        <v>1498</v>
      </c>
      <c r="E169" s="54"/>
      <c r="F169" s="39"/>
      <c r="G169" s="39"/>
      <c r="H169" s="55"/>
      <c r="I169" s="56"/>
      <c r="J169" s="56"/>
      <c r="K169" s="56"/>
      <c r="L169" s="56"/>
    </row>
    <row r="170" s="1" customFormat="1" ht="26.4" spans="2:12">
      <c r="B170" s="32" t="s">
        <v>1499</v>
      </c>
      <c r="C170" s="32" t="s">
        <v>275</v>
      </c>
      <c r="D170" s="10" t="s">
        <v>1500</v>
      </c>
      <c r="E170" s="54"/>
      <c r="F170" s="39"/>
      <c r="G170" s="39"/>
      <c r="H170" s="55"/>
      <c r="I170" s="56"/>
      <c r="J170" s="56"/>
      <c r="K170" s="56"/>
      <c r="L170" s="56"/>
    </row>
    <row r="171" s="1" customFormat="1" ht="26.4" spans="2:12">
      <c r="B171" s="32" t="s">
        <v>1501</v>
      </c>
      <c r="C171" s="32" t="s">
        <v>275</v>
      </c>
      <c r="D171" s="10" t="s">
        <v>1502</v>
      </c>
      <c r="E171" s="54"/>
      <c r="F171" s="39"/>
      <c r="G171" s="39"/>
      <c r="H171" s="55"/>
      <c r="I171" s="56"/>
      <c r="J171" s="56"/>
      <c r="K171" s="56"/>
      <c r="L171" s="56"/>
    </row>
    <row r="172" s="1" customFormat="1" ht="26.4" spans="2:12">
      <c r="B172" s="32" t="s">
        <v>1503</v>
      </c>
      <c r="C172" s="32" t="s">
        <v>275</v>
      </c>
      <c r="D172" s="10" t="s">
        <v>1504</v>
      </c>
      <c r="E172" s="54"/>
      <c r="F172" s="39"/>
      <c r="G172" s="39"/>
      <c r="H172" s="55"/>
      <c r="I172" s="56"/>
      <c r="J172" s="56"/>
      <c r="K172" s="56"/>
      <c r="L172" s="56"/>
    </row>
    <row r="173" s="1" customFormat="1" ht="26.4" spans="2:12">
      <c r="B173" s="32" t="s">
        <v>1505</v>
      </c>
      <c r="C173" s="32" t="s">
        <v>275</v>
      </c>
      <c r="D173" s="10" t="s">
        <v>1506</v>
      </c>
      <c r="E173" s="54"/>
      <c r="F173" s="39"/>
      <c r="G173" s="39"/>
      <c r="H173" s="55"/>
      <c r="I173" s="56"/>
      <c r="J173" s="56"/>
      <c r="K173" s="56"/>
      <c r="L173" s="56"/>
    </row>
    <row r="174" s="1" customFormat="1" ht="26.4" spans="2:12">
      <c r="B174" s="32" t="s">
        <v>1507</v>
      </c>
      <c r="C174" s="32" t="s">
        <v>275</v>
      </c>
      <c r="D174" s="10" t="s">
        <v>1508</v>
      </c>
      <c r="E174" s="54"/>
      <c r="F174" s="39"/>
      <c r="G174" s="39"/>
      <c r="H174" s="55"/>
      <c r="I174" s="56"/>
      <c r="J174" s="56"/>
      <c r="K174" s="56"/>
      <c r="L174" s="56"/>
    </row>
    <row r="175" s="1" customFormat="1" ht="26.4" spans="2:12">
      <c r="B175" s="32" t="s">
        <v>1509</v>
      </c>
      <c r="C175" s="32" t="s">
        <v>275</v>
      </c>
      <c r="D175" s="10" t="s">
        <v>1510</v>
      </c>
      <c r="E175" s="54"/>
      <c r="F175" s="39"/>
      <c r="G175" s="39"/>
      <c r="H175" s="55"/>
      <c r="I175" s="56"/>
      <c r="J175" s="56"/>
      <c r="K175" s="56"/>
      <c r="L175" s="56"/>
    </row>
    <row r="176" s="1" customFormat="1" ht="26.4" spans="2:12">
      <c r="B176" s="32" t="s">
        <v>1511</v>
      </c>
      <c r="C176" s="32" t="s">
        <v>275</v>
      </c>
      <c r="D176" s="10" t="s">
        <v>1512</v>
      </c>
      <c r="E176" s="54"/>
      <c r="F176" s="39"/>
      <c r="G176" s="39"/>
      <c r="H176" s="55"/>
      <c r="I176" s="56"/>
      <c r="J176" s="56"/>
      <c r="K176" s="56"/>
      <c r="L176" s="56"/>
    </row>
    <row r="177" s="1" customFormat="1" ht="26.4" spans="2:12">
      <c r="B177" s="32" t="s">
        <v>1513</v>
      </c>
      <c r="C177" s="32" t="s">
        <v>275</v>
      </c>
      <c r="D177" s="10" t="s">
        <v>1514</v>
      </c>
      <c r="E177" s="54"/>
      <c r="F177" s="39"/>
      <c r="G177" s="39"/>
      <c r="H177" s="55"/>
      <c r="I177" s="56"/>
      <c r="J177" s="56"/>
      <c r="K177" s="56"/>
      <c r="L177" s="56"/>
    </row>
    <row r="178" s="1" customFormat="1" ht="26.4" spans="2:12">
      <c r="B178" s="32" t="s">
        <v>1515</v>
      </c>
      <c r="C178" s="32" t="s">
        <v>275</v>
      </c>
      <c r="D178" s="10" t="s">
        <v>1516</v>
      </c>
      <c r="E178" s="54"/>
      <c r="F178" s="39"/>
      <c r="G178" s="39"/>
      <c r="H178" s="55"/>
      <c r="I178" s="56"/>
      <c r="J178" s="56"/>
      <c r="K178" s="56"/>
      <c r="L178" s="56"/>
    </row>
    <row r="179" s="1" customFormat="1" ht="26.4" spans="2:12">
      <c r="B179" s="32" t="s">
        <v>1517</v>
      </c>
      <c r="C179" s="32" t="s">
        <v>275</v>
      </c>
      <c r="D179" s="10" t="s">
        <v>1518</v>
      </c>
      <c r="E179" s="54"/>
      <c r="F179" s="39"/>
      <c r="G179" s="39"/>
      <c r="H179" s="55"/>
      <c r="I179" s="56"/>
      <c r="J179" s="56"/>
      <c r="K179" s="56"/>
      <c r="L179" s="56"/>
    </row>
    <row r="180" s="1" customFormat="1" ht="26.4" spans="2:12">
      <c r="B180" s="32" t="s">
        <v>1519</v>
      </c>
      <c r="C180" s="32" t="s">
        <v>275</v>
      </c>
      <c r="D180" s="10" t="s">
        <v>1520</v>
      </c>
      <c r="E180" s="54"/>
      <c r="F180" s="39"/>
      <c r="G180" s="39"/>
      <c r="H180" s="55"/>
      <c r="I180" s="56"/>
      <c r="J180" s="56"/>
      <c r="K180" s="56"/>
      <c r="L180" s="56"/>
    </row>
    <row r="181" s="1" customFormat="1" ht="26.4" spans="2:12">
      <c r="B181" s="32" t="s">
        <v>1521</v>
      </c>
      <c r="C181" s="32" t="s">
        <v>275</v>
      </c>
      <c r="D181" s="10" t="s">
        <v>1522</v>
      </c>
      <c r="E181" s="54"/>
      <c r="F181" s="39"/>
      <c r="G181" s="39"/>
      <c r="H181" s="55"/>
      <c r="I181" s="56"/>
      <c r="J181" s="56"/>
      <c r="K181" s="56"/>
      <c r="L181" s="56"/>
    </row>
    <row r="182" s="1" customFormat="1" spans="2:12">
      <c r="B182" s="32" t="s">
        <v>1583</v>
      </c>
      <c r="C182" s="32" t="s">
        <v>275</v>
      </c>
      <c r="D182" s="10" t="s">
        <v>1584</v>
      </c>
      <c r="E182" s="54"/>
      <c r="F182" s="39"/>
      <c r="G182" s="39"/>
      <c r="H182" s="55"/>
      <c r="I182" s="56"/>
      <c r="J182" s="56"/>
      <c r="K182" s="56"/>
      <c r="L182" s="56"/>
    </row>
    <row r="183" s="1" customFormat="1" spans="2:12">
      <c r="B183" s="32" t="s">
        <v>1585</v>
      </c>
      <c r="C183" s="32" t="s">
        <v>275</v>
      </c>
      <c r="D183" s="10" t="s">
        <v>1586</v>
      </c>
      <c r="E183" s="54"/>
      <c r="F183" s="39"/>
      <c r="G183" s="39"/>
      <c r="H183" s="55"/>
      <c r="I183" s="56"/>
      <c r="J183" s="56"/>
      <c r="K183" s="56"/>
      <c r="L183" s="56"/>
    </row>
    <row r="184" s="1" customFormat="1" spans="2:12">
      <c r="B184" s="32" t="s">
        <v>1587</v>
      </c>
      <c r="C184" s="32" t="s">
        <v>275</v>
      </c>
      <c r="D184" s="10" t="s">
        <v>1588</v>
      </c>
      <c r="E184" s="54"/>
      <c r="F184" s="39"/>
      <c r="G184" s="39"/>
      <c r="H184" s="55"/>
      <c r="I184" s="56"/>
      <c r="J184" s="56"/>
      <c r="K184" s="56"/>
      <c r="L184" s="56"/>
    </row>
    <row r="185" s="1" customFormat="1" spans="2:12">
      <c r="B185" s="32" t="s">
        <v>1589</v>
      </c>
      <c r="C185" s="32" t="s">
        <v>275</v>
      </c>
      <c r="D185" s="10" t="s">
        <v>1590</v>
      </c>
      <c r="E185" s="54"/>
      <c r="F185" s="39"/>
      <c r="G185" s="39"/>
      <c r="H185" s="55"/>
      <c r="I185" s="56"/>
      <c r="J185" s="56"/>
      <c r="K185" s="56"/>
      <c r="L185" s="56"/>
    </row>
    <row r="186" s="1" customFormat="1" spans="2:12">
      <c r="B186" s="32" t="s">
        <v>1591</v>
      </c>
      <c r="C186" s="32" t="s">
        <v>275</v>
      </c>
      <c r="D186" s="10" t="s">
        <v>1592</v>
      </c>
      <c r="E186" s="54"/>
      <c r="F186" s="39"/>
      <c r="G186" s="39"/>
      <c r="H186" s="55"/>
      <c r="I186" s="56"/>
      <c r="J186" s="56"/>
      <c r="K186" s="56"/>
      <c r="L186" s="56"/>
    </row>
    <row r="187" s="1" customFormat="1" spans="2:12">
      <c r="B187" s="32" t="s">
        <v>1593</v>
      </c>
      <c r="C187" s="32" t="s">
        <v>275</v>
      </c>
      <c r="D187" s="10" t="s">
        <v>1594</v>
      </c>
      <c r="E187" s="54"/>
      <c r="F187" s="39"/>
      <c r="G187" s="39"/>
      <c r="H187" s="55"/>
      <c r="I187" s="56"/>
      <c r="J187" s="56"/>
      <c r="K187" s="56"/>
      <c r="L187" s="56"/>
    </row>
    <row r="188" s="1" customFormat="1" ht="26.4" spans="2:12">
      <c r="B188" s="32" t="s">
        <v>2774</v>
      </c>
      <c r="C188" s="32" t="s">
        <v>275</v>
      </c>
      <c r="D188" s="10" t="s">
        <v>2775</v>
      </c>
      <c r="E188" s="54"/>
      <c r="F188" s="39"/>
      <c r="G188" s="39"/>
      <c r="H188" s="55"/>
      <c r="I188" s="56"/>
      <c r="J188" s="56"/>
      <c r="K188" s="56"/>
      <c r="L188" s="56"/>
    </row>
    <row r="189" s="1" customFormat="1" ht="26.4" spans="2:12">
      <c r="B189" s="32" t="s">
        <v>2776</v>
      </c>
      <c r="C189" s="32" t="s">
        <v>275</v>
      </c>
      <c r="D189" s="10" t="s">
        <v>2777</v>
      </c>
      <c r="E189" s="54"/>
      <c r="F189" s="39"/>
      <c r="G189" s="39"/>
      <c r="H189" s="55"/>
      <c r="I189" s="56"/>
      <c r="J189" s="56"/>
      <c r="K189" s="56"/>
      <c r="L189" s="56"/>
    </row>
    <row r="190" s="1" customFormat="1" ht="26.4" spans="2:12">
      <c r="B190" s="32" t="s">
        <v>2778</v>
      </c>
      <c r="C190" s="32" t="s">
        <v>275</v>
      </c>
      <c r="D190" s="10" t="s">
        <v>2779</v>
      </c>
      <c r="E190" s="54"/>
      <c r="F190" s="39"/>
      <c r="G190" s="39"/>
      <c r="H190" s="55"/>
      <c r="I190" s="56"/>
      <c r="J190" s="56"/>
      <c r="K190" s="56"/>
      <c r="L190" s="56"/>
    </row>
    <row r="191" s="1" customFormat="1" ht="26.4" spans="2:12">
      <c r="B191" s="32" t="s">
        <v>2780</v>
      </c>
      <c r="C191" s="32" t="s">
        <v>275</v>
      </c>
      <c r="D191" s="10" t="s">
        <v>2781</v>
      </c>
      <c r="E191" s="54"/>
      <c r="F191" s="39"/>
      <c r="G191" s="39"/>
      <c r="H191" s="55"/>
      <c r="I191" s="56"/>
      <c r="J191" s="56"/>
      <c r="K191" s="56"/>
      <c r="L191" s="56"/>
    </row>
    <row r="192" s="1" customFormat="1" ht="26.4" spans="2:12">
      <c r="B192" s="32" t="s">
        <v>2782</v>
      </c>
      <c r="C192" s="32" t="s">
        <v>275</v>
      </c>
      <c r="D192" s="10" t="s">
        <v>2783</v>
      </c>
      <c r="E192" s="54"/>
      <c r="F192" s="39"/>
      <c r="G192" s="39"/>
      <c r="H192" s="55"/>
      <c r="I192" s="56"/>
      <c r="J192" s="56"/>
      <c r="K192" s="56"/>
      <c r="L192" s="56"/>
    </row>
    <row r="193" s="1" customFormat="1" ht="26.4" spans="2:12">
      <c r="B193" s="32" t="s">
        <v>2784</v>
      </c>
      <c r="C193" s="32" t="s">
        <v>275</v>
      </c>
      <c r="D193" s="10" t="s">
        <v>2785</v>
      </c>
      <c r="E193" s="54"/>
      <c r="F193" s="39"/>
      <c r="G193" s="39"/>
      <c r="H193" s="55"/>
      <c r="I193" s="56"/>
      <c r="J193" s="56"/>
      <c r="K193" s="56"/>
      <c r="L193" s="56"/>
    </row>
    <row r="194" s="1" customFormat="1" spans="2:12">
      <c r="B194" s="32" t="s">
        <v>1595</v>
      </c>
      <c r="C194" s="32" t="s">
        <v>275</v>
      </c>
      <c r="D194" s="10" t="s">
        <v>1596</v>
      </c>
      <c r="E194" s="54"/>
      <c r="F194" s="39"/>
      <c r="G194" s="39"/>
      <c r="H194" s="55"/>
      <c r="I194" s="56"/>
      <c r="J194" s="56"/>
      <c r="K194" s="56"/>
      <c r="L194" s="56"/>
    </row>
    <row r="195" s="1" customFormat="1" spans="2:12">
      <c r="B195" s="32" t="s">
        <v>1597</v>
      </c>
      <c r="C195" s="32" t="s">
        <v>275</v>
      </c>
      <c r="D195" s="10" t="s">
        <v>1598</v>
      </c>
      <c r="E195" s="54"/>
      <c r="F195" s="39"/>
      <c r="G195" s="39"/>
      <c r="H195" s="55"/>
      <c r="I195" s="56"/>
      <c r="J195" s="56"/>
      <c r="K195" s="56"/>
      <c r="L195" s="56"/>
    </row>
    <row r="196" s="1" customFormat="1" spans="2:12">
      <c r="B196" s="32" t="s">
        <v>1599</v>
      </c>
      <c r="C196" s="32" t="s">
        <v>275</v>
      </c>
      <c r="D196" s="10" t="s">
        <v>1600</v>
      </c>
      <c r="E196" s="54"/>
      <c r="F196" s="39"/>
      <c r="G196" s="39"/>
      <c r="H196" s="55"/>
      <c r="I196" s="56"/>
      <c r="J196" s="56"/>
      <c r="K196" s="56"/>
      <c r="L196" s="56"/>
    </row>
    <row r="197" s="1" customFormat="1" spans="2:12">
      <c r="B197" s="32" t="s">
        <v>1601</v>
      </c>
      <c r="C197" s="32" t="s">
        <v>275</v>
      </c>
      <c r="D197" s="10" t="s">
        <v>1602</v>
      </c>
      <c r="E197" s="54"/>
      <c r="F197" s="39"/>
      <c r="G197" s="39"/>
      <c r="H197" s="55"/>
      <c r="I197" s="56"/>
      <c r="J197" s="56"/>
      <c r="K197" s="56"/>
      <c r="L197" s="56"/>
    </row>
    <row r="198" s="1" customFormat="1" spans="2:12">
      <c r="B198" s="32" t="s">
        <v>1603</v>
      </c>
      <c r="C198" s="32" t="s">
        <v>275</v>
      </c>
      <c r="D198" s="10" t="s">
        <v>1604</v>
      </c>
      <c r="E198" s="54"/>
      <c r="F198" s="39"/>
      <c r="G198" s="39"/>
      <c r="H198" s="55"/>
      <c r="I198" s="56"/>
      <c r="J198" s="56"/>
      <c r="K198" s="56"/>
      <c r="L198" s="56"/>
    </row>
    <row r="199" s="1" customFormat="1" spans="2:12">
      <c r="B199" s="32" t="s">
        <v>1605</v>
      </c>
      <c r="C199" s="32" t="s">
        <v>275</v>
      </c>
      <c r="D199" s="10" t="s">
        <v>1606</v>
      </c>
      <c r="E199" s="54"/>
      <c r="F199" s="39"/>
      <c r="G199" s="39"/>
      <c r="H199" s="55"/>
      <c r="I199" s="56"/>
      <c r="J199" s="56"/>
      <c r="K199" s="56"/>
      <c r="L199" s="56"/>
    </row>
    <row r="200" s="1" customFormat="1" spans="2:12">
      <c r="B200" s="32" t="s">
        <v>1607</v>
      </c>
      <c r="C200" s="32" t="s">
        <v>275</v>
      </c>
      <c r="D200" s="10" t="s">
        <v>1608</v>
      </c>
      <c r="E200" s="54"/>
      <c r="F200" s="39"/>
      <c r="G200" s="39"/>
      <c r="H200" s="55"/>
      <c r="I200" s="56"/>
      <c r="J200" s="56"/>
      <c r="K200" s="56"/>
      <c r="L200" s="56"/>
    </row>
    <row r="201" s="1" customFormat="1" spans="2:12">
      <c r="B201" s="32" t="s">
        <v>1609</v>
      </c>
      <c r="C201" s="32" t="s">
        <v>275</v>
      </c>
      <c r="D201" s="10" t="s">
        <v>1610</v>
      </c>
      <c r="E201" s="54"/>
      <c r="F201" s="39"/>
      <c r="G201" s="39"/>
      <c r="H201" s="55"/>
      <c r="I201" s="56"/>
      <c r="J201" s="56"/>
      <c r="K201" s="56"/>
      <c r="L201" s="56"/>
    </row>
    <row r="202" s="1" customFormat="1" spans="2:12">
      <c r="B202" s="32" t="s">
        <v>1611</v>
      </c>
      <c r="C202" s="32" t="s">
        <v>275</v>
      </c>
      <c r="D202" s="10" t="s">
        <v>1612</v>
      </c>
      <c r="E202" s="54"/>
      <c r="F202" s="39"/>
      <c r="G202" s="39"/>
      <c r="H202" s="55"/>
      <c r="I202" s="56"/>
      <c r="J202" s="56"/>
      <c r="K202" s="56"/>
      <c r="L202" s="56"/>
    </row>
    <row r="203" s="1" customFormat="1" spans="2:12">
      <c r="B203" s="32" t="s">
        <v>1613</v>
      </c>
      <c r="C203" s="32" t="s">
        <v>275</v>
      </c>
      <c r="D203" s="10" t="s">
        <v>1614</v>
      </c>
      <c r="E203" s="54"/>
      <c r="F203" s="39"/>
      <c r="G203" s="39"/>
      <c r="H203" s="55"/>
      <c r="I203" s="56"/>
      <c r="J203" s="56"/>
      <c r="K203" s="56"/>
      <c r="L203" s="56"/>
    </row>
    <row r="204" s="1" customFormat="1" spans="2:12">
      <c r="B204" s="32" t="s">
        <v>1615</v>
      </c>
      <c r="C204" s="32" t="s">
        <v>275</v>
      </c>
      <c r="D204" s="10" t="s">
        <v>1616</v>
      </c>
      <c r="E204" s="54"/>
      <c r="F204" s="39"/>
      <c r="G204" s="39"/>
      <c r="H204" s="55"/>
      <c r="I204" s="56"/>
      <c r="J204" s="56"/>
      <c r="K204" s="56"/>
      <c r="L204" s="56"/>
    </row>
    <row r="205" s="1" customFormat="1" spans="2:12">
      <c r="B205" s="32" t="s">
        <v>1617</v>
      </c>
      <c r="C205" s="32" t="s">
        <v>275</v>
      </c>
      <c r="D205" s="10" t="s">
        <v>1618</v>
      </c>
      <c r="E205" s="54"/>
      <c r="F205" s="39"/>
      <c r="G205" s="39"/>
      <c r="H205" s="55"/>
      <c r="I205" s="56"/>
      <c r="J205" s="56"/>
      <c r="K205" s="56"/>
      <c r="L205" s="56"/>
    </row>
    <row r="206" s="1" customFormat="1" spans="2:12">
      <c r="B206" s="32" t="s">
        <v>1619</v>
      </c>
      <c r="C206" s="32" t="s">
        <v>275</v>
      </c>
      <c r="D206" s="10" t="s">
        <v>1620</v>
      </c>
      <c r="E206" s="54"/>
      <c r="F206" s="39"/>
      <c r="G206" s="39"/>
      <c r="H206" s="55"/>
      <c r="I206" s="56"/>
      <c r="J206" s="56"/>
      <c r="K206" s="56"/>
      <c r="L206" s="56"/>
    </row>
    <row r="207" s="1" customFormat="1" spans="2:12">
      <c r="B207" s="32" t="s">
        <v>1621</v>
      </c>
      <c r="C207" s="32" t="s">
        <v>275</v>
      </c>
      <c r="D207" s="10" t="s">
        <v>1622</v>
      </c>
      <c r="E207" s="54"/>
      <c r="F207" s="39"/>
      <c r="G207" s="39"/>
      <c r="H207" s="55"/>
      <c r="I207" s="56"/>
      <c r="J207" s="56"/>
      <c r="K207" s="56"/>
      <c r="L207" s="56"/>
    </row>
    <row r="208" s="1" customFormat="1" spans="2:12">
      <c r="B208" s="32" t="s">
        <v>1623</v>
      </c>
      <c r="C208" s="32" t="s">
        <v>275</v>
      </c>
      <c r="D208" s="10" t="s">
        <v>1624</v>
      </c>
      <c r="E208" s="54"/>
      <c r="F208" s="39"/>
      <c r="G208" s="39"/>
      <c r="H208" s="55"/>
      <c r="I208" s="56"/>
      <c r="J208" s="56"/>
      <c r="K208" s="56"/>
      <c r="L208" s="56"/>
    </row>
    <row r="209" s="1" customFormat="1" spans="2:12">
      <c r="B209" s="32" t="s">
        <v>1625</v>
      </c>
      <c r="C209" s="32" t="s">
        <v>275</v>
      </c>
      <c r="D209" s="10" t="s">
        <v>1626</v>
      </c>
      <c r="E209" s="54"/>
      <c r="F209" s="39"/>
      <c r="G209" s="39"/>
      <c r="H209" s="55"/>
      <c r="I209" s="56"/>
      <c r="J209" s="56"/>
      <c r="K209" s="56"/>
      <c r="L209" s="56"/>
    </row>
    <row r="210" s="1" customFormat="1" spans="2:12">
      <c r="B210" s="32" t="s">
        <v>1627</v>
      </c>
      <c r="C210" s="32" t="s">
        <v>275</v>
      </c>
      <c r="D210" s="10" t="s">
        <v>1628</v>
      </c>
      <c r="E210" s="54"/>
      <c r="F210" s="39"/>
      <c r="G210" s="39"/>
      <c r="H210" s="55"/>
      <c r="I210" s="56"/>
      <c r="J210" s="56"/>
      <c r="K210" s="56"/>
      <c r="L210" s="56"/>
    </row>
    <row r="211" s="1" customFormat="1" spans="2:12">
      <c r="B211" s="32" t="s">
        <v>1629</v>
      </c>
      <c r="C211" s="32" t="s">
        <v>275</v>
      </c>
      <c r="D211" s="10" t="s">
        <v>1630</v>
      </c>
      <c r="E211" s="54"/>
      <c r="F211" s="39"/>
      <c r="G211" s="39"/>
      <c r="H211" s="55"/>
      <c r="I211" s="56"/>
      <c r="J211" s="56"/>
      <c r="K211" s="56"/>
      <c r="L211" s="56"/>
    </row>
    <row r="212" s="1" customFormat="1" spans="2:12">
      <c r="B212" s="32" t="s">
        <v>1631</v>
      </c>
      <c r="C212" s="32" t="s">
        <v>275</v>
      </c>
      <c r="D212" s="10" t="s">
        <v>1632</v>
      </c>
      <c r="E212" s="54"/>
      <c r="F212" s="39"/>
      <c r="G212" s="39"/>
      <c r="H212" s="55"/>
      <c r="I212" s="56"/>
      <c r="J212" s="56"/>
      <c r="K212" s="56"/>
      <c r="L212" s="56"/>
    </row>
    <row r="213" s="1" customFormat="1" ht="26.4" spans="2:12">
      <c r="B213" s="32" t="s">
        <v>1633</v>
      </c>
      <c r="C213" s="32" t="s">
        <v>275</v>
      </c>
      <c r="D213" s="10" t="s">
        <v>1634</v>
      </c>
      <c r="E213" s="54"/>
      <c r="F213" s="39"/>
      <c r="G213" s="39"/>
      <c r="H213" s="55"/>
      <c r="I213" s="56"/>
      <c r="J213" s="56"/>
      <c r="K213" s="56"/>
      <c r="L213" s="56"/>
    </row>
    <row r="214" s="1" customFormat="1" ht="26.4" spans="2:12">
      <c r="B214" s="32" t="s">
        <v>1635</v>
      </c>
      <c r="C214" s="32" t="s">
        <v>275</v>
      </c>
      <c r="D214" s="10" t="s">
        <v>1636</v>
      </c>
      <c r="E214" s="54"/>
      <c r="F214" s="39"/>
      <c r="G214" s="39"/>
      <c r="H214" s="55"/>
      <c r="I214" s="56"/>
      <c r="J214" s="56"/>
      <c r="K214" s="56"/>
      <c r="L214" s="56"/>
    </row>
    <row r="215" s="1" customFormat="1" ht="26.4" spans="2:12">
      <c r="B215" s="32" t="s">
        <v>1637</v>
      </c>
      <c r="C215" s="32" t="s">
        <v>275</v>
      </c>
      <c r="D215" s="10" t="s">
        <v>1638</v>
      </c>
      <c r="E215" s="54"/>
      <c r="F215" s="39"/>
      <c r="G215" s="39"/>
      <c r="H215" s="55"/>
      <c r="I215" s="56"/>
      <c r="J215" s="56"/>
      <c r="K215" s="56"/>
      <c r="L215" s="56"/>
    </row>
    <row r="216" s="1" customFormat="1" ht="26.4" spans="2:12">
      <c r="B216" s="32" t="s">
        <v>1639</v>
      </c>
      <c r="C216" s="32" t="s">
        <v>275</v>
      </c>
      <c r="D216" s="10" t="s">
        <v>1640</v>
      </c>
      <c r="E216" s="54"/>
      <c r="F216" s="39"/>
      <c r="G216" s="39"/>
      <c r="H216" s="55"/>
      <c r="I216" s="56"/>
      <c r="J216" s="56"/>
      <c r="K216" s="56"/>
      <c r="L216" s="56"/>
    </row>
    <row r="217" s="1" customFormat="1" ht="26.4" spans="2:12">
      <c r="B217" s="32" t="s">
        <v>1641</v>
      </c>
      <c r="C217" s="32" t="s">
        <v>275</v>
      </c>
      <c r="D217" s="10" t="s">
        <v>1642</v>
      </c>
      <c r="E217" s="54"/>
      <c r="F217" s="39"/>
      <c r="G217" s="39"/>
      <c r="H217" s="55"/>
      <c r="I217" s="56"/>
      <c r="J217" s="56"/>
      <c r="K217" s="56"/>
      <c r="L217" s="56"/>
    </row>
    <row r="218" s="1" customFormat="1" spans="2:12">
      <c r="B218" s="32" t="s">
        <v>1643</v>
      </c>
      <c r="C218" s="32" t="s">
        <v>275</v>
      </c>
      <c r="D218" s="10" t="s">
        <v>1644</v>
      </c>
      <c r="E218" s="54"/>
      <c r="F218" s="39"/>
      <c r="G218" s="39"/>
      <c r="H218" s="55"/>
      <c r="I218" s="56"/>
      <c r="J218" s="56"/>
      <c r="K218" s="56"/>
      <c r="L218" s="56"/>
    </row>
    <row r="219" s="1" customFormat="1" spans="2:12">
      <c r="B219" s="32" t="s">
        <v>1645</v>
      </c>
      <c r="C219" s="32" t="s">
        <v>275</v>
      </c>
      <c r="D219" s="10" t="s">
        <v>1646</v>
      </c>
      <c r="E219" s="54"/>
      <c r="F219" s="39"/>
      <c r="G219" s="39"/>
      <c r="H219" s="55"/>
      <c r="I219" s="56"/>
      <c r="J219" s="56"/>
      <c r="K219" s="56"/>
      <c r="L219" s="56"/>
    </row>
    <row r="220" s="1" customFormat="1" spans="2:12">
      <c r="B220" s="32" t="s">
        <v>1647</v>
      </c>
      <c r="C220" s="32" t="s">
        <v>275</v>
      </c>
      <c r="D220" s="10" t="s">
        <v>1648</v>
      </c>
      <c r="E220" s="54"/>
      <c r="F220" s="39"/>
      <c r="G220" s="39"/>
      <c r="H220" s="55"/>
      <c r="I220" s="56"/>
      <c r="J220" s="56"/>
      <c r="K220" s="56"/>
      <c r="L220" s="56"/>
    </row>
    <row r="221" s="1" customFormat="1" spans="2:12">
      <c r="B221" s="32" t="s">
        <v>1649</v>
      </c>
      <c r="C221" s="32" t="s">
        <v>275</v>
      </c>
      <c r="D221" s="10" t="s">
        <v>1650</v>
      </c>
      <c r="E221" s="54"/>
      <c r="F221" s="39"/>
      <c r="G221" s="39"/>
      <c r="H221" s="55"/>
      <c r="I221" s="56"/>
      <c r="J221" s="56"/>
      <c r="K221" s="56"/>
      <c r="L221" s="56"/>
    </row>
    <row r="222" s="1" customFormat="1" spans="2:12">
      <c r="B222" s="32" t="s">
        <v>1651</v>
      </c>
      <c r="C222" s="32" t="s">
        <v>275</v>
      </c>
      <c r="D222" s="10" t="s">
        <v>1652</v>
      </c>
      <c r="E222" s="54"/>
      <c r="F222" s="39"/>
      <c r="G222" s="39"/>
      <c r="H222" s="55"/>
      <c r="I222" s="56"/>
      <c r="J222" s="56"/>
      <c r="K222" s="56"/>
      <c r="L222" s="56"/>
    </row>
    <row r="223" s="1" customFormat="1" spans="2:12">
      <c r="B223" s="32" t="s">
        <v>1653</v>
      </c>
      <c r="C223" s="32" t="s">
        <v>275</v>
      </c>
      <c r="D223" s="10" t="s">
        <v>1654</v>
      </c>
      <c r="E223" s="54"/>
      <c r="F223" s="39"/>
      <c r="G223" s="39"/>
      <c r="H223" s="55"/>
      <c r="I223" s="56"/>
      <c r="J223" s="56"/>
      <c r="K223" s="56"/>
      <c r="L223" s="56"/>
    </row>
    <row r="224" s="1" customFormat="1" spans="2:12">
      <c r="B224" s="32" t="s">
        <v>1655</v>
      </c>
      <c r="C224" s="32" t="s">
        <v>275</v>
      </c>
      <c r="D224" s="10" t="s">
        <v>1656</v>
      </c>
      <c r="E224" s="54"/>
      <c r="F224" s="39"/>
      <c r="G224" s="39"/>
      <c r="H224" s="55"/>
      <c r="I224" s="56"/>
      <c r="J224" s="56"/>
      <c r="K224" s="56"/>
      <c r="L224" s="56"/>
    </row>
    <row r="225" s="1" customFormat="1" spans="2:12">
      <c r="B225" s="32" t="s">
        <v>1657</v>
      </c>
      <c r="C225" s="32" t="s">
        <v>275</v>
      </c>
      <c r="D225" s="10" t="s">
        <v>1658</v>
      </c>
      <c r="E225" s="54"/>
      <c r="F225" s="39"/>
      <c r="G225" s="39"/>
      <c r="H225" s="55"/>
      <c r="I225" s="56"/>
      <c r="J225" s="56"/>
      <c r="K225" s="56"/>
      <c r="L225" s="56"/>
    </row>
    <row r="226" s="1" customFormat="1" spans="2:12">
      <c r="B226" s="32" t="s">
        <v>1659</v>
      </c>
      <c r="C226" s="32" t="s">
        <v>275</v>
      </c>
      <c r="D226" s="10" t="s">
        <v>1660</v>
      </c>
      <c r="E226" s="54"/>
      <c r="F226" s="39"/>
      <c r="G226" s="39"/>
      <c r="H226" s="55"/>
      <c r="I226" s="56"/>
      <c r="J226" s="56"/>
      <c r="K226" s="56"/>
      <c r="L226" s="56"/>
    </row>
    <row r="227" s="1" customFormat="1" spans="2:12">
      <c r="B227" s="32" t="s">
        <v>1661</v>
      </c>
      <c r="C227" s="32" t="s">
        <v>275</v>
      </c>
      <c r="D227" s="10" t="s">
        <v>1662</v>
      </c>
      <c r="E227" s="54"/>
      <c r="F227" s="39"/>
      <c r="G227" s="39"/>
      <c r="H227" s="55"/>
      <c r="I227" s="56"/>
      <c r="J227" s="56"/>
      <c r="K227" s="56"/>
      <c r="L227" s="56"/>
    </row>
    <row r="228" s="1" customFormat="1" spans="2:12">
      <c r="B228" s="32" t="s">
        <v>1663</v>
      </c>
      <c r="C228" s="32" t="s">
        <v>275</v>
      </c>
      <c r="D228" s="10" t="s">
        <v>1664</v>
      </c>
      <c r="E228" s="54"/>
      <c r="F228" s="39"/>
      <c r="G228" s="39"/>
      <c r="H228" s="55"/>
      <c r="I228" s="56"/>
      <c r="J228" s="56"/>
      <c r="K228" s="56"/>
      <c r="L228" s="56"/>
    </row>
    <row r="229" s="1" customFormat="1" spans="2:12">
      <c r="B229" s="32" t="s">
        <v>1665</v>
      </c>
      <c r="C229" s="32" t="s">
        <v>275</v>
      </c>
      <c r="D229" s="10" t="s">
        <v>1666</v>
      </c>
      <c r="E229" s="54"/>
      <c r="F229" s="39"/>
      <c r="G229" s="39"/>
      <c r="H229" s="55"/>
      <c r="I229" s="56"/>
      <c r="J229" s="56"/>
      <c r="K229" s="56"/>
      <c r="L229" s="56"/>
    </row>
    <row r="230" s="1" customFormat="1" spans="2:12">
      <c r="B230" s="32" t="s">
        <v>1667</v>
      </c>
      <c r="C230" s="32" t="s">
        <v>275</v>
      </c>
      <c r="D230" s="10" t="s">
        <v>1668</v>
      </c>
      <c r="E230" s="54"/>
      <c r="F230" s="39"/>
      <c r="G230" s="39"/>
      <c r="H230" s="55"/>
      <c r="I230" s="56"/>
      <c r="J230" s="56"/>
      <c r="K230" s="56"/>
      <c r="L230" s="56"/>
    </row>
    <row r="231" s="1" customFormat="1" ht="26.4" spans="2:12">
      <c r="B231" s="32" t="s">
        <v>1669</v>
      </c>
      <c r="C231" s="32" t="s">
        <v>275</v>
      </c>
      <c r="D231" s="10" t="s">
        <v>1670</v>
      </c>
      <c r="E231" s="54"/>
      <c r="F231" s="39"/>
      <c r="G231" s="39"/>
      <c r="H231" s="55"/>
      <c r="I231" s="56"/>
      <c r="J231" s="56"/>
      <c r="K231" s="56"/>
      <c r="L231" s="56"/>
    </row>
    <row r="232" s="1" customFormat="1" ht="26.4" spans="2:12">
      <c r="B232" s="32" t="s">
        <v>1671</v>
      </c>
      <c r="C232" s="32" t="s">
        <v>275</v>
      </c>
      <c r="D232" s="10" t="s">
        <v>1672</v>
      </c>
      <c r="E232" s="54"/>
      <c r="F232" s="39"/>
      <c r="G232" s="39"/>
      <c r="H232" s="55"/>
      <c r="I232" s="56"/>
      <c r="J232" s="56"/>
      <c r="K232" s="56"/>
      <c r="L232" s="56"/>
    </row>
    <row r="233" s="1" customFormat="1" ht="26.4" spans="2:12">
      <c r="B233" s="32" t="s">
        <v>1673</v>
      </c>
      <c r="C233" s="32" t="s">
        <v>275</v>
      </c>
      <c r="D233" s="10" t="s">
        <v>1674</v>
      </c>
      <c r="E233" s="54"/>
      <c r="F233" s="39"/>
      <c r="G233" s="39"/>
      <c r="H233" s="55"/>
      <c r="I233" s="56"/>
      <c r="J233" s="56"/>
      <c r="K233" s="56"/>
      <c r="L233" s="56"/>
    </row>
    <row r="234" s="1" customFormat="1" ht="26.4" spans="2:12">
      <c r="B234" s="32" t="s">
        <v>1675</v>
      </c>
      <c r="C234" s="32" t="s">
        <v>275</v>
      </c>
      <c r="D234" s="10" t="s">
        <v>1676</v>
      </c>
      <c r="E234" s="54"/>
      <c r="F234" s="39"/>
      <c r="G234" s="39"/>
      <c r="H234" s="55"/>
      <c r="I234" s="56"/>
      <c r="J234" s="56"/>
      <c r="K234" s="56"/>
      <c r="L234" s="56"/>
    </row>
    <row r="235" s="1" customFormat="1" ht="26.4" spans="2:12">
      <c r="B235" s="32" t="s">
        <v>1677</v>
      </c>
      <c r="C235" s="32" t="s">
        <v>275</v>
      </c>
      <c r="D235" s="10" t="s">
        <v>1678</v>
      </c>
      <c r="E235" s="54"/>
      <c r="F235" s="39"/>
      <c r="G235" s="39"/>
      <c r="H235" s="55"/>
      <c r="I235" s="56"/>
      <c r="J235" s="56"/>
      <c r="K235" s="56"/>
      <c r="L235" s="56"/>
    </row>
    <row r="236" s="1" customFormat="1" spans="2:12">
      <c r="B236" s="32" t="s">
        <v>1679</v>
      </c>
      <c r="C236" s="32" t="s">
        <v>275</v>
      </c>
      <c r="D236" s="10" t="s">
        <v>1680</v>
      </c>
      <c r="E236" s="54"/>
      <c r="F236" s="39"/>
      <c r="G236" s="39"/>
      <c r="H236" s="55"/>
      <c r="I236" s="56"/>
      <c r="J236" s="56"/>
      <c r="K236" s="56"/>
      <c r="L236" s="56"/>
    </row>
    <row r="237" s="1" customFormat="1" spans="2:12">
      <c r="B237" s="32" t="s">
        <v>1681</v>
      </c>
      <c r="C237" s="32" t="s">
        <v>275</v>
      </c>
      <c r="D237" s="10" t="s">
        <v>1682</v>
      </c>
      <c r="E237" s="54"/>
      <c r="F237" s="39"/>
      <c r="G237" s="39"/>
      <c r="H237" s="55"/>
      <c r="I237" s="56"/>
      <c r="J237" s="56"/>
      <c r="K237" s="56"/>
      <c r="L237" s="56"/>
    </row>
    <row r="238" s="1" customFormat="1" spans="2:12">
      <c r="B238" s="32" t="s">
        <v>1683</v>
      </c>
      <c r="C238" s="32" t="s">
        <v>275</v>
      </c>
      <c r="D238" s="10" t="s">
        <v>1684</v>
      </c>
      <c r="E238" s="54"/>
      <c r="F238" s="39"/>
      <c r="G238" s="39"/>
      <c r="H238" s="55"/>
      <c r="I238" s="56"/>
      <c r="J238" s="56"/>
      <c r="K238" s="56"/>
      <c r="L238" s="56"/>
    </row>
    <row r="239" s="1" customFormat="1" spans="2:12">
      <c r="B239" s="32" t="s">
        <v>1685</v>
      </c>
      <c r="C239" s="32" t="s">
        <v>275</v>
      </c>
      <c r="D239" s="10" t="s">
        <v>1686</v>
      </c>
      <c r="E239" s="54"/>
      <c r="F239" s="39"/>
      <c r="G239" s="39"/>
      <c r="H239" s="55"/>
      <c r="I239" s="56"/>
      <c r="J239" s="56"/>
      <c r="K239" s="56"/>
      <c r="L239" s="56"/>
    </row>
    <row r="240" s="1" customFormat="1" spans="2:12">
      <c r="B240" s="32" t="s">
        <v>1687</v>
      </c>
      <c r="C240" s="32" t="s">
        <v>275</v>
      </c>
      <c r="D240" s="10" t="s">
        <v>1688</v>
      </c>
      <c r="E240" s="54"/>
      <c r="F240" s="39"/>
      <c r="G240" s="39"/>
      <c r="H240" s="55"/>
      <c r="I240" s="56"/>
      <c r="J240" s="56"/>
      <c r="K240" s="56"/>
      <c r="L240" s="56"/>
    </row>
    <row r="241" s="1" customFormat="1" spans="2:12">
      <c r="B241" s="32" t="s">
        <v>1689</v>
      </c>
      <c r="C241" s="32" t="s">
        <v>275</v>
      </c>
      <c r="D241" s="10" t="s">
        <v>1690</v>
      </c>
      <c r="E241" s="54"/>
      <c r="F241" s="39"/>
      <c r="G241" s="39"/>
      <c r="H241" s="55"/>
      <c r="I241" s="56"/>
      <c r="J241" s="56"/>
      <c r="K241" s="56"/>
      <c r="L241" s="56"/>
    </row>
    <row r="242" s="1" customFormat="1" spans="2:12">
      <c r="B242" s="32" t="s">
        <v>2368</v>
      </c>
      <c r="C242" s="32" t="s">
        <v>275</v>
      </c>
      <c r="D242" s="10" t="s">
        <v>2369</v>
      </c>
      <c r="E242" s="54"/>
      <c r="F242" s="39"/>
      <c r="G242" s="39"/>
      <c r="H242" s="55"/>
      <c r="I242" s="56"/>
      <c r="J242" s="56"/>
      <c r="K242" s="56"/>
      <c r="L242" s="56"/>
    </row>
    <row r="243" s="1" customFormat="1" ht="26.4" spans="2:12">
      <c r="B243" s="32" t="s">
        <v>2370</v>
      </c>
      <c r="C243" s="32" t="s">
        <v>275</v>
      </c>
      <c r="D243" s="10" t="s">
        <v>2371</v>
      </c>
      <c r="E243" s="54"/>
      <c r="F243" s="39"/>
      <c r="G243" s="39"/>
      <c r="H243" s="55"/>
      <c r="I243" s="56"/>
      <c r="J243" s="56"/>
      <c r="K243" s="56"/>
      <c r="L243" s="56"/>
    </row>
    <row r="244" s="1" customFormat="1" ht="26.4" spans="2:12">
      <c r="B244" s="32" t="s">
        <v>2372</v>
      </c>
      <c r="C244" s="32" t="s">
        <v>275</v>
      </c>
      <c r="D244" s="10" t="s">
        <v>2373</v>
      </c>
      <c r="E244" s="54"/>
      <c r="F244" s="39"/>
      <c r="G244" s="39"/>
      <c r="H244" s="55"/>
      <c r="I244" s="56"/>
      <c r="J244" s="56"/>
      <c r="K244" s="56"/>
      <c r="L244" s="56"/>
    </row>
    <row r="245" s="1" customFormat="1" ht="26.4" spans="2:12">
      <c r="B245" s="32" t="s">
        <v>2374</v>
      </c>
      <c r="C245" s="32" t="s">
        <v>275</v>
      </c>
      <c r="D245" s="10" t="s">
        <v>2375</v>
      </c>
      <c r="E245" s="54"/>
      <c r="F245" s="39"/>
      <c r="G245" s="39"/>
      <c r="H245" s="55"/>
      <c r="I245" s="56"/>
      <c r="J245" s="56"/>
      <c r="K245" s="56"/>
      <c r="L245" s="56"/>
    </row>
    <row r="246" s="1" customFormat="1" ht="26.4" spans="2:12">
      <c r="B246" s="32" t="s">
        <v>2376</v>
      </c>
      <c r="C246" s="32" t="s">
        <v>275</v>
      </c>
      <c r="D246" s="10" t="s">
        <v>2377</v>
      </c>
      <c r="E246" s="54"/>
      <c r="F246" s="39"/>
      <c r="G246" s="39"/>
      <c r="H246" s="55"/>
      <c r="I246" s="56"/>
      <c r="J246" s="56"/>
      <c r="K246" s="56"/>
      <c r="L246" s="56"/>
    </row>
    <row r="247" s="1" customFormat="1" ht="26.4" spans="2:12">
      <c r="B247" s="32" t="s">
        <v>2378</v>
      </c>
      <c r="C247" s="32" t="s">
        <v>275</v>
      </c>
      <c r="D247" s="10" t="s">
        <v>2379</v>
      </c>
      <c r="E247" s="54"/>
      <c r="F247" s="39"/>
      <c r="G247" s="39"/>
      <c r="H247" s="55"/>
      <c r="I247" s="56"/>
      <c r="J247" s="56"/>
      <c r="K247" s="56"/>
      <c r="L247" s="56"/>
    </row>
    <row r="248" s="1" customFormat="1" spans="2:12">
      <c r="B248" s="32" t="s">
        <v>2380</v>
      </c>
      <c r="C248" s="32" t="s">
        <v>275</v>
      </c>
      <c r="D248" s="10" t="s">
        <v>2381</v>
      </c>
      <c r="E248" s="54"/>
      <c r="F248" s="39"/>
      <c r="G248" s="39"/>
      <c r="H248" s="55"/>
      <c r="I248" s="56"/>
      <c r="J248" s="56"/>
      <c r="K248" s="56"/>
      <c r="L248" s="56"/>
    </row>
    <row r="249" s="1" customFormat="1" ht="26.4" spans="2:12">
      <c r="B249" s="32" t="s">
        <v>2382</v>
      </c>
      <c r="C249" s="32" t="s">
        <v>275</v>
      </c>
      <c r="D249" s="10" t="s">
        <v>2383</v>
      </c>
      <c r="E249" s="54"/>
      <c r="F249" s="39"/>
      <c r="G249" s="39"/>
      <c r="H249" s="55"/>
      <c r="I249" s="56"/>
      <c r="J249" s="56"/>
      <c r="K249" s="56"/>
      <c r="L249" s="56"/>
    </row>
    <row r="250" s="1" customFormat="1" ht="26.4" spans="2:12">
      <c r="B250" s="32" t="s">
        <v>2384</v>
      </c>
      <c r="C250" s="32" t="s">
        <v>275</v>
      </c>
      <c r="D250" s="10" t="s">
        <v>2385</v>
      </c>
      <c r="E250" s="54"/>
      <c r="F250" s="39"/>
      <c r="G250" s="39"/>
      <c r="H250" s="55"/>
      <c r="I250" s="56"/>
      <c r="J250" s="56"/>
      <c r="K250" s="56"/>
      <c r="L250" s="56"/>
    </row>
    <row r="251" s="1" customFormat="1" ht="26.4" spans="2:12">
      <c r="B251" s="32" t="s">
        <v>2386</v>
      </c>
      <c r="C251" s="32" t="s">
        <v>275</v>
      </c>
      <c r="D251" s="10" t="s">
        <v>2387</v>
      </c>
      <c r="E251" s="54"/>
      <c r="F251" s="39"/>
      <c r="G251" s="39"/>
      <c r="H251" s="55"/>
      <c r="I251" s="56"/>
      <c r="J251" s="56"/>
      <c r="K251" s="56"/>
      <c r="L251" s="56"/>
    </row>
    <row r="252" s="1" customFormat="1" ht="26.4" spans="2:12">
      <c r="B252" s="32" t="s">
        <v>2388</v>
      </c>
      <c r="C252" s="32" t="s">
        <v>275</v>
      </c>
      <c r="D252" s="10" t="s">
        <v>2389</v>
      </c>
      <c r="E252" s="54"/>
      <c r="F252" s="39"/>
      <c r="G252" s="39"/>
      <c r="H252" s="55"/>
      <c r="I252" s="56"/>
      <c r="J252" s="56"/>
      <c r="K252" s="56"/>
      <c r="L252" s="56"/>
    </row>
    <row r="253" s="1" customFormat="1" ht="26.4" spans="2:12">
      <c r="B253" s="32" t="s">
        <v>2390</v>
      </c>
      <c r="C253" s="32" t="s">
        <v>275</v>
      </c>
      <c r="D253" s="10" t="s">
        <v>2391</v>
      </c>
      <c r="E253" s="54"/>
      <c r="F253" s="39"/>
      <c r="G253" s="39"/>
      <c r="H253" s="55"/>
      <c r="I253" s="56"/>
      <c r="J253" s="56"/>
      <c r="K253" s="56"/>
      <c r="L253" s="56"/>
    </row>
    <row r="254" s="1" customFormat="1" spans="2:12">
      <c r="B254" s="32" t="s">
        <v>2392</v>
      </c>
      <c r="C254" s="32" t="s">
        <v>275</v>
      </c>
      <c r="D254" s="10" t="s">
        <v>2393</v>
      </c>
      <c r="E254" s="54"/>
      <c r="F254" s="39"/>
      <c r="G254" s="39"/>
      <c r="H254" s="55"/>
      <c r="I254" s="56"/>
      <c r="J254" s="56"/>
      <c r="K254" s="56"/>
      <c r="L254" s="56"/>
    </row>
    <row r="255" s="1" customFormat="1" ht="26.4" spans="2:12">
      <c r="B255" s="32" t="s">
        <v>2394</v>
      </c>
      <c r="C255" s="32" t="s">
        <v>275</v>
      </c>
      <c r="D255" s="10" t="s">
        <v>2395</v>
      </c>
      <c r="E255" s="54"/>
      <c r="F255" s="39"/>
      <c r="G255" s="39"/>
      <c r="H255" s="55"/>
      <c r="I255" s="56"/>
      <c r="J255" s="56"/>
      <c r="K255" s="56"/>
      <c r="L255" s="56"/>
    </row>
    <row r="256" s="1" customFormat="1" ht="26.4" spans="2:12">
      <c r="B256" s="32" t="s">
        <v>2396</v>
      </c>
      <c r="C256" s="32" t="s">
        <v>275</v>
      </c>
      <c r="D256" s="10" t="s">
        <v>2397</v>
      </c>
      <c r="E256" s="54"/>
      <c r="F256" s="39"/>
      <c r="G256" s="39"/>
      <c r="H256" s="55"/>
      <c r="I256" s="56"/>
      <c r="J256" s="56"/>
      <c r="K256" s="56"/>
      <c r="L256" s="56"/>
    </row>
    <row r="257" s="1" customFormat="1" ht="26.4" spans="2:12">
      <c r="B257" s="32" t="s">
        <v>2398</v>
      </c>
      <c r="C257" s="32" t="s">
        <v>275</v>
      </c>
      <c r="D257" s="10" t="s">
        <v>2399</v>
      </c>
      <c r="E257" s="54"/>
      <c r="F257" s="39"/>
      <c r="G257" s="39"/>
      <c r="H257" s="55"/>
      <c r="I257" s="56"/>
      <c r="J257" s="56"/>
      <c r="K257" s="56"/>
      <c r="L257" s="56"/>
    </row>
    <row r="258" s="1" customFormat="1" ht="26.4" spans="2:12">
      <c r="B258" s="32" t="s">
        <v>2400</v>
      </c>
      <c r="C258" s="32" t="s">
        <v>275</v>
      </c>
      <c r="D258" s="10" t="s">
        <v>2401</v>
      </c>
      <c r="E258" s="54"/>
      <c r="F258" s="39"/>
      <c r="G258" s="39"/>
      <c r="H258" s="55"/>
      <c r="I258" s="56"/>
      <c r="J258" s="56"/>
      <c r="K258" s="56"/>
      <c r="L258" s="56"/>
    </row>
    <row r="259" s="1" customFormat="1" ht="26.4" spans="2:12">
      <c r="B259" s="32" t="s">
        <v>2402</v>
      </c>
      <c r="C259" s="32" t="s">
        <v>275</v>
      </c>
      <c r="D259" s="10" t="s">
        <v>2403</v>
      </c>
      <c r="E259" s="54"/>
      <c r="F259" s="39"/>
      <c r="G259" s="39"/>
      <c r="H259" s="55"/>
      <c r="I259" s="56"/>
      <c r="J259" s="56"/>
      <c r="K259" s="56"/>
      <c r="L259" s="56"/>
    </row>
    <row r="260" s="1" customFormat="1" spans="2:12">
      <c r="B260" s="32" t="s">
        <v>2404</v>
      </c>
      <c r="C260" s="32" t="s">
        <v>275</v>
      </c>
      <c r="D260" s="10" t="s">
        <v>2405</v>
      </c>
      <c r="E260" s="54"/>
      <c r="F260" s="39"/>
      <c r="G260" s="39"/>
      <c r="H260" s="55"/>
      <c r="I260" s="56"/>
      <c r="J260" s="56"/>
      <c r="K260" s="56"/>
      <c r="L260" s="56"/>
    </row>
    <row r="261" s="1" customFormat="1" ht="26.4" spans="2:12">
      <c r="B261" s="32" t="s">
        <v>2406</v>
      </c>
      <c r="C261" s="32" t="s">
        <v>275</v>
      </c>
      <c r="D261" s="10" t="s">
        <v>2407</v>
      </c>
      <c r="E261" s="54"/>
      <c r="F261" s="39"/>
      <c r="G261" s="39"/>
      <c r="H261" s="55"/>
      <c r="I261" s="56"/>
      <c r="J261" s="56"/>
      <c r="K261" s="56"/>
      <c r="L261" s="56"/>
    </row>
    <row r="262" s="1" customFormat="1" ht="26.4" spans="2:12">
      <c r="B262" s="32" t="s">
        <v>2408</v>
      </c>
      <c r="C262" s="32" t="s">
        <v>275</v>
      </c>
      <c r="D262" s="10" t="s">
        <v>2409</v>
      </c>
      <c r="E262" s="54"/>
      <c r="F262" s="39"/>
      <c r="G262" s="39"/>
      <c r="H262" s="55"/>
      <c r="I262" s="56"/>
      <c r="J262" s="56"/>
      <c r="K262" s="56"/>
      <c r="L262" s="56"/>
    </row>
    <row r="263" s="1" customFormat="1" ht="26.4" spans="2:12">
      <c r="B263" s="32" t="s">
        <v>2410</v>
      </c>
      <c r="C263" s="32" t="s">
        <v>275</v>
      </c>
      <c r="D263" s="10" t="s">
        <v>2411</v>
      </c>
      <c r="E263" s="54"/>
      <c r="F263" s="39"/>
      <c r="G263" s="39"/>
      <c r="H263" s="55"/>
      <c r="I263" s="56"/>
      <c r="J263" s="56"/>
      <c r="K263" s="56"/>
      <c r="L263" s="56"/>
    </row>
    <row r="264" s="1" customFormat="1" ht="26.4" spans="2:12">
      <c r="B264" s="32" t="s">
        <v>2412</v>
      </c>
      <c r="C264" s="32" t="s">
        <v>275</v>
      </c>
      <c r="D264" s="10" t="s">
        <v>2413</v>
      </c>
      <c r="E264" s="54"/>
      <c r="F264" s="39"/>
      <c r="G264" s="39"/>
      <c r="H264" s="55"/>
      <c r="I264" s="56"/>
      <c r="J264" s="56"/>
      <c r="K264" s="56"/>
      <c r="L264" s="56"/>
    </row>
    <row r="265" s="1" customFormat="1" ht="26.4" spans="2:12">
      <c r="B265" s="32" t="s">
        <v>2414</v>
      </c>
      <c r="C265" s="32" t="s">
        <v>275</v>
      </c>
      <c r="D265" s="10" t="s">
        <v>2415</v>
      </c>
      <c r="E265" s="54"/>
      <c r="F265" s="39"/>
      <c r="G265" s="39"/>
      <c r="H265" s="55"/>
      <c r="I265" s="56"/>
      <c r="J265" s="56"/>
      <c r="K265" s="56"/>
      <c r="L265" s="56"/>
    </row>
    <row r="266" s="1" customFormat="1" spans="2:12">
      <c r="B266" s="32" t="s">
        <v>2416</v>
      </c>
      <c r="C266" s="32" t="s">
        <v>275</v>
      </c>
      <c r="D266" s="10" t="s">
        <v>2417</v>
      </c>
      <c r="E266" s="54"/>
      <c r="F266" s="39"/>
      <c r="G266" s="39"/>
      <c r="H266" s="55"/>
      <c r="I266" s="56"/>
      <c r="J266" s="56"/>
      <c r="K266" s="56"/>
      <c r="L266" s="56"/>
    </row>
    <row r="267" s="1" customFormat="1" ht="26.4" spans="2:12">
      <c r="B267" s="32" t="s">
        <v>2418</v>
      </c>
      <c r="C267" s="32" t="s">
        <v>275</v>
      </c>
      <c r="D267" s="10" t="s">
        <v>2419</v>
      </c>
      <c r="E267" s="54"/>
      <c r="F267" s="39"/>
      <c r="G267" s="39"/>
      <c r="H267" s="55"/>
      <c r="I267" s="56"/>
      <c r="J267" s="56"/>
      <c r="K267" s="56"/>
      <c r="L267" s="56"/>
    </row>
    <row r="268" s="1" customFormat="1" ht="26.4" spans="2:12">
      <c r="B268" s="32" t="s">
        <v>2420</v>
      </c>
      <c r="C268" s="32" t="s">
        <v>275</v>
      </c>
      <c r="D268" s="10" t="s">
        <v>2421</v>
      </c>
      <c r="E268" s="54"/>
      <c r="F268" s="39"/>
      <c r="G268" s="39"/>
      <c r="H268" s="55"/>
      <c r="I268" s="56"/>
      <c r="J268" s="56"/>
      <c r="K268" s="56"/>
      <c r="L268" s="56"/>
    </row>
    <row r="269" s="1" customFormat="1" ht="26.4" spans="2:12">
      <c r="B269" s="32" t="s">
        <v>2422</v>
      </c>
      <c r="C269" s="32" t="s">
        <v>275</v>
      </c>
      <c r="D269" s="10" t="s">
        <v>2423</v>
      </c>
      <c r="E269" s="54"/>
      <c r="F269" s="39"/>
      <c r="G269" s="39"/>
      <c r="H269" s="55"/>
      <c r="I269" s="56"/>
      <c r="J269" s="56"/>
      <c r="K269" s="56"/>
      <c r="L269" s="56"/>
    </row>
    <row r="270" s="1" customFormat="1" ht="26.4" spans="2:12">
      <c r="B270" s="32" t="s">
        <v>2424</v>
      </c>
      <c r="C270" s="32" t="s">
        <v>275</v>
      </c>
      <c r="D270" s="10" t="s">
        <v>2425</v>
      </c>
      <c r="E270" s="54"/>
      <c r="F270" s="39"/>
      <c r="G270" s="39"/>
      <c r="H270" s="55"/>
      <c r="I270" s="56"/>
      <c r="J270" s="56"/>
      <c r="K270" s="56"/>
      <c r="L270" s="56"/>
    </row>
    <row r="271" s="1" customFormat="1" ht="26.4" spans="2:12">
      <c r="B271" s="32" t="s">
        <v>2426</v>
      </c>
      <c r="C271" s="32" t="s">
        <v>275</v>
      </c>
      <c r="D271" s="10" t="s">
        <v>2427</v>
      </c>
      <c r="E271" s="54"/>
      <c r="F271" s="39"/>
      <c r="G271" s="39"/>
      <c r="H271" s="55"/>
      <c r="I271" s="56"/>
      <c r="J271" s="56"/>
      <c r="K271" s="56"/>
      <c r="L271" s="56"/>
    </row>
    <row r="272" s="1" customFormat="1" spans="2:12">
      <c r="B272" s="32" t="s">
        <v>2428</v>
      </c>
      <c r="C272" s="32" t="s">
        <v>275</v>
      </c>
      <c r="D272" s="10" t="s">
        <v>2429</v>
      </c>
      <c r="E272" s="54"/>
      <c r="F272" s="39"/>
      <c r="G272" s="39"/>
      <c r="H272" s="55"/>
      <c r="I272" s="56"/>
      <c r="J272" s="56"/>
      <c r="K272" s="56"/>
      <c r="L272" s="56"/>
    </row>
    <row r="273" s="1" customFormat="1" ht="26.4" spans="2:12">
      <c r="B273" s="32" t="s">
        <v>2430</v>
      </c>
      <c r="C273" s="32" t="s">
        <v>275</v>
      </c>
      <c r="D273" s="10" t="s">
        <v>2431</v>
      </c>
      <c r="E273" s="54"/>
      <c r="F273" s="39"/>
      <c r="G273" s="39"/>
      <c r="H273" s="55"/>
      <c r="I273" s="56"/>
      <c r="J273" s="56"/>
      <c r="K273" s="56"/>
      <c r="L273" s="56"/>
    </row>
    <row r="274" s="1" customFormat="1" ht="26.4" spans="2:12">
      <c r="B274" s="32" t="s">
        <v>2432</v>
      </c>
      <c r="C274" s="32" t="s">
        <v>275</v>
      </c>
      <c r="D274" s="10" t="s">
        <v>2433</v>
      </c>
      <c r="E274" s="54"/>
      <c r="F274" s="39"/>
      <c r="G274" s="39"/>
      <c r="H274" s="55"/>
      <c r="I274" s="56"/>
      <c r="J274" s="56"/>
      <c r="K274" s="56"/>
      <c r="L274" s="56"/>
    </row>
    <row r="275" s="1" customFormat="1" ht="26.4" spans="2:12">
      <c r="B275" s="32" t="s">
        <v>2434</v>
      </c>
      <c r="C275" s="32" t="s">
        <v>275</v>
      </c>
      <c r="D275" s="10" t="s">
        <v>2435</v>
      </c>
      <c r="E275" s="54"/>
      <c r="F275" s="39"/>
      <c r="G275" s="39"/>
      <c r="H275" s="55"/>
      <c r="I275" s="56"/>
      <c r="J275" s="56"/>
      <c r="K275" s="56"/>
      <c r="L275" s="56"/>
    </row>
    <row r="276" s="1" customFormat="1" ht="26.4" spans="2:12">
      <c r="B276" s="32" t="s">
        <v>2436</v>
      </c>
      <c r="C276" s="32" t="s">
        <v>275</v>
      </c>
      <c r="D276" s="10" t="s">
        <v>2437</v>
      </c>
      <c r="E276" s="54"/>
      <c r="F276" s="39"/>
      <c r="G276" s="39"/>
      <c r="H276" s="55"/>
      <c r="I276" s="56"/>
      <c r="J276" s="56"/>
      <c r="K276" s="56"/>
      <c r="L276" s="56"/>
    </row>
    <row r="277" s="1" customFormat="1" ht="26.4" spans="2:12">
      <c r="B277" s="32" t="s">
        <v>2438</v>
      </c>
      <c r="C277" s="32" t="s">
        <v>275</v>
      </c>
      <c r="D277" s="10" t="s">
        <v>2439</v>
      </c>
      <c r="E277" s="54"/>
      <c r="F277" s="39"/>
      <c r="G277" s="39"/>
      <c r="H277" s="55"/>
      <c r="I277" s="56"/>
      <c r="J277" s="56"/>
      <c r="K277" s="56"/>
      <c r="L277" s="56"/>
    </row>
    <row r="278" s="1" customFormat="1" spans="2:12">
      <c r="B278" s="32" t="s">
        <v>1814</v>
      </c>
      <c r="C278" s="32" t="s">
        <v>275</v>
      </c>
      <c r="D278" s="10" t="s">
        <v>1815</v>
      </c>
      <c r="E278" s="54"/>
      <c r="F278" s="39"/>
      <c r="G278" s="39"/>
      <c r="H278" s="55"/>
      <c r="I278" s="56"/>
      <c r="J278" s="56"/>
      <c r="K278" s="56"/>
      <c r="L278" s="56"/>
    </row>
    <row r="279" s="36" customFormat="1" spans="1:12">
      <c r="A279" s="41"/>
      <c r="B279" s="29" t="s">
        <v>1817</v>
      </c>
      <c r="C279" s="29" t="s">
        <v>216</v>
      </c>
      <c r="D279" s="29" t="s">
        <v>1818</v>
      </c>
      <c r="E279" s="29"/>
      <c r="F279" s="29"/>
      <c r="G279" s="29" t="s">
        <v>2469</v>
      </c>
      <c r="H279" s="29"/>
      <c r="I279" s="29" t="s">
        <v>1211</v>
      </c>
      <c r="J279" s="29" t="s">
        <v>345</v>
      </c>
      <c r="K279" s="29" t="s">
        <v>323</v>
      </c>
      <c r="L279" s="29" t="s">
        <v>323</v>
      </c>
    </row>
    <row r="280" s="36" customFormat="1" spans="1:12">
      <c r="A280" s="41"/>
      <c r="B280" s="29" t="s">
        <v>1820</v>
      </c>
      <c r="C280" s="29" t="s">
        <v>216</v>
      </c>
      <c r="D280" s="29" t="s">
        <v>1821</v>
      </c>
      <c r="E280" s="29"/>
      <c r="F280" s="29"/>
      <c r="G280" s="29" t="s">
        <v>2470</v>
      </c>
      <c r="H280" s="29"/>
      <c r="I280" s="29" t="s">
        <v>1211</v>
      </c>
      <c r="J280" s="29" t="s">
        <v>345</v>
      </c>
      <c r="K280" s="29" t="s">
        <v>323</v>
      </c>
      <c r="L280" s="29" t="s">
        <v>323</v>
      </c>
    </row>
    <row r="281" s="37" customFormat="1" spans="1:12">
      <c r="A281" s="42"/>
      <c r="B281" s="43" t="s">
        <v>252</v>
      </c>
      <c r="C281" s="43" t="s">
        <v>220</v>
      </c>
      <c r="D281" s="44" t="s">
        <v>254</v>
      </c>
      <c r="E281" s="45"/>
      <c r="F281" s="46"/>
      <c r="G281" s="46"/>
      <c r="H281" s="47"/>
      <c r="I281" s="48"/>
      <c r="J281" s="49"/>
      <c r="K281" s="49"/>
      <c r="L281" s="49"/>
    </row>
    <row r="282" s="37" customFormat="1" spans="1:12">
      <c r="A282" s="42"/>
      <c r="B282" s="43" t="s">
        <v>255</v>
      </c>
      <c r="C282" s="43" t="s">
        <v>216</v>
      </c>
      <c r="D282" s="44" t="s">
        <v>256</v>
      </c>
      <c r="E282" s="45"/>
      <c r="F282" s="46"/>
      <c r="G282" s="46"/>
      <c r="H282" s="47"/>
      <c r="I282" s="48"/>
      <c r="J282" s="49"/>
      <c r="K282" s="49"/>
      <c r="L282" s="49"/>
    </row>
    <row r="283" s="37" customFormat="1" spans="1:12">
      <c r="A283" s="42"/>
      <c r="B283" s="43" t="s">
        <v>257</v>
      </c>
      <c r="C283" s="43" t="s">
        <v>220</v>
      </c>
      <c r="D283" s="44" t="s">
        <v>258</v>
      </c>
      <c r="E283" s="45"/>
      <c r="F283" s="46"/>
      <c r="G283" s="46"/>
      <c r="H283" s="47"/>
      <c r="I283" s="48"/>
      <c r="J283" s="49"/>
      <c r="K283" s="49"/>
      <c r="L283" s="49"/>
    </row>
  </sheetData>
  <autoFilter xmlns:etc="http://www.wps.cn/officeDocument/2017/etCustomData" ref="A15:N283"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zoomScale="85" zoomScaleNormal="85" workbookViewId="0">
      <pane ySplit="5" topLeftCell="A6" activePane="bottomLeft" state="frozen"/>
      <selection/>
      <selection pane="bottomLeft" activeCell="N16" sqref="N1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108</v>
      </c>
      <c r="D5" s="10" t="s">
        <v>109</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106</v>
      </c>
      <c r="D9" s="35" t="s">
        <v>107</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c r="J16" s="23" t="s">
        <v>322</v>
      </c>
      <c r="K16" s="23" t="s">
        <v>323</v>
      </c>
      <c r="L16" s="23" t="s">
        <v>323</v>
      </c>
      <c r="M16" s="1" t="str">
        <f>_xlfn.CONCAT(F16," as ",B16)</f>
        <v>p_date as day</v>
      </c>
      <c r="N16" s="16" t="str">
        <f>_xlfn.CONCAT("`",B16,"` ",C16,",")</f>
        <v>`day` string,</v>
      </c>
    </row>
    <row r="17" s="1" customFormat="1" spans="2:14">
      <c r="B17" s="19" t="s">
        <v>1026</v>
      </c>
      <c r="C17" s="19" t="s">
        <v>220</v>
      </c>
      <c r="D17" s="10" t="s">
        <v>66</v>
      </c>
      <c r="E17" s="20" t="s">
        <v>199</v>
      </c>
      <c r="F17" s="19" t="s">
        <v>257</v>
      </c>
      <c r="G17" s="19" t="s">
        <v>218</v>
      </c>
      <c r="H17" s="20"/>
      <c r="I17" s="23"/>
      <c r="J17" s="23" t="s">
        <v>322</v>
      </c>
      <c r="K17" s="23" t="s">
        <v>323</v>
      </c>
      <c r="L17" s="23" t="s">
        <v>323</v>
      </c>
      <c r="M17" s="1" t="str">
        <f t="shared" ref="M17:M34" si="0">_xlfn.CONCAT(F17," as ",B17)</f>
        <v>p_hour as hour</v>
      </c>
      <c r="N17" s="16" t="str">
        <f t="shared" ref="N17:N34" si="1">_xlfn.CONCAT("`",B17,"` ",C17,",")</f>
        <v>`hour` int,</v>
      </c>
    </row>
    <row r="18" s="1" customFormat="1" spans="2:14">
      <c r="B18" s="19" t="s">
        <v>1830</v>
      </c>
      <c r="C18" s="19" t="s">
        <v>220</v>
      </c>
      <c r="D18" s="10" t="s">
        <v>1831</v>
      </c>
      <c r="E18" s="20" t="s">
        <v>199</v>
      </c>
      <c r="F18" s="19" t="s">
        <v>252</v>
      </c>
      <c r="G18" s="19" t="s">
        <v>218</v>
      </c>
      <c r="H18" s="20"/>
      <c r="I18" s="23"/>
      <c r="J18" s="23" t="s">
        <v>322</v>
      </c>
      <c r="K18" s="23" t="s">
        <v>323</v>
      </c>
      <c r="L18" s="23" t="s">
        <v>323</v>
      </c>
      <c r="M18" s="1" t="str">
        <f t="shared" si="0"/>
        <v>p_provincecode as provincecode</v>
      </c>
      <c r="N18" s="16" t="str">
        <f t="shared" si="1"/>
        <v>`provincecode` int,</v>
      </c>
    </row>
    <row r="19" s="1" customFormat="1" spans="2:14">
      <c r="B19" s="19" t="s">
        <v>1832</v>
      </c>
      <c r="C19" s="19" t="s">
        <v>220</v>
      </c>
      <c r="D19" s="10" t="s">
        <v>1833</v>
      </c>
      <c r="E19" s="20" t="s">
        <v>199</v>
      </c>
      <c r="F19" s="19" t="s">
        <v>1832</v>
      </c>
      <c r="G19" s="19" t="s">
        <v>218</v>
      </c>
      <c r="H19" s="20"/>
      <c r="I19" s="23"/>
      <c r="J19" s="23" t="s">
        <v>322</v>
      </c>
      <c r="K19" s="23" t="s">
        <v>323</v>
      </c>
      <c r="L19" s="23" t="s">
        <v>323</v>
      </c>
      <c r="M19" s="1" t="str">
        <f t="shared" si="0"/>
        <v>citycode as citycode</v>
      </c>
      <c r="N19" s="16" t="str">
        <f t="shared" si="1"/>
        <v>`citycode` int,</v>
      </c>
    </row>
    <row r="20" s="1" customFormat="1" spans="2:14">
      <c r="B20" s="19" t="s">
        <v>1834</v>
      </c>
      <c r="C20" s="19" t="s">
        <v>220</v>
      </c>
      <c r="D20" s="10" t="s">
        <v>1835</v>
      </c>
      <c r="E20" s="20" t="s">
        <v>199</v>
      </c>
      <c r="F20" s="19" t="s">
        <v>1834</v>
      </c>
      <c r="G20" s="19" t="s">
        <v>218</v>
      </c>
      <c r="H20" s="20"/>
      <c r="I20" s="23"/>
      <c r="J20" s="23" t="s">
        <v>322</v>
      </c>
      <c r="K20" s="23" t="s">
        <v>323</v>
      </c>
      <c r="L20" s="23" t="s">
        <v>323</v>
      </c>
      <c r="M20" s="1" t="str">
        <f t="shared" si="0"/>
        <v>districtcode as districtcode</v>
      </c>
      <c r="N20" s="16" t="str">
        <f t="shared" si="1"/>
        <v>`districtcode` int,</v>
      </c>
    </row>
    <row r="21" s="1" customFormat="1" spans="2:14">
      <c r="B21" s="19" t="s">
        <v>1836</v>
      </c>
      <c r="C21" s="19" t="s">
        <v>216</v>
      </c>
      <c r="D21" s="10" t="s">
        <v>1837</v>
      </c>
      <c r="E21" s="20" t="s">
        <v>199</v>
      </c>
      <c r="F21" s="19" t="s">
        <v>1836</v>
      </c>
      <c r="G21" s="19" t="s">
        <v>218</v>
      </c>
      <c r="H21" s="20"/>
      <c r="I21" s="23"/>
      <c r="J21" s="23" t="s">
        <v>322</v>
      </c>
      <c r="K21" s="23" t="s">
        <v>323</v>
      </c>
      <c r="L21" s="23" t="s">
        <v>323</v>
      </c>
      <c r="M21" s="1" t="str">
        <f t="shared" si="0"/>
        <v>cellkey as cellkey</v>
      </c>
      <c r="N21" s="16" t="str">
        <f t="shared" si="1"/>
        <v>`cellkey` string,</v>
      </c>
    </row>
    <row r="22" s="1" customFormat="1" spans="2:14">
      <c r="B22" s="19" t="s">
        <v>224</v>
      </c>
      <c r="C22" s="19" t="s">
        <v>216</v>
      </c>
      <c r="D22" s="10" t="s">
        <v>292</v>
      </c>
      <c r="E22" s="20" t="s">
        <v>199</v>
      </c>
      <c r="F22" s="19" t="s">
        <v>1310</v>
      </c>
      <c r="G22" s="19" t="s">
        <v>218</v>
      </c>
      <c r="H22" s="20"/>
      <c r="I22" s="23"/>
      <c r="J22" s="23" t="s">
        <v>322</v>
      </c>
      <c r="K22" s="23" t="s">
        <v>323</v>
      </c>
      <c r="L22" s="23" t="s">
        <v>323</v>
      </c>
      <c r="M22" s="1" t="str">
        <f t="shared" si="0"/>
        <v>imsi_supi as imsi</v>
      </c>
      <c r="N22" s="16" t="str">
        <f t="shared" si="1"/>
        <v>`imsi` string,</v>
      </c>
    </row>
    <row r="23" s="1" customFormat="1" spans="2:14">
      <c r="B23" s="19" t="s">
        <v>267</v>
      </c>
      <c r="C23" s="19" t="s">
        <v>216</v>
      </c>
      <c r="D23" s="10" t="s">
        <v>294</v>
      </c>
      <c r="E23" s="20" t="s">
        <v>199</v>
      </c>
      <c r="F23" s="19" t="s">
        <v>267</v>
      </c>
      <c r="G23" s="19" t="s">
        <v>218</v>
      </c>
      <c r="H23" s="20"/>
      <c r="I23" s="23"/>
      <c r="J23" s="23" t="s">
        <v>322</v>
      </c>
      <c r="K23" s="23" t="s">
        <v>323</v>
      </c>
      <c r="L23" s="23" t="s">
        <v>323</v>
      </c>
      <c r="M23" s="1" t="str">
        <f t="shared" si="0"/>
        <v>msisdn as msisdn</v>
      </c>
      <c r="N23" s="16" t="str">
        <f t="shared" si="1"/>
        <v>`msisdn` string,</v>
      </c>
    </row>
    <row r="24" s="1" customFormat="1" spans="2:14">
      <c r="B24" s="19" t="s">
        <v>1053</v>
      </c>
      <c r="C24" s="19" t="s">
        <v>216</v>
      </c>
      <c r="D24" s="10" t="s">
        <v>1839</v>
      </c>
      <c r="E24" s="20" t="s">
        <v>199</v>
      </c>
      <c r="F24" s="19" t="s">
        <v>2589</v>
      </c>
      <c r="G24" s="19" t="s">
        <v>218</v>
      </c>
      <c r="H24" s="20"/>
      <c r="I24" s="23"/>
      <c r="J24" s="23" t="s">
        <v>322</v>
      </c>
      <c r="K24" s="23" t="s">
        <v>323</v>
      </c>
      <c r="L24" s="23" t="s">
        <v>323</v>
      </c>
      <c r="M24" s="1" t="str">
        <f t="shared" si="0"/>
        <v>pei as imei</v>
      </c>
      <c r="N24" s="16" t="str">
        <f t="shared" si="1"/>
        <v>`imei` string,</v>
      </c>
    </row>
    <row r="25" s="1" customFormat="1" spans="2:14">
      <c r="B25" s="19" t="s">
        <v>1313</v>
      </c>
      <c r="C25" s="19" t="s">
        <v>216</v>
      </c>
      <c r="D25" s="10" t="s">
        <v>1314</v>
      </c>
      <c r="E25" s="20" t="s">
        <v>199</v>
      </c>
      <c r="F25" s="19" t="s">
        <v>1313</v>
      </c>
      <c r="G25" s="19" t="s">
        <v>218</v>
      </c>
      <c r="H25" s="20"/>
      <c r="I25" s="23"/>
      <c r="J25" s="23" t="s">
        <v>322</v>
      </c>
      <c r="K25" s="23" t="s">
        <v>323</v>
      </c>
      <c r="L25" s="23" t="s">
        <v>323</v>
      </c>
      <c r="M25" s="1" t="str">
        <f t="shared" si="0"/>
        <v>servicetype as servicetype</v>
      </c>
      <c r="N25" s="16" t="str">
        <f t="shared" si="1"/>
        <v>`servicetype` string,</v>
      </c>
    </row>
    <row r="26" s="1" customFormat="1" spans="2:14">
      <c r="B26" s="19" t="s">
        <v>1840</v>
      </c>
      <c r="C26" s="19" t="s">
        <v>216</v>
      </c>
      <c r="D26" s="10" t="s">
        <v>1841</v>
      </c>
      <c r="E26" s="20" t="s">
        <v>199</v>
      </c>
      <c r="F26" s="19" t="s">
        <v>1842</v>
      </c>
      <c r="G26" s="19" t="s">
        <v>1842</v>
      </c>
      <c r="H26" s="20"/>
      <c r="I26" s="23"/>
      <c r="J26" s="23" t="s">
        <v>322</v>
      </c>
      <c r="K26" s="23" t="s">
        <v>323</v>
      </c>
      <c r="L26" s="23" t="s">
        <v>323</v>
      </c>
      <c r="M26" s="1" t="str">
        <f t="shared" si="0"/>
        <v>substr(servicetype,1,2) as app_type</v>
      </c>
      <c r="N26" s="16" t="str">
        <f t="shared" si="1"/>
        <v>`app_type` string,</v>
      </c>
    </row>
    <row r="27" s="1" customFormat="1" spans="2:14">
      <c r="B27" s="19" t="s">
        <v>1843</v>
      </c>
      <c r="C27" s="19" t="s">
        <v>216</v>
      </c>
      <c r="D27" s="10" t="s">
        <v>1844</v>
      </c>
      <c r="E27" s="20" t="s">
        <v>202</v>
      </c>
      <c r="F27" s="19" t="s">
        <v>1845</v>
      </c>
      <c r="G27" s="19" t="s">
        <v>218</v>
      </c>
      <c r="H27" s="20"/>
      <c r="I27" s="23"/>
      <c r="J27" s="23" t="s">
        <v>322</v>
      </c>
      <c r="K27" s="23" t="s">
        <v>323</v>
      </c>
      <c r="L27" s="23" t="s">
        <v>323</v>
      </c>
      <c r="M27" s="1" t="str">
        <f t="shared" si="0"/>
        <v>servicetype_name as app_name</v>
      </c>
      <c r="N27" s="16" t="str">
        <f t="shared" si="1"/>
        <v>`app_name` string,</v>
      </c>
    </row>
    <row r="28" s="1" customFormat="1" spans="2:14">
      <c r="B28" s="19" t="s">
        <v>1817</v>
      </c>
      <c r="C28" s="19" t="s">
        <v>216</v>
      </c>
      <c r="D28" s="10" t="s">
        <v>1818</v>
      </c>
      <c r="E28" s="20" t="s">
        <v>199</v>
      </c>
      <c r="F28" s="19" t="s">
        <v>1846</v>
      </c>
      <c r="G28" s="19" t="s">
        <v>1846</v>
      </c>
      <c r="H28" s="20"/>
      <c r="I28" s="23"/>
      <c r="J28" s="23" t="s">
        <v>345</v>
      </c>
      <c r="K28" s="23" t="s">
        <v>323</v>
      </c>
      <c r="L28" s="23" t="s">
        <v>323</v>
      </c>
      <c r="M28" s="1" t="str">
        <f t="shared" si="0"/>
        <v>min(min_starttime) as min_starttime</v>
      </c>
      <c r="N28" s="16" t="str">
        <f t="shared" si="1"/>
        <v>`min_starttime` string,</v>
      </c>
    </row>
    <row r="29" s="1" customFormat="1" spans="2:14">
      <c r="B29" s="19" t="s">
        <v>1820</v>
      </c>
      <c r="C29" s="19" t="s">
        <v>216</v>
      </c>
      <c r="D29" s="10" t="s">
        <v>1821</v>
      </c>
      <c r="E29" s="20" t="s">
        <v>199</v>
      </c>
      <c r="F29" s="19" t="s">
        <v>1847</v>
      </c>
      <c r="G29" s="19" t="s">
        <v>1847</v>
      </c>
      <c r="H29" s="20"/>
      <c r="I29" s="23"/>
      <c r="J29" s="23" t="s">
        <v>345</v>
      </c>
      <c r="K29" s="23" t="s">
        <v>323</v>
      </c>
      <c r="L29" s="23" t="s">
        <v>323</v>
      </c>
      <c r="M29" s="1" t="str">
        <f t="shared" si="0"/>
        <v>max(max_endtime) as max_endtime</v>
      </c>
      <c r="N29" s="16" t="str">
        <f t="shared" si="1"/>
        <v>`max_endtime` string,</v>
      </c>
    </row>
    <row r="30" s="1" customFormat="1" spans="2:14">
      <c r="B30" s="19" t="s">
        <v>1848</v>
      </c>
      <c r="C30" s="19" t="s">
        <v>275</v>
      </c>
      <c r="D30" s="10" t="s">
        <v>1849</v>
      </c>
      <c r="E30" s="20" t="s">
        <v>199</v>
      </c>
      <c r="F30" s="19" t="s">
        <v>1850</v>
      </c>
      <c r="G30" s="19" t="s">
        <v>1850</v>
      </c>
      <c r="H30" s="20"/>
      <c r="I30" s="23"/>
      <c r="J30" s="23" t="s">
        <v>345</v>
      </c>
      <c r="K30" s="23" t="s">
        <v>323</v>
      </c>
      <c r="L30" s="23" t="s">
        <v>339</v>
      </c>
      <c r="M30" s="1" t="str">
        <f t="shared" si="0"/>
        <v>sum(videoplayrequestcount) as total_cnt</v>
      </c>
      <c r="N30" s="16" t="str">
        <f t="shared" si="1"/>
        <v>`total_cnt` bigint,</v>
      </c>
    </row>
    <row r="31" s="1" customFormat="1" spans="2:14">
      <c r="B31" s="19" t="s">
        <v>1814</v>
      </c>
      <c r="C31" s="19" t="s">
        <v>275</v>
      </c>
      <c r="D31" s="10" t="s">
        <v>1851</v>
      </c>
      <c r="E31" s="20" t="s">
        <v>199</v>
      </c>
      <c r="F31" s="19" t="s">
        <v>1852</v>
      </c>
      <c r="G31" s="19" t="s">
        <v>1852</v>
      </c>
      <c r="H31" s="20"/>
      <c r="I31" s="23"/>
      <c r="J31" s="23" t="s">
        <v>345</v>
      </c>
      <c r="K31" s="23" t="s">
        <v>323</v>
      </c>
      <c r="L31" s="23" t="s">
        <v>339</v>
      </c>
      <c r="M31" s="1" t="str">
        <f t="shared" si="0"/>
        <v>sum(abnormal_cnt) as abnormal_cnt</v>
      </c>
      <c r="N31" s="16" t="str">
        <f t="shared" si="1"/>
        <v>`abnormal_cnt` bigint,</v>
      </c>
    </row>
    <row r="32" s="1" customFormat="1" ht="26.4" spans="2:14">
      <c r="B32" s="19" t="s">
        <v>1853</v>
      </c>
      <c r="C32" s="19" t="s">
        <v>240</v>
      </c>
      <c r="D32" s="10" t="s">
        <v>1854</v>
      </c>
      <c r="E32" s="20" t="s">
        <v>199</v>
      </c>
      <c r="F32" s="19" t="s">
        <v>1855</v>
      </c>
      <c r="G32" s="19" t="s">
        <v>1855</v>
      </c>
      <c r="H32" s="20"/>
      <c r="I32" s="23"/>
      <c r="J32" s="23" t="s">
        <v>345</v>
      </c>
      <c r="K32" s="23" t="s">
        <v>323</v>
      </c>
      <c r="L32" s="23" t="s">
        <v>1856</v>
      </c>
      <c r="M32" s="1" t="str">
        <f t="shared" si="0"/>
        <v>sum(abnormal_cnt)/sum(videoplayrequestcount) as abnormal_rate</v>
      </c>
      <c r="N32" s="16" t="str">
        <f t="shared" si="1"/>
        <v>`abnormal_rate` double,</v>
      </c>
    </row>
    <row r="33" s="1" customFormat="1" spans="2:14">
      <c r="B33" s="19" t="s">
        <v>1170</v>
      </c>
      <c r="C33" s="19" t="s">
        <v>275</v>
      </c>
      <c r="D33" s="10" t="s">
        <v>1857</v>
      </c>
      <c r="E33" s="20" t="s">
        <v>199</v>
      </c>
      <c r="F33" s="19" t="s">
        <v>1858</v>
      </c>
      <c r="G33" s="19" t="s">
        <v>1858</v>
      </c>
      <c r="H33" s="20"/>
      <c r="I33" s="23"/>
      <c r="J33" s="23" t="s">
        <v>345</v>
      </c>
      <c r="K33" s="23" t="s">
        <v>1859</v>
      </c>
      <c r="L33" s="23" t="s">
        <v>339</v>
      </c>
      <c r="M33" s="1" t="str">
        <f t="shared" si="0"/>
        <v>sum(duration_sum) as duration</v>
      </c>
      <c r="N33" s="16" t="str">
        <f t="shared" si="1"/>
        <v>`duration` bigint,</v>
      </c>
    </row>
    <row r="34" s="1" customFormat="1" ht="26.4" spans="2:14">
      <c r="B34" s="19" t="s">
        <v>1860</v>
      </c>
      <c r="C34" s="19" t="s">
        <v>275</v>
      </c>
      <c r="D34" s="10" t="s">
        <v>1861</v>
      </c>
      <c r="E34" s="20" t="s">
        <v>199</v>
      </c>
      <c r="F34" s="19" t="s">
        <v>1862</v>
      </c>
      <c r="G34" s="19" t="s">
        <v>1862</v>
      </c>
      <c r="H34" s="20"/>
      <c r="I34" s="23"/>
      <c r="J34" s="23" t="s">
        <v>345</v>
      </c>
      <c r="K34" s="23" t="s">
        <v>1863</v>
      </c>
      <c r="L34" s="23" t="s">
        <v>339</v>
      </c>
      <c r="M34" s="1" t="str">
        <f t="shared" si="0"/>
        <v>sum(outputoctets_sum+inputoctets_sum) as flux</v>
      </c>
      <c r="N34" s="16" t="str">
        <f t="shared" si="1"/>
        <v>`flux` bigint,</v>
      </c>
    </row>
    <row r="35" s="2" customFormat="1" spans="1:12">
      <c r="A35" s="21"/>
      <c r="B35" s="22" t="s">
        <v>252</v>
      </c>
      <c r="C35" s="22" t="s">
        <v>220</v>
      </c>
      <c r="D35" s="22" t="s">
        <v>254</v>
      </c>
      <c r="E35" s="22"/>
      <c r="F35" s="22"/>
      <c r="G35" s="22"/>
      <c r="H35" s="22"/>
      <c r="I35" s="22"/>
      <c r="J35" s="22"/>
      <c r="K35" s="22"/>
      <c r="L35" s="22"/>
    </row>
    <row r="36" s="2" customFormat="1" spans="1:12">
      <c r="A36" s="21"/>
      <c r="B36" s="22" t="s">
        <v>255</v>
      </c>
      <c r="C36" s="22" t="s">
        <v>216</v>
      </c>
      <c r="D36" s="22" t="s">
        <v>256</v>
      </c>
      <c r="E36" s="22"/>
      <c r="F36" s="22"/>
      <c r="G36" s="22"/>
      <c r="H36" s="22"/>
      <c r="I36" s="22"/>
      <c r="J36" s="22"/>
      <c r="K36" s="22"/>
      <c r="L36" s="22"/>
    </row>
    <row r="37" s="2" customFormat="1" spans="1:12">
      <c r="A37" s="21"/>
      <c r="B37" s="22" t="s">
        <v>257</v>
      </c>
      <c r="C37" s="22" t="s">
        <v>220</v>
      </c>
      <c r="D37" s="22" t="s">
        <v>258</v>
      </c>
      <c r="E37" s="22"/>
      <c r="F37" s="22"/>
      <c r="G37" s="22"/>
      <c r="H37" s="22"/>
      <c r="I37" s="22"/>
      <c r="J37" s="22"/>
      <c r="K37" s="22"/>
      <c r="L37" s="22"/>
    </row>
  </sheetData>
  <autoFilter xmlns:etc="http://www.wps.cn/officeDocument/2017/etCustomData" ref="A15:N37"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3"/>
  <sheetViews>
    <sheetView zoomScale="85" zoomScaleNormal="85" workbookViewId="0">
      <pane ySplit="5" topLeftCell="A6" activePane="bottomLeft" state="frozen"/>
      <selection/>
      <selection pane="bottomLeft" activeCell="G10" sqref="G10:G1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0.2222222222222" style="3" customWidth="1"/>
    <col min="10" max="10" width="7.88888888888889"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110</v>
      </c>
      <c r="D5" s="35" t="s">
        <v>2786</v>
      </c>
      <c r="E5" s="11" t="s">
        <v>1026</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2787</v>
      </c>
      <c r="D9" s="35" t="s">
        <v>2788</v>
      </c>
      <c r="E9" s="11" t="s">
        <v>199</v>
      </c>
      <c r="F9" s="11"/>
      <c r="G9" s="13"/>
      <c r="H9" s="15"/>
    </row>
    <row r="10" spans="2:8">
      <c r="B10" s="11"/>
      <c r="C10" s="10" t="s">
        <v>1029</v>
      </c>
      <c r="D10" s="10" t="s">
        <v>1030</v>
      </c>
      <c r="E10" s="11" t="s">
        <v>202</v>
      </c>
      <c r="F10" s="11"/>
      <c r="G10" s="52" t="s">
        <v>1031</v>
      </c>
      <c r="H10" s="15"/>
    </row>
    <row r="11" spans="2:8">
      <c r="B11" s="11"/>
      <c r="C11" s="10" t="s">
        <v>1032</v>
      </c>
      <c r="D11" s="10" t="s">
        <v>1033</v>
      </c>
      <c r="E11" s="11" t="s">
        <v>1034</v>
      </c>
      <c r="F11" s="38"/>
      <c r="G11" s="53"/>
      <c r="H11" s="11"/>
    </row>
    <row r="12" spans="7:7">
      <c r="G12" s="17"/>
    </row>
    <row r="13" spans="2:2">
      <c r="B13" s="3" t="s">
        <v>204</v>
      </c>
    </row>
    <row r="14" spans="2:12">
      <c r="B14" s="7" t="s">
        <v>204</v>
      </c>
      <c r="C14" s="7"/>
      <c r="D14" s="7"/>
      <c r="E14" s="7"/>
      <c r="F14" s="7"/>
      <c r="G14" s="7"/>
      <c r="H14" s="7"/>
      <c r="I14" s="7"/>
      <c r="J14" s="7"/>
      <c r="K14" s="7"/>
      <c r="L14" s="7"/>
    </row>
    <row r="15"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1302</v>
      </c>
      <c r="C16" s="32" t="s">
        <v>220</v>
      </c>
      <c r="D16" s="10" t="s">
        <v>2587</v>
      </c>
      <c r="E16" s="54"/>
      <c r="F16" s="39"/>
      <c r="G16" s="39"/>
      <c r="H16" s="55"/>
      <c r="I16" s="56"/>
      <c r="J16" s="56"/>
      <c r="K16" s="56"/>
      <c r="L16" s="56"/>
    </row>
    <row r="17" s="1" customFormat="1" spans="2:12">
      <c r="B17" s="32" t="s">
        <v>2588</v>
      </c>
      <c r="C17" s="32" t="s">
        <v>216</v>
      </c>
      <c r="D17" s="10" t="s">
        <v>2569</v>
      </c>
      <c r="E17" s="54"/>
      <c r="F17" s="39"/>
      <c r="G17" s="39"/>
      <c r="H17" s="55"/>
      <c r="I17" s="56"/>
      <c r="J17" s="56"/>
      <c r="K17" s="56"/>
      <c r="L17" s="56"/>
    </row>
    <row r="18" s="1" customFormat="1" spans="2:12">
      <c r="B18" s="32" t="s">
        <v>267</v>
      </c>
      <c r="C18" s="32" t="s">
        <v>216</v>
      </c>
      <c r="D18" s="10" t="s">
        <v>294</v>
      </c>
      <c r="E18" s="54"/>
      <c r="F18" s="39"/>
      <c r="G18" s="39"/>
      <c r="H18" s="55"/>
      <c r="I18" s="56"/>
      <c r="J18" s="56"/>
      <c r="K18" s="56"/>
      <c r="L18" s="56"/>
    </row>
    <row r="19" s="1" customFormat="1" spans="1:12">
      <c r="A19" s="40"/>
      <c r="B19" s="32" t="s">
        <v>2589</v>
      </c>
      <c r="C19" s="32" t="s">
        <v>216</v>
      </c>
      <c r="D19" s="10" t="s">
        <v>2590</v>
      </c>
      <c r="E19" s="54"/>
      <c r="F19" s="39"/>
      <c r="G19" s="39"/>
      <c r="H19" s="55"/>
      <c r="I19" s="80"/>
      <c r="J19" s="56"/>
      <c r="K19" s="56"/>
      <c r="L19" s="56"/>
    </row>
    <row r="20" s="1" customFormat="1" spans="1:12">
      <c r="A20" s="40"/>
      <c r="B20" s="32" t="s">
        <v>2591</v>
      </c>
      <c r="C20" s="32" t="s">
        <v>216</v>
      </c>
      <c r="D20" s="10" t="s">
        <v>2098</v>
      </c>
      <c r="E20" s="54"/>
      <c r="F20" s="39"/>
      <c r="G20" s="39"/>
      <c r="H20" s="55"/>
      <c r="I20" s="80"/>
      <c r="J20" s="56"/>
      <c r="K20" s="56"/>
      <c r="L20" s="56"/>
    </row>
    <row r="21" s="1" customFormat="1" spans="1:12">
      <c r="A21" s="40"/>
      <c r="B21" s="32" t="s">
        <v>1878</v>
      </c>
      <c r="C21" s="32" t="s">
        <v>216</v>
      </c>
      <c r="D21" s="10" t="s">
        <v>2571</v>
      </c>
      <c r="E21" s="54"/>
      <c r="F21" s="39"/>
      <c r="G21" s="39"/>
      <c r="H21" s="55"/>
      <c r="I21" s="80"/>
      <c r="J21" s="56"/>
      <c r="K21" s="56"/>
      <c r="L21" s="56"/>
    </row>
    <row r="22" s="1" customFormat="1" spans="1:12">
      <c r="A22" s="40"/>
      <c r="B22" s="11" t="s">
        <v>2482</v>
      </c>
      <c r="C22" s="11" t="s">
        <v>220</v>
      </c>
      <c r="D22" s="10" t="s">
        <v>2592</v>
      </c>
      <c r="E22" s="54"/>
      <c r="F22" s="10"/>
      <c r="G22" s="39"/>
      <c r="H22" s="55"/>
      <c r="I22" s="80"/>
      <c r="J22" s="56"/>
      <c r="K22" s="56"/>
      <c r="L22" s="56"/>
    </row>
    <row r="23" s="1" customFormat="1" spans="1:12">
      <c r="A23" s="40"/>
      <c r="B23" s="11" t="s">
        <v>1287</v>
      </c>
      <c r="C23" s="11" t="s">
        <v>216</v>
      </c>
      <c r="D23" s="10" t="s">
        <v>1288</v>
      </c>
      <c r="E23" s="54"/>
      <c r="F23" s="10"/>
      <c r="G23" s="39"/>
      <c r="H23" s="55"/>
      <c r="I23" s="80"/>
      <c r="J23" s="56"/>
      <c r="K23" s="56"/>
      <c r="L23" s="56"/>
    </row>
    <row r="24" s="1" customFormat="1" spans="1:12">
      <c r="A24" s="40"/>
      <c r="B24" s="11" t="s">
        <v>2485</v>
      </c>
      <c r="C24" s="11" t="s">
        <v>220</v>
      </c>
      <c r="D24" s="10" t="s">
        <v>2593</v>
      </c>
      <c r="E24" s="54"/>
      <c r="F24" s="10"/>
      <c r="G24" s="39"/>
      <c r="H24" s="55"/>
      <c r="I24" s="80"/>
      <c r="J24" s="56"/>
      <c r="K24" s="56"/>
      <c r="L24" s="56"/>
    </row>
    <row r="25" s="1" customFormat="1" spans="1:12">
      <c r="A25" s="40"/>
      <c r="B25" s="11" t="s">
        <v>2594</v>
      </c>
      <c r="C25" s="11" t="s">
        <v>216</v>
      </c>
      <c r="D25" s="10" t="s">
        <v>2595</v>
      </c>
      <c r="E25" s="54"/>
      <c r="F25" s="10"/>
      <c r="G25" s="39"/>
      <c r="H25" s="55"/>
      <c r="I25" s="80"/>
      <c r="J25" s="56"/>
      <c r="K25" s="56"/>
      <c r="L25" s="56"/>
    </row>
    <row r="26" s="1" customFormat="1" spans="1:12">
      <c r="A26" s="40"/>
      <c r="B26" s="11" t="s">
        <v>2596</v>
      </c>
      <c r="C26" s="11" t="s">
        <v>216</v>
      </c>
      <c r="D26" s="10" t="s">
        <v>2597</v>
      </c>
      <c r="E26" s="54"/>
      <c r="F26" s="10"/>
      <c r="G26" s="39"/>
      <c r="H26" s="55"/>
      <c r="I26" s="80"/>
      <c r="J26" s="56"/>
      <c r="K26" s="56"/>
      <c r="L26" s="56"/>
    </row>
    <row r="27" s="1" customFormat="1" spans="1:12">
      <c r="A27" s="40"/>
      <c r="B27" s="32" t="s">
        <v>1306</v>
      </c>
      <c r="C27" s="32" t="s">
        <v>216</v>
      </c>
      <c r="D27" s="10" t="s">
        <v>1307</v>
      </c>
      <c r="E27" s="54"/>
      <c r="F27" s="39"/>
      <c r="G27" s="39"/>
      <c r="H27" s="55"/>
      <c r="I27" s="80"/>
      <c r="J27" s="56"/>
      <c r="K27" s="56"/>
      <c r="L27" s="56"/>
    </row>
    <row r="28" s="1" customFormat="1" spans="1:12">
      <c r="A28" s="40"/>
      <c r="B28" s="11" t="s">
        <v>1304</v>
      </c>
      <c r="C28" s="11" t="s">
        <v>216</v>
      </c>
      <c r="D28" s="10" t="s">
        <v>1305</v>
      </c>
      <c r="E28" s="54"/>
      <c r="F28" s="39"/>
      <c r="G28" s="13"/>
      <c r="H28" s="55"/>
      <c r="I28" s="80"/>
      <c r="J28" s="56"/>
      <c r="K28" s="56"/>
      <c r="L28" s="56"/>
    </row>
    <row r="29" s="1" customFormat="1" spans="1:12">
      <c r="A29" s="40"/>
      <c r="B29" s="11" t="s">
        <v>302</v>
      </c>
      <c r="C29" s="11" t="s">
        <v>220</v>
      </c>
      <c r="D29" s="10" t="s">
        <v>2598</v>
      </c>
      <c r="E29" s="54"/>
      <c r="F29" s="39"/>
      <c r="G29" s="13"/>
      <c r="H29" s="55"/>
      <c r="I29" s="80"/>
      <c r="J29" s="56"/>
      <c r="K29" s="56"/>
      <c r="L29" s="56"/>
    </row>
    <row r="30" s="1" customFormat="1" spans="1:12">
      <c r="A30" s="40"/>
      <c r="B30" s="11" t="s">
        <v>1889</v>
      </c>
      <c r="C30" s="11" t="s">
        <v>220</v>
      </c>
      <c r="D30" s="10" t="s">
        <v>2599</v>
      </c>
      <c r="E30" s="54"/>
      <c r="F30" s="39"/>
      <c r="G30" s="13"/>
      <c r="H30" s="55"/>
      <c r="I30" s="80"/>
      <c r="J30" s="56"/>
      <c r="K30" s="56"/>
      <c r="L30" s="56"/>
    </row>
    <row r="31" s="1" customFormat="1" spans="1:12">
      <c r="A31" s="40"/>
      <c r="B31" s="11" t="s">
        <v>1313</v>
      </c>
      <c r="C31" s="11" t="s">
        <v>216</v>
      </c>
      <c r="D31" s="10" t="s">
        <v>1893</v>
      </c>
      <c r="E31" s="54"/>
      <c r="F31" s="39"/>
      <c r="G31" s="13"/>
      <c r="H31" s="55"/>
      <c r="I31" s="80"/>
      <c r="J31" s="56"/>
      <c r="K31" s="56"/>
      <c r="L31" s="56"/>
    </row>
    <row r="32" s="1" customFormat="1" spans="1:12">
      <c r="A32" s="40"/>
      <c r="B32" s="32" t="s">
        <v>1897</v>
      </c>
      <c r="C32" s="32" t="s">
        <v>216</v>
      </c>
      <c r="D32" s="10" t="s">
        <v>2600</v>
      </c>
      <c r="E32" s="54"/>
      <c r="F32" s="39"/>
      <c r="G32" s="39"/>
      <c r="H32" s="55"/>
      <c r="I32" s="80"/>
      <c r="J32" s="56"/>
      <c r="K32" s="56"/>
      <c r="L32" s="56"/>
    </row>
    <row r="33" s="1" customFormat="1" spans="2:12">
      <c r="B33" s="32" t="s">
        <v>1899</v>
      </c>
      <c r="C33" s="32" t="s">
        <v>216</v>
      </c>
      <c r="D33" s="10" t="s">
        <v>2601</v>
      </c>
      <c r="E33" s="54"/>
      <c r="F33" s="39"/>
      <c r="G33" s="39"/>
      <c r="H33" s="55"/>
      <c r="I33" s="56"/>
      <c r="J33" s="56"/>
      <c r="K33" s="56"/>
      <c r="L33" s="56"/>
    </row>
    <row r="34" s="1" customFormat="1" spans="2:12">
      <c r="B34" s="32" t="s">
        <v>1170</v>
      </c>
      <c r="C34" s="32" t="s">
        <v>275</v>
      </c>
      <c r="D34" s="10" t="s">
        <v>2602</v>
      </c>
      <c r="E34" s="54"/>
      <c r="F34" s="39"/>
      <c r="G34" s="39"/>
      <c r="H34" s="55"/>
      <c r="I34" s="56"/>
      <c r="J34" s="56"/>
      <c r="K34" s="56"/>
      <c r="L34" s="56"/>
    </row>
    <row r="35" s="40" customFormat="1" spans="2:12">
      <c r="B35" s="32" t="s">
        <v>1902</v>
      </c>
      <c r="C35" s="32" t="s">
        <v>275</v>
      </c>
      <c r="D35" s="10" t="s">
        <v>1903</v>
      </c>
      <c r="E35" s="54"/>
      <c r="F35" s="19"/>
      <c r="G35" s="39"/>
      <c r="H35" s="55"/>
      <c r="I35" s="80"/>
      <c r="J35" s="56"/>
      <c r="K35" s="56"/>
      <c r="L35" s="56"/>
    </row>
    <row r="36" s="40" customFormat="1" spans="2:12">
      <c r="B36" s="32" t="s">
        <v>1904</v>
      </c>
      <c r="C36" s="32" t="s">
        <v>275</v>
      </c>
      <c r="D36" s="10" t="s">
        <v>1905</v>
      </c>
      <c r="E36" s="54"/>
      <c r="F36" s="19"/>
      <c r="G36" s="39"/>
      <c r="H36" s="55"/>
      <c r="I36" s="80"/>
      <c r="J36" s="56"/>
      <c r="K36" s="56"/>
      <c r="L36" s="56"/>
    </row>
    <row r="37" s="70" customFormat="1" spans="1:12">
      <c r="A37" s="75"/>
      <c r="B37" s="78" t="s">
        <v>1906</v>
      </c>
      <c r="C37" s="78" t="s">
        <v>275</v>
      </c>
      <c r="D37" s="10" t="s">
        <v>1330</v>
      </c>
      <c r="E37" s="54"/>
      <c r="F37" s="39"/>
      <c r="G37" s="39"/>
      <c r="H37" s="55"/>
      <c r="I37" s="81"/>
      <c r="J37" s="56"/>
      <c r="K37" s="56"/>
      <c r="L37" s="56"/>
    </row>
    <row r="38" s="1" customFormat="1" spans="1:12">
      <c r="A38" s="40"/>
      <c r="B38" s="11" t="s">
        <v>1907</v>
      </c>
      <c r="C38" s="11" t="s">
        <v>275</v>
      </c>
      <c r="D38" s="10" t="s">
        <v>1332</v>
      </c>
      <c r="E38" s="54"/>
      <c r="F38" s="39"/>
      <c r="G38" s="13"/>
      <c r="H38" s="55"/>
      <c r="I38" s="80"/>
      <c r="J38" s="56"/>
      <c r="K38" s="56"/>
      <c r="L38" s="56"/>
    </row>
    <row r="39" s="40" customFormat="1" spans="2:12">
      <c r="B39" s="32" t="s">
        <v>2603</v>
      </c>
      <c r="C39" s="32" t="s">
        <v>216</v>
      </c>
      <c r="D39" s="10" t="s">
        <v>2604</v>
      </c>
      <c r="E39" s="54"/>
      <c r="F39" s="39"/>
      <c r="G39" s="39"/>
      <c r="H39" s="55"/>
      <c r="I39" s="80"/>
      <c r="J39" s="56"/>
      <c r="K39" s="56"/>
      <c r="L39" s="56"/>
    </row>
    <row r="40" s="40" customFormat="1" spans="2:12">
      <c r="B40" s="32" t="s">
        <v>1939</v>
      </c>
      <c r="C40" s="32" t="s">
        <v>220</v>
      </c>
      <c r="D40" s="10" t="s">
        <v>1940</v>
      </c>
      <c r="E40" s="54"/>
      <c r="F40" s="39"/>
      <c r="G40" s="39"/>
      <c r="H40" s="55"/>
      <c r="I40" s="80"/>
      <c r="J40" s="56"/>
      <c r="K40" s="56"/>
      <c r="L40" s="56"/>
    </row>
    <row r="41" s="40" customFormat="1" spans="2:12">
      <c r="B41" s="32" t="s">
        <v>2605</v>
      </c>
      <c r="C41" s="32" t="s">
        <v>216</v>
      </c>
      <c r="D41" s="10" t="s">
        <v>2606</v>
      </c>
      <c r="E41" s="54"/>
      <c r="F41" s="39"/>
      <c r="G41" s="39"/>
      <c r="H41" s="55"/>
      <c r="I41" s="80"/>
      <c r="J41" s="56"/>
      <c r="K41" s="56"/>
      <c r="L41" s="56"/>
    </row>
    <row r="42" s="40" customFormat="1" spans="2:12">
      <c r="B42" s="32" t="s">
        <v>2607</v>
      </c>
      <c r="C42" s="79" t="s">
        <v>275</v>
      </c>
      <c r="D42" s="10" t="s">
        <v>2608</v>
      </c>
      <c r="E42" s="54"/>
      <c r="F42" s="39"/>
      <c r="G42" s="39"/>
      <c r="H42" s="55"/>
      <c r="I42" s="80"/>
      <c r="J42" s="56"/>
      <c r="K42" s="56"/>
      <c r="L42" s="56"/>
    </row>
    <row r="43" s="3" customFormat="1" spans="2:12">
      <c r="B43" s="32" t="s">
        <v>2609</v>
      </c>
      <c r="C43" s="79" t="s">
        <v>275</v>
      </c>
      <c r="D43" s="10" t="s">
        <v>2610</v>
      </c>
      <c r="E43" s="54"/>
      <c r="F43" s="39"/>
      <c r="G43" s="39"/>
      <c r="H43" s="55"/>
      <c r="I43" s="80"/>
      <c r="J43" s="56"/>
      <c r="K43" s="56"/>
      <c r="L43" s="56"/>
    </row>
    <row r="44" s="3" customFormat="1" spans="2:12">
      <c r="B44" s="32" t="s">
        <v>1808</v>
      </c>
      <c r="C44" s="79" t="s">
        <v>216</v>
      </c>
      <c r="D44" s="10" t="s">
        <v>2572</v>
      </c>
      <c r="E44" s="54"/>
      <c r="F44" s="39"/>
      <c r="G44" s="39"/>
      <c r="H44" s="55"/>
      <c r="I44" s="80"/>
      <c r="J44" s="56"/>
      <c r="K44" s="56"/>
      <c r="L44" s="56"/>
    </row>
    <row r="45" s="1" customFormat="1" spans="1:12">
      <c r="A45" s="40"/>
      <c r="B45" s="32" t="s">
        <v>1895</v>
      </c>
      <c r="C45" s="32" t="s">
        <v>220</v>
      </c>
      <c r="D45" s="10" t="s">
        <v>2611</v>
      </c>
      <c r="E45" s="54"/>
      <c r="F45" s="39"/>
      <c r="G45" s="39"/>
      <c r="H45" s="32"/>
      <c r="I45" s="80"/>
      <c r="J45" s="56"/>
      <c r="K45" s="56"/>
      <c r="L45" s="56"/>
    </row>
    <row r="46" s="3" customFormat="1" spans="2:12">
      <c r="B46" s="32" t="s">
        <v>1908</v>
      </c>
      <c r="C46" s="79" t="s">
        <v>275</v>
      </c>
      <c r="D46" s="10" t="s">
        <v>1909</v>
      </c>
      <c r="E46" s="54"/>
      <c r="F46" s="39"/>
      <c r="G46" s="39"/>
      <c r="H46" s="55"/>
      <c r="I46" s="80"/>
      <c r="J46" s="56"/>
      <c r="K46" s="56"/>
      <c r="L46" s="56"/>
    </row>
    <row r="47" s="3" customFormat="1" spans="2:12">
      <c r="B47" s="32" t="s">
        <v>1910</v>
      </c>
      <c r="C47" s="79" t="s">
        <v>275</v>
      </c>
      <c r="D47" s="10" t="s">
        <v>1911</v>
      </c>
      <c r="E47" s="54"/>
      <c r="F47" s="39"/>
      <c r="G47" s="39"/>
      <c r="H47" s="55"/>
      <c r="I47" s="80"/>
      <c r="J47" s="56"/>
      <c r="K47" s="56"/>
      <c r="L47" s="56"/>
    </row>
    <row r="48" s="3" customFormat="1" spans="2:12">
      <c r="B48" s="32" t="s">
        <v>1912</v>
      </c>
      <c r="C48" s="79" t="s">
        <v>275</v>
      </c>
      <c r="D48" s="10" t="s">
        <v>1913</v>
      </c>
      <c r="E48" s="54"/>
      <c r="F48" s="39"/>
      <c r="G48" s="39"/>
      <c r="H48" s="55"/>
      <c r="I48" s="80"/>
      <c r="J48" s="56"/>
      <c r="K48" s="56"/>
      <c r="L48" s="56"/>
    </row>
    <row r="49" s="3" customFormat="1" spans="2:12">
      <c r="B49" s="78" t="s">
        <v>1914</v>
      </c>
      <c r="C49" s="78" t="s">
        <v>275</v>
      </c>
      <c r="D49" s="10" t="s">
        <v>1915</v>
      </c>
      <c r="E49" s="54"/>
      <c r="F49" s="39"/>
      <c r="G49" s="39"/>
      <c r="H49" s="55"/>
      <c r="I49" s="81"/>
      <c r="J49" s="56"/>
      <c r="K49" s="56"/>
      <c r="L49" s="56"/>
    </row>
    <row r="50" s="70" customFormat="1" spans="1:12">
      <c r="A50" s="75"/>
      <c r="B50" s="78" t="s">
        <v>1276</v>
      </c>
      <c r="C50" s="78" t="s">
        <v>275</v>
      </c>
      <c r="D50" s="10" t="s">
        <v>1277</v>
      </c>
      <c r="E50" s="54"/>
      <c r="F50" s="39"/>
      <c r="G50" s="39"/>
      <c r="H50" s="55"/>
      <c r="I50" s="81"/>
      <c r="J50" s="56"/>
      <c r="K50" s="56"/>
      <c r="L50" s="56"/>
    </row>
    <row r="51" s="70" customFormat="1" spans="1:12">
      <c r="A51" s="75"/>
      <c r="B51" s="78" t="s">
        <v>1278</v>
      </c>
      <c r="C51" s="78" t="s">
        <v>275</v>
      </c>
      <c r="D51" s="10" t="s">
        <v>1279</v>
      </c>
      <c r="E51" s="54"/>
      <c r="F51" s="39"/>
      <c r="G51" s="39"/>
      <c r="H51" s="55"/>
      <c r="I51" s="81"/>
      <c r="J51" s="56"/>
      <c r="K51" s="56"/>
      <c r="L51" s="56"/>
    </row>
    <row r="52" s="70" customFormat="1" spans="1:12">
      <c r="A52" s="75"/>
      <c r="B52" s="78" t="s">
        <v>1291</v>
      </c>
      <c r="C52" s="78" t="s">
        <v>275</v>
      </c>
      <c r="D52" s="10" t="s">
        <v>1356</v>
      </c>
      <c r="E52" s="54"/>
      <c r="F52" s="39"/>
      <c r="G52" s="39"/>
      <c r="H52" s="55"/>
      <c r="I52" s="81"/>
      <c r="J52" s="56"/>
      <c r="K52" s="56"/>
      <c r="L52" s="56"/>
    </row>
    <row r="53" s="70" customFormat="1" spans="1:12">
      <c r="A53" s="75"/>
      <c r="B53" s="78" t="s">
        <v>1293</v>
      </c>
      <c r="C53" s="78" t="s">
        <v>275</v>
      </c>
      <c r="D53" s="10" t="s">
        <v>1358</v>
      </c>
      <c r="E53" s="54"/>
      <c r="F53" s="39"/>
      <c r="G53" s="39"/>
      <c r="H53" s="55"/>
      <c r="I53" s="81"/>
      <c r="J53" s="56"/>
      <c r="K53" s="56"/>
      <c r="L53" s="56"/>
    </row>
    <row r="54" s="70" customFormat="1" spans="1:12">
      <c r="A54" s="75"/>
      <c r="B54" s="78" t="s">
        <v>2051</v>
      </c>
      <c r="C54" s="78" t="s">
        <v>275</v>
      </c>
      <c r="D54" s="10" t="s">
        <v>1348</v>
      </c>
      <c r="E54" s="54"/>
      <c r="F54" s="39"/>
      <c r="G54" s="39"/>
      <c r="H54" s="55"/>
      <c r="I54" s="81"/>
      <c r="J54" s="56"/>
      <c r="K54" s="56"/>
      <c r="L54" s="56"/>
    </row>
    <row r="55" s="70" customFormat="1" ht="26.4" spans="1:12">
      <c r="A55" s="75"/>
      <c r="B55" s="78" t="s">
        <v>2052</v>
      </c>
      <c r="C55" s="78" t="s">
        <v>275</v>
      </c>
      <c r="D55" s="10" t="s">
        <v>1350</v>
      </c>
      <c r="E55" s="54"/>
      <c r="F55" s="39"/>
      <c r="G55" s="39"/>
      <c r="H55" s="55"/>
      <c r="I55" s="81"/>
      <c r="J55" s="56"/>
      <c r="K55" s="56"/>
      <c r="L55" s="56"/>
    </row>
    <row r="56" s="70" customFormat="1" spans="1:12">
      <c r="A56" s="75"/>
      <c r="B56" s="78" t="s">
        <v>1928</v>
      </c>
      <c r="C56" s="78" t="s">
        <v>275</v>
      </c>
      <c r="D56" s="10" t="s">
        <v>1929</v>
      </c>
      <c r="E56" s="54"/>
      <c r="F56" s="39"/>
      <c r="G56" s="39"/>
      <c r="H56" s="55"/>
      <c r="I56" s="81"/>
      <c r="J56" s="56"/>
      <c r="K56" s="56"/>
      <c r="L56" s="56"/>
    </row>
    <row r="57" s="70" customFormat="1" spans="1:12">
      <c r="A57" s="75"/>
      <c r="B57" s="78" t="s">
        <v>1930</v>
      </c>
      <c r="C57" s="78" t="s">
        <v>220</v>
      </c>
      <c r="D57" s="10" t="s">
        <v>1352</v>
      </c>
      <c r="E57" s="54"/>
      <c r="F57" s="39"/>
      <c r="G57" s="39"/>
      <c r="H57" s="55"/>
      <c r="I57" s="81"/>
      <c r="J57" s="56"/>
      <c r="K57" s="56"/>
      <c r="L57" s="56"/>
    </row>
    <row r="58" s="70" customFormat="1" spans="1:12">
      <c r="A58" s="75"/>
      <c r="B58" s="78" t="s">
        <v>1931</v>
      </c>
      <c r="C58" s="78" t="s">
        <v>220</v>
      </c>
      <c r="D58" s="10" t="s">
        <v>1932</v>
      </c>
      <c r="E58" s="54"/>
      <c r="F58" s="39"/>
      <c r="G58" s="39"/>
      <c r="H58" s="55"/>
      <c r="I58" s="81"/>
      <c r="J58" s="56"/>
      <c r="K58" s="56"/>
      <c r="L58" s="56"/>
    </row>
    <row r="59" s="70" customFormat="1" spans="1:12">
      <c r="A59" s="75"/>
      <c r="B59" s="78" t="s">
        <v>1933</v>
      </c>
      <c r="C59" s="78" t="s">
        <v>220</v>
      </c>
      <c r="D59" s="10" t="s">
        <v>1934</v>
      </c>
      <c r="E59" s="54"/>
      <c r="F59" s="39"/>
      <c r="G59" s="39"/>
      <c r="H59" s="55"/>
      <c r="I59" s="81"/>
      <c r="J59" s="56"/>
      <c r="K59" s="56"/>
      <c r="L59" s="56"/>
    </row>
    <row r="60" s="70" customFormat="1" spans="1:12">
      <c r="A60" s="75"/>
      <c r="B60" s="78" t="s">
        <v>2612</v>
      </c>
      <c r="C60" s="78" t="s">
        <v>220</v>
      </c>
      <c r="D60" s="10" t="s">
        <v>2613</v>
      </c>
      <c r="E60" s="54"/>
      <c r="F60" s="39"/>
      <c r="G60" s="39"/>
      <c r="H60" s="55"/>
      <c r="I60" s="81"/>
      <c r="J60" s="56"/>
      <c r="K60" s="56"/>
      <c r="L60" s="56"/>
    </row>
    <row r="61" s="3" customFormat="1" spans="2:12">
      <c r="B61" s="32" t="s">
        <v>2614</v>
      </c>
      <c r="C61" s="79" t="s">
        <v>275</v>
      </c>
      <c r="D61" s="10" t="s">
        <v>2615</v>
      </c>
      <c r="E61" s="54"/>
      <c r="F61" s="39"/>
      <c r="G61" s="39"/>
      <c r="H61" s="55"/>
      <c r="I61" s="80"/>
      <c r="J61" s="56"/>
      <c r="K61" s="56"/>
      <c r="L61" s="56"/>
    </row>
    <row r="62" spans="1:12">
      <c r="A62" s="4"/>
      <c r="B62" s="32" t="s">
        <v>2616</v>
      </c>
      <c r="C62" s="79" t="s">
        <v>275</v>
      </c>
      <c r="D62" s="10" t="s">
        <v>2616</v>
      </c>
      <c r="E62" s="54"/>
      <c r="F62" s="39"/>
      <c r="G62" s="39"/>
      <c r="H62" s="55"/>
      <c r="I62" s="56"/>
      <c r="J62" s="56"/>
      <c r="K62" s="56"/>
      <c r="L62" s="56"/>
    </row>
    <row r="63" spans="1:12">
      <c r="A63" s="4"/>
      <c r="B63" s="32" t="s">
        <v>2617</v>
      </c>
      <c r="C63" s="79" t="s">
        <v>275</v>
      </c>
      <c r="D63" s="10" t="s">
        <v>2617</v>
      </c>
      <c r="E63" s="54"/>
      <c r="F63" s="39"/>
      <c r="G63" s="39"/>
      <c r="H63" s="55"/>
      <c r="I63" s="56"/>
      <c r="J63" s="56"/>
      <c r="K63" s="56"/>
      <c r="L63" s="56"/>
    </row>
    <row r="64" spans="1:12">
      <c r="A64" s="4"/>
      <c r="B64" s="32" t="s">
        <v>2618</v>
      </c>
      <c r="C64" s="79" t="s">
        <v>220</v>
      </c>
      <c r="D64" s="10" t="s">
        <v>2618</v>
      </c>
      <c r="E64" s="54"/>
      <c r="F64" s="39"/>
      <c r="G64" s="39"/>
      <c r="H64" s="55"/>
      <c r="I64" s="56"/>
      <c r="J64" s="56"/>
      <c r="K64" s="56"/>
      <c r="L64" s="56"/>
    </row>
    <row r="65" spans="1:12">
      <c r="A65" s="4"/>
      <c r="B65" s="32" t="s">
        <v>2619</v>
      </c>
      <c r="C65" s="79" t="s">
        <v>275</v>
      </c>
      <c r="D65" s="10" t="s">
        <v>2620</v>
      </c>
      <c r="E65" s="54"/>
      <c r="F65" s="39"/>
      <c r="G65" s="39"/>
      <c r="H65" s="55"/>
      <c r="I65" s="56"/>
      <c r="J65" s="56"/>
      <c r="K65" s="56"/>
      <c r="L65" s="56"/>
    </row>
    <row r="66" s="1" customFormat="1" spans="1:12">
      <c r="A66" s="40"/>
      <c r="B66" s="32" t="s">
        <v>2621</v>
      </c>
      <c r="C66" s="79" t="s">
        <v>275</v>
      </c>
      <c r="D66" s="10" t="s">
        <v>2622</v>
      </c>
      <c r="E66" s="54"/>
      <c r="F66" s="39"/>
      <c r="G66" s="39"/>
      <c r="H66" s="55"/>
      <c r="I66" s="80"/>
      <c r="J66" s="56"/>
      <c r="K66" s="56"/>
      <c r="L66" s="56"/>
    </row>
    <row r="67" spans="1:12">
      <c r="A67" s="4"/>
      <c r="B67" s="32" t="s">
        <v>2623</v>
      </c>
      <c r="C67" s="79" t="s">
        <v>275</v>
      </c>
      <c r="D67" s="10" t="s">
        <v>2624</v>
      </c>
      <c r="E67" s="54"/>
      <c r="F67" s="39"/>
      <c r="G67" s="39"/>
      <c r="H67" s="55"/>
      <c r="I67" s="56"/>
      <c r="J67" s="56"/>
      <c r="K67" s="56"/>
      <c r="L67" s="56"/>
    </row>
    <row r="68" s="1" customFormat="1" spans="1:12">
      <c r="A68" s="40"/>
      <c r="B68" s="32" t="s">
        <v>2625</v>
      </c>
      <c r="C68" s="79" t="s">
        <v>275</v>
      </c>
      <c r="D68" s="10" t="s">
        <v>2626</v>
      </c>
      <c r="E68" s="54"/>
      <c r="F68" s="39"/>
      <c r="G68" s="39"/>
      <c r="H68" s="55"/>
      <c r="I68" s="80"/>
      <c r="J68" s="56"/>
      <c r="K68" s="56"/>
      <c r="L68" s="56"/>
    </row>
    <row r="69" s="1" customFormat="1" spans="1:12">
      <c r="A69" s="40"/>
      <c r="B69" s="32" t="s">
        <v>2627</v>
      </c>
      <c r="C69" s="79" t="s">
        <v>275</v>
      </c>
      <c r="D69" s="10" t="s">
        <v>2628</v>
      </c>
      <c r="E69" s="54"/>
      <c r="F69" s="39"/>
      <c r="G69" s="39"/>
      <c r="H69" s="55"/>
      <c r="I69" s="80"/>
      <c r="J69" s="56"/>
      <c r="K69" s="56"/>
      <c r="L69" s="56"/>
    </row>
    <row r="70" s="1" customFormat="1" spans="1:12">
      <c r="A70" s="40"/>
      <c r="B70" s="32" t="s">
        <v>2629</v>
      </c>
      <c r="C70" s="79" t="s">
        <v>275</v>
      </c>
      <c r="D70" s="10" t="s">
        <v>2630</v>
      </c>
      <c r="E70" s="54"/>
      <c r="F70" s="39"/>
      <c r="G70" s="39"/>
      <c r="H70" s="55"/>
      <c r="I70" s="80"/>
      <c r="J70" s="56"/>
      <c r="K70" s="56"/>
      <c r="L70" s="56"/>
    </row>
    <row r="71" s="1" customFormat="1" spans="1:12">
      <c r="A71" s="40"/>
      <c r="B71" s="32" t="s">
        <v>2631</v>
      </c>
      <c r="C71" s="79" t="s">
        <v>275</v>
      </c>
      <c r="D71" s="10" t="s">
        <v>2632</v>
      </c>
      <c r="E71" s="54"/>
      <c r="F71" s="39"/>
      <c r="G71" s="39"/>
      <c r="H71" s="55"/>
      <c r="I71" s="80"/>
      <c r="J71" s="56"/>
      <c r="K71" s="56"/>
      <c r="L71" s="56"/>
    </row>
    <row r="72" s="1" customFormat="1" spans="1:12">
      <c r="A72" s="40"/>
      <c r="B72" s="32" t="s">
        <v>2633</v>
      </c>
      <c r="C72" s="79" t="s">
        <v>275</v>
      </c>
      <c r="D72" s="10" t="s">
        <v>2634</v>
      </c>
      <c r="E72" s="54"/>
      <c r="F72" s="39"/>
      <c r="G72" s="39"/>
      <c r="H72" s="55"/>
      <c r="I72" s="80"/>
      <c r="J72" s="56"/>
      <c r="K72" s="56"/>
      <c r="L72" s="56"/>
    </row>
    <row r="73" s="1" customFormat="1" spans="1:12">
      <c r="A73" s="40"/>
      <c r="B73" s="32" t="s">
        <v>2635</v>
      </c>
      <c r="C73" s="79" t="s">
        <v>275</v>
      </c>
      <c r="D73" s="10" t="s">
        <v>1360</v>
      </c>
      <c r="E73" s="54"/>
      <c r="F73" s="39"/>
      <c r="G73" s="39"/>
      <c r="H73" s="55"/>
      <c r="I73" s="80"/>
      <c r="J73" s="56"/>
      <c r="K73" s="56"/>
      <c r="L73" s="56"/>
    </row>
    <row r="74" s="70" customFormat="1" customHeight="1" spans="1:12">
      <c r="A74" s="75"/>
      <c r="B74" s="32" t="s">
        <v>2789</v>
      </c>
      <c r="C74" s="78" t="s">
        <v>275</v>
      </c>
      <c r="D74" s="10" t="s">
        <v>1362</v>
      </c>
      <c r="E74" s="54"/>
      <c r="F74" s="39"/>
      <c r="G74" s="39"/>
      <c r="H74" s="55"/>
      <c r="I74" s="81"/>
      <c r="J74" s="56"/>
      <c r="K74" s="56"/>
      <c r="L74" s="56"/>
    </row>
    <row r="75" s="70" customFormat="1" spans="1:12">
      <c r="A75" s="75"/>
      <c r="B75" s="78" t="s">
        <v>2637</v>
      </c>
      <c r="C75" s="78" t="s">
        <v>275</v>
      </c>
      <c r="D75" s="10" t="s">
        <v>1364</v>
      </c>
      <c r="E75" s="54"/>
      <c r="F75" s="39"/>
      <c r="G75" s="39"/>
      <c r="H75" s="55"/>
      <c r="I75" s="81"/>
      <c r="J75" s="56"/>
      <c r="K75" s="56"/>
      <c r="L75" s="56"/>
    </row>
    <row r="76" s="70" customFormat="1" spans="1:12">
      <c r="A76" s="75"/>
      <c r="B76" s="78" t="s">
        <v>2638</v>
      </c>
      <c r="C76" s="78" t="s">
        <v>275</v>
      </c>
      <c r="D76" s="10" t="s">
        <v>1366</v>
      </c>
      <c r="E76" s="54"/>
      <c r="F76" s="39"/>
      <c r="G76" s="39"/>
      <c r="H76" s="55"/>
      <c r="I76" s="81"/>
      <c r="J76" s="56"/>
      <c r="K76" s="56"/>
      <c r="L76" s="56"/>
    </row>
    <row r="77" s="70" customFormat="1" spans="1:12">
      <c r="A77" s="75"/>
      <c r="B77" s="78" t="s">
        <v>2639</v>
      </c>
      <c r="C77" s="78" t="s">
        <v>275</v>
      </c>
      <c r="D77" s="10" t="s">
        <v>1368</v>
      </c>
      <c r="E77" s="54"/>
      <c r="F77" s="39"/>
      <c r="G77" s="39"/>
      <c r="H77" s="55"/>
      <c r="I77" s="81"/>
      <c r="J77" s="56"/>
      <c r="K77" s="56"/>
      <c r="L77" s="56"/>
    </row>
    <row r="78" s="70" customFormat="1" spans="1:12">
      <c r="A78" s="75"/>
      <c r="B78" s="78" t="s">
        <v>2640</v>
      </c>
      <c r="C78" s="78" t="s">
        <v>275</v>
      </c>
      <c r="D78" s="10" t="s">
        <v>1370</v>
      </c>
      <c r="E78" s="54"/>
      <c r="F78" s="39"/>
      <c r="G78" s="39"/>
      <c r="H78" s="55"/>
      <c r="I78" s="81"/>
      <c r="J78" s="56"/>
      <c r="K78" s="56"/>
      <c r="L78" s="56"/>
    </row>
    <row r="79" s="70" customFormat="1" spans="1:12">
      <c r="A79" s="75"/>
      <c r="B79" s="78" t="s">
        <v>2641</v>
      </c>
      <c r="C79" s="78" t="s">
        <v>275</v>
      </c>
      <c r="D79" s="10" t="s">
        <v>1372</v>
      </c>
      <c r="E79" s="54"/>
      <c r="F79" s="39"/>
      <c r="G79" s="39"/>
      <c r="H79" s="55"/>
      <c r="I79" s="81"/>
      <c r="J79" s="56"/>
      <c r="K79" s="56"/>
      <c r="L79" s="56"/>
    </row>
    <row r="80" s="70" customFormat="1" spans="1:12">
      <c r="A80" s="75"/>
      <c r="B80" s="78" t="s">
        <v>2642</v>
      </c>
      <c r="C80" s="78" t="s">
        <v>275</v>
      </c>
      <c r="D80" s="10" t="s">
        <v>1374</v>
      </c>
      <c r="E80" s="54"/>
      <c r="F80" s="39"/>
      <c r="G80" s="39"/>
      <c r="H80" s="55"/>
      <c r="I80" s="81"/>
      <c r="J80" s="56"/>
      <c r="K80" s="56"/>
      <c r="L80" s="56"/>
    </row>
    <row r="81" s="70" customFormat="1" spans="1:12">
      <c r="A81" s="75"/>
      <c r="B81" s="78" t="s">
        <v>2643</v>
      </c>
      <c r="C81" s="78" t="s">
        <v>275</v>
      </c>
      <c r="D81" s="10" t="s">
        <v>1376</v>
      </c>
      <c r="E81" s="54"/>
      <c r="F81" s="39"/>
      <c r="G81" s="39"/>
      <c r="H81" s="55"/>
      <c r="I81" s="81"/>
      <c r="J81" s="56"/>
      <c r="K81" s="56"/>
      <c r="L81" s="56"/>
    </row>
    <row r="82" s="70" customFormat="1" spans="1:12">
      <c r="A82" s="75"/>
      <c r="B82" s="78" t="s">
        <v>2644</v>
      </c>
      <c r="C82" s="78" t="s">
        <v>275</v>
      </c>
      <c r="D82" s="10" t="s">
        <v>1378</v>
      </c>
      <c r="E82" s="54"/>
      <c r="F82" s="39"/>
      <c r="G82" s="39"/>
      <c r="H82" s="55"/>
      <c r="I82" s="81"/>
      <c r="J82" s="56"/>
      <c r="K82" s="56"/>
      <c r="L82" s="56"/>
    </row>
    <row r="83" s="70" customFormat="1" spans="1:12">
      <c r="A83" s="75"/>
      <c r="B83" s="78" t="s">
        <v>2645</v>
      </c>
      <c r="C83" s="78" t="s">
        <v>275</v>
      </c>
      <c r="D83" s="10" t="s">
        <v>1380</v>
      </c>
      <c r="E83" s="54"/>
      <c r="F83" s="39"/>
      <c r="G83" s="39"/>
      <c r="H83" s="55"/>
      <c r="I83" s="81"/>
      <c r="J83" s="56"/>
      <c r="K83" s="56"/>
      <c r="L83" s="56"/>
    </row>
    <row r="84" s="70" customFormat="1" spans="1:12">
      <c r="A84" s="75"/>
      <c r="B84" s="78" t="s">
        <v>2646</v>
      </c>
      <c r="C84" s="78" t="s">
        <v>275</v>
      </c>
      <c r="D84" s="10" t="s">
        <v>1382</v>
      </c>
      <c r="E84" s="54"/>
      <c r="F84" s="39"/>
      <c r="G84" s="39"/>
      <c r="H84" s="55"/>
      <c r="I84" s="81"/>
      <c r="J84" s="56"/>
      <c r="K84" s="56"/>
      <c r="L84" s="56"/>
    </row>
    <row r="85" s="70" customFormat="1" spans="1:12">
      <c r="A85" s="75"/>
      <c r="B85" s="78" t="s">
        <v>2647</v>
      </c>
      <c r="C85" s="78" t="s">
        <v>275</v>
      </c>
      <c r="D85" s="10" t="s">
        <v>1384</v>
      </c>
      <c r="E85" s="54"/>
      <c r="F85" s="39"/>
      <c r="G85" s="39"/>
      <c r="H85" s="55"/>
      <c r="I85" s="81"/>
      <c r="J85" s="56"/>
      <c r="K85" s="56"/>
      <c r="L85" s="56"/>
    </row>
    <row r="86" s="70" customFormat="1" spans="1:12">
      <c r="A86" s="75"/>
      <c r="B86" s="78" t="s">
        <v>2648</v>
      </c>
      <c r="C86" s="78" t="s">
        <v>275</v>
      </c>
      <c r="D86" s="10" t="s">
        <v>1386</v>
      </c>
      <c r="E86" s="54"/>
      <c r="F86" s="39"/>
      <c r="G86" s="39"/>
      <c r="H86" s="55"/>
      <c r="I86" s="81"/>
      <c r="J86" s="56"/>
      <c r="K86" s="56"/>
      <c r="L86" s="56"/>
    </row>
    <row r="87" s="70" customFormat="1" spans="1:12">
      <c r="A87" s="75"/>
      <c r="B87" s="78" t="s">
        <v>2649</v>
      </c>
      <c r="C87" s="78" t="s">
        <v>275</v>
      </c>
      <c r="D87" s="10" t="s">
        <v>1388</v>
      </c>
      <c r="E87" s="54"/>
      <c r="F87" s="39"/>
      <c r="G87" s="39"/>
      <c r="H87" s="55"/>
      <c r="I87" s="81"/>
      <c r="J87" s="56"/>
      <c r="K87" s="56"/>
      <c r="L87" s="56"/>
    </row>
    <row r="88" s="70" customFormat="1" spans="1:12">
      <c r="A88" s="75"/>
      <c r="B88" s="78" t="s">
        <v>2650</v>
      </c>
      <c r="C88" s="78" t="s">
        <v>275</v>
      </c>
      <c r="D88" s="10" t="s">
        <v>1390</v>
      </c>
      <c r="E88" s="54"/>
      <c r="F88" s="39"/>
      <c r="G88" s="39"/>
      <c r="H88" s="55"/>
      <c r="I88" s="81"/>
      <c r="J88" s="56"/>
      <c r="K88" s="56"/>
      <c r="L88" s="56"/>
    </row>
    <row r="89" s="70" customFormat="1" spans="1:12">
      <c r="A89" s="75"/>
      <c r="B89" s="78" t="s">
        <v>2653</v>
      </c>
      <c r="C89" s="78" t="s">
        <v>216</v>
      </c>
      <c r="D89" s="10" t="s">
        <v>2544</v>
      </c>
      <c r="E89" s="54"/>
      <c r="F89" s="39"/>
      <c r="G89" s="39"/>
      <c r="H89" s="55"/>
      <c r="I89" s="81"/>
      <c r="J89" s="56"/>
      <c r="K89" s="56"/>
      <c r="L89" s="56"/>
    </row>
    <row r="90" s="70" customFormat="1" spans="1:12">
      <c r="A90" s="75"/>
      <c r="B90" s="78" t="s">
        <v>2654</v>
      </c>
      <c r="C90" s="78" t="s">
        <v>216</v>
      </c>
      <c r="D90" s="10" t="s">
        <v>1954</v>
      </c>
      <c r="E90" s="54"/>
      <c r="F90" s="39"/>
      <c r="G90" s="39"/>
      <c r="H90" s="55"/>
      <c r="I90" s="81"/>
      <c r="J90" s="56"/>
      <c r="K90" s="56"/>
      <c r="L90" s="56"/>
    </row>
    <row r="91" s="70" customFormat="1" spans="1:12">
      <c r="A91" s="75"/>
      <c r="B91" s="78" t="s">
        <v>1286</v>
      </c>
      <c r="C91" s="78" t="s">
        <v>216</v>
      </c>
      <c r="D91" s="10" t="s">
        <v>1955</v>
      </c>
      <c r="E91" s="54"/>
      <c r="F91" s="39"/>
      <c r="G91" s="39"/>
      <c r="H91" s="55"/>
      <c r="I91" s="81"/>
      <c r="J91" s="56"/>
      <c r="K91" s="56"/>
      <c r="L91" s="56"/>
    </row>
    <row r="92" s="70" customFormat="1" spans="1:12">
      <c r="A92" s="75"/>
      <c r="B92" s="78" t="s">
        <v>1972</v>
      </c>
      <c r="C92" s="78" t="s">
        <v>275</v>
      </c>
      <c r="D92" s="10" t="s">
        <v>1973</v>
      </c>
      <c r="E92" s="54"/>
      <c r="F92" s="39"/>
      <c r="G92" s="39"/>
      <c r="H92" s="55"/>
      <c r="I92" s="81"/>
      <c r="J92" s="56"/>
      <c r="K92" s="56"/>
      <c r="L92" s="56"/>
    </row>
    <row r="93" s="70" customFormat="1" spans="1:12">
      <c r="A93" s="75"/>
      <c r="B93" s="78" t="s">
        <v>1974</v>
      </c>
      <c r="C93" s="78" t="s">
        <v>275</v>
      </c>
      <c r="D93" s="10" t="s">
        <v>1975</v>
      </c>
      <c r="E93" s="54"/>
      <c r="F93" s="39"/>
      <c r="G93" s="39"/>
      <c r="H93" s="55"/>
      <c r="I93" s="81"/>
      <c r="J93" s="56"/>
      <c r="K93" s="56"/>
      <c r="L93" s="56"/>
    </row>
    <row r="94" s="70" customFormat="1" spans="1:12">
      <c r="A94" s="75"/>
      <c r="B94" s="78" t="s">
        <v>1976</v>
      </c>
      <c r="C94" s="78" t="s">
        <v>275</v>
      </c>
      <c r="D94" s="10" t="s">
        <v>1977</v>
      </c>
      <c r="E94" s="54"/>
      <c r="F94" s="39"/>
      <c r="G94" s="39"/>
      <c r="H94" s="55"/>
      <c r="I94" s="81"/>
      <c r="J94" s="56"/>
      <c r="K94" s="56"/>
      <c r="L94" s="56"/>
    </row>
    <row r="95" s="70" customFormat="1" spans="1:12">
      <c r="A95" s="75"/>
      <c r="B95" s="78" t="s">
        <v>2662</v>
      </c>
      <c r="C95" s="78" t="s">
        <v>275</v>
      </c>
      <c r="D95" s="10" t="s">
        <v>1979</v>
      </c>
      <c r="E95" s="54"/>
      <c r="F95" s="39"/>
      <c r="G95" s="39"/>
      <c r="H95" s="54"/>
      <c r="I95" s="81"/>
      <c r="J95" s="56"/>
      <c r="K95" s="56"/>
      <c r="L95" s="56"/>
    </row>
    <row r="96" s="70" customFormat="1" spans="1:12">
      <c r="A96" s="75"/>
      <c r="B96" s="78" t="s">
        <v>2665</v>
      </c>
      <c r="C96" s="78" t="s">
        <v>275</v>
      </c>
      <c r="D96" s="10" t="s">
        <v>1981</v>
      </c>
      <c r="E96" s="54"/>
      <c r="F96" s="39"/>
      <c r="G96" s="39"/>
      <c r="H96" s="11"/>
      <c r="I96" s="81"/>
      <c r="J96" s="56"/>
      <c r="K96" s="56"/>
      <c r="L96" s="56"/>
    </row>
    <row r="97" s="70" customFormat="1" spans="1:12">
      <c r="A97" s="75"/>
      <c r="B97" s="78" t="s">
        <v>1984</v>
      </c>
      <c r="C97" s="78" t="s">
        <v>275</v>
      </c>
      <c r="D97" s="10" t="s">
        <v>1985</v>
      </c>
      <c r="E97" s="54"/>
      <c r="F97" s="39"/>
      <c r="G97" s="39"/>
      <c r="H97" s="54"/>
      <c r="I97" s="81"/>
      <c r="J97" s="56"/>
      <c r="K97" s="56"/>
      <c r="L97" s="56"/>
    </row>
    <row r="98" s="70" customFormat="1" spans="1:12">
      <c r="A98" s="75"/>
      <c r="B98" s="78" t="s">
        <v>2666</v>
      </c>
      <c r="C98" s="78" t="s">
        <v>275</v>
      </c>
      <c r="D98" s="10" t="s">
        <v>1993</v>
      </c>
      <c r="E98" s="54"/>
      <c r="F98" s="39"/>
      <c r="G98" s="39"/>
      <c r="H98" s="54"/>
      <c r="I98" s="81"/>
      <c r="J98" s="56"/>
      <c r="K98" s="56"/>
      <c r="L98" s="56"/>
    </row>
    <row r="99" s="70" customFormat="1" spans="1:12">
      <c r="A99" s="75"/>
      <c r="B99" s="78" t="s">
        <v>2673</v>
      </c>
      <c r="C99" s="78" t="s">
        <v>275</v>
      </c>
      <c r="D99" s="10" t="s">
        <v>2545</v>
      </c>
      <c r="E99" s="54"/>
      <c r="F99" s="39"/>
      <c r="G99" s="39"/>
      <c r="H99" s="54"/>
      <c r="I99" s="81"/>
      <c r="J99" s="56"/>
      <c r="K99" s="56"/>
      <c r="L99" s="56"/>
    </row>
    <row r="100" s="70" customFormat="1" spans="1:12">
      <c r="A100" s="75"/>
      <c r="B100" s="78" t="s">
        <v>2674</v>
      </c>
      <c r="C100" s="78" t="s">
        <v>275</v>
      </c>
      <c r="D100" s="10" t="s">
        <v>2546</v>
      </c>
      <c r="E100" s="54"/>
      <c r="F100" s="39"/>
      <c r="G100" s="39"/>
      <c r="H100" s="54"/>
      <c r="I100" s="81"/>
      <c r="J100" s="56"/>
      <c r="K100" s="56"/>
      <c r="L100" s="56"/>
    </row>
    <row r="101" s="70" customFormat="1" spans="1:12">
      <c r="A101" s="75"/>
      <c r="B101" s="78" t="s">
        <v>2675</v>
      </c>
      <c r="C101" s="78" t="s">
        <v>275</v>
      </c>
      <c r="D101" s="10" t="s">
        <v>2547</v>
      </c>
      <c r="E101" s="54"/>
      <c r="F101" s="39"/>
      <c r="G101" s="39"/>
      <c r="H101" s="55"/>
      <c r="I101" s="81"/>
      <c r="J101" s="56"/>
      <c r="K101" s="56"/>
      <c r="L101" s="56"/>
    </row>
    <row r="102" s="70" customFormat="1" spans="1:12">
      <c r="A102" s="75"/>
      <c r="B102" s="78" t="s">
        <v>2676</v>
      </c>
      <c r="C102" s="78" t="s">
        <v>275</v>
      </c>
      <c r="D102" s="10" t="s">
        <v>2548</v>
      </c>
      <c r="E102" s="54"/>
      <c r="F102" s="39"/>
      <c r="G102" s="39"/>
      <c r="H102" s="55"/>
      <c r="I102" s="81"/>
      <c r="J102" s="56"/>
      <c r="K102" s="56"/>
      <c r="L102" s="56"/>
    </row>
    <row r="103" s="70" customFormat="1" spans="1:21">
      <c r="A103" s="75"/>
      <c r="B103" s="78" t="s">
        <v>2677</v>
      </c>
      <c r="C103" s="78" t="s">
        <v>275</v>
      </c>
      <c r="D103" s="10" t="s">
        <v>2549</v>
      </c>
      <c r="E103" s="54"/>
      <c r="F103" s="39"/>
      <c r="G103" s="39"/>
      <c r="H103" s="55"/>
      <c r="I103" s="81"/>
      <c r="J103" s="56"/>
      <c r="K103" s="56"/>
      <c r="L103" s="56"/>
      <c r="P103" s="70" t="s">
        <v>1210</v>
      </c>
      <c r="S103" s="70" t="s">
        <v>1211</v>
      </c>
      <c r="T103" s="70" t="s">
        <v>155</v>
      </c>
      <c r="U103" s="70" t="s">
        <v>235</v>
      </c>
    </row>
    <row r="104" s="70" customFormat="1" spans="1:21">
      <c r="A104" s="75"/>
      <c r="B104" s="78" t="s">
        <v>2790</v>
      </c>
      <c r="C104" s="78" t="s">
        <v>275</v>
      </c>
      <c r="D104" s="10" t="s">
        <v>2551</v>
      </c>
      <c r="E104" s="54"/>
      <c r="F104" s="39"/>
      <c r="G104" s="39"/>
      <c r="H104" s="55"/>
      <c r="I104" s="81"/>
      <c r="J104" s="56"/>
      <c r="K104" s="56"/>
      <c r="L104" s="56"/>
      <c r="P104" s="70" t="s">
        <v>1214</v>
      </c>
      <c r="S104" s="70" t="s">
        <v>1211</v>
      </c>
      <c r="T104" s="70" t="s">
        <v>155</v>
      </c>
      <c r="U104" s="70" t="s">
        <v>235</v>
      </c>
    </row>
    <row r="105" s="70" customFormat="1" spans="1:21">
      <c r="A105" s="75"/>
      <c r="B105" s="78" t="s">
        <v>2791</v>
      </c>
      <c r="C105" s="78" t="s">
        <v>275</v>
      </c>
      <c r="D105" s="10" t="s">
        <v>2553</v>
      </c>
      <c r="E105" s="54"/>
      <c r="F105" s="39"/>
      <c r="G105" s="39"/>
      <c r="H105" s="55"/>
      <c r="I105" s="81"/>
      <c r="J105" s="56"/>
      <c r="K105" s="56"/>
      <c r="L105" s="56"/>
      <c r="P105" s="70" t="s">
        <v>1217</v>
      </c>
      <c r="S105" s="70" t="s">
        <v>1211</v>
      </c>
      <c r="T105" s="70" t="s">
        <v>155</v>
      </c>
      <c r="U105" s="70" t="s">
        <v>235</v>
      </c>
    </row>
    <row r="106" s="70" customFormat="1" spans="1:12">
      <c r="A106" s="75"/>
      <c r="B106" s="78" t="s">
        <v>2792</v>
      </c>
      <c r="C106" s="78" t="s">
        <v>275</v>
      </c>
      <c r="D106" s="10" t="s">
        <v>2793</v>
      </c>
      <c r="E106" s="54"/>
      <c r="F106" s="39"/>
      <c r="G106" s="39"/>
      <c r="H106" s="55"/>
      <c r="I106" s="81"/>
      <c r="J106" s="56"/>
      <c r="K106" s="56"/>
      <c r="L106" s="56"/>
    </row>
    <row r="107" s="70" customFormat="1" spans="1:12">
      <c r="A107" s="75"/>
      <c r="B107" s="78" t="s">
        <v>2794</v>
      </c>
      <c r="C107" s="78" t="s">
        <v>275</v>
      </c>
      <c r="D107" s="10" t="s">
        <v>2795</v>
      </c>
      <c r="E107" s="54"/>
      <c r="F107" s="39"/>
      <c r="G107" s="39"/>
      <c r="H107" s="55"/>
      <c r="I107" s="81"/>
      <c r="J107" s="56"/>
      <c r="K107" s="56"/>
      <c r="L107" s="56"/>
    </row>
    <row r="108" s="70" customFormat="1" spans="1:12">
      <c r="A108" s="75"/>
      <c r="B108" s="78" t="s">
        <v>1308</v>
      </c>
      <c r="C108" s="78" t="s">
        <v>275</v>
      </c>
      <c r="D108" s="10" t="s">
        <v>1309</v>
      </c>
      <c r="E108" s="54"/>
      <c r="F108" s="39"/>
      <c r="G108" s="39"/>
      <c r="H108" s="55"/>
      <c r="I108" s="81"/>
      <c r="J108" s="56"/>
      <c r="K108" s="56"/>
      <c r="L108" s="56"/>
    </row>
    <row r="109" s="70" customFormat="1" spans="1:12">
      <c r="A109" s="75"/>
      <c r="B109" s="78" t="s">
        <v>222</v>
      </c>
      <c r="C109" s="78" t="s">
        <v>275</v>
      </c>
      <c r="D109" s="10" t="s">
        <v>298</v>
      </c>
      <c r="E109" s="54"/>
      <c r="F109" s="39"/>
      <c r="G109" s="39"/>
      <c r="H109" s="55"/>
      <c r="I109" s="81"/>
      <c r="J109" s="56"/>
      <c r="K109" s="56"/>
      <c r="L109" s="56"/>
    </row>
    <row r="110" s="70" customFormat="1" spans="1:12">
      <c r="A110" s="75"/>
      <c r="B110" s="78" t="s">
        <v>1176</v>
      </c>
      <c r="C110" s="78" t="s">
        <v>275</v>
      </c>
      <c r="D110" s="10" t="s">
        <v>2681</v>
      </c>
      <c r="E110" s="54"/>
      <c r="F110" s="39"/>
      <c r="G110" s="39"/>
      <c r="H110" s="55"/>
      <c r="I110" s="81"/>
      <c r="J110" s="56"/>
      <c r="K110" s="56"/>
      <c r="L110" s="56"/>
    </row>
    <row r="111" s="51" customFormat="1" spans="1:12">
      <c r="A111" s="63"/>
      <c r="B111" s="64" t="s">
        <v>1830</v>
      </c>
      <c r="C111" s="64" t="s">
        <v>220</v>
      </c>
      <c r="D111" s="66" t="s">
        <v>2092</v>
      </c>
      <c r="E111" s="65" t="s">
        <v>199</v>
      </c>
      <c r="F111" s="60" t="s">
        <v>252</v>
      </c>
      <c r="G111" s="66" t="s">
        <v>218</v>
      </c>
      <c r="H111" s="67"/>
      <c r="I111" s="68" t="s">
        <v>2018</v>
      </c>
      <c r="J111" s="69" t="s">
        <v>26</v>
      </c>
      <c r="K111" s="69" t="s">
        <v>323</v>
      </c>
      <c r="L111" s="69" t="s">
        <v>323</v>
      </c>
    </row>
    <row r="112" s="51" customFormat="1" ht="26.4" spans="1:12">
      <c r="A112" s="63"/>
      <c r="B112" s="64" t="s">
        <v>1832</v>
      </c>
      <c r="C112" s="64" t="s">
        <v>220</v>
      </c>
      <c r="D112" s="66" t="s">
        <v>2093</v>
      </c>
      <c r="E112" s="65" t="s">
        <v>1037</v>
      </c>
      <c r="F112" s="60" t="s">
        <v>1038</v>
      </c>
      <c r="G112" s="66" t="s">
        <v>218</v>
      </c>
      <c r="H112" s="67"/>
      <c r="I112" s="68" t="s">
        <v>2018</v>
      </c>
      <c r="J112" s="69" t="s">
        <v>26</v>
      </c>
      <c r="K112" s="69" t="s">
        <v>323</v>
      </c>
      <c r="L112" s="69" t="s">
        <v>323</v>
      </c>
    </row>
    <row r="113" s="51" customFormat="1" ht="26.4" spans="1:21">
      <c r="A113" s="63"/>
      <c r="B113" s="64" t="s">
        <v>1834</v>
      </c>
      <c r="C113" s="64" t="s">
        <v>220</v>
      </c>
      <c r="D113" s="66" t="s">
        <v>1320</v>
      </c>
      <c r="E113" s="65" t="s">
        <v>1037</v>
      </c>
      <c r="F113" s="60" t="s">
        <v>1066</v>
      </c>
      <c r="G113" s="66" t="s">
        <v>218</v>
      </c>
      <c r="H113" s="67"/>
      <c r="I113" s="68" t="s">
        <v>2018</v>
      </c>
      <c r="J113" s="69" t="s">
        <v>26</v>
      </c>
      <c r="K113" s="69" t="s">
        <v>323</v>
      </c>
      <c r="L113" s="69" t="s">
        <v>323</v>
      </c>
      <c r="P113" s="51" t="s">
        <v>1234</v>
      </c>
      <c r="S113" s="51" t="s">
        <v>1211</v>
      </c>
      <c r="T113" s="51" t="s">
        <v>155</v>
      </c>
      <c r="U113" s="51" t="s">
        <v>235</v>
      </c>
    </row>
    <row r="114" s="70" customFormat="1" spans="1:21">
      <c r="A114" s="75"/>
      <c r="B114" s="78" t="s">
        <v>2046</v>
      </c>
      <c r="C114" s="78" t="s">
        <v>275</v>
      </c>
      <c r="D114" s="10" t="s">
        <v>1167</v>
      </c>
      <c r="E114" s="54"/>
      <c r="F114" s="82"/>
      <c r="G114" s="39"/>
      <c r="H114" s="55"/>
      <c r="I114" s="81"/>
      <c r="J114" s="56"/>
      <c r="K114" s="56"/>
      <c r="L114" s="56"/>
      <c r="P114" s="70" t="s">
        <v>1237</v>
      </c>
      <c r="S114" s="70" t="s">
        <v>1211</v>
      </c>
      <c r="T114" s="70" t="s">
        <v>155</v>
      </c>
      <c r="U114" s="70" t="s">
        <v>235</v>
      </c>
    </row>
    <row r="115" s="70" customFormat="1" ht="26.4" spans="1:21">
      <c r="A115" s="75"/>
      <c r="B115" s="78" t="s">
        <v>2796</v>
      </c>
      <c r="C115" s="78" t="s">
        <v>275</v>
      </c>
      <c r="D115" s="10" t="s">
        <v>2048</v>
      </c>
      <c r="E115" s="54"/>
      <c r="F115" s="82"/>
      <c r="G115" s="39"/>
      <c r="H115" s="55"/>
      <c r="I115" s="81"/>
      <c r="J115" s="56"/>
      <c r="K115" s="56"/>
      <c r="L115" s="56"/>
      <c r="P115" s="70" t="s">
        <v>1240</v>
      </c>
      <c r="S115" s="70" t="s">
        <v>1211</v>
      </c>
      <c r="T115" s="70" t="s">
        <v>155</v>
      </c>
      <c r="U115" s="70" t="s">
        <v>235</v>
      </c>
    </row>
    <row r="116" s="70" customFormat="1" spans="1:12">
      <c r="A116" s="75"/>
      <c r="B116" s="78" t="s">
        <v>2049</v>
      </c>
      <c r="C116" s="78" t="s">
        <v>275</v>
      </c>
      <c r="D116" s="10" t="s">
        <v>2050</v>
      </c>
      <c r="E116" s="54"/>
      <c r="F116" s="82"/>
      <c r="G116" s="39"/>
      <c r="H116" s="55"/>
      <c r="I116" s="81"/>
      <c r="J116" s="56"/>
      <c r="K116" s="56"/>
      <c r="L116" s="56"/>
    </row>
    <row r="117" s="70" customFormat="1" spans="1:21">
      <c r="A117" s="75"/>
      <c r="B117" s="78" t="s">
        <v>2053</v>
      </c>
      <c r="C117" s="78" t="s">
        <v>275</v>
      </c>
      <c r="D117" s="10" t="s">
        <v>2054</v>
      </c>
      <c r="E117" s="54"/>
      <c r="F117" s="82"/>
      <c r="G117" s="39"/>
      <c r="H117" s="55"/>
      <c r="I117" s="81"/>
      <c r="J117" s="56"/>
      <c r="K117" s="56"/>
      <c r="L117" s="56"/>
      <c r="P117" s="70" t="s">
        <v>1245</v>
      </c>
      <c r="S117" s="70" t="s">
        <v>1211</v>
      </c>
      <c r="T117" s="70" t="s">
        <v>155</v>
      </c>
      <c r="U117" s="70" t="s">
        <v>235</v>
      </c>
    </row>
    <row r="118" s="70" customFormat="1" spans="1:12">
      <c r="A118" s="75"/>
      <c r="B118" s="78" t="s">
        <v>2055</v>
      </c>
      <c r="C118" s="78" t="s">
        <v>275</v>
      </c>
      <c r="D118" s="10" t="s">
        <v>2056</v>
      </c>
      <c r="E118" s="54"/>
      <c r="F118" s="82"/>
      <c r="G118" s="39"/>
      <c r="H118" s="55"/>
      <c r="I118" s="81"/>
      <c r="J118" s="56"/>
      <c r="K118" s="56"/>
      <c r="L118" s="56"/>
    </row>
    <row r="119" s="70" customFormat="1" spans="1:12">
      <c r="A119" s="75"/>
      <c r="B119" s="78" t="s">
        <v>2057</v>
      </c>
      <c r="C119" s="78" t="s">
        <v>275</v>
      </c>
      <c r="D119" s="10" t="s">
        <v>2058</v>
      </c>
      <c r="E119" s="54"/>
      <c r="F119" s="82"/>
      <c r="G119" s="39"/>
      <c r="H119" s="55"/>
      <c r="I119" s="81"/>
      <c r="J119" s="56"/>
      <c r="K119" s="56"/>
      <c r="L119" s="56"/>
    </row>
    <row r="120" s="70" customFormat="1" spans="1:12">
      <c r="A120" s="75"/>
      <c r="B120" s="78" t="s">
        <v>2061</v>
      </c>
      <c r="C120" s="78" t="s">
        <v>275</v>
      </c>
      <c r="D120" s="10" t="s">
        <v>2062</v>
      </c>
      <c r="E120" s="54"/>
      <c r="F120" s="82"/>
      <c r="G120" s="39"/>
      <c r="H120" s="55"/>
      <c r="I120" s="81"/>
      <c r="J120" s="56"/>
      <c r="K120" s="56"/>
      <c r="L120" s="56"/>
    </row>
    <row r="121" s="70" customFormat="1" customHeight="1" spans="1:12">
      <c r="A121" s="75"/>
      <c r="B121" s="78" t="s">
        <v>2065</v>
      </c>
      <c r="C121" s="78" t="s">
        <v>275</v>
      </c>
      <c r="D121" s="10" t="s">
        <v>2066</v>
      </c>
      <c r="E121" s="54"/>
      <c r="F121" s="39"/>
      <c r="G121" s="39"/>
      <c r="H121" s="55"/>
      <c r="I121" s="81"/>
      <c r="J121" s="56"/>
      <c r="K121" s="56"/>
      <c r="L121" s="56"/>
    </row>
    <row r="122" s="70" customFormat="1" customHeight="1" spans="1:12">
      <c r="A122" s="75"/>
      <c r="B122" s="78" t="s">
        <v>2067</v>
      </c>
      <c r="C122" s="78" t="s">
        <v>275</v>
      </c>
      <c r="D122" s="10" t="s">
        <v>2068</v>
      </c>
      <c r="E122" s="54"/>
      <c r="F122" s="39"/>
      <c r="G122" s="39"/>
      <c r="H122" s="55"/>
      <c r="I122" s="81"/>
      <c r="J122" s="56"/>
      <c r="K122" s="56"/>
      <c r="L122" s="56"/>
    </row>
    <row r="123" s="70" customFormat="1" ht="26.4" spans="1:12">
      <c r="A123" s="75"/>
      <c r="B123" s="78" t="s">
        <v>2069</v>
      </c>
      <c r="C123" s="78" t="s">
        <v>275</v>
      </c>
      <c r="D123" s="10" t="s">
        <v>2070</v>
      </c>
      <c r="E123" s="54"/>
      <c r="F123" s="39"/>
      <c r="G123" s="39"/>
      <c r="H123" s="55"/>
      <c r="I123" s="81"/>
      <c r="J123" s="56"/>
      <c r="K123" s="56"/>
      <c r="L123" s="56"/>
    </row>
    <row r="124" s="70" customFormat="1" ht="26.4" spans="1:12">
      <c r="A124" s="75"/>
      <c r="B124" s="78" t="s">
        <v>2075</v>
      </c>
      <c r="C124" s="78" t="s">
        <v>275</v>
      </c>
      <c r="D124" s="10" t="s">
        <v>2076</v>
      </c>
      <c r="E124" s="54"/>
      <c r="F124" s="39"/>
      <c r="G124" s="39"/>
      <c r="H124" s="55"/>
      <c r="I124" s="81"/>
      <c r="J124" s="56"/>
      <c r="K124" s="56"/>
      <c r="L124" s="56"/>
    </row>
    <row r="125" s="70" customFormat="1" ht="26.4" spans="1:12">
      <c r="A125" s="75"/>
      <c r="B125" s="78" t="s">
        <v>2797</v>
      </c>
      <c r="C125" s="78" t="s">
        <v>275</v>
      </c>
      <c r="D125" s="10" t="s">
        <v>2078</v>
      </c>
      <c r="E125" s="54"/>
      <c r="F125" s="39"/>
      <c r="G125" s="39"/>
      <c r="H125" s="55"/>
      <c r="I125" s="81"/>
      <c r="J125" s="56"/>
      <c r="K125" s="56"/>
      <c r="L125" s="56"/>
    </row>
    <row r="126" s="70" customFormat="1" spans="1:12">
      <c r="A126" s="75"/>
      <c r="B126" s="78" t="s">
        <v>2083</v>
      </c>
      <c r="C126" s="78" t="s">
        <v>275</v>
      </c>
      <c r="D126" s="10" t="s">
        <v>2084</v>
      </c>
      <c r="E126" s="54"/>
      <c r="F126" s="39"/>
      <c r="G126" s="39"/>
      <c r="H126" s="55"/>
      <c r="I126" s="81"/>
      <c r="J126" s="56"/>
      <c r="K126" s="56"/>
      <c r="L126" s="56"/>
    </row>
    <row r="127" s="70" customFormat="1" spans="1:12">
      <c r="A127" s="75"/>
      <c r="B127" s="78" t="s">
        <v>2798</v>
      </c>
      <c r="C127" s="78" t="s">
        <v>240</v>
      </c>
      <c r="D127" s="10" t="s">
        <v>2080</v>
      </c>
      <c r="E127" s="54"/>
      <c r="F127" s="39"/>
      <c r="G127" s="39"/>
      <c r="H127" s="55"/>
      <c r="I127" s="81"/>
      <c r="J127" s="56"/>
      <c r="K127" s="56"/>
      <c r="L127" s="56"/>
    </row>
    <row r="128" s="70" customFormat="1" spans="1:12">
      <c r="A128" s="75"/>
      <c r="B128" s="78" t="s">
        <v>2799</v>
      </c>
      <c r="C128" s="78" t="s">
        <v>240</v>
      </c>
      <c r="D128" s="10" t="s">
        <v>2082</v>
      </c>
      <c r="E128" s="54"/>
      <c r="F128" s="39"/>
      <c r="G128" s="39"/>
      <c r="H128" s="55"/>
      <c r="I128" s="81"/>
      <c r="J128" s="56"/>
      <c r="K128" s="56"/>
      <c r="L128" s="56"/>
    </row>
    <row r="129" s="51" customFormat="1" ht="92.4" spans="1:12">
      <c r="A129" s="63"/>
      <c r="B129" s="64" t="s">
        <v>1295</v>
      </c>
      <c r="C129" s="64" t="s">
        <v>220</v>
      </c>
      <c r="D129" s="29" t="s">
        <v>1296</v>
      </c>
      <c r="E129" s="65" t="s">
        <v>199</v>
      </c>
      <c r="F129" s="66"/>
      <c r="G129" s="66" t="s">
        <v>1297</v>
      </c>
      <c r="H129" s="67"/>
      <c r="I129" s="68" t="s">
        <v>1211</v>
      </c>
      <c r="J129" s="69" t="s">
        <v>345</v>
      </c>
      <c r="K129" s="69" t="s">
        <v>323</v>
      </c>
      <c r="L129" s="69" t="s">
        <v>394</v>
      </c>
    </row>
    <row r="130" s="37" customFormat="1" spans="1:12">
      <c r="A130" s="42"/>
      <c r="B130" s="43" t="s">
        <v>252</v>
      </c>
      <c r="C130" s="43" t="s">
        <v>220</v>
      </c>
      <c r="D130" s="44" t="s">
        <v>254</v>
      </c>
      <c r="E130" s="45"/>
      <c r="F130" s="46"/>
      <c r="G130" s="46"/>
      <c r="H130" s="47"/>
      <c r="I130" s="48"/>
      <c r="J130" s="49"/>
      <c r="K130" s="49"/>
      <c r="L130" s="49"/>
    </row>
    <row r="131" s="37" customFormat="1" spans="1:12">
      <c r="A131" s="42"/>
      <c r="B131" s="43" t="s">
        <v>255</v>
      </c>
      <c r="C131" s="43" t="s">
        <v>216</v>
      </c>
      <c r="D131" s="44" t="s">
        <v>256</v>
      </c>
      <c r="E131" s="45"/>
      <c r="F131" s="46"/>
      <c r="G131" s="46"/>
      <c r="H131" s="47"/>
      <c r="I131" s="48"/>
      <c r="J131" s="49"/>
      <c r="K131" s="49"/>
      <c r="L131" s="49"/>
    </row>
    <row r="132" s="37" customFormat="1" spans="1:12">
      <c r="A132" s="42"/>
      <c r="B132" s="43" t="s">
        <v>257</v>
      </c>
      <c r="C132" s="43" t="s">
        <v>220</v>
      </c>
      <c r="D132" s="44" t="s">
        <v>258</v>
      </c>
      <c r="E132" s="45"/>
      <c r="F132" s="46"/>
      <c r="G132" s="46"/>
      <c r="H132" s="47"/>
      <c r="I132" s="48"/>
      <c r="J132" s="49"/>
      <c r="K132" s="49"/>
      <c r="L132" s="49"/>
    </row>
    <row r="133" s="37" customFormat="1" spans="1:12">
      <c r="A133" s="42"/>
      <c r="B133" s="43" t="s">
        <v>262</v>
      </c>
      <c r="C133" s="43" t="s">
        <v>220</v>
      </c>
      <c r="D133" s="44" t="s">
        <v>263</v>
      </c>
      <c r="E133" s="45"/>
      <c r="F133" s="46"/>
      <c r="G133" s="46"/>
      <c r="H133" s="47"/>
      <c r="I133" s="48"/>
      <c r="J133" s="49"/>
      <c r="K133" s="49"/>
      <c r="L133" s="49"/>
    </row>
  </sheetData>
  <autoFilter xmlns:etc="http://www.wps.cn/officeDocument/2017/etCustomData" ref="A15:N133" etc:filterBottomFollowUsedRange="0">
    <extLst/>
  </autoFilter>
  <mergeCells count="5">
    <mergeCell ref="B2:H2"/>
    <mergeCell ref="B3:H3"/>
    <mergeCell ref="B7:H7"/>
    <mergeCell ref="B14:L14"/>
    <mergeCell ref="G10:G11"/>
  </mergeCells>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8"/>
  <sheetViews>
    <sheetView zoomScale="85" zoomScaleNormal="85" workbookViewId="0">
      <pane ySplit="5" topLeftCell="A6" activePane="bottomLeft" state="frozen"/>
      <selection/>
      <selection pane="bottomLeft" activeCell="C5" sqref="C5"/>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39.4444444444444" style="3" customWidth="1"/>
    <col min="8" max="8" width="14.4444444444444" style="3" customWidth="1"/>
    <col min="9" max="9" width="11.8888888888889"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114</v>
      </c>
      <c r="D5" s="35" t="s">
        <v>115</v>
      </c>
      <c r="E5" s="11" t="s">
        <v>1026</v>
      </c>
      <c r="F5" s="12"/>
      <c r="G5" s="13"/>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110</v>
      </c>
      <c r="D9" s="35" t="s">
        <v>2786</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8" t="s">
        <v>205</v>
      </c>
      <c r="C15" s="8" t="s">
        <v>206</v>
      </c>
      <c r="D15" s="8" t="s">
        <v>207</v>
      </c>
      <c r="E15" s="8" t="s">
        <v>208</v>
      </c>
      <c r="F15" s="8" t="s">
        <v>209</v>
      </c>
      <c r="G15" s="8" t="s">
        <v>210</v>
      </c>
      <c r="H15" s="8" t="s">
        <v>211</v>
      </c>
      <c r="I15" s="8" t="s">
        <v>17</v>
      </c>
      <c r="J15" s="8" t="s">
        <v>212</v>
      </c>
      <c r="K15" s="8" t="s">
        <v>213</v>
      </c>
      <c r="L15" s="8" t="s">
        <v>214</v>
      </c>
    </row>
    <row r="16" s="1" customFormat="1" spans="2:12">
      <c r="B16" s="32" t="s">
        <v>1828</v>
      </c>
      <c r="C16" s="32" t="s">
        <v>216</v>
      </c>
      <c r="D16" s="10" t="s">
        <v>2089</v>
      </c>
      <c r="E16" s="54"/>
      <c r="F16" s="39"/>
      <c r="G16" s="39"/>
      <c r="H16" s="55"/>
      <c r="I16" s="56"/>
      <c r="J16" s="56"/>
      <c r="K16" s="56"/>
      <c r="L16" s="56"/>
    </row>
    <row r="17" s="1" customFormat="1" spans="2:12">
      <c r="B17" s="32" t="s">
        <v>1026</v>
      </c>
      <c r="C17" s="32" t="s">
        <v>220</v>
      </c>
      <c r="D17" s="10" t="s">
        <v>66</v>
      </c>
      <c r="E17" s="54"/>
      <c r="F17" s="39"/>
      <c r="G17" s="39"/>
      <c r="H17" s="55"/>
      <c r="I17" s="56"/>
      <c r="J17" s="56"/>
      <c r="K17" s="56"/>
      <c r="L17" s="56"/>
    </row>
    <row r="18" s="1" customFormat="1" spans="2:12">
      <c r="B18" s="32" t="s">
        <v>1830</v>
      </c>
      <c r="C18" s="32" t="s">
        <v>220</v>
      </c>
      <c r="D18" s="10" t="s">
        <v>2092</v>
      </c>
      <c r="E18" s="54"/>
      <c r="F18" s="39"/>
      <c r="G18" s="39"/>
      <c r="H18" s="55"/>
      <c r="I18" s="56"/>
      <c r="J18" s="56"/>
      <c r="K18" s="56"/>
      <c r="L18" s="56"/>
    </row>
    <row r="19" s="1" customFormat="1" spans="2:12">
      <c r="B19" s="32" t="s">
        <v>1832</v>
      </c>
      <c r="C19" s="32" t="s">
        <v>220</v>
      </c>
      <c r="D19" s="10" t="s">
        <v>2800</v>
      </c>
      <c r="E19" s="54"/>
      <c r="F19" s="39"/>
      <c r="G19" s="39"/>
      <c r="H19" s="55"/>
      <c r="I19" s="56"/>
      <c r="J19" s="56"/>
      <c r="K19" s="56"/>
      <c r="L19" s="56"/>
    </row>
    <row r="20" s="1" customFormat="1" spans="2:12">
      <c r="B20" s="32" t="s">
        <v>1834</v>
      </c>
      <c r="C20" s="32" t="s">
        <v>220</v>
      </c>
      <c r="D20" s="10" t="s">
        <v>2801</v>
      </c>
      <c r="E20" s="54"/>
      <c r="F20" s="39"/>
      <c r="G20" s="39"/>
      <c r="H20" s="55"/>
      <c r="I20" s="56"/>
      <c r="J20" s="56"/>
      <c r="K20" s="56"/>
      <c r="L20" s="56"/>
    </row>
    <row r="21" s="1" customFormat="1" spans="2:12">
      <c r="B21" s="32" t="s">
        <v>1302</v>
      </c>
      <c r="C21" s="32" t="s">
        <v>220</v>
      </c>
      <c r="D21" s="10" t="s">
        <v>1303</v>
      </c>
      <c r="E21" s="54"/>
      <c r="F21" s="39"/>
      <c r="G21" s="39"/>
      <c r="H21" s="55"/>
      <c r="I21" s="56"/>
      <c r="J21" s="56"/>
      <c r="K21" s="56"/>
      <c r="L21" s="56"/>
    </row>
    <row r="22" s="1" customFormat="1" spans="2:12">
      <c r="B22" s="32" t="s">
        <v>1304</v>
      </c>
      <c r="C22" s="32" t="s">
        <v>216</v>
      </c>
      <c r="D22" s="10" t="s">
        <v>1305</v>
      </c>
      <c r="E22" s="54"/>
      <c r="F22" s="39"/>
      <c r="G22" s="39"/>
      <c r="H22" s="55"/>
      <c r="I22" s="56"/>
      <c r="J22" s="56"/>
      <c r="K22" s="56"/>
      <c r="L22" s="56"/>
    </row>
    <row r="23" s="1" customFormat="1" spans="2:12">
      <c r="B23" s="32" t="s">
        <v>1306</v>
      </c>
      <c r="C23" s="32" t="s">
        <v>216</v>
      </c>
      <c r="D23" s="10" t="s">
        <v>1307</v>
      </c>
      <c r="E23" s="54"/>
      <c r="F23" s="39"/>
      <c r="G23" s="39"/>
      <c r="H23" s="55"/>
      <c r="I23" s="56"/>
      <c r="J23" s="56"/>
      <c r="K23" s="56"/>
      <c r="L23" s="56"/>
    </row>
    <row r="24" s="1" customFormat="1" spans="2:12">
      <c r="B24" s="32" t="s">
        <v>302</v>
      </c>
      <c r="C24" s="32" t="s">
        <v>220</v>
      </c>
      <c r="D24" s="10" t="s">
        <v>1051</v>
      </c>
      <c r="E24" s="54"/>
      <c r="F24" s="39"/>
      <c r="G24" s="39"/>
      <c r="H24" s="55"/>
      <c r="I24" s="56"/>
      <c r="J24" s="56"/>
      <c r="K24" s="56"/>
      <c r="L24" s="56"/>
    </row>
    <row r="25" s="1" customFormat="1" spans="2:12">
      <c r="B25" s="32" t="s">
        <v>2612</v>
      </c>
      <c r="C25" s="32" t="s">
        <v>216</v>
      </c>
      <c r="D25" s="10" t="s">
        <v>2738</v>
      </c>
      <c r="E25" s="54"/>
      <c r="F25" s="39"/>
      <c r="G25" s="39"/>
      <c r="H25" s="55"/>
      <c r="I25" s="56"/>
      <c r="J25" s="56"/>
      <c r="K25" s="56"/>
      <c r="L25" s="56"/>
    </row>
    <row r="26" s="1" customFormat="1" spans="2:12">
      <c r="B26" s="32" t="s">
        <v>2614</v>
      </c>
      <c r="C26" s="32" t="s">
        <v>216</v>
      </c>
      <c r="D26" s="10" t="s">
        <v>2739</v>
      </c>
      <c r="E26" s="54"/>
      <c r="F26" s="39"/>
      <c r="G26" s="39"/>
      <c r="H26" s="55"/>
      <c r="I26" s="56"/>
      <c r="J26" s="56"/>
      <c r="K26" s="56"/>
      <c r="L26" s="56"/>
    </row>
    <row r="27" s="1" customFormat="1" spans="2:12">
      <c r="B27" s="32" t="s">
        <v>1308</v>
      </c>
      <c r="C27" s="32" t="s">
        <v>275</v>
      </c>
      <c r="D27" s="10" t="s">
        <v>1309</v>
      </c>
      <c r="E27" s="54"/>
      <c r="F27" s="39"/>
      <c r="G27" s="39"/>
      <c r="H27" s="55"/>
      <c r="I27" s="56"/>
      <c r="J27" s="56"/>
      <c r="K27" s="56"/>
      <c r="L27" s="56"/>
    </row>
    <row r="28" s="1" customFormat="1" spans="2:12">
      <c r="B28" s="32" t="s">
        <v>222</v>
      </c>
      <c r="C28" s="32" t="s">
        <v>275</v>
      </c>
      <c r="D28" s="10" t="s">
        <v>298</v>
      </c>
      <c r="E28" s="54"/>
      <c r="F28" s="39"/>
      <c r="G28" s="39"/>
      <c r="H28" s="55"/>
      <c r="I28" s="56"/>
      <c r="J28" s="56"/>
      <c r="K28" s="56"/>
      <c r="L28" s="56"/>
    </row>
    <row r="29" s="1" customFormat="1" spans="2:12">
      <c r="B29" s="32" t="s">
        <v>1836</v>
      </c>
      <c r="C29" s="32" t="s">
        <v>216</v>
      </c>
      <c r="D29" s="10" t="s">
        <v>1836</v>
      </c>
      <c r="E29" s="54"/>
      <c r="F29" s="39"/>
      <c r="G29" s="39"/>
      <c r="H29" s="55"/>
      <c r="I29" s="56"/>
      <c r="J29" s="56"/>
      <c r="K29" s="56"/>
      <c r="L29" s="56"/>
    </row>
    <row r="30" s="1" customFormat="1" spans="2:12">
      <c r="B30" s="32" t="s">
        <v>1310</v>
      </c>
      <c r="C30" s="32" t="s">
        <v>216</v>
      </c>
      <c r="D30" s="10" t="s">
        <v>1311</v>
      </c>
      <c r="E30" s="54"/>
      <c r="F30" s="39"/>
      <c r="G30" s="39"/>
      <c r="H30" s="55"/>
      <c r="I30" s="56"/>
      <c r="J30" s="56"/>
      <c r="K30" s="56"/>
      <c r="L30" s="56"/>
    </row>
    <row r="31" s="1" customFormat="1" spans="2:12">
      <c r="B31" s="32" t="s">
        <v>267</v>
      </c>
      <c r="C31" s="32" t="s">
        <v>216</v>
      </c>
      <c r="D31" s="10" t="s">
        <v>2094</v>
      </c>
      <c r="E31" s="54"/>
      <c r="F31" s="39"/>
      <c r="G31" s="39"/>
      <c r="H31" s="55"/>
      <c r="I31" s="56"/>
      <c r="J31" s="56"/>
      <c r="K31" s="56"/>
      <c r="L31" s="56"/>
    </row>
    <row r="32" s="1" customFormat="1" spans="2:12">
      <c r="B32" s="32" t="s">
        <v>2589</v>
      </c>
      <c r="C32" s="32" t="s">
        <v>216</v>
      </c>
      <c r="D32" s="10" t="s">
        <v>2590</v>
      </c>
      <c r="E32" s="54"/>
      <c r="F32" s="39"/>
      <c r="G32" s="39"/>
      <c r="H32" s="55"/>
      <c r="I32" s="56"/>
      <c r="J32" s="56"/>
      <c r="K32" s="56"/>
      <c r="L32" s="56"/>
    </row>
    <row r="33" s="1" customFormat="1" spans="2:12">
      <c r="B33" s="32" t="s">
        <v>2594</v>
      </c>
      <c r="C33" s="32" t="s">
        <v>216</v>
      </c>
      <c r="D33" s="10" t="s">
        <v>2595</v>
      </c>
      <c r="E33" s="54"/>
      <c r="F33" s="39"/>
      <c r="G33" s="39"/>
      <c r="H33" s="55"/>
      <c r="I33" s="56"/>
      <c r="J33" s="56"/>
      <c r="K33" s="56"/>
      <c r="L33" s="56"/>
    </row>
    <row r="34" s="1" customFormat="1" spans="2:12">
      <c r="B34" s="32" t="s">
        <v>2605</v>
      </c>
      <c r="C34" s="32" t="s">
        <v>216</v>
      </c>
      <c r="D34" s="10" t="s">
        <v>2606</v>
      </c>
      <c r="E34" s="54"/>
      <c r="F34" s="39"/>
      <c r="G34" s="39"/>
      <c r="H34" s="55"/>
      <c r="I34" s="56"/>
      <c r="J34" s="56"/>
      <c r="K34" s="56"/>
      <c r="L34" s="56"/>
    </row>
    <row r="35" s="1" customFormat="1" spans="2:12">
      <c r="B35" s="32" t="s">
        <v>2591</v>
      </c>
      <c r="C35" s="32" t="s">
        <v>216</v>
      </c>
      <c r="D35" s="10" t="s">
        <v>2098</v>
      </c>
      <c r="E35" s="54"/>
      <c r="F35" s="39"/>
      <c r="G35" s="39"/>
      <c r="H35" s="55"/>
      <c r="I35" s="56"/>
      <c r="J35" s="56"/>
      <c r="K35" s="56"/>
      <c r="L35" s="56"/>
    </row>
    <row r="36" s="1" customFormat="1" spans="2:12">
      <c r="B36" s="32" t="s">
        <v>1808</v>
      </c>
      <c r="C36" s="32" t="s">
        <v>216</v>
      </c>
      <c r="D36" s="10" t="s">
        <v>2572</v>
      </c>
      <c r="E36" s="54"/>
      <c r="F36" s="39"/>
      <c r="G36" s="39"/>
      <c r="H36" s="55"/>
      <c r="I36" s="56"/>
      <c r="J36" s="56"/>
      <c r="K36" s="56"/>
      <c r="L36" s="56"/>
    </row>
    <row r="37" s="1" customFormat="1" spans="2:12">
      <c r="B37" s="32" t="s">
        <v>1313</v>
      </c>
      <c r="C37" s="32" t="s">
        <v>216</v>
      </c>
      <c r="D37" s="10" t="s">
        <v>1893</v>
      </c>
      <c r="E37" s="54"/>
      <c r="F37" s="39"/>
      <c r="G37" s="39"/>
      <c r="H37" s="55"/>
      <c r="I37" s="56"/>
      <c r="J37" s="56"/>
      <c r="K37" s="56"/>
      <c r="L37" s="56"/>
    </row>
    <row r="38" s="1" customFormat="1" spans="2:12">
      <c r="B38" s="32" t="s">
        <v>1289</v>
      </c>
      <c r="C38" s="32" t="s">
        <v>216</v>
      </c>
      <c r="D38" s="10" t="s">
        <v>1813</v>
      </c>
      <c r="E38" s="54"/>
      <c r="F38" s="39"/>
      <c r="G38" s="39"/>
      <c r="H38" s="55"/>
      <c r="I38" s="56"/>
      <c r="J38" s="56"/>
      <c r="K38" s="56"/>
      <c r="L38" s="56"/>
    </row>
    <row r="39" s="1" customFormat="1" spans="2:12">
      <c r="B39" s="32" t="s">
        <v>1323</v>
      </c>
      <c r="C39" s="32" t="s">
        <v>275</v>
      </c>
      <c r="D39" s="10" t="s">
        <v>1324</v>
      </c>
      <c r="E39" s="54"/>
      <c r="F39" s="39"/>
      <c r="G39" s="39"/>
      <c r="H39" s="55"/>
      <c r="I39" s="56"/>
      <c r="J39" s="56"/>
      <c r="K39" s="56"/>
      <c r="L39" s="56"/>
    </row>
    <row r="40" s="1" customFormat="1" spans="2:12">
      <c r="B40" s="32" t="s">
        <v>2573</v>
      </c>
      <c r="C40" s="32" t="s">
        <v>275</v>
      </c>
      <c r="D40" s="10" t="s">
        <v>2574</v>
      </c>
      <c r="E40" s="54"/>
      <c r="F40" s="39"/>
      <c r="G40" s="39"/>
      <c r="H40" s="55"/>
      <c r="I40" s="56"/>
      <c r="J40" s="56"/>
      <c r="K40" s="56"/>
      <c r="L40" s="56"/>
    </row>
    <row r="41" s="1" customFormat="1" ht="26.4" spans="2:12">
      <c r="B41" s="32" t="s">
        <v>1343</v>
      </c>
      <c r="C41" s="32" t="s">
        <v>275</v>
      </c>
      <c r="D41" s="10" t="s">
        <v>2137</v>
      </c>
      <c r="E41" s="54"/>
      <c r="F41" s="39"/>
      <c r="G41" s="39"/>
      <c r="H41" s="55"/>
      <c r="I41" s="56"/>
      <c r="J41" s="56"/>
      <c r="K41" s="56"/>
      <c r="L41" s="56"/>
    </row>
    <row r="42" s="1" customFormat="1" spans="2:12">
      <c r="B42" s="32" t="s">
        <v>1344</v>
      </c>
      <c r="C42" s="32" t="s">
        <v>275</v>
      </c>
      <c r="D42" s="10" t="s">
        <v>2138</v>
      </c>
      <c r="E42" s="54"/>
      <c r="F42" s="39"/>
      <c r="G42" s="39"/>
      <c r="H42" s="55"/>
      <c r="I42" s="56"/>
      <c r="J42" s="56"/>
      <c r="K42" s="56"/>
      <c r="L42" s="56"/>
    </row>
    <row r="43" s="1" customFormat="1" spans="2:12">
      <c r="B43" s="32" t="s">
        <v>1325</v>
      </c>
      <c r="C43" s="32" t="s">
        <v>275</v>
      </c>
      <c r="D43" s="10" t="s">
        <v>1326</v>
      </c>
      <c r="E43" s="54"/>
      <c r="F43" s="39"/>
      <c r="G43" s="39"/>
      <c r="H43" s="55"/>
      <c r="I43" s="56"/>
      <c r="J43" s="56"/>
      <c r="K43" s="56"/>
      <c r="L43" s="56"/>
    </row>
    <row r="44" s="1" customFormat="1" spans="2:12">
      <c r="B44" s="32" t="s">
        <v>1327</v>
      </c>
      <c r="C44" s="32" t="s">
        <v>275</v>
      </c>
      <c r="D44" s="10" t="s">
        <v>1328</v>
      </c>
      <c r="E44" s="54"/>
      <c r="F44" s="39"/>
      <c r="G44" s="39"/>
      <c r="H44" s="55"/>
      <c r="I44" s="56"/>
      <c r="J44" s="56"/>
      <c r="K44" s="56"/>
      <c r="L44" s="56"/>
    </row>
    <row r="45" s="1" customFormat="1" spans="2:12">
      <c r="B45" s="32" t="s">
        <v>1329</v>
      </c>
      <c r="C45" s="32" t="s">
        <v>275</v>
      </c>
      <c r="D45" s="10" t="s">
        <v>1330</v>
      </c>
      <c r="E45" s="54"/>
      <c r="F45" s="39"/>
      <c r="G45" s="39"/>
      <c r="H45" s="55"/>
      <c r="I45" s="56"/>
      <c r="J45" s="56"/>
      <c r="K45" s="56"/>
      <c r="L45" s="56"/>
    </row>
    <row r="46" s="1" customFormat="1" spans="2:12">
      <c r="B46" s="32" t="s">
        <v>1331</v>
      </c>
      <c r="C46" s="32" t="s">
        <v>275</v>
      </c>
      <c r="D46" s="10" t="s">
        <v>1332</v>
      </c>
      <c r="E46" s="54"/>
      <c r="F46" s="39"/>
      <c r="G46" s="39"/>
      <c r="H46" s="55"/>
      <c r="I46" s="56"/>
      <c r="J46" s="56"/>
      <c r="K46" s="56"/>
      <c r="L46" s="56"/>
    </row>
    <row r="47" s="1" customFormat="1" spans="2:12">
      <c r="B47" s="32" t="s">
        <v>1335</v>
      </c>
      <c r="C47" s="32" t="s">
        <v>275</v>
      </c>
      <c r="D47" s="10" t="s">
        <v>1336</v>
      </c>
      <c r="E47" s="54"/>
      <c r="F47" s="39"/>
      <c r="G47" s="39"/>
      <c r="H47" s="55"/>
      <c r="I47" s="56"/>
      <c r="J47" s="56"/>
      <c r="K47" s="56"/>
      <c r="L47" s="56"/>
    </row>
    <row r="48" s="1" customFormat="1" spans="2:12">
      <c r="B48" s="32" t="s">
        <v>1337</v>
      </c>
      <c r="C48" s="32" t="s">
        <v>275</v>
      </c>
      <c r="D48" s="10" t="s">
        <v>1338</v>
      </c>
      <c r="E48" s="54"/>
      <c r="F48" s="39"/>
      <c r="G48" s="39"/>
      <c r="H48" s="55"/>
      <c r="I48" s="56"/>
      <c r="J48" s="56"/>
      <c r="K48" s="56"/>
      <c r="L48" s="56"/>
    </row>
    <row r="49" s="1" customFormat="1" spans="2:12">
      <c r="B49" s="32" t="s">
        <v>2111</v>
      </c>
      <c r="C49" s="32" t="s">
        <v>275</v>
      </c>
      <c r="D49" s="10" t="s">
        <v>1340</v>
      </c>
      <c r="E49" s="54"/>
      <c r="F49" s="39"/>
      <c r="G49" s="39"/>
      <c r="H49" s="55"/>
      <c r="I49" s="56"/>
      <c r="J49" s="56"/>
      <c r="K49" s="56"/>
      <c r="L49" s="56"/>
    </row>
    <row r="50" s="1" customFormat="1" spans="2:12">
      <c r="B50" s="32" t="s">
        <v>2112</v>
      </c>
      <c r="C50" s="32" t="s">
        <v>275</v>
      </c>
      <c r="D50" s="10" t="s">
        <v>1342</v>
      </c>
      <c r="E50" s="54"/>
      <c r="F50" s="39"/>
      <c r="G50" s="39"/>
      <c r="H50" s="55"/>
      <c r="I50" s="56"/>
      <c r="J50" s="56"/>
      <c r="K50" s="56"/>
      <c r="L50" s="56"/>
    </row>
    <row r="51" s="1" customFormat="1" spans="2:12">
      <c r="B51" s="32" t="s">
        <v>1351</v>
      </c>
      <c r="C51" s="32" t="s">
        <v>275</v>
      </c>
      <c r="D51" s="10" t="s">
        <v>1352</v>
      </c>
      <c r="E51" s="54"/>
      <c r="F51" s="39"/>
      <c r="G51" s="39"/>
      <c r="H51" s="55"/>
      <c r="I51" s="56"/>
      <c r="J51" s="56"/>
      <c r="K51" s="56"/>
      <c r="L51" s="56"/>
    </row>
    <row r="52" s="1" customFormat="1" ht="26.4" spans="2:12">
      <c r="B52" s="32" t="s">
        <v>1353</v>
      </c>
      <c r="C52" s="32" t="s">
        <v>275</v>
      </c>
      <c r="D52" s="10" t="s">
        <v>1354</v>
      </c>
      <c r="E52" s="54"/>
      <c r="F52" s="39"/>
      <c r="G52" s="39"/>
      <c r="H52" s="55"/>
      <c r="I52" s="56"/>
      <c r="J52" s="56"/>
      <c r="K52" s="56"/>
      <c r="L52" s="56"/>
    </row>
    <row r="53" s="1" customFormat="1" spans="2:12">
      <c r="B53" s="32" t="s">
        <v>1355</v>
      </c>
      <c r="C53" s="32" t="s">
        <v>275</v>
      </c>
      <c r="D53" s="10" t="s">
        <v>1356</v>
      </c>
      <c r="E53" s="54"/>
      <c r="F53" s="39"/>
      <c r="G53" s="39"/>
      <c r="H53" s="55"/>
      <c r="I53" s="56"/>
      <c r="J53" s="56"/>
      <c r="K53" s="56"/>
      <c r="L53" s="56"/>
    </row>
    <row r="54" s="1" customFormat="1" spans="2:12">
      <c r="B54" s="32" t="s">
        <v>1357</v>
      </c>
      <c r="C54" s="32" t="s">
        <v>275</v>
      </c>
      <c r="D54" s="10" t="s">
        <v>1358</v>
      </c>
      <c r="E54" s="54"/>
      <c r="F54" s="39"/>
      <c r="G54" s="39"/>
      <c r="H54" s="55"/>
      <c r="I54" s="56"/>
      <c r="J54" s="56"/>
      <c r="K54" s="56"/>
      <c r="L54" s="56"/>
    </row>
    <row r="55" s="1" customFormat="1" spans="2:12">
      <c r="B55" s="32" t="s">
        <v>1359</v>
      </c>
      <c r="C55" s="32" t="s">
        <v>275</v>
      </c>
      <c r="D55" s="10" t="s">
        <v>1360</v>
      </c>
      <c r="E55" s="54"/>
      <c r="F55" s="39"/>
      <c r="G55" s="39"/>
      <c r="H55" s="55"/>
      <c r="I55" s="56"/>
      <c r="J55" s="56"/>
      <c r="K55" s="56"/>
      <c r="L55" s="56"/>
    </row>
    <row r="56" s="1" customFormat="1" spans="2:12">
      <c r="B56" s="32" t="s">
        <v>2802</v>
      </c>
      <c r="C56" s="32" t="s">
        <v>275</v>
      </c>
      <c r="D56" s="10" t="s">
        <v>1362</v>
      </c>
      <c r="E56" s="54"/>
      <c r="F56" s="39"/>
      <c r="G56" s="39"/>
      <c r="H56" s="55"/>
      <c r="I56" s="56"/>
      <c r="J56" s="56"/>
      <c r="K56" s="56"/>
      <c r="L56" s="56"/>
    </row>
    <row r="57" s="1" customFormat="1" ht="26.4" spans="2:12">
      <c r="B57" s="32" t="s">
        <v>1363</v>
      </c>
      <c r="C57" s="32" t="s">
        <v>275</v>
      </c>
      <c r="D57" s="10" t="s">
        <v>1364</v>
      </c>
      <c r="E57" s="54"/>
      <c r="F57" s="39"/>
      <c r="G57" s="39"/>
      <c r="H57" s="55"/>
      <c r="I57" s="56"/>
      <c r="J57" s="56"/>
      <c r="K57" s="56"/>
      <c r="L57" s="56"/>
    </row>
    <row r="58" s="1" customFormat="1" ht="26.4" spans="2:12">
      <c r="B58" s="32" t="s">
        <v>1365</v>
      </c>
      <c r="C58" s="32" t="s">
        <v>275</v>
      </c>
      <c r="D58" s="10" t="s">
        <v>1366</v>
      </c>
      <c r="E58" s="54"/>
      <c r="F58" s="39"/>
      <c r="G58" s="39"/>
      <c r="H58" s="55"/>
      <c r="I58" s="56"/>
      <c r="J58" s="56"/>
      <c r="K58" s="56"/>
      <c r="L58" s="56"/>
    </row>
    <row r="59" s="1" customFormat="1" ht="26.4" spans="2:12">
      <c r="B59" s="32" t="s">
        <v>1367</v>
      </c>
      <c r="C59" s="32" t="s">
        <v>275</v>
      </c>
      <c r="D59" s="10" t="s">
        <v>1368</v>
      </c>
      <c r="E59" s="54"/>
      <c r="F59" s="39"/>
      <c r="G59" s="39"/>
      <c r="H59" s="55"/>
      <c r="I59" s="56"/>
      <c r="J59" s="56"/>
      <c r="K59" s="56"/>
      <c r="L59" s="56"/>
    </row>
    <row r="60" s="1" customFormat="1" ht="26.4" spans="2:12">
      <c r="B60" s="32" t="s">
        <v>1369</v>
      </c>
      <c r="C60" s="32" t="s">
        <v>275</v>
      </c>
      <c r="D60" s="10" t="s">
        <v>1370</v>
      </c>
      <c r="E60" s="54"/>
      <c r="F60" s="39"/>
      <c r="G60" s="39"/>
      <c r="H60" s="55"/>
      <c r="I60" s="56"/>
      <c r="J60" s="56"/>
      <c r="K60" s="56"/>
      <c r="L60" s="56"/>
    </row>
    <row r="61" s="1" customFormat="1" ht="26.4" spans="2:12">
      <c r="B61" s="32" t="s">
        <v>1371</v>
      </c>
      <c r="C61" s="32" t="s">
        <v>275</v>
      </c>
      <c r="D61" s="10" t="s">
        <v>1372</v>
      </c>
      <c r="E61" s="54"/>
      <c r="F61" s="39"/>
      <c r="G61" s="39"/>
      <c r="H61" s="55"/>
      <c r="I61" s="56"/>
      <c r="J61" s="56"/>
      <c r="K61" s="56"/>
      <c r="L61" s="56"/>
    </row>
    <row r="62" s="1" customFormat="1" ht="26.4" spans="2:12">
      <c r="B62" s="32" t="s">
        <v>1373</v>
      </c>
      <c r="C62" s="32" t="s">
        <v>275</v>
      </c>
      <c r="D62" s="10" t="s">
        <v>1374</v>
      </c>
      <c r="E62" s="54"/>
      <c r="F62" s="39"/>
      <c r="G62" s="39"/>
      <c r="H62" s="55"/>
      <c r="I62" s="56"/>
      <c r="J62" s="56"/>
      <c r="K62" s="56"/>
      <c r="L62" s="56"/>
    </row>
    <row r="63" s="1" customFormat="1" ht="26.4" spans="2:12">
      <c r="B63" s="32" t="s">
        <v>1375</v>
      </c>
      <c r="C63" s="32" t="s">
        <v>275</v>
      </c>
      <c r="D63" s="10" t="s">
        <v>1376</v>
      </c>
      <c r="E63" s="54"/>
      <c r="F63" s="39"/>
      <c r="G63" s="39"/>
      <c r="H63" s="55"/>
      <c r="I63" s="56"/>
      <c r="J63" s="56"/>
      <c r="K63" s="56"/>
      <c r="L63" s="56"/>
    </row>
    <row r="64" s="1" customFormat="1" ht="26.4" spans="2:12">
      <c r="B64" s="32" t="s">
        <v>1377</v>
      </c>
      <c r="C64" s="32" t="s">
        <v>275</v>
      </c>
      <c r="D64" s="10" t="s">
        <v>1378</v>
      </c>
      <c r="E64" s="54"/>
      <c r="F64" s="39"/>
      <c r="G64" s="39"/>
      <c r="H64" s="55"/>
      <c r="I64" s="56"/>
      <c r="J64" s="56"/>
      <c r="K64" s="56"/>
      <c r="L64" s="56"/>
    </row>
    <row r="65" s="1" customFormat="1" spans="2:12">
      <c r="B65" s="32" t="s">
        <v>2702</v>
      </c>
      <c r="C65" s="32" t="s">
        <v>275</v>
      </c>
      <c r="D65" s="10" t="s">
        <v>1380</v>
      </c>
      <c r="E65" s="54"/>
      <c r="F65" s="39"/>
      <c r="G65" s="39"/>
      <c r="H65" s="55"/>
      <c r="I65" s="56"/>
      <c r="J65" s="56"/>
      <c r="K65" s="56"/>
      <c r="L65" s="56"/>
    </row>
    <row r="66" s="1" customFormat="1" spans="2:12">
      <c r="B66" s="32" t="s">
        <v>2703</v>
      </c>
      <c r="C66" s="32" t="s">
        <v>275</v>
      </c>
      <c r="D66" s="10" t="s">
        <v>1382</v>
      </c>
      <c r="E66" s="54"/>
      <c r="F66" s="39"/>
      <c r="G66" s="39"/>
      <c r="H66" s="55"/>
      <c r="I66" s="56"/>
      <c r="J66" s="56"/>
      <c r="K66" s="56"/>
      <c r="L66" s="56"/>
    </row>
    <row r="67" s="1" customFormat="1" spans="2:12">
      <c r="B67" s="32" t="s">
        <v>2113</v>
      </c>
      <c r="C67" s="32" t="s">
        <v>275</v>
      </c>
      <c r="D67" s="10" t="s">
        <v>2114</v>
      </c>
      <c r="E67" s="54"/>
      <c r="F67" s="39"/>
      <c r="G67" s="39"/>
      <c r="H67" s="55"/>
      <c r="I67" s="56"/>
      <c r="J67" s="56"/>
      <c r="K67" s="56"/>
      <c r="L67" s="56"/>
    </row>
    <row r="68" s="1" customFormat="1" spans="2:12">
      <c r="B68" s="32" t="s">
        <v>2115</v>
      </c>
      <c r="C68" s="32" t="s">
        <v>275</v>
      </c>
      <c r="D68" s="10" t="s">
        <v>2116</v>
      </c>
      <c r="E68" s="54"/>
      <c r="F68" s="39"/>
      <c r="G68" s="39"/>
      <c r="H68" s="55"/>
      <c r="I68" s="56"/>
      <c r="J68" s="56"/>
      <c r="K68" s="56"/>
      <c r="L68" s="56"/>
    </row>
    <row r="69" s="1" customFormat="1" spans="2:12">
      <c r="B69" s="32" t="s">
        <v>1463</v>
      </c>
      <c r="C69" s="32" t="s">
        <v>275</v>
      </c>
      <c r="D69" s="10" t="s">
        <v>1464</v>
      </c>
      <c r="E69" s="54"/>
      <c r="F69" s="39"/>
      <c r="G69" s="39"/>
      <c r="H69" s="55"/>
      <c r="I69" s="56"/>
      <c r="J69" s="56"/>
      <c r="K69" s="56"/>
      <c r="L69" s="56"/>
    </row>
    <row r="70" s="1" customFormat="1" spans="2:12">
      <c r="B70" s="32" t="s">
        <v>1475</v>
      </c>
      <c r="C70" s="32" t="s">
        <v>275</v>
      </c>
      <c r="D70" s="10" t="s">
        <v>1476</v>
      </c>
      <c r="E70" s="54"/>
      <c r="F70" s="39"/>
      <c r="G70" s="39"/>
      <c r="H70" s="55"/>
      <c r="I70" s="56"/>
      <c r="J70" s="56"/>
      <c r="K70" s="56"/>
      <c r="L70" s="56"/>
    </row>
    <row r="71" s="1" customFormat="1" spans="2:12">
      <c r="B71" s="32" t="s">
        <v>1487</v>
      </c>
      <c r="C71" s="32" t="s">
        <v>275</v>
      </c>
      <c r="D71" s="10" t="s">
        <v>1488</v>
      </c>
      <c r="E71" s="54"/>
      <c r="F71" s="39"/>
      <c r="G71" s="39"/>
      <c r="H71" s="55"/>
      <c r="I71" s="56"/>
      <c r="J71" s="56"/>
      <c r="K71" s="56"/>
      <c r="L71" s="56"/>
    </row>
    <row r="72" s="1" customFormat="1" ht="26.4" spans="2:12">
      <c r="B72" s="32" t="s">
        <v>1499</v>
      </c>
      <c r="C72" s="32" t="s">
        <v>275</v>
      </c>
      <c r="D72" s="10" t="s">
        <v>1500</v>
      </c>
      <c r="E72" s="54"/>
      <c r="F72" s="39"/>
      <c r="G72" s="39"/>
      <c r="H72" s="55"/>
      <c r="I72" s="56"/>
      <c r="J72" s="56"/>
      <c r="K72" s="56"/>
      <c r="L72" s="56"/>
    </row>
    <row r="73" s="1" customFormat="1" ht="26.4" spans="2:12">
      <c r="B73" s="32" t="s">
        <v>1511</v>
      </c>
      <c r="C73" s="32" t="s">
        <v>275</v>
      </c>
      <c r="D73" s="10" t="s">
        <v>1512</v>
      </c>
      <c r="E73" s="54"/>
      <c r="F73" s="39"/>
      <c r="G73" s="39"/>
      <c r="H73" s="55"/>
      <c r="I73" s="56"/>
      <c r="J73" s="56"/>
      <c r="K73" s="56"/>
      <c r="L73" s="56"/>
    </row>
    <row r="74" s="1" customFormat="1" spans="2:12">
      <c r="B74" s="32" t="s">
        <v>1523</v>
      </c>
      <c r="C74" s="32" t="s">
        <v>275</v>
      </c>
      <c r="D74" s="10" t="s">
        <v>1524</v>
      </c>
      <c r="E74" s="54"/>
      <c r="F74" s="39"/>
      <c r="G74" s="39"/>
      <c r="H74" s="55"/>
      <c r="I74" s="56"/>
      <c r="J74" s="56"/>
      <c r="K74" s="56"/>
      <c r="L74" s="56"/>
    </row>
    <row r="75" s="1" customFormat="1" spans="2:12">
      <c r="B75" s="32" t="s">
        <v>1535</v>
      </c>
      <c r="C75" s="32" t="s">
        <v>275</v>
      </c>
      <c r="D75" s="10" t="s">
        <v>1536</v>
      </c>
      <c r="E75" s="54"/>
      <c r="F75" s="39"/>
      <c r="G75" s="39"/>
      <c r="H75" s="55"/>
      <c r="I75" s="56"/>
      <c r="J75" s="56"/>
      <c r="K75" s="56"/>
      <c r="L75" s="56"/>
    </row>
    <row r="76" s="1" customFormat="1" spans="2:12">
      <c r="B76" s="32" t="s">
        <v>1547</v>
      </c>
      <c r="C76" s="32" t="s">
        <v>275</v>
      </c>
      <c r="D76" s="10" t="s">
        <v>1548</v>
      </c>
      <c r="E76" s="54"/>
      <c r="F76" s="39"/>
      <c r="G76" s="39"/>
      <c r="H76" s="55"/>
      <c r="I76" s="56"/>
      <c r="J76" s="56"/>
      <c r="K76" s="56"/>
      <c r="L76" s="56"/>
    </row>
    <row r="77" s="1" customFormat="1" spans="2:12">
      <c r="B77" s="32" t="s">
        <v>1559</v>
      </c>
      <c r="C77" s="32" t="s">
        <v>275</v>
      </c>
      <c r="D77" s="10" t="s">
        <v>1560</v>
      </c>
      <c r="E77" s="54"/>
      <c r="F77" s="39"/>
      <c r="G77" s="39"/>
      <c r="H77" s="55"/>
      <c r="I77" s="56"/>
      <c r="J77" s="56"/>
      <c r="K77" s="56"/>
      <c r="L77" s="56"/>
    </row>
    <row r="78" s="1" customFormat="1" spans="2:12">
      <c r="B78" s="32" t="s">
        <v>1571</v>
      </c>
      <c r="C78" s="32" t="s">
        <v>275</v>
      </c>
      <c r="D78" s="10" t="s">
        <v>1572</v>
      </c>
      <c r="E78" s="54"/>
      <c r="F78" s="39"/>
      <c r="G78" s="39"/>
      <c r="H78" s="55"/>
      <c r="I78" s="56"/>
      <c r="J78" s="56"/>
      <c r="K78" s="56"/>
      <c r="L78" s="56"/>
    </row>
    <row r="79" s="1" customFormat="1" spans="2:12">
      <c r="B79" s="32" t="s">
        <v>2144</v>
      </c>
      <c r="C79" s="32" t="s">
        <v>275</v>
      </c>
      <c r="D79" s="10" t="s">
        <v>2145</v>
      </c>
      <c r="E79" s="54"/>
      <c r="F79" s="39"/>
      <c r="G79" s="39"/>
      <c r="H79" s="55"/>
      <c r="I79" s="56"/>
      <c r="J79" s="56"/>
      <c r="K79" s="56"/>
      <c r="L79" s="56"/>
    </row>
    <row r="80" s="1" customFormat="1" ht="26.4" spans="2:12">
      <c r="B80" s="32" t="s">
        <v>2158</v>
      </c>
      <c r="C80" s="32" t="s">
        <v>275</v>
      </c>
      <c r="D80" s="10" t="s">
        <v>2159</v>
      </c>
      <c r="E80" s="54"/>
      <c r="F80" s="39"/>
      <c r="G80" s="39"/>
      <c r="H80" s="55"/>
      <c r="I80" s="56"/>
      <c r="J80" s="56"/>
      <c r="K80" s="56"/>
      <c r="L80" s="56"/>
    </row>
    <row r="81" s="1" customFormat="1" spans="2:12">
      <c r="B81" s="32" t="s">
        <v>2172</v>
      </c>
      <c r="C81" s="32" t="s">
        <v>275</v>
      </c>
      <c r="D81" s="10" t="s">
        <v>2173</v>
      </c>
      <c r="E81" s="54"/>
      <c r="F81" s="39"/>
      <c r="G81" s="39"/>
      <c r="H81" s="55"/>
      <c r="I81" s="56"/>
      <c r="J81" s="56"/>
      <c r="K81" s="56"/>
      <c r="L81" s="56"/>
    </row>
    <row r="82" s="1" customFormat="1" spans="2:12">
      <c r="B82" s="32" t="s">
        <v>2200</v>
      </c>
      <c r="C82" s="32" t="s">
        <v>275</v>
      </c>
      <c r="D82" s="10" t="s">
        <v>2201</v>
      </c>
      <c r="E82" s="54"/>
      <c r="F82" s="39"/>
      <c r="G82" s="39"/>
      <c r="H82" s="55"/>
      <c r="I82" s="56"/>
      <c r="J82" s="56"/>
      <c r="K82" s="56"/>
      <c r="L82" s="56"/>
    </row>
    <row r="83" s="1" customFormat="1" spans="2:12">
      <c r="B83" s="32" t="s">
        <v>2216</v>
      </c>
      <c r="C83" s="32" t="s">
        <v>275</v>
      </c>
      <c r="D83" s="10" t="s">
        <v>2217</v>
      </c>
      <c r="E83" s="54"/>
      <c r="F83" s="39"/>
      <c r="G83" s="39"/>
      <c r="H83" s="55"/>
      <c r="I83" s="56"/>
      <c r="J83" s="56"/>
      <c r="K83" s="56"/>
      <c r="L83" s="56"/>
    </row>
    <row r="84" s="1" customFormat="1" ht="26.4" spans="2:12">
      <c r="B84" s="32" t="s">
        <v>2230</v>
      </c>
      <c r="C84" s="32" t="s">
        <v>275</v>
      </c>
      <c r="D84" s="10" t="s">
        <v>2231</v>
      </c>
      <c r="E84" s="54"/>
      <c r="F84" s="39"/>
      <c r="G84" s="39"/>
      <c r="H84" s="55"/>
      <c r="I84" s="56"/>
      <c r="J84" s="56"/>
      <c r="K84" s="56"/>
      <c r="L84" s="56"/>
    </row>
    <row r="85" s="1" customFormat="1" ht="26.4" spans="2:12">
      <c r="B85" s="32" t="s">
        <v>2258</v>
      </c>
      <c r="C85" s="32" t="s">
        <v>275</v>
      </c>
      <c r="D85" s="10" t="s">
        <v>2259</v>
      </c>
      <c r="E85" s="54"/>
      <c r="F85" s="39"/>
      <c r="G85" s="39"/>
      <c r="H85" s="55"/>
      <c r="I85" s="56"/>
      <c r="J85" s="56"/>
      <c r="K85" s="56"/>
      <c r="L85" s="56"/>
    </row>
    <row r="86" s="1" customFormat="1" ht="26.4" spans="2:12">
      <c r="B86" s="32" t="s">
        <v>2272</v>
      </c>
      <c r="C86" s="32" t="s">
        <v>275</v>
      </c>
      <c r="D86" s="10" t="s">
        <v>2273</v>
      </c>
      <c r="E86" s="54"/>
      <c r="F86" s="39"/>
      <c r="G86" s="39"/>
      <c r="H86" s="55"/>
      <c r="I86" s="56"/>
      <c r="J86" s="56"/>
      <c r="K86" s="56"/>
      <c r="L86" s="56"/>
    </row>
    <row r="87" s="1" customFormat="1" ht="26.4" spans="2:12">
      <c r="B87" s="32" t="s">
        <v>2286</v>
      </c>
      <c r="C87" s="32" t="s">
        <v>275</v>
      </c>
      <c r="D87" s="10" t="s">
        <v>2287</v>
      </c>
      <c r="E87" s="54"/>
      <c r="F87" s="39"/>
      <c r="G87" s="39"/>
      <c r="H87" s="55"/>
      <c r="I87" s="56"/>
      <c r="J87" s="56"/>
      <c r="K87" s="56"/>
      <c r="L87" s="56"/>
    </row>
    <row r="88" s="1" customFormat="1" ht="26.4" spans="2:12">
      <c r="B88" s="32" t="s">
        <v>2328</v>
      </c>
      <c r="C88" s="32" t="s">
        <v>275</v>
      </c>
      <c r="D88" s="10" t="s">
        <v>2329</v>
      </c>
      <c r="E88" s="54"/>
      <c r="F88" s="39"/>
      <c r="G88" s="39"/>
      <c r="H88" s="55"/>
      <c r="I88" s="56"/>
      <c r="J88" s="56"/>
      <c r="K88" s="56"/>
      <c r="L88" s="56"/>
    </row>
    <row r="89" s="1" customFormat="1" ht="26.4" spans="2:12">
      <c r="B89" s="32" t="s">
        <v>2342</v>
      </c>
      <c r="C89" s="32" t="s">
        <v>275</v>
      </c>
      <c r="D89" s="10" t="s">
        <v>2343</v>
      </c>
      <c r="E89" s="54"/>
      <c r="F89" s="39"/>
      <c r="G89" s="39"/>
      <c r="H89" s="55"/>
      <c r="I89" s="56"/>
      <c r="J89" s="56"/>
      <c r="K89" s="56"/>
      <c r="L89" s="56"/>
    </row>
    <row r="90" s="1" customFormat="1" spans="2:12">
      <c r="B90" s="32" t="s">
        <v>2368</v>
      </c>
      <c r="C90" s="32" t="s">
        <v>275</v>
      </c>
      <c r="D90" s="10" t="s">
        <v>2369</v>
      </c>
      <c r="E90" s="54"/>
      <c r="F90" s="39"/>
      <c r="G90" s="39"/>
      <c r="H90" s="55"/>
      <c r="I90" s="56"/>
      <c r="J90" s="56"/>
      <c r="K90" s="56"/>
      <c r="L90" s="56"/>
    </row>
    <row r="91" s="1" customFormat="1" spans="2:12">
      <c r="B91" s="32" t="s">
        <v>2380</v>
      </c>
      <c r="C91" s="32" t="s">
        <v>275</v>
      </c>
      <c r="D91" s="10" t="s">
        <v>2381</v>
      </c>
      <c r="E91" s="54"/>
      <c r="F91" s="39"/>
      <c r="G91" s="39"/>
      <c r="H91" s="55"/>
      <c r="I91" s="56"/>
      <c r="J91" s="56"/>
      <c r="K91" s="56"/>
      <c r="L91" s="56"/>
    </row>
    <row r="92" s="1" customFormat="1" spans="2:12">
      <c r="B92" s="32" t="s">
        <v>2392</v>
      </c>
      <c r="C92" s="32" t="s">
        <v>275</v>
      </c>
      <c r="D92" s="10" t="s">
        <v>2393</v>
      </c>
      <c r="E92" s="54"/>
      <c r="F92" s="39"/>
      <c r="G92" s="39"/>
      <c r="H92" s="55"/>
      <c r="I92" s="56"/>
      <c r="J92" s="56"/>
      <c r="K92" s="56"/>
      <c r="L92" s="56"/>
    </row>
    <row r="93" s="1" customFormat="1" spans="2:12">
      <c r="B93" s="32" t="s">
        <v>2404</v>
      </c>
      <c r="C93" s="32" t="s">
        <v>275</v>
      </c>
      <c r="D93" s="10" t="s">
        <v>2405</v>
      </c>
      <c r="E93" s="54"/>
      <c r="F93" s="39"/>
      <c r="G93" s="39"/>
      <c r="H93" s="55"/>
      <c r="I93" s="56"/>
      <c r="J93" s="56"/>
      <c r="K93" s="56"/>
      <c r="L93" s="56"/>
    </row>
    <row r="94" s="1" customFormat="1" spans="2:12">
      <c r="B94" s="32" t="s">
        <v>2416</v>
      </c>
      <c r="C94" s="32" t="s">
        <v>275</v>
      </c>
      <c r="D94" s="10" t="s">
        <v>2417</v>
      </c>
      <c r="E94" s="54"/>
      <c r="F94" s="39"/>
      <c r="G94" s="39"/>
      <c r="H94" s="55"/>
      <c r="I94" s="56"/>
      <c r="J94" s="56"/>
      <c r="K94" s="56"/>
      <c r="L94" s="56"/>
    </row>
    <row r="95" s="1" customFormat="1" spans="2:12">
      <c r="B95" s="32" t="s">
        <v>2428</v>
      </c>
      <c r="C95" s="32" t="s">
        <v>275</v>
      </c>
      <c r="D95" s="10" t="s">
        <v>2429</v>
      </c>
      <c r="E95" s="54"/>
      <c r="F95" s="39"/>
      <c r="G95" s="39"/>
      <c r="H95" s="55"/>
      <c r="I95" s="56"/>
      <c r="J95" s="56"/>
      <c r="K95" s="56"/>
      <c r="L95" s="56"/>
    </row>
    <row r="96" s="1" customFormat="1" spans="2:12">
      <c r="B96" s="32" t="s">
        <v>1782</v>
      </c>
      <c r="C96" s="32" t="s">
        <v>275</v>
      </c>
      <c r="D96" s="10" t="s">
        <v>1783</v>
      </c>
      <c r="E96" s="54"/>
      <c r="F96" s="39"/>
      <c r="G96" s="39"/>
      <c r="H96" s="55"/>
      <c r="I96" s="56"/>
      <c r="J96" s="56"/>
      <c r="K96" s="56"/>
      <c r="L96" s="56"/>
    </row>
    <row r="97" s="1" customFormat="1" spans="2:12">
      <c r="B97" s="32" t="s">
        <v>1784</v>
      </c>
      <c r="C97" s="32" t="s">
        <v>275</v>
      </c>
      <c r="D97" s="10" t="s">
        <v>1785</v>
      </c>
      <c r="E97" s="54"/>
      <c r="F97" s="39"/>
      <c r="G97" s="39"/>
      <c r="H97" s="55"/>
      <c r="I97" s="56"/>
      <c r="J97" s="56"/>
      <c r="K97" s="56"/>
      <c r="L97" s="56"/>
    </row>
    <row r="98" s="1" customFormat="1" spans="2:12">
      <c r="B98" s="32" t="s">
        <v>1786</v>
      </c>
      <c r="C98" s="32" t="s">
        <v>275</v>
      </c>
      <c r="D98" s="10" t="s">
        <v>1787</v>
      </c>
      <c r="E98" s="54"/>
      <c r="F98" s="39"/>
      <c r="G98" s="39"/>
      <c r="H98" s="55"/>
      <c r="I98" s="56"/>
      <c r="J98" s="56"/>
      <c r="K98" s="56"/>
      <c r="L98" s="56"/>
    </row>
    <row r="99" s="1" customFormat="1" spans="2:12">
      <c r="B99" s="32" t="s">
        <v>1788</v>
      </c>
      <c r="C99" s="32" t="s">
        <v>275</v>
      </c>
      <c r="D99" s="10" t="s">
        <v>1789</v>
      </c>
      <c r="E99" s="54"/>
      <c r="F99" s="39"/>
      <c r="G99" s="39"/>
      <c r="H99" s="55"/>
      <c r="I99" s="56"/>
      <c r="J99" s="56"/>
      <c r="K99" s="56"/>
      <c r="L99" s="56"/>
    </row>
    <row r="100" s="1" customFormat="1" spans="2:12">
      <c r="B100" s="32" t="s">
        <v>1345</v>
      </c>
      <c r="C100" s="32" t="s">
        <v>275</v>
      </c>
      <c r="D100" s="10" t="s">
        <v>2139</v>
      </c>
      <c r="E100" s="54"/>
      <c r="F100" s="39"/>
      <c r="G100" s="39"/>
      <c r="H100" s="55"/>
      <c r="I100" s="56"/>
      <c r="J100" s="56"/>
      <c r="K100" s="56"/>
      <c r="L100" s="56"/>
    </row>
    <row r="101" s="1" customFormat="1" spans="2:12">
      <c r="B101" s="32" t="s">
        <v>1790</v>
      </c>
      <c r="C101" s="32" t="s">
        <v>275</v>
      </c>
      <c r="D101" s="10" t="s">
        <v>1791</v>
      </c>
      <c r="E101" s="54"/>
      <c r="F101" s="39"/>
      <c r="G101" s="39"/>
      <c r="H101" s="55"/>
      <c r="I101" s="56"/>
      <c r="J101" s="56"/>
      <c r="K101" s="56"/>
      <c r="L101" s="56"/>
    </row>
    <row r="102" s="1" customFormat="1" spans="2:12">
      <c r="B102" s="32" t="s">
        <v>1792</v>
      </c>
      <c r="C102" s="32" t="s">
        <v>275</v>
      </c>
      <c r="D102" s="10" t="s">
        <v>1793</v>
      </c>
      <c r="E102" s="54"/>
      <c r="F102" s="39"/>
      <c r="G102" s="39"/>
      <c r="H102" s="55"/>
      <c r="I102" s="56"/>
      <c r="J102" s="56"/>
      <c r="K102" s="56"/>
      <c r="L102" s="56"/>
    </row>
    <row r="103" s="1" customFormat="1" ht="26.4" spans="2:12">
      <c r="B103" s="32" t="s">
        <v>1465</v>
      </c>
      <c r="C103" s="32" t="s">
        <v>275</v>
      </c>
      <c r="D103" s="10" t="s">
        <v>1466</v>
      </c>
      <c r="E103" s="54"/>
      <c r="F103" s="39"/>
      <c r="G103" s="39"/>
      <c r="H103" s="55"/>
      <c r="I103" s="56"/>
      <c r="J103" s="56"/>
      <c r="K103" s="56"/>
      <c r="L103" s="56"/>
    </row>
    <row r="104" s="1" customFormat="1" ht="26.4" spans="2:12">
      <c r="B104" s="32" t="s">
        <v>1467</v>
      </c>
      <c r="C104" s="32" t="s">
        <v>275</v>
      </c>
      <c r="D104" s="10" t="s">
        <v>1468</v>
      </c>
      <c r="E104" s="54"/>
      <c r="F104" s="39"/>
      <c r="G104" s="39"/>
      <c r="H104" s="55"/>
      <c r="I104" s="56"/>
      <c r="J104" s="56"/>
      <c r="K104" s="56"/>
      <c r="L104" s="56"/>
    </row>
    <row r="105" s="1" customFormat="1" ht="26.4" spans="2:12">
      <c r="B105" s="32" t="s">
        <v>1469</v>
      </c>
      <c r="C105" s="32" t="s">
        <v>275</v>
      </c>
      <c r="D105" s="10" t="s">
        <v>1470</v>
      </c>
      <c r="E105" s="54"/>
      <c r="F105" s="39"/>
      <c r="G105" s="39"/>
      <c r="H105" s="55"/>
      <c r="I105" s="56"/>
      <c r="J105" s="56"/>
      <c r="K105" s="56"/>
      <c r="L105" s="56"/>
    </row>
    <row r="106" s="1" customFormat="1" ht="26.4" spans="2:12">
      <c r="B106" s="32" t="s">
        <v>1471</v>
      </c>
      <c r="C106" s="32" t="s">
        <v>275</v>
      </c>
      <c r="D106" s="10" t="s">
        <v>1472</v>
      </c>
      <c r="E106" s="54"/>
      <c r="F106" s="39"/>
      <c r="G106" s="39"/>
      <c r="H106" s="55"/>
      <c r="I106" s="56"/>
      <c r="J106" s="56"/>
      <c r="K106" s="56"/>
      <c r="L106" s="56"/>
    </row>
    <row r="107" s="1" customFormat="1" ht="26.4" spans="2:12">
      <c r="B107" s="32" t="s">
        <v>1473</v>
      </c>
      <c r="C107" s="32" t="s">
        <v>275</v>
      </c>
      <c r="D107" s="10" t="s">
        <v>1474</v>
      </c>
      <c r="E107" s="54"/>
      <c r="F107" s="39"/>
      <c r="G107" s="39"/>
      <c r="H107" s="55"/>
      <c r="I107" s="56"/>
      <c r="J107" s="56"/>
      <c r="K107" s="56"/>
      <c r="L107" s="56"/>
    </row>
    <row r="108" s="1" customFormat="1" spans="2:12">
      <c r="B108" s="32" t="s">
        <v>1477</v>
      </c>
      <c r="C108" s="32" t="s">
        <v>275</v>
      </c>
      <c r="D108" s="10" t="s">
        <v>1478</v>
      </c>
      <c r="E108" s="54"/>
      <c r="F108" s="39"/>
      <c r="G108" s="39"/>
      <c r="H108" s="55"/>
      <c r="I108" s="56"/>
      <c r="J108" s="56"/>
      <c r="K108" s="56"/>
      <c r="L108" s="56"/>
    </row>
    <row r="109" s="1" customFormat="1" spans="2:12">
      <c r="B109" s="32" t="s">
        <v>1479</v>
      </c>
      <c r="C109" s="32" t="s">
        <v>275</v>
      </c>
      <c r="D109" s="10" t="s">
        <v>1480</v>
      </c>
      <c r="E109" s="54"/>
      <c r="F109" s="39"/>
      <c r="G109" s="39"/>
      <c r="H109" s="55"/>
      <c r="I109" s="56"/>
      <c r="J109" s="56"/>
      <c r="K109" s="56"/>
      <c r="L109" s="56"/>
    </row>
    <row r="110" s="1" customFormat="1" spans="2:12">
      <c r="B110" s="32" t="s">
        <v>1481</v>
      </c>
      <c r="C110" s="32" t="s">
        <v>275</v>
      </c>
      <c r="D110" s="10" t="s">
        <v>1482</v>
      </c>
      <c r="E110" s="54"/>
      <c r="F110" s="39"/>
      <c r="G110" s="39"/>
      <c r="H110" s="55"/>
      <c r="I110" s="56"/>
      <c r="J110" s="56"/>
      <c r="K110" s="56"/>
      <c r="L110" s="56"/>
    </row>
    <row r="111" s="1" customFormat="1" spans="2:12">
      <c r="B111" s="32" t="s">
        <v>1483</v>
      </c>
      <c r="C111" s="32" t="s">
        <v>275</v>
      </c>
      <c r="D111" s="10" t="s">
        <v>1484</v>
      </c>
      <c r="E111" s="54"/>
      <c r="F111" s="39"/>
      <c r="G111" s="39"/>
      <c r="H111" s="55"/>
      <c r="I111" s="56"/>
      <c r="J111" s="56"/>
      <c r="K111" s="56"/>
      <c r="L111" s="56"/>
    </row>
    <row r="112" s="1" customFormat="1" spans="2:12">
      <c r="B112" s="32" t="s">
        <v>1485</v>
      </c>
      <c r="C112" s="32" t="s">
        <v>275</v>
      </c>
      <c r="D112" s="10" t="s">
        <v>1486</v>
      </c>
      <c r="E112" s="54"/>
      <c r="F112" s="39"/>
      <c r="G112" s="39"/>
      <c r="H112" s="55"/>
      <c r="I112" s="56"/>
      <c r="J112" s="56"/>
      <c r="K112" s="56"/>
      <c r="L112" s="56"/>
    </row>
    <row r="113" s="1" customFormat="1" spans="2:12">
      <c r="B113" s="32" t="s">
        <v>2694</v>
      </c>
      <c r="C113" s="32" t="s">
        <v>275</v>
      </c>
      <c r="D113" s="10" t="s">
        <v>2695</v>
      </c>
      <c r="E113" s="54"/>
      <c r="F113" s="39"/>
      <c r="G113" s="39"/>
      <c r="H113" s="55"/>
      <c r="I113" s="56"/>
      <c r="J113" s="56"/>
      <c r="K113" s="56"/>
      <c r="L113" s="56"/>
    </row>
    <row r="114" s="1" customFormat="1" spans="2:12">
      <c r="B114" s="32" t="s">
        <v>2696</v>
      </c>
      <c r="C114" s="32" t="s">
        <v>275</v>
      </c>
      <c r="D114" s="10" t="s">
        <v>2697</v>
      </c>
      <c r="E114" s="54"/>
      <c r="F114" s="39"/>
      <c r="G114" s="39"/>
      <c r="H114" s="55"/>
      <c r="I114" s="56"/>
      <c r="J114" s="56"/>
      <c r="K114" s="56"/>
      <c r="L114" s="56"/>
    </row>
    <row r="115" s="1" customFormat="1" ht="26.4" spans="2:12">
      <c r="B115" s="32" t="s">
        <v>1347</v>
      </c>
      <c r="C115" s="32" t="s">
        <v>275</v>
      </c>
      <c r="D115" s="10" t="s">
        <v>2140</v>
      </c>
      <c r="E115" s="54"/>
      <c r="F115" s="39"/>
      <c r="G115" s="39"/>
      <c r="H115" s="55"/>
      <c r="I115" s="56"/>
      <c r="J115" s="56"/>
      <c r="K115" s="56"/>
      <c r="L115" s="56"/>
    </row>
    <row r="116" s="1" customFormat="1" ht="26.4" spans="2:12">
      <c r="B116" s="32" t="s">
        <v>2761</v>
      </c>
      <c r="C116" s="32" t="s">
        <v>275</v>
      </c>
      <c r="D116" s="10" t="s">
        <v>2762</v>
      </c>
      <c r="E116" s="54"/>
      <c r="F116" s="39"/>
      <c r="G116" s="39"/>
      <c r="H116" s="55"/>
      <c r="I116" s="56"/>
      <c r="J116" s="56"/>
      <c r="K116" s="56"/>
      <c r="L116" s="56"/>
    </row>
    <row r="117" s="1" customFormat="1" ht="26.4" spans="2:12">
      <c r="B117" s="32" t="s">
        <v>1349</v>
      </c>
      <c r="C117" s="32" t="s">
        <v>275</v>
      </c>
      <c r="D117" s="10" t="s">
        <v>2141</v>
      </c>
      <c r="E117" s="54"/>
      <c r="F117" s="39"/>
      <c r="G117" s="39"/>
      <c r="H117" s="55"/>
      <c r="I117" s="56"/>
      <c r="J117" s="56"/>
      <c r="K117" s="56"/>
      <c r="L117" s="56"/>
    </row>
    <row r="118" s="1" customFormat="1" ht="26.4" spans="2:12">
      <c r="B118" s="32" t="s">
        <v>2763</v>
      </c>
      <c r="C118" s="32" t="s">
        <v>275</v>
      </c>
      <c r="D118" s="10" t="s">
        <v>2764</v>
      </c>
      <c r="E118" s="54"/>
      <c r="F118" s="39"/>
      <c r="G118" s="39"/>
      <c r="H118" s="55"/>
      <c r="I118" s="56"/>
      <c r="J118" s="56"/>
      <c r="K118" s="56"/>
      <c r="L118" s="56"/>
    </row>
    <row r="119" s="1" customFormat="1" ht="26.4" spans="2:12">
      <c r="B119" s="32" t="s">
        <v>2100</v>
      </c>
      <c r="C119" s="32" t="s">
        <v>275</v>
      </c>
      <c r="D119" s="10" t="s">
        <v>2575</v>
      </c>
      <c r="E119" s="54"/>
      <c r="F119" s="39"/>
      <c r="G119" s="39"/>
      <c r="H119" s="55"/>
      <c r="I119" s="56"/>
      <c r="J119" s="56"/>
      <c r="K119" s="56"/>
      <c r="L119" s="56"/>
    </row>
    <row r="120" s="1" customFormat="1" ht="26.4" spans="2:12">
      <c r="B120" s="32" t="s">
        <v>2698</v>
      </c>
      <c r="C120" s="32" t="s">
        <v>275</v>
      </c>
      <c r="D120" s="10" t="s">
        <v>2699</v>
      </c>
      <c r="E120" s="54"/>
      <c r="F120" s="39"/>
      <c r="G120" s="39"/>
      <c r="H120" s="55"/>
      <c r="I120" s="56"/>
      <c r="J120" s="56"/>
      <c r="K120" s="56"/>
      <c r="L120" s="56"/>
    </row>
    <row r="121" s="1" customFormat="1" spans="2:12">
      <c r="B121" s="32" t="s">
        <v>1798</v>
      </c>
      <c r="C121" s="32" t="s">
        <v>275</v>
      </c>
      <c r="D121" s="10" t="s">
        <v>1799</v>
      </c>
      <c r="E121" s="54"/>
      <c r="F121" s="39"/>
      <c r="G121" s="39"/>
      <c r="H121" s="55"/>
      <c r="I121" s="56"/>
      <c r="J121" s="56"/>
      <c r="K121" s="56"/>
      <c r="L121" s="56"/>
    </row>
    <row r="122" s="1" customFormat="1" ht="26.4" spans="2:12">
      <c r="B122" s="32" t="s">
        <v>2700</v>
      </c>
      <c r="C122" s="32" t="s">
        <v>275</v>
      </c>
      <c r="D122" s="10" t="s">
        <v>2701</v>
      </c>
      <c r="E122" s="54"/>
      <c r="F122" s="39"/>
      <c r="G122" s="39"/>
      <c r="H122" s="55"/>
      <c r="I122" s="56"/>
      <c r="J122" s="56"/>
      <c r="K122" s="56"/>
      <c r="L122" s="56"/>
    </row>
    <row r="123" s="1" customFormat="1" spans="2:12">
      <c r="B123" s="32" t="s">
        <v>2803</v>
      </c>
      <c r="C123" s="32" t="s">
        <v>275</v>
      </c>
      <c r="D123" s="10" t="s">
        <v>2103</v>
      </c>
      <c r="E123" s="54"/>
      <c r="F123" s="39"/>
      <c r="G123" s="39"/>
      <c r="H123" s="55"/>
      <c r="I123" s="56"/>
      <c r="J123" s="56"/>
      <c r="K123" s="56"/>
      <c r="L123" s="56"/>
    </row>
    <row r="124" s="1" customFormat="1" ht="26.4" spans="2:12">
      <c r="B124" s="32" t="s">
        <v>2688</v>
      </c>
      <c r="C124" s="32" t="s">
        <v>275</v>
      </c>
      <c r="D124" s="10" t="s">
        <v>2689</v>
      </c>
      <c r="E124" s="54"/>
      <c r="F124" s="39"/>
      <c r="G124" s="39"/>
      <c r="H124" s="55"/>
      <c r="I124" s="56"/>
      <c r="J124" s="56"/>
      <c r="K124" s="56"/>
      <c r="L124" s="56"/>
    </row>
    <row r="125" s="1" customFormat="1" spans="2:12">
      <c r="B125" s="32" t="s">
        <v>2804</v>
      </c>
      <c r="C125" s="32" t="s">
        <v>275</v>
      </c>
      <c r="D125" s="10" t="s">
        <v>2105</v>
      </c>
      <c r="E125" s="54"/>
      <c r="F125" s="39"/>
      <c r="G125" s="39"/>
      <c r="H125" s="55"/>
      <c r="I125" s="56"/>
      <c r="J125" s="56"/>
      <c r="K125" s="56"/>
      <c r="L125" s="56"/>
    </row>
    <row r="126" s="1" customFormat="1" spans="2:12">
      <c r="B126" s="32" t="s">
        <v>2805</v>
      </c>
      <c r="C126" s="32" t="s">
        <v>275</v>
      </c>
      <c r="D126" s="10" t="s">
        <v>2108</v>
      </c>
      <c r="E126" s="54"/>
      <c r="F126" s="39"/>
      <c r="G126" s="39"/>
      <c r="H126" s="55"/>
      <c r="I126" s="56"/>
      <c r="J126" s="56"/>
      <c r="K126" s="56"/>
      <c r="L126" s="56"/>
    </row>
    <row r="127" s="1" customFormat="1" ht="26.4" spans="2:12">
      <c r="B127" s="32" t="s">
        <v>2690</v>
      </c>
      <c r="C127" s="32" t="s">
        <v>275</v>
      </c>
      <c r="D127" s="10" t="s">
        <v>2691</v>
      </c>
      <c r="E127" s="54"/>
      <c r="F127" s="39"/>
      <c r="G127" s="39"/>
      <c r="H127" s="55"/>
      <c r="I127" s="56"/>
      <c r="J127" s="56"/>
      <c r="K127" s="56"/>
      <c r="L127" s="56"/>
    </row>
    <row r="128" s="1" customFormat="1" spans="2:12">
      <c r="B128" s="32" t="s">
        <v>2806</v>
      </c>
      <c r="C128" s="32" t="s">
        <v>275</v>
      </c>
      <c r="D128" s="10" t="s">
        <v>2110</v>
      </c>
      <c r="E128" s="54"/>
      <c r="F128" s="39"/>
      <c r="G128" s="39"/>
      <c r="H128" s="55"/>
      <c r="I128" s="56"/>
      <c r="J128" s="56"/>
      <c r="K128" s="56"/>
      <c r="L128" s="56"/>
    </row>
    <row r="129" s="1" customFormat="1" ht="26.4" spans="2:12">
      <c r="B129" s="32" t="s">
        <v>2692</v>
      </c>
      <c r="C129" s="32" t="s">
        <v>275</v>
      </c>
      <c r="D129" s="10" t="s">
        <v>2693</v>
      </c>
      <c r="E129" s="54"/>
      <c r="F129" s="39"/>
      <c r="G129" s="39"/>
      <c r="H129" s="55"/>
      <c r="I129" s="56"/>
      <c r="J129" s="56"/>
      <c r="K129" s="56"/>
      <c r="L129" s="56"/>
    </row>
    <row r="130" s="1" customFormat="1" spans="2:12">
      <c r="B130" s="32" t="s">
        <v>2807</v>
      </c>
      <c r="C130" s="32" t="s">
        <v>275</v>
      </c>
      <c r="D130" s="10" t="s">
        <v>2579</v>
      </c>
      <c r="E130" s="54"/>
      <c r="F130" s="39"/>
      <c r="G130" s="39"/>
      <c r="H130" s="55"/>
      <c r="I130" s="56"/>
      <c r="J130" s="56"/>
      <c r="K130" s="56"/>
      <c r="L130" s="56"/>
    </row>
    <row r="131" s="1" customFormat="1" spans="2:12">
      <c r="B131" s="32" t="s">
        <v>2580</v>
      </c>
      <c r="C131" s="32" t="s">
        <v>275</v>
      </c>
      <c r="D131" s="10" t="s">
        <v>2581</v>
      </c>
      <c r="E131" s="54"/>
      <c r="F131" s="39"/>
      <c r="G131" s="39"/>
      <c r="H131" s="55"/>
      <c r="I131" s="56"/>
      <c r="J131" s="56"/>
      <c r="K131" s="56"/>
      <c r="L131" s="56"/>
    </row>
    <row r="132" s="1" customFormat="1" spans="2:12">
      <c r="B132" s="32" t="s">
        <v>2468</v>
      </c>
      <c r="C132" s="32" t="s">
        <v>275</v>
      </c>
      <c r="D132" s="10" t="s">
        <v>1807</v>
      </c>
      <c r="E132" s="54"/>
      <c r="F132" s="39"/>
      <c r="G132" s="39"/>
      <c r="H132" s="55"/>
      <c r="I132" s="56"/>
      <c r="J132" s="56"/>
      <c r="K132" s="56"/>
      <c r="L132" s="56"/>
    </row>
    <row r="133" s="33" customFormat="1" spans="2:12">
      <c r="B133" s="29" t="s">
        <v>1814</v>
      </c>
      <c r="C133" s="29" t="s">
        <v>275</v>
      </c>
      <c r="D133" s="29" t="s">
        <v>1815</v>
      </c>
      <c r="E133" s="65"/>
      <c r="F133" s="66"/>
      <c r="G133" s="29" t="s">
        <v>1816</v>
      </c>
      <c r="H133" s="67"/>
      <c r="I133" s="29" t="s">
        <v>1211</v>
      </c>
      <c r="J133" s="29" t="s">
        <v>345</v>
      </c>
      <c r="K133" s="69" t="s">
        <v>323</v>
      </c>
      <c r="L133" s="69" t="s">
        <v>339</v>
      </c>
    </row>
    <row r="134" s="36" customFormat="1" spans="1:12">
      <c r="A134" s="41"/>
      <c r="B134" s="29" t="s">
        <v>1817</v>
      </c>
      <c r="C134" s="29" t="s">
        <v>216</v>
      </c>
      <c r="D134" s="29" t="s">
        <v>1818</v>
      </c>
      <c r="E134" s="29"/>
      <c r="F134" s="29"/>
      <c r="G134" s="29" t="s">
        <v>2469</v>
      </c>
      <c r="H134" s="29"/>
      <c r="I134" s="29" t="s">
        <v>1211</v>
      </c>
      <c r="J134" s="29" t="s">
        <v>345</v>
      </c>
      <c r="K134" s="29" t="s">
        <v>323</v>
      </c>
      <c r="L134" s="29" t="s">
        <v>323</v>
      </c>
    </row>
    <row r="135" s="36" customFormat="1" spans="1:12">
      <c r="A135" s="41"/>
      <c r="B135" s="29" t="s">
        <v>1820</v>
      </c>
      <c r="C135" s="29" t="s">
        <v>216</v>
      </c>
      <c r="D135" s="29" t="s">
        <v>1821</v>
      </c>
      <c r="E135" s="29"/>
      <c r="F135" s="29"/>
      <c r="G135" s="29" t="s">
        <v>2470</v>
      </c>
      <c r="H135" s="29"/>
      <c r="I135" s="29" t="s">
        <v>1211</v>
      </c>
      <c r="J135" s="29" t="s">
        <v>345</v>
      </c>
      <c r="K135" s="29" t="s">
        <v>323</v>
      </c>
      <c r="L135" s="29" t="s">
        <v>323</v>
      </c>
    </row>
    <row r="136" s="37" customFormat="1" spans="1:12">
      <c r="A136" s="42"/>
      <c r="B136" s="43" t="s">
        <v>252</v>
      </c>
      <c r="C136" s="43" t="s">
        <v>220</v>
      </c>
      <c r="D136" s="44" t="s">
        <v>254</v>
      </c>
      <c r="E136" s="45"/>
      <c r="F136" s="46"/>
      <c r="G136" s="46"/>
      <c r="H136" s="47"/>
      <c r="I136" s="48"/>
      <c r="J136" s="49"/>
      <c r="K136" s="49"/>
      <c r="L136" s="49"/>
    </row>
    <row r="137" s="37" customFormat="1" spans="1:12">
      <c r="A137" s="42"/>
      <c r="B137" s="43" t="s">
        <v>255</v>
      </c>
      <c r="C137" s="43" t="s">
        <v>216</v>
      </c>
      <c r="D137" s="44" t="s">
        <v>256</v>
      </c>
      <c r="E137" s="45"/>
      <c r="F137" s="46"/>
      <c r="G137" s="46"/>
      <c r="H137" s="47"/>
      <c r="I137" s="48"/>
      <c r="J137" s="49"/>
      <c r="K137" s="49"/>
      <c r="L137" s="49"/>
    </row>
    <row r="138" s="37" customFormat="1" spans="1:12">
      <c r="A138" s="42"/>
      <c r="B138" s="43" t="s">
        <v>257</v>
      </c>
      <c r="C138" s="43" t="s">
        <v>220</v>
      </c>
      <c r="D138" s="44" t="s">
        <v>258</v>
      </c>
      <c r="E138" s="45"/>
      <c r="F138" s="46"/>
      <c r="G138" s="46"/>
      <c r="H138" s="47"/>
      <c r="I138" s="48"/>
      <c r="J138" s="49"/>
      <c r="K138" s="49"/>
      <c r="L138" s="49"/>
    </row>
  </sheetData>
  <autoFilter xmlns:etc="http://www.wps.cn/officeDocument/2017/etCustomData" ref="A15:N138"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zoomScale="85" zoomScaleNormal="85" workbookViewId="0">
      <pane ySplit="5" topLeftCell="A6" activePane="bottomLeft" state="frozen"/>
      <selection/>
      <selection pane="bottomLeft" activeCell="N16" sqref="N1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116</v>
      </c>
      <c r="D5" s="10" t="s">
        <v>117</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114</v>
      </c>
      <c r="D9" s="35" t="s">
        <v>115</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c r="J16" s="23" t="s">
        <v>322</v>
      </c>
      <c r="K16" s="23" t="s">
        <v>323</v>
      </c>
      <c r="L16" s="23" t="s">
        <v>323</v>
      </c>
      <c r="M16" s="1" t="str">
        <f>_xlfn.CONCAT(F16," as ",B16)</f>
        <v>p_date as day</v>
      </c>
      <c r="N16" s="16" t="str">
        <f>_xlfn.CONCAT("`",B16,"` ",C16,",")</f>
        <v>`day` string,</v>
      </c>
    </row>
    <row r="17" s="1" customFormat="1" spans="2:14">
      <c r="B17" s="19" t="s">
        <v>1026</v>
      </c>
      <c r="C17" s="19" t="s">
        <v>220</v>
      </c>
      <c r="D17" s="10" t="s">
        <v>66</v>
      </c>
      <c r="E17" s="20" t="s">
        <v>199</v>
      </c>
      <c r="F17" s="19" t="s">
        <v>257</v>
      </c>
      <c r="G17" s="19" t="s">
        <v>218</v>
      </c>
      <c r="H17" s="20"/>
      <c r="I17" s="23"/>
      <c r="J17" s="23" t="s">
        <v>322</v>
      </c>
      <c r="K17" s="23" t="s">
        <v>323</v>
      </c>
      <c r="L17" s="23" t="s">
        <v>323</v>
      </c>
      <c r="M17" s="1" t="str">
        <f t="shared" ref="M17:M34" si="0">_xlfn.CONCAT(F17," as ",B17)</f>
        <v>p_hour as hour</v>
      </c>
      <c r="N17" s="16" t="str">
        <f t="shared" ref="N17:N34" si="1">_xlfn.CONCAT("`",B17,"` ",C17,",")</f>
        <v>`hour` int,</v>
      </c>
    </row>
    <row r="18" s="1" customFormat="1" spans="2:14">
      <c r="B18" s="19" t="s">
        <v>1830</v>
      </c>
      <c r="C18" s="19" t="s">
        <v>220</v>
      </c>
      <c r="D18" s="10" t="s">
        <v>1831</v>
      </c>
      <c r="E18" s="20" t="s">
        <v>199</v>
      </c>
      <c r="F18" s="19" t="s">
        <v>252</v>
      </c>
      <c r="G18" s="19" t="s">
        <v>218</v>
      </c>
      <c r="H18" s="20"/>
      <c r="I18" s="23"/>
      <c r="J18" s="23" t="s">
        <v>322</v>
      </c>
      <c r="K18" s="23" t="s">
        <v>323</v>
      </c>
      <c r="L18" s="23" t="s">
        <v>323</v>
      </c>
      <c r="M18" s="1" t="str">
        <f t="shared" si="0"/>
        <v>p_provincecode as provincecode</v>
      </c>
      <c r="N18" s="16" t="str">
        <f t="shared" si="1"/>
        <v>`provincecode` int,</v>
      </c>
    </row>
    <row r="19" s="1" customFormat="1" spans="2:14">
      <c r="B19" s="19" t="s">
        <v>1832</v>
      </c>
      <c r="C19" s="19" t="s">
        <v>220</v>
      </c>
      <c r="D19" s="10" t="s">
        <v>1833</v>
      </c>
      <c r="E19" s="20" t="s">
        <v>199</v>
      </c>
      <c r="F19" s="19" t="s">
        <v>1832</v>
      </c>
      <c r="G19" s="19" t="s">
        <v>218</v>
      </c>
      <c r="H19" s="20"/>
      <c r="I19" s="23"/>
      <c r="J19" s="23" t="s">
        <v>322</v>
      </c>
      <c r="K19" s="23" t="s">
        <v>323</v>
      </c>
      <c r="L19" s="23" t="s">
        <v>323</v>
      </c>
      <c r="M19" s="1" t="str">
        <f t="shared" si="0"/>
        <v>citycode as citycode</v>
      </c>
      <c r="N19" s="16" t="str">
        <f t="shared" si="1"/>
        <v>`citycode` int,</v>
      </c>
    </row>
    <row r="20" s="1" customFormat="1" spans="2:14">
      <c r="B20" s="19" t="s">
        <v>1834</v>
      </c>
      <c r="C20" s="19" t="s">
        <v>220</v>
      </c>
      <c r="D20" s="10" t="s">
        <v>1835</v>
      </c>
      <c r="E20" s="20" t="s">
        <v>199</v>
      </c>
      <c r="F20" s="19" t="s">
        <v>1834</v>
      </c>
      <c r="G20" s="19" t="s">
        <v>218</v>
      </c>
      <c r="H20" s="20"/>
      <c r="I20" s="23"/>
      <c r="J20" s="23" t="s">
        <v>322</v>
      </c>
      <c r="K20" s="23" t="s">
        <v>323</v>
      </c>
      <c r="L20" s="23" t="s">
        <v>323</v>
      </c>
      <c r="M20" s="1" t="str">
        <f t="shared" si="0"/>
        <v>districtcode as districtcode</v>
      </c>
      <c r="N20" s="16" t="str">
        <f t="shared" si="1"/>
        <v>`districtcode` int,</v>
      </c>
    </row>
    <row r="21" s="1" customFormat="1" spans="2:14">
      <c r="B21" s="19" t="s">
        <v>1836</v>
      </c>
      <c r="C21" s="19" t="s">
        <v>216</v>
      </c>
      <c r="D21" s="10" t="s">
        <v>1837</v>
      </c>
      <c r="E21" s="20" t="s">
        <v>199</v>
      </c>
      <c r="F21" s="19" t="s">
        <v>1836</v>
      </c>
      <c r="G21" s="19" t="s">
        <v>218</v>
      </c>
      <c r="H21" s="20"/>
      <c r="I21" s="23"/>
      <c r="J21" s="23" t="s">
        <v>322</v>
      </c>
      <c r="K21" s="23" t="s">
        <v>323</v>
      </c>
      <c r="L21" s="23" t="s">
        <v>323</v>
      </c>
      <c r="M21" s="1" t="str">
        <f t="shared" si="0"/>
        <v>cellkey as cellkey</v>
      </c>
      <c r="N21" s="16" t="str">
        <f t="shared" si="1"/>
        <v>`cellkey` string,</v>
      </c>
    </row>
    <row r="22" s="1" customFormat="1" spans="2:14">
      <c r="B22" s="19" t="s">
        <v>224</v>
      </c>
      <c r="C22" s="19" t="s">
        <v>216</v>
      </c>
      <c r="D22" s="10" t="s">
        <v>292</v>
      </c>
      <c r="E22" s="20" t="s">
        <v>199</v>
      </c>
      <c r="F22" s="19" t="s">
        <v>1310</v>
      </c>
      <c r="G22" s="19" t="s">
        <v>218</v>
      </c>
      <c r="H22" s="20"/>
      <c r="I22" s="23"/>
      <c r="J22" s="23" t="s">
        <v>322</v>
      </c>
      <c r="K22" s="23" t="s">
        <v>323</v>
      </c>
      <c r="L22" s="23" t="s">
        <v>323</v>
      </c>
      <c r="M22" s="1" t="str">
        <f t="shared" si="0"/>
        <v>imsi_supi as imsi</v>
      </c>
      <c r="N22" s="16" t="str">
        <f t="shared" si="1"/>
        <v>`imsi` string,</v>
      </c>
    </row>
    <row r="23" s="1" customFormat="1" spans="2:14">
      <c r="B23" s="19" t="s">
        <v>267</v>
      </c>
      <c r="C23" s="19" t="s">
        <v>216</v>
      </c>
      <c r="D23" s="10" t="s">
        <v>294</v>
      </c>
      <c r="E23" s="20" t="s">
        <v>199</v>
      </c>
      <c r="F23" s="19" t="s">
        <v>267</v>
      </c>
      <c r="G23" s="19" t="s">
        <v>218</v>
      </c>
      <c r="H23" s="20"/>
      <c r="I23" s="23"/>
      <c r="J23" s="23" t="s">
        <v>322</v>
      </c>
      <c r="K23" s="23" t="s">
        <v>323</v>
      </c>
      <c r="L23" s="23" t="s">
        <v>323</v>
      </c>
      <c r="M23" s="1" t="str">
        <f t="shared" si="0"/>
        <v>msisdn as msisdn</v>
      </c>
      <c r="N23" s="16" t="str">
        <f t="shared" si="1"/>
        <v>`msisdn` string,</v>
      </c>
    </row>
    <row r="24" s="1" customFormat="1" spans="2:14">
      <c r="B24" s="19" t="s">
        <v>1053</v>
      </c>
      <c r="C24" s="19" t="s">
        <v>216</v>
      </c>
      <c r="D24" s="10" t="s">
        <v>1839</v>
      </c>
      <c r="E24" s="20" t="s">
        <v>199</v>
      </c>
      <c r="F24" s="19" t="s">
        <v>2589</v>
      </c>
      <c r="G24" s="19" t="s">
        <v>218</v>
      </c>
      <c r="H24" s="20"/>
      <c r="I24" s="23"/>
      <c r="J24" s="23" t="s">
        <v>322</v>
      </c>
      <c r="K24" s="23" t="s">
        <v>323</v>
      </c>
      <c r="L24" s="23" t="s">
        <v>323</v>
      </c>
      <c r="M24" s="1" t="str">
        <f t="shared" si="0"/>
        <v>pei as imei</v>
      </c>
      <c r="N24" s="16" t="str">
        <f t="shared" si="1"/>
        <v>`imei` string,</v>
      </c>
    </row>
    <row r="25" s="1" customFormat="1" spans="2:14">
      <c r="B25" s="19" t="s">
        <v>1313</v>
      </c>
      <c r="C25" s="19" t="s">
        <v>216</v>
      </c>
      <c r="D25" s="10" t="s">
        <v>1314</v>
      </c>
      <c r="E25" s="20" t="s">
        <v>199</v>
      </c>
      <c r="F25" s="19" t="s">
        <v>1313</v>
      </c>
      <c r="G25" s="19" t="s">
        <v>218</v>
      </c>
      <c r="H25" s="20"/>
      <c r="I25" s="23"/>
      <c r="J25" s="23" t="s">
        <v>322</v>
      </c>
      <c r="K25" s="23" t="s">
        <v>323</v>
      </c>
      <c r="L25" s="23" t="s">
        <v>323</v>
      </c>
      <c r="M25" s="1" t="str">
        <f t="shared" si="0"/>
        <v>servicetype as servicetype</v>
      </c>
      <c r="N25" s="16" t="str">
        <f t="shared" si="1"/>
        <v>`servicetype` string,</v>
      </c>
    </row>
    <row r="26" s="1" customFormat="1" spans="2:14">
      <c r="B26" s="19" t="s">
        <v>1840</v>
      </c>
      <c r="C26" s="19" t="s">
        <v>216</v>
      </c>
      <c r="D26" s="10" t="s">
        <v>1841</v>
      </c>
      <c r="E26" s="20" t="s">
        <v>199</v>
      </c>
      <c r="F26" s="19" t="s">
        <v>1842</v>
      </c>
      <c r="G26" s="19" t="s">
        <v>1842</v>
      </c>
      <c r="H26" s="20"/>
      <c r="I26" s="23"/>
      <c r="J26" s="23" t="s">
        <v>322</v>
      </c>
      <c r="K26" s="23" t="s">
        <v>323</v>
      </c>
      <c r="L26" s="23" t="s">
        <v>323</v>
      </c>
      <c r="M26" s="1" t="str">
        <f t="shared" si="0"/>
        <v>substr(servicetype,1,2) as app_type</v>
      </c>
      <c r="N26" s="16" t="str">
        <f t="shared" si="1"/>
        <v>`app_type` string,</v>
      </c>
    </row>
    <row r="27" s="1" customFormat="1" spans="2:14">
      <c r="B27" s="19" t="s">
        <v>1843</v>
      </c>
      <c r="C27" s="19" t="s">
        <v>216</v>
      </c>
      <c r="D27" s="10" t="s">
        <v>1844</v>
      </c>
      <c r="E27" s="20" t="s">
        <v>202</v>
      </c>
      <c r="F27" s="19" t="s">
        <v>1845</v>
      </c>
      <c r="G27" s="19" t="s">
        <v>218</v>
      </c>
      <c r="H27" s="20"/>
      <c r="I27" s="23"/>
      <c r="J27" s="23" t="s">
        <v>322</v>
      </c>
      <c r="K27" s="23" t="s">
        <v>323</v>
      </c>
      <c r="L27" s="23" t="s">
        <v>323</v>
      </c>
      <c r="M27" s="1" t="str">
        <f t="shared" si="0"/>
        <v>servicetype_name as app_name</v>
      </c>
      <c r="N27" s="16" t="str">
        <f t="shared" si="1"/>
        <v>`app_name` string,</v>
      </c>
    </row>
    <row r="28" s="1" customFormat="1" spans="2:14">
      <c r="B28" s="19" t="s">
        <v>1817</v>
      </c>
      <c r="C28" s="19" t="s">
        <v>216</v>
      </c>
      <c r="D28" s="10" t="s">
        <v>1818</v>
      </c>
      <c r="E28" s="20" t="s">
        <v>199</v>
      </c>
      <c r="F28" s="19" t="s">
        <v>1846</v>
      </c>
      <c r="G28" s="19" t="s">
        <v>1846</v>
      </c>
      <c r="H28" s="20"/>
      <c r="I28" s="23"/>
      <c r="J28" s="23" t="s">
        <v>345</v>
      </c>
      <c r="K28" s="23" t="s">
        <v>323</v>
      </c>
      <c r="L28" s="23" t="s">
        <v>323</v>
      </c>
      <c r="M28" s="1" t="str">
        <f t="shared" si="0"/>
        <v>min(min_starttime) as min_starttime</v>
      </c>
      <c r="N28" s="16" t="str">
        <f t="shared" si="1"/>
        <v>`min_starttime` string,</v>
      </c>
    </row>
    <row r="29" s="1" customFormat="1" spans="2:14">
      <c r="B29" s="19" t="s">
        <v>1820</v>
      </c>
      <c r="C29" s="19" t="s">
        <v>216</v>
      </c>
      <c r="D29" s="10" t="s">
        <v>1821</v>
      </c>
      <c r="E29" s="20" t="s">
        <v>199</v>
      </c>
      <c r="F29" s="19" t="s">
        <v>1847</v>
      </c>
      <c r="G29" s="19" t="s">
        <v>1847</v>
      </c>
      <c r="H29" s="20"/>
      <c r="I29" s="23"/>
      <c r="J29" s="23" t="s">
        <v>345</v>
      </c>
      <c r="K29" s="23" t="s">
        <v>323</v>
      </c>
      <c r="L29" s="23" t="s">
        <v>323</v>
      </c>
      <c r="M29" s="1" t="str">
        <f t="shared" si="0"/>
        <v>max(max_endtime) as max_endtime</v>
      </c>
      <c r="N29" s="16" t="str">
        <f t="shared" si="1"/>
        <v>`max_endtime` string,</v>
      </c>
    </row>
    <row r="30" s="1" customFormat="1" spans="2:14">
      <c r="B30" s="19" t="s">
        <v>1848</v>
      </c>
      <c r="C30" s="19" t="s">
        <v>275</v>
      </c>
      <c r="D30" s="10" t="s">
        <v>1849</v>
      </c>
      <c r="E30" s="20" t="s">
        <v>199</v>
      </c>
      <c r="F30" s="19" t="s">
        <v>2583</v>
      </c>
      <c r="G30" s="19" t="s">
        <v>2583</v>
      </c>
      <c r="H30" s="20"/>
      <c r="I30" s="23"/>
      <c r="J30" s="23" t="s">
        <v>345</v>
      </c>
      <c r="K30" s="23" t="s">
        <v>323</v>
      </c>
      <c r="L30" s="23" t="s">
        <v>339</v>
      </c>
      <c r="M30" s="1" t="str">
        <f t="shared" si="0"/>
        <v>sum(process_num) as total_cnt</v>
      </c>
      <c r="N30" s="16" t="str">
        <f t="shared" si="1"/>
        <v>`total_cnt` bigint,</v>
      </c>
    </row>
    <row r="31" s="1" customFormat="1" spans="2:14">
      <c r="B31" s="19" t="s">
        <v>1814</v>
      </c>
      <c r="C31" s="19" t="s">
        <v>275</v>
      </c>
      <c r="D31" s="10" t="s">
        <v>1851</v>
      </c>
      <c r="E31" s="20" t="s">
        <v>199</v>
      </c>
      <c r="F31" s="19" t="s">
        <v>1852</v>
      </c>
      <c r="G31" s="19" t="s">
        <v>1852</v>
      </c>
      <c r="H31" s="20"/>
      <c r="I31" s="23"/>
      <c r="J31" s="23" t="s">
        <v>345</v>
      </c>
      <c r="K31" s="23" t="s">
        <v>323</v>
      </c>
      <c r="L31" s="23" t="s">
        <v>339</v>
      </c>
      <c r="M31" s="1" t="str">
        <f t="shared" si="0"/>
        <v>sum(abnormal_cnt) as abnormal_cnt</v>
      </c>
      <c r="N31" s="16" t="str">
        <f t="shared" si="1"/>
        <v>`abnormal_cnt` bigint,</v>
      </c>
    </row>
    <row r="32" s="1" customFormat="1" ht="26.4" spans="2:14">
      <c r="B32" s="19" t="s">
        <v>1853</v>
      </c>
      <c r="C32" s="19" t="s">
        <v>240</v>
      </c>
      <c r="D32" s="10" t="s">
        <v>1854</v>
      </c>
      <c r="E32" s="20" t="s">
        <v>199</v>
      </c>
      <c r="F32" s="19" t="s">
        <v>2584</v>
      </c>
      <c r="G32" s="19" t="s">
        <v>2584</v>
      </c>
      <c r="H32" s="20"/>
      <c r="I32" s="23"/>
      <c r="J32" s="23" t="s">
        <v>345</v>
      </c>
      <c r="K32" s="23" t="s">
        <v>323</v>
      </c>
      <c r="L32" s="23" t="s">
        <v>1856</v>
      </c>
      <c r="M32" s="1" t="str">
        <f t="shared" si="0"/>
        <v>sum(abnormal_cnt)/sum(process_num) as abnormal_rate</v>
      </c>
      <c r="N32" s="16" t="str">
        <f t="shared" si="1"/>
        <v>`abnormal_rate` double,</v>
      </c>
    </row>
    <row r="33" s="1" customFormat="1" spans="2:14">
      <c r="B33" s="19" t="s">
        <v>1170</v>
      </c>
      <c r="C33" s="19" t="s">
        <v>275</v>
      </c>
      <c r="D33" s="10" t="s">
        <v>1857</v>
      </c>
      <c r="E33" s="20" t="s">
        <v>199</v>
      </c>
      <c r="F33" s="19" t="s">
        <v>1858</v>
      </c>
      <c r="G33" s="19" t="s">
        <v>1858</v>
      </c>
      <c r="H33" s="20"/>
      <c r="I33" s="23"/>
      <c r="J33" s="23" t="s">
        <v>345</v>
      </c>
      <c r="K33" s="23" t="s">
        <v>1859</v>
      </c>
      <c r="L33" s="23" t="s">
        <v>339</v>
      </c>
      <c r="M33" s="1" t="str">
        <f t="shared" si="0"/>
        <v>sum(duration_sum) as duration</v>
      </c>
      <c r="N33" s="16" t="str">
        <f t="shared" si="1"/>
        <v>`duration` bigint,</v>
      </c>
    </row>
    <row r="34" s="1" customFormat="1" ht="26.4" spans="2:14">
      <c r="B34" s="19" t="s">
        <v>1860</v>
      </c>
      <c r="C34" s="19" t="s">
        <v>275</v>
      </c>
      <c r="D34" s="10" t="s">
        <v>1861</v>
      </c>
      <c r="E34" s="20" t="s">
        <v>199</v>
      </c>
      <c r="F34" s="19" t="s">
        <v>1862</v>
      </c>
      <c r="G34" s="19" t="s">
        <v>1862</v>
      </c>
      <c r="H34" s="20"/>
      <c r="I34" s="23"/>
      <c r="J34" s="23" t="s">
        <v>345</v>
      </c>
      <c r="K34" s="23" t="s">
        <v>1863</v>
      </c>
      <c r="L34" s="23" t="s">
        <v>339</v>
      </c>
      <c r="M34" s="1" t="str">
        <f t="shared" si="0"/>
        <v>sum(outputoctets_sum+inputoctets_sum) as flux</v>
      </c>
      <c r="N34" s="16" t="str">
        <f t="shared" si="1"/>
        <v>`flux` bigint,</v>
      </c>
    </row>
    <row r="35" s="2" customFormat="1" spans="1:12">
      <c r="A35" s="21"/>
      <c r="B35" s="22" t="s">
        <v>252</v>
      </c>
      <c r="C35" s="22" t="s">
        <v>220</v>
      </c>
      <c r="D35" s="22" t="s">
        <v>254</v>
      </c>
      <c r="E35" s="22"/>
      <c r="F35" s="22"/>
      <c r="G35" s="22"/>
      <c r="H35" s="22"/>
      <c r="I35" s="22"/>
      <c r="J35" s="22"/>
      <c r="K35" s="22"/>
      <c r="L35" s="22"/>
    </row>
    <row r="36" s="2" customFormat="1" spans="1:12">
      <c r="A36" s="21"/>
      <c r="B36" s="22" t="s">
        <v>255</v>
      </c>
      <c r="C36" s="22" t="s">
        <v>216</v>
      </c>
      <c r="D36" s="22" t="s">
        <v>256</v>
      </c>
      <c r="E36" s="22"/>
      <c r="F36" s="22"/>
      <c r="G36" s="22"/>
      <c r="H36" s="22"/>
      <c r="I36" s="22"/>
      <c r="J36" s="22"/>
      <c r="K36" s="22"/>
      <c r="L36" s="22"/>
    </row>
    <row r="37" s="2" customFormat="1" spans="1:12">
      <c r="A37" s="21"/>
      <c r="B37" s="22" t="s">
        <v>257</v>
      </c>
      <c r="C37" s="22" t="s">
        <v>220</v>
      </c>
      <c r="D37" s="22" t="s">
        <v>258</v>
      </c>
      <c r="E37" s="22"/>
      <c r="F37" s="22"/>
      <c r="G37" s="22"/>
      <c r="H37" s="22"/>
      <c r="I37" s="22"/>
      <c r="J37" s="22"/>
      <c r="K37" s="22"/>
      <c r="L37" s="22"/>
    </row>
  </sheetData>
  <autoFilter xmlns:etc="http://www.wps.cn/officeDocument/2017/etCustomData" ref="A15:N37"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7"/>
  <sheetViews>
    <sheetView zoomScale="85" zoomScaleNormal="85" workbookViewId="0">
      <pane ySplit="5" topLeftCell="A194" activePane="bottomLeft" state="frozen"/>
      <selection/>
      <selection pane="bottomLeft" activeCell="B203" sqref="B203"/>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43.1111111111111" style="3" customWidth="1"/>
    <col min="8" max="8" width="14.4444444444444" style="3" customWidth="1"/>
    <col min="9" max="9" width="7.44444444444444" style="3" customWidth="1"/>
    <col min="10" max="10" width="8.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118</v>
      </c>
      <c r="D5" s="35" t="s">
        <v>119</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2808</v>
      </c>
      <c r="D9" s="35" t="s">
        <v>2809</v>
      </c>
      <c r="E9" s="11" t="s">
        <v>199</v>
      </c>
      <c r="F9" s="11"/>
      <c r="G9" s="13"/>
      <c r="H9" s="15"/>
    </row>
    <row r="10" spans="2:8">
      <c r="B10" s="11"/>
      <c r="C10" s="10" t="s">
        <v>2810</v>
      </c>
      <c r="D10" s="10" t="s">
        <v>2811</v>
      </c>
      <c r="E10" s="11" t="s">
        <v>202</v>
      </c>
      <c r="F10" s="11"/>
      <c r="G10" s="13" t="s">
        <v>2812</v>
      </c>
      <c r="H10" s="15"/>
    </row>
    <row r="11" spans="2:8">
      <c r="B11" s="11"/>
      <c r="C11" s="10" t="s">
        <v>1029</v>
      </c>
      <c r="D11" s="10" t="s">
        <v>1030</v>
      </c>
      <c r="E11" s="11" t="s">
        <v>287</v>
      </c>
      <c r="F11" s="11"/>
      <c r="G11" s="52" t="s">
        <v>2813</v>
      </c>
      <c r="H11" s="15"/>
    </row>
    <row r="12" spans="2:8">
      <c r="B12" s="11"/>
      <c r="C12" s="10" t="s">
        <v>1032</v>
      </c>
      <c r="D12" s="10" t="s">
        <v>1033</v>
      </c>
      <c r="E12" s="11" t="s">
        <v>2814</v>
      </c>
      <c r="F12" s="38"/>
      <c r="G12" s="53"/>
      <c r="H12" s="11"/>
    </row>
    <row r="13" spans="7:7">
      <c r="G13" s="17"/>
    </row>
    <row r="14" spans="2:2">
      <c r="B14" s="3" t="s">
        <v>204</v>
      </c>
    </row>
    <row r="15" spans="2:12">
      <c r="B15" s="7" t="s">
        <v>204</v>
      </c>
      <c r="C15" s="7"/>
      <c r="D15" s="7"/>
      <c r="E15" s="7"/>
      <c r="F15" s="7"/>
      <c r="G15" s="7"/>
      <c r="H15" s="7"/>
      <c r="I15" s="7"/>
      <c r="J15" s="7"/>
      <c r="K15" s="7"/>
      <c r="L15" s="7"/>
    </row>
    <row r="16" spans="2:12">
      <c r="B16" s="8" t="s">
        <v>205</v>
      </c>
      <c r="C16" s="8" t="s">
        <v>206</v>
      </c>
      <c r="D16" s="8" t="s">
        <v>207</v>
      </c>
      <c r="E16" s="8" t="s">
        <v>208</v>
      </c>
      <c r="F16" s="8" t="s">
        <v>209</v>
      </c>
      <c r="G16" s="8" t="s">
        <v>210</v>
      </c>
      <c r="H16" s="8" t="s">
        <v>211</v>
      </c>
      <c r="I16" s="8" t="s">
        <v>17</v>
      </c>
      <c r="J16" s="8" t="s">
        <v>212</v>
      </c>
      <c r="K16" s="8" t="s">
        <v>213</v>
      </c>
      <c r="L16" s="8" t="s">
        <v>214</v>
      </c>
    </row>
    <row r="17" s="1" customFormat="1" spans="2:12">
      <c r="B17" s="32" t="s">
        <v>1302</v>
      </c>
      <c r="C17" s="32" t="s">
        <v>220</v>
      </c>
      <c r="D17" s="10" t="s">
        <v>2587</v>
      </c>
      <c r="E17" s="54"/>
      <c r="F17" s="39"/>
      <c r="G17" s="39"/>
      <c r="H17" s="55"/>
      <c r="I17" s="56"/>
      <c r="J17" s="56"/>
      <c r="K17" s="56"/>
      <c r="L17" s="56"/>
    </row>
    <row r="18" s="1" customFormat="1" spans="2:12">
      <c r="B18" s="32" t="s">
        <v>2588</v>
      </c>
      <c r="C18" s="32" t="s">
        <v>216</v>
      </c>
      <c r="D18" s="10" t="s">
        <v>2569</v>
      </c>
      <c r="E18" s="54"/>
      <c r="F18" s="39"/>
      <c r="G18" s="39"/>
      <c r="H18" s="55"/>
      <c r="I18" s="56"/>
      <c r="J18" s="56"/>
      <c r="K18" s="56"/>
      <c r="L18" s="56"/>
    </row>
    <row r="19" s="1" customFormat="1" spans="2:12">
      <c r="B19" s="32" t="s">
        <v>267</v>
      </c>
      <c r="C19" s="32" t="s">
        <v>216</v>
      </c>
      <c r="D19" s="10" t="s">
        <v>294</v>
      </c>
      <c r="E19" s="54"/>
      <c r="F19" s="39"/>
      <c r="G19" s="39"/>
      <c r="H19" s="55"/>
      <c r="I19" s="56"/>
      <c r="J19" s="56"/>
      <c r="K19" s="56"/>
      <c r="L19" s="56"/>
    </row>
    <row r="20" s="1" customFormat="1" spans="2:12">
      <c r="B20" s="32" t="s">
        <v>2589</v>
      </c>
      <c r="C20" s="32" t="s">
        <v>216</v>
      </c>
      <c r="D20" s="10" t="s">
        <v>2590</v>
      </c>
      <c r="E20" s="54"/>
      <c r="F20" s="39"/>
      <c r="G20" s="39"/>
      <c r="H20" s="55"/>
      <c r="I20" s="56"/>
      <c r="J20" s="56"/>
      <c r="K20" s="56"/>
      <c r="L20" s="56"/>
    </row>
    <row r="21" s="1" customFormat="1" spans="2:12">
      <c r="B21" s="32" t="s">
        <v>2591</v>
      </c>
      <c r="C21" s="32" t="s">
        <v>216</v>
      </c>
      <c r="D21" s="10" t="s">
        <v>2098</v>
      </c>
      <c r="E21" s="54"/>
      <c r="F21" s="39"/>
      <c r="G21" s="39"/>
      <c r="H21" s="55"/>
      <c r="I21" s="56"/>
      <c r="J21" s="56"/>
      <c r="K21" s="56"/>
      <c r="L21" s="56"/>
    </row>
    <row r="22" s="1" customFormat="1" spans="2:12">
      <c r="B22" s="32" t="s">
        <v>1878</v>
      </c>
      <c r="C22" s="32" t="s">
        <v>216</v>
      </c>
      <c r="D22" s="10" t="s">
        <v>2571</v>
      </c>
      <c r="E22" s="54"/>
      <c r="F22" s="39"/>
      <c r="G22" s="39"/>
      <c r="H22" s="55"/>
      <c r="I22" s="56"/>
      <c r="J22" s="56"/>
      <c r="K22" s="56"/>
      <c r="L22" s="56"/>
    </row>
    <row r="23" s="1" customFormat="1" spans="2:12">
      <c r="B23" s="32" t="s">
        <v>2482</v>
      </c>
      <c r="C23" s="32" t="s">
        <v>220</v>
      </c>
      <c r="D23" s="10" t="s">
        <v>2592</v>
      </c>
      <c r="E23" s="54"/>
      <c r="F23" s="39"/>
      <c r="G23" s="39"/>
      <c r="H23" s="55"/>
      <c r="I23" s="56"/>
      <c r="J23" s="56"/>
      <c r="K23" s="56"/>
      <c r="L23" s="56"/>
    </row>
    <row r="24" s="1" customFormat="1" spans="2:12">
      <c r="B24" s="32" t="s">
        <v>1287</v>
      </c>
      <c r="C24" s="32" t="s">
        <v>216</v>
      </c>
      <c r="D24" s="10" t="s">
        <v>1288</v>
      </c>
      <c r="E24" s="54"/>
      <c r="F24" s="39"/>
      <c r="G24" s="39"/>
      <c r="H24" s="55"/>
      <c r="I24" s="56"/>
      <c r="J24" s="56"/>
      <c r="K24" s="56"/>
      <c r="L24" s="56"/>
    </row>
    <row r="25" s="1" customFormat="1" spans="2:12">
      <c r="B25" s="32" t="s">
        <v>2485</v>
      </c>
      <c r="C25" s="32" t="s">
        <v>220</v>
      </c>
      <c r="D25" s="10" t="s">
        <v>2593</v>
      </c>
      <c r="E25" s="54"/>
      <c r="F25" s="39"/>
      <c r="G25" s="39"/>
      <c r="H25" s="55"/>
      <c r="I25" s="56"/>
      <c r="J25" s="56"/>
      <c r="K25" s="56"/>
      <c r="L25" s="56"/>
    </row>
    <row r="26" s="1" customFormat="1" spans="2:12">
      <c r="B26" s="32" t="s">
        <v>2594</v>
      </c>
      <c r="C26" s="32" t="s">
        <v>216</v>
      </c>
      <c r="D26" s="10" t="s">
        <v>2595</v>
      </c>
      <c r="E26" s="54"/>
      <c r="F26" s="39"/>
      <c r="G26" s="39"/>
      <c r="H26" s="55"/>
      <c r="I26" s="56"/>
      <c r="J26" s="56"/>
      <c r="K26" s="56"/>
      <c r="L26" s="56"/>
    </row>
    <row r="27" s="1" customFormat="1" spans="2:12">
      <c r="B27" s="32" t="s">
        <v>2709</v>
      </c>
      <c r="C27" s="32" t="s">
        <v>216</v>
      </c>
      <c r="D27" s="10" t="s">
        <v>2597</v>
      </c>
      <c r="E27" s="54"/>
      <c r="F27" s="39"/>
      <c r="G27" s="39"/>
      <c r="H27" s="55"/>
      <c r="I27" s="56"/>
      <c r="J27" s="56"/>
      <c r="K27" s="56"/>
      <c r="L27" s="56"/>
    </row>
    <row r="28" s="1" customFormat="1" spans="2:12">
      <c r="B28" s="32" t="s">
        <v>1306</v>
      </c>
      <c r="C28" s="32" t="s">
        <v>216</v>
      </c>
      <c r="D28" s="10" t="s">
        <v>1307</v>
      </c>
      <c r="E28" s="54"/>
      <c r="F28" s="39"/>
      <c r="G28" s="39"/>
      <c r="H28" s="55"/>
      <c r="I28" s="56"/>
      <c r="J28" s="56"/>
      <c r="K28" s="56"/>
      <c r="L28" s="56"/>
    </row>
    <row r="29" s="1" customFormat="1" spans="2:12">
      <c r="B29" s="32" t="s">
        <v>1304</v>
      </c>
      <c r="C29" s="32" t="s">
        <v>216</v>
      </c>
      <c r="D29" s="10" t="s">
        <v>1305</v>
      </c>
      <c r="E29" s="54"/>
      <c r="F29" s="39"/>
      <c r="G29" s="39"/>
      <c r="H29" s="55"/>
      <c r="I29" s="56"/>
      <c r="J29" s="56"/>
      <c r="K29" s="56"/>
      <c r="L29" s="56"/>
    </row>
    <row r="30" s="1" customFormat="1" spans="2:12">
      <c r="B30" s="32" t="s">
        <v>302</v>
      </c>
      <c r="C30" s="32" t="s">
        <v>220</v>
      </c>
      <c r="D30" s="10" t="s">
        <v>2598</v>
      </c>
      <c r="E30" s="54"/>
      <c r="F30" s="39"/>
      <c r="G30" s="39"/>
      <c r="H30" s="55"/>
      <c r="I30" s="56"/>
      <c r="J30" s="56"/>
      <c r="K30" s="56"/>
      <c r="L30" s="56"/>
    </row>
    <row r="31" s="1" customFormat="1" spans="2:12">
      <c r="B31" s="32" t="s">
        <v>1889</v>
      </c>
      <c r="C31" s="32" t="s">
        <v>220</v>
      </c>
      <c r="D31" s="10" t="s">
        <v>2599</v>
      </c>
      <c r="E31" s="54"/>
      <c r="F31" s="39"/>
      <c r="G31" s="39"/>
      <c r="H31" s="55"/>
      <c r="I31" s="56"/>
      <c r="J31" s="56"/>
      <c r="K31" s="56"/>
      <c r="L31" s="56"/>
    </row>
    <row r="32" s="1" customFormat="1" spans="2:12">
      <c r="B32" s="32" t="s">
        <v>1313</v>
      </c>
      <c r="C32" s="32" t="s">
        <v>216</v>
      </c>
      <c r="D32" s="10" t="s">
        <v>1893</v>
      </c>
      <c r="E32" s="54"/>
      <c r="F32" s="39"/>
      <c r="G32" s="39"/>
      <c r="H32" s="55"/>
      <c r="I32" s="56"/>
      <c r="J32" s="56"/>
      <c r="K32" s="56"/>
      <c r="L32" s="56"/>
    </row>
    <row r="33" s="1" customFormat="1" spans="2:12">
      <c r="B33" s="32" t="s">
        <v>1897</v>
      </c>
      <c r="C33" s="32" t="s">
        <v>1071</v>
      </c>
      <c r="D33" s="10" t="s">
        <v>2600</v>
      </c>
      <c r="E33" s="54"/>
      <c r="F33" s="39"/>
      <c r="G33" s="39"/>
      <c r="H33" s="55"/>
      <c r="I33" s="56"/>
      <c r="J33" s="56"/>
      <c r="K33" s="56"/>
      <c r="L33" s="56"/>
    </row>
    <row r="34" s="1" customFormat="1" spans="2:12">
      <c r="B34" s="32" t="s">
        <v>1899</v>
      </c>
      <c r="C34" s="32" t="s">
        <v>1071</v>
      </c>
      <c r="D34" s="10" t="s">
        <v>2601</v>
      </c>
      <c r="E34" s="54"/>
      <c r="F34" s="39"/>
      <c r="G34" s="39"/>
      <c r="H34" s="55"/>
      <c r="I34" s="56"/>
      <c r="J34" s="56"/>
      <c r="K34" s="56"/>
      <c r="L34" s="56"/>
    </row>
    <row r="35" s="1" customFormat="1" spans="2:12">
      <c r="B35" s="32" t="s">
        <v>1170</v>
      </c>
      <c r="C35" s="32" t="s">
        <v>275</v>
      </c>
      <c r="D35" s="10" t="s">
        <v>2602</v>
      </c>
      <c r="E35" s="54"/>
      <c r="F35" s="39"/>
      <c r="G35" s="39"/>
      <c r="H35" s="55"/>
      <c r="I35" s="56"/>
      <c r="J35" s="56"/>
      <c r="K35" s="56"/>
      <c r="L35" s="56"/>
    </row>
    <row r="36" s="1" customFormat="1" spans="2:12">
      <c r="B36" s="32" t="s">
        <v>1902</v>
      </c>
      <c r="C36" s="32" t="s">
        <v>275</v>
      </c>
      <c r="D36" s="10" t="s">
        <v>1903</v>
      </c>
      <c r="E36" s="54"/>
      <c r="F36" s="39"/>
      <c r="G36" s="39"/>
      <c r="H36" s="55"/>
      <c r="I36" s="56"/>
      <c r="J36" s="56"/>
      <c r="K36" s="56"/>
      <c r="L36" s="56"/>
    </row>
    <row r="37" s="1" customFormat="1" spans="2:12">
      <c r="B37" s="32" t="s">
        <v>1904</v>
      </c>
      <c r="C37" s="32" t="s">
        <v>275</v>
      </c>
      <c r="D37" s="10" t="s">
        <v>1905</v>
      </c>
      <c r="E37" s="54"/>
      <c r="F37" s="39"/>
      <c r="G37" s="39"/>
      <c r="H37" s="55"/>
      <c r="I37" s="56"/>
      <c r="J37" s="56"/>
      <c r="K37" s="56"/>
      <c r="L37" s="56"/>
    </row>
    <row r="38" s="1" customFormat="1" spans="2:12">
      <c r="B38" s="32" t="s">
        <v>1906</v>
      </c>
      <c r="C38" s="32" t="s">
        <v>275</v>
      </c>
      <c r="D38" s="10" t="s">
        <v>1330</v>
      </c>
      <c r="E38" s="54"/>
      <c r="F38" s="39"/>
      <c r="G38" s="39"/>
      <c r="H38" s="55"/>
      <c r="I38" s="56"/>
      <c r="J38" s="56"/>
      <c r="K38" s="56"/>
      <c r="L38" s="56"/>
    </row>
    <row r="39" s="1" customFormat="1" spans="2:12">
      <c r="B39" s="32" t="s">
        <v>1907</v>
      </c>
      <c r="C39" s="32" t="s">
        <v>275</v>
      </c>
      <c r="D39" s="10" t="s">
        <v>1332</v>
      </c>
      <c r="E39" s="54"/>
      <c r="F39" s="39"/>
      <c r="G39" s="39"/>
      <c r="H39" s="55"/>
      <c r="I39" s="56"/>
      <c r="J39" s="56"/>
      <c r="K39" s="56"/>
      <c r="L39" s="56"/>
    </row>
    <row r="40" s="1" customFormat="1" spans="2:12">
      <c r="B40" s="32" t="s">
        <v>2603</v>
      </c>
      <c r="C40" s="32" t="s">
        <v>1071</v>
      </c>
      <c r="D40" s="10" t="s">
        <v>2604</v>
      </c>
      <c r="E40" s="54"/>
      <c r="F40" s="39"/>
      <c r="G40" s="39"/>
      <c r="H40" s="55"/>
      <c r="I40" s="56"/>
      <c r="J40" s="56"/>
      <c r="K40" s="56"/>
      <c r="L40" s="56"/>
    </row>
    <row r="41" s="1" customFormat="1" spans="2:12">
      <c r="B41" s="32" t="s">
        <v>1939</v>
      </c>
      <c r="C41" s="32" t="s">
        <v>220</v>
      </c>
      <c r="D41" s="10" t="s">
        <v>1940</v>
      </c>
      <c r="E41" s="54"/>
      <c r="F41" s="39"/>
      <c r="G41" s="39"/>
      <c r="H41" s="55"/>
      <c r="I41" s="56"/>
      <c r="J41" s="56"/>
      <c r="K41" s="56"/>
      <c r="L41" s="56"/>
    </row>
    <row r="42" s="1" customFormat="1" spans="2:12">
      <c r="B42" s="32" t="s">
        <v>2605</v>
      </c>
      <c r="C42" s="32" t="s">
        <v>216</v>
      </c>
      <c r="D42" s="10" t="s">
        <v>2606</v>
      </c>
      <c r="E42" s="54"/>
      <c r="F42" s="39"/>
      <c r="G42" s="39"/>
      <c r="H42" s="55"/>
      <c r="I42" s="56"/>
      <c r="J42" s="56"/>
      <c r="K42" s="56"/>
      <c r="L42" s="56"/>
    </row>
    <row r="43" s="1" customFormat="1" spans="2:12">
      <c r="B43" s="32" t="s">
        <v>2607</v>
      </c>
      <c r="C43" s="32" t="s">
        <v>275</v>
      </c>
      <c r="D43" s="10" t="s">
        <v>2608</v>
      </c>
      <c r="E43" s="54"/>
      <c r="F43" s="39"/>
      <c r="G43" s="39"/>
      <c r="H43" s="55"/>
      <c r="I43" s="56"/>
      <c r="J43" s="56"/>
      <c r="K43" s="56"/>
      <c r="L43" s="56"/>
    </row>
    <row r="44" s="1" customFormat="1" spans="2:12">
      <c r="B44" s="32" t="s">
        <v>2609</v>
      </c>
      <c r="C44" s="32" t="s">
        <v>275</v>
      </c>
      <c r="D44" s="10" t="s">
        <v>2610</v>
      </c>
      <c r="E44" s="54"/>
      <c r="F44" s="39"/>
      <c r="G44" s="39"/>
      <c r="H44" s="55"/>
      <c r="I44" s="56"/>
      <c r="J44" s="56"/>
      <c r="K44" s="56"/>
      <c r="L44" s="56"/>
    </row>
    <row r="45" s="1" customFormat="1" spans="2:12">
      <c r="B45" s="32" t="s">
        <v>1808</v>
      </c>
      <c r="C45" s="32" t="s">
        <v>216</v>
      </c>
      <c r="D45" s="10" t="s">
        <v>2572</v>
      </c>
      <c r="E45" s="54"/>
      <c r="F45" s="39"/>
      <c r="G45" s="39"/>
      <c r="H45" s="55"/>
      <c r="I45" s="56"/>
      <c r="J45" s="56"/>
      <c r="K45" s="56"/>
      <c r="L45" s="56"/>
    </row>
    <row r="46" s="1" customFormat="1" spans="2:12">
      <c r="B46" s="32" t="s">
        <v>1895</v>
      </c>
      <c r="C46" s="32" t="s">
        <v>220</v>
      </c>
      <c r="D46" s="10" t="s">
        <v>2611</v>
      </c>
      <c r="E46" s="54"/>
      <c r="F46" s="39"/>
      <c r="G46" s="39"/>
      <c r="H46" s="55"/>
      <c r="I46" s="56"/>
      <c r="J46" s="56"/>
      <c r="K46" s="56"/>
      <c r="L46" s="56"/>
    </row>
    <row r="47" s="1" customFormat="1" spans="2:12">
      <c r="B47" s="32" t="s">
        <v>1908</v>
      </c>
      <c r="C47" s="32" t="s">
        <v>220</v>
      </c>
      <c r="D47" s="10" t="s">
        <v>1909</v>
      </c>
      <c r="E47" s="54"/>
      <c r="F47" s="39"/>
      <c r="G47" s="39"/>
      <c r="H47" s="55"/>
      <c r="I47" s="56"/>
      <c r="J47" s="56"/>
      <c r="K47" s="56"/>
      <c r="L47" s="56"/>
    </row>
    <row r="48" s="1" customFormat="1" spans="2:12">
      <c r="B48" s="32" t="s">
        <v>1910</v>
      </c>
      <c r="C48" s="32" t="s">
        <v>220</v>
      </c>
      <c r="D48" s="10" t="s">
        <v>1911</v>
      </c>
      <c r="E48" s="54"/>
      <c r="F48" s="39"/>
      <c r="G48" s="39"/>
      <c r="H48" s="55"/>
      <c r="I48" s="56"/>
      <c r="J48" s="56"/>
      <c r="K48" s="56"/>
      <c r="L48" s="56"/>
    </row>
    <row r="49" s="1" customFormat="1" spans="2:12">
      <c r="B49" s="32" t="s">
        <v>1912</v>
      </c>
      <c r="C49" s="32" t="s">
        <v>220</v>
      </c>
      <c r="D49" s="10" t="s">
        <v>1913</v>
      </c>
      <c r="E49" s="54"/>
      <c r="F49" s="39"/>
      <c r="G49" s="39"/>
      <c r="H49" s="55"/>
      <c r="I49" s="56"/>
      <c r="J49" s="56"/>
      <c r="K49" s="56"/>
      <c r="L49" s="56"/>
    </row>
    <row r="50" s="1" customFormat="1" spans="2:12">
      <c r="B50" s="32" t="s">
        <v>1914</v>
      </c>
      <c r="C50" s="32" t="s">
        <v>220</v>
      </c>
      <c r="D50" s="10" t="s">
        <v>1915</v>
      </c>
      <c r="E50" s="54"/>
      <c r="F50" s="39"/>
      <c r="G50" s="39"/>
      <c r="H50" s="55"/>
      <c r="I50" s="56"/>
      <c r="J50" s="56"/>
      <c r="K50" s="56"/>
      <c r="L50" s="56"/>
    </row>
    <row r="51" s="1" customFormat="1" spans="2:12">
      <c r="B51" s="32" t="s">
        <v>1276</v>
      </c>
      <c r="C51" s="32" t="s">
        <v>220</v>
      </c>
      <c r="D51" s="10" t="s">
        <v>1277</v>
      </c>
      <c r="E51" s="54"/>
      <c r="F51" s="39"/>
      <c r="G51" s="39"/>
      <c r="H51" s="55"/>
      <c r="I51" s="56"/>
      <c r="J51" s="56"/>
      <c r="K51" s="56"/>
      <c r="L51" s="56"/>
    </row>
    <row r="52" s="1" customFormat="1" spans="2:12">
      <c r="B52" s="32" t="s">
        <v>1278</v>
      </c>
      <c r="C52" s="32" t="s">
        <v>220</v>
      </c>
      <c r="D52" s="10" t="s">
        <v>1279</v>
      </c>
      <c r="E52" s="54"/>
      <c r="F52" s="39"/>
      <c r="G52" s="39"/>
      <c r="H52" s="55"/>
      <c r="I52" s="56"/>
      <c r="J52" s="56"/>
      <c r="K52" s="56"/>
      <c r="L52" s="56"/>
    </row>
    <row r="53" s="1" customFormat="1" spans="2:12">
      <c r="B53" s="32" t="s">
        <v>1291</v>
      </c>
      <c r="C53" s="32" t="s">
        <v>220</v>
      </c>
      <c r="D53" s="10" t="s">
        <v>1356</v>
      </c>
      <c r="E53" s="54"/>
      <c r="F53" s="39"/>
      <c r="G53" s="39"/>
      <c r="H53" s="55"/>
      <c r="I53" s="56"/>
      <c r="J53" s="56"/>
      <c r="K53" s="56"/>
      <c r="L53" s="56"/>
    </row>
    <row r="54" s="1" customFormat="1" spans="2:12">
      <c r="B54" s="32" t="s">
        <v>1293</v>
      </c>
      <c r="C54" s="32" t="s">
        <v>220</v>
      </c>
      <c r="D54" s="10" t="s">
        <v>1358</v>
      </c>
      <c r="E54" s="54"/>
      <c r="F54" s="39"/>
      <c r="G54" s="39"/>
      <c r="H54" s="55"/>
      <c r="I54" s="56"/>
      <c r="J54" s="56"/>
      <c r="K54" s="56"/>
      <c r="L54" s="56"/>
    </row>
    <row r="55" s="1" customFormat="1" spans="2:12">
      <c r="B55" s="32" t="s">
        <v>2051</v>
      </c>
      <c r="C55" s="32" t="s">
        <v>220</v>
      </c>
      <c r="D55" s="10" t="s">
        <v>1348</v>
      </c>
      <c r="E55" s="54"/>
      <c r="F55" s="39"/>
      <c r="G55" s="39"/>
      <c r="H55" s="55"/>
      <c r="I55" s="56"/>
      <c r="J55" s="56"/>
      <c r="K55" s="56"/>
      <c r="L55" s="56"/>
    </row>
    <row r="56" s="1" customFormat="1" ht="26.4" spans="2:12">
      <c r="B56" s="32" t="s">
        <v>2052</v>
      </c>
      <c r="C56" s="32" t="s">
        <v>220</v>
      </c>
      <c r="D56" s="10" t="s">
        <v>1350</v>
      </c>
      <c r="E56" s="54"/>
      <c r="F56" s="39"/>
      <c r="G56" s="39"/>
      <c r="H56" s="55"/>
      <c r="I56" s="56"/>
      <c r="J56" s="56"/>
      <c r="K56" s="56"/>
      <c r="L56" s="56"/>
    </row>
    <row r="57" s="1" customFormat="1" spans="2:12">
      <c r="B57" s="32" t="s">
        <v>1928</v>
      </c>
      <c r="C57" s="32" t="s">
        <v>220</v>
      </c>
      <c r="D57" s="10" t="s">
        <v>1929</v>
      </c>
      <c r="E57" s="54"/>
      <c r="F57" s="39"/>
      <c r="G57" s="39"/>
      <c r="H57" s="55"/>
      <c r="I57" s="56"/>
      <c r="J57" s="56"/>
      <c r="K57" s="56"/>
      <c r="L57" s="56"/>
    </row>
    <row r="58" s="1" customFormat="1" spans="2:12">
      <c r="B58" s="32" t="s">
        <v>1930</v>
      </c>
      <c r="C58" s="32" t="s">
        <v>220</v>
      </c>
      <c r="D58" s="10" t="s">
        <v>1352</v>
      </c>
      <c r="E58" s="54"/>
      <c r="F58" s="39"/>
      <c r="G58" s="39"/>
      <c r="H58" s="55"/>
      <c r="I58" s="56"/>
      <c r="J58" s="56"/>
      <c r="K58" s="56"/>
      <c r="L58" s="56"/>
    </row>
    <row r="59" s="1" customFormat="1" spans="2:12">
      <c r="B59" s="32" t="s">
        <v>1931</v>
      </c>
      <c r="C59" s="32" t="s">
        <v>220</v>
      </c>
      <c r="D59" s="10" t="s">
        <v>1932</v>
      </c>
      <c r="E59" s="54"/>
      <c r="F59" s="39"/>
      <c r="G59" s="39"/>
      <c r="H59" s="55"/>
      <c r="I59" s="56"/>
      <c r="J59" s="56"/>
      <c r="K59" s="56"/>
      <c r="L59" s="56"/>
    </row>
    <row r="60" s="1" customFormat="1" spans="2:12">
      <c r="B60" s="32" t="s">
        <v>1933</v>
      </c>
      <c r="C60" s="32" t="s">
        <v>220</v>
      </c>
      <c r="D60" s="10" t="s">
        <v>1934</v>
      </c>
      <c r="E60" s="54"/>
      <c r="F60" s="39"/>
      <c r="G60" s="39"/>
      <c r="H60" s="55"/>
      <c r="I60" s="56"/>
      <c r="J60" s="56"/>
      <c r="K60" s="56"/>
      <c r="L60" s="56"/>
    </row>
    <row r="61" s="1" customFormat="1" spans="2:12">
      <c r="B61" s="32" t="s">
        <v>2612</v>
      </c>
      <c r="C61" s="32" t="s">
        <v>220</v>
      </c>
      <c r="D61" s="10" t="s">
        <v>2613</v>
      </c>
      <c r="E61" s="54"/>
      <c r="F61" s="39"/>
      <c r="G61" s="39"/>
      <c r="H61" s="55"/>
      <c r="I61" s="56"/>
      <c r="J61" s="56"/>
      <c r="K61" s="56"/>
      <c r="L61" s="56"/>
    </row>
    <row r="62" s="1" customFormat="1" spans="2:12">
      <c r="B62" s="32" t="s">
        <v>2614</v>
      </c>
      <c r="C62" s="32" t="s">
        <v>220</v>
      </c>
      <c r="D62" s="10" t="s">
        <v>2615</v>
      </c>
      <c r="E62" s="54"/>
      <c r="F62" s="39"/>
      <c r="G62" s="39"/>
      <c r="H62" s="55"/>
      <c r="I62" s="56"/>
      <c r="J62" s="56"/>
      <c r="K62" s="56"/>
      <c r="L62" s="56"/>
    </row>
    <row r="63" s="1" customFormat="1" spans="2:12">
      <c r="B63" s="32" t="s">
        <v>2616</v>
      </c>
      <c r="C63" s="32" t="s">
        <v>220</v>
      </c>
      <c r="D63" s="10" t="s">
        <v>2616</v>
      </c>
      <c r="E63" s="54"/>
      <c r="F63" s="39"/>
      <c r="G63" s="39"/>
      <c r="H63" s="55"/>
      <c r="I63" s="56"/>
      <c r="J63" s="56"/>
      <c r="K63" s="56"/>
      <c r="L63" s="56"/>
    </row>
    <row r="64" s="1" customFormat="1" spans="2:12">
      <c r="B64" s="32" t="s">
        <v>2617</v>
      </c>
      <c r="C64" s="32" t="s">
        <v>220</v>
      </c>
      <c r="D64" s="10" t="s">
        <v>2617</v>
      </c>
      <c r="E64" s="54"/>
      <c r="F64" s="39"/>
      <c r="G64" s="39"/>
      <c r="H64" s="55"/>
      <c r="I64" s="56"/>
      <c r="J64" s="56"/>
      <c r="K64" s="56"/>
      <c r="L64" s="56"/>
    </row>
    <row r="65" s="1" customFormat="1" spans="2:12">
      <c r="B65" s="32" t="s">
        <v>2618</v>
      </c>
      <c r="C65" s="32" t="s">
        <v>220</v>
      </c>
      <c r="D65" s="10" t="s">
        <v>2618</v>
      </c>
      <c r="E65" s="54"/>
      <c r="F65" s="39"/>
      <c r="G65" s="39"/>
      <c r="H65" s="55"/>
      <c r="I65" s="56"/>
      <c r="J65" s="56"/>
      <c r="K65" s="56"/>
      <c r="L65" s="56"/>
    </row>
    <row r="66" s="1" customFormat="1" spans="2:12">
      <c r="B66" s="32" t="s">
        <v>2619</v>
      </c>
      <c r="C66" s="32" t="s">
        <v>220</v>
      </c>
      <c r="D66" s="10" t="s">
        <v>2620</v>
      </c>
      <c r="E66" s="54"/>
      <c r="F66" s="39"/>
      <c r="G66" s="39"/>
      <c r="H66" s="55"/>
      <c r="I66" s="56"/>
      <c r="J66" s="56"/>
      <c r="K66" s="56"/>
      <c r="L66" s="56"/>
    </row>
    <row r="67" s="1" customFormat="1" spans="2:12">
      <c r="B67" s="32" t="s">
        <v>2621</v>
      </c>
      <c r="C67" s="32" t="s">
        <v>220</v>
      </c>
      <c r="D67" s="10" t="s">
        <v>2622</v>
      </c>
      <c r="E67" s="54"/>
      <c r="F67" s="39"/>
      <c r="G67" s="39"/>
      <c r="H67" s="55"/>
      <c r="I67" s="56"/>
      <c r="J67" s="56"/>
      <c r="K67" s="56"/>
      <c r="L67" s="56"/>
    </row>
    <row r="68" s="1" customFormat="1" spans="2:12">
      <c r="B68" s="32" t="s">
        <v>2623</v>
      </c>
      <c r="C68" s="32" t="s">
        <v>220</v>
      </c>
      <c r="D68" s="10" t="s">
        <v>2624</v>
      </c>
      <c r="E68" s="54"/>
      <c r="F68" s="39"/>
      <c r="G68" s="39"/>
      <c r="H68" s="55"/>
      <c r="I68" s="56"/>
      <c r="J68" s="56"/>
      <c r="K68" s="56"/>
      <c r="L68" s="56"/>
    </row>
    <row r="69" s="1" customFormat="1" spans="2:12">
      <c r="B69" s="32" t="s">
        <v>2625</v>
      </c>
      <c r="C69" s="32" t="s">
        <v>220</v>
      </c>
      <c r="D69" s="10" t="s">
        <v>2626</v>
      </c>
      <c r="E69" s="54"/>
      <c r="F69" s="39"/>
      <c r="G69" s="39"/>
      <c r="H69" s="55"/>
      <c r="I69" s="56"/>
      <c r="J69" s="56"/>
      <c r="K69" s="56"/>
      <c r="L69" s="56"/>
    </row>
    <row r="70" s="1" customFormat="1" spans="2:12">
      <c r="B70" s="32" t="s">
        <v>2627</v>
      </c>
      <c r="C70" s="32" t="s">
        <v>220</v>
      </c>
      <c r="D70" s="10" t="s">
        <v>2628</v>
      </c>
      <c r="E70" s="54"/>
      <c r="F70" s="39"/>
      <c r="G70" s="39"/>
      <c r="H70" s="55"/>
      <c r="I70" s="56"/>
      <c r="J70" s="56"/>
      <c r="K70" s="56"/>
      <c r="L70" s="56"/>
    </row>
    <row r="71" s="1" customFormat="1" spans="2:12">
      <c r="B71" s="32" t="s">
        <v>2629</v>
      </c>
      <c r="C71" s="32" t="s">
        <v>220</v>
      </c>
      <c r="D71" s="10" t="s">
        <v>2630</v>
      </c>
      <c r="E71" s="54"/>
      <c r="F71" s="39"/>
      <c r="G71" s="39"/>
      <c r="H71" s="55"/>
      <c r="I71" s="56"/>
      <c r="J71" s="56"/>
      <c r="K71" s="56"/>
      <c r="L71" s="56"/>
    </row>
    <row r="72" s="1" customFormat="1" spans="2:12">
      <c r="B72" s="32" t="s">
        <v>2631</v>
      </c>
      <c r="C72" s="32" t="s">
        <v>220</v>
      </c>
      <c r="D72" s="10" t="s">
        <v>2632</v>
      </c>
      <c r="E72" s="54"/>
      <c r="F72" s="39"/>
      <c r="G72" s="39"/>
      <c r="H72" s="55"/>
      <c r="I72" s="56"/>
      <c r="J72" s="56"/>
      <c r="K72" s="56"/>
      <c r="L72" s="56"/>
    </row>
    <row r="73" s="1" customFormat="1" spans="2:12">
      <c r="B73" s="32" t="s">
        <v>2633</v>
      </c>
      <c r="C73" s="32" t="s">
        <v>220</v>
      </c>
      <c r="D73" s="10" t="s">
        <v>2634</v>
      </c>
      <c r="E73" s="54"/>
      <c r="F73" s="39"/>
      <c r="G73" s="39"/>
      <c r="H73" s="55"/>
      <c r="I73" s="56"/>
      <c r="J73" s="56"/>
      <c r="K73" s="56"/>
      <c r="L73" s="56"/>
    </row>
    <row r="74" s="1" customFormat="1" spans="2:12">
      <c r="B74" s="32" t="s">
        <v>2635</v>
      </c>
      <c r="C74" s="32" t="s">
        <v>275</v>
      </c>
      <c r="D74" s="10" t="s">
        <v>1360</v>
      </c>
      <c r="E74" s="54"/>
      <c r="F74" s="39"/>
      <c r="G74" s="39"/>
      <c r="H74" s="55"/>
      <c r="I74" s="56"/>
      <c r="J74" s="56"/>
      <c r="K74" s="56"/>
      <c r="L74" s="56"/>
    </row>
    <row r="75" s="1" customFormat="1" spans="2:12">
      <c r="B75" s="32" t="s">
        <v>2636</v>
      </c>
      <c r="C75" s="32" t="s">
        <v>275</v>
      </c>
      <c r="D75" s="10" t="s">
        <v>1362</v>
      </c>
      <c r="E75" s="54"/>
      <c r="F75" s="39"/>
      <c r="G75" s="39"/>
      <c r="H75" s="55"/>
      <c r="I75" s="56"/>
      <c r="J75" s="56"/>
      <c r="K75" s="56"/>
      <c r="L75" s="56"/>
    </row>
    <row r="76" s="1" customFormat="1" spans="2:12">
      <c r="B76" s="32" t="s">
        <v>2637</v>
      </c>
      <c r="C76" s="32" t="s">
        <v>220</v>
      </c>
      <c r="D76" s="10" t="s">
        <v>1364</v>
      </c>
      <c r="E76" s="54"/>
      <c r="F76" s="39"/>
      <c r="G76" s="39"/>
      <c r="H76" s="55"/>
      <c r="I76" s="56"/>
      <c r="J76" s="56"/>
      <c r="K76" s="56"/>
      <c r="L76" s="56"/>
    </row>
    <row r="77" s="1" customFormat="1" spans="2:12">
      <c r="B77" s="32" t="s">
        <v>2638</v>
      </c>
      <c r="C77" s="32" t="s">
        <v>220</v>
      </c>
      <c r="D77" s="10" t="s">
        <v>1366</v>
      </c>
      <c r="E77" s="54"/>
      <c r="F77" s="39"/>
      <c r="G77" s="39"/>
      <c r="H77" s="55"/>
      <c r="I77" s="56"/>
      <c r="J77" s="56"/>
      <c r="K77" s="56"/>
      <c r="L77" s="56"/>
    </row>
    <row r="78" s="1" customFormat="1" spans="2:12">
      <c r="B78" s="32" t="s">
        <v>2639</v>
      </c>
      <c r="C78" s="32" t="s">
        <v>220</v>
      </c>
      <c r="D78" s="10" t="s">
        <v>1368</v>
      </c>
      <c r="E78" s="54"/>
      <c r="F78" s="39"/>
      <c r="G78" s="39"/>
      <c r="H78" s="55"/>
      <c r="I78" s="56"/>
      <c r="J78" s="56"/>
      <c r="K78" s="56"/>
      <c r="L78" s="56"/>
    </row>
    <row r="79" s="1" customFormat="1" spans="2:12">
      <c r="B79" s="32" t="s">
        <v>2640</v>
      </c>
      <c r="C79" s="32" t="s">
        <v>220</v>
      </c>
      <c r="D79" s="10" t="s">
        <v>1370</v>
      </c>
      <c r="E79" s="54"/>
      <c r="F79" s="39"/>
      <c r="G79" s="39"/>
      <c r="H79" s="55"/>
      <c r="I79" s="56"/>
      <c r="J79" s="56"/>
      <c r="K79" s="56"/>
      <c r="L79" s="56"/>
    </row>
    <row r="80" s="1" customFormat="1" spans="2:12">
      <c r="B80" s="32" t="s">
        <v>2641</v>
      </c>
      <c r="C80" s="32" t="s">
        <v>220</v>
      </c>
      <c r="D80" s="10" t="s">
        <v>1372</v>
      </c>
      <c r="E80" s="54"/>
      <c r="F80" s="39"/>
      <c r="G80" s="39"/>
      <c r="H80" s="55"/>
      <c r="I80" s="56"/>
      <c r="J80" s="56"/>
      <c r="K80" s="56"/>
      <c r="L80" s="56"/>
    </row>
    <row r="81" s="1" customFormat="1" spans="2:12">
      <c r="B81" s="32" t="s">
        <v>2642</v>
      </c>
      <c r="C81" s="32" t="s">
        <v>220</v>
      </c>
      <c r="D81" s="10" t="s">
        <v>1374</v>
      </c>
      <c r="E81" s="54"/>
      <c r="F81" s="39"/>
      <c r="G81" s="39"/>
      <c r="H81" s="55"/>
      <c r="I81" s="56"/>
      <c r="J81" s="56"/>
      <c r="K81" s="56"/>
      <c r="L81" s="56"/>
    </row>
    <row r="82" s="1" customFormat="1" spans="2:12">
      <c r="B82" s="32" t="s">
        <v>2643</v>
      </c>
      <c r="C82" s="32" t="s">
        <v>220</v>
      </c>
      <c r="D82" s="10" t="s">
        <v>1376</v>
      </c>
      <c r="E82" s="54"/>
      <c r="F82" s="39"/>
      <c r="G82" s="39"/>
      <c r="H82" s="55"/>
      <c r="I82" s="56"/>
      <c r="J82" s="56"/>
      <c r="K82" s="56"/>
      <c r="L82" s="56"/>
    </row>
    <row r="83" s="1" customFormat="1" spans="2:12">
      <c r="B83" s="32" t="s">
        <v>2644</v>
      </c>
      <c r="C83" s="32" t="s">
        <v>220</v>
      </c>
      <c r="D83" s="10" t="s">
        <v>1378</v>
      </c>
      <c r="E83" s="54"/>
      <c r="F83" s="39"/>
      <c r="G83" s="39"/>
      <c r="H83" s="55"/>
      <c r="I83" s="56"/>
      <c r="J83" s="56"/>
      <c r="K83" s="56"/>
      <c r="L83" s="56"/>
    </row>
    <row r="84" s="1" customFormat="1" spans="2:12">
      <c r="B84" s="32" t="s">
        <v>2645</v>
      </c>
      <c r="C84" s="32" t="s">
        <v>220</v>
      </c>
      <c r="D84" s="10" t="s">
        <v>1380</v>
      </c>
      <c r="E84" s="54"/>
      <c r="F84" s="39"/>
      <c r="G84" s="39"/>
      <c r="H84" s="55"/>
      <c r="I84" s="56"/>
      <c r="J84" s="56"/>
      <c r="K84" s="56"/>
      <c r="L84" s="56"/>
    </row>
    <row r="85" s="1" customFormat="1" spans="2:12">
      <c r="B85" s="32" t="s">
        <v>2646</v>
      </c>
      <c r="C85" s="32" t="s">
        <v>220</v>
      </c>
      <c r="D85" s="10" t="s">
        <v>1382</v>
      </c>
      <c r="E85" s="54"/>
      <c r="F85" s="39"/>
      <c r="G85" s="39"/>
      <c r="H85" s="55"/>
      <c r="I85" s="56"/>
      <c r="J85" s="56"/>
      <c r="K85" s="56"/>
      <c r="L85" s="56"/>
    </row>
    <row r="86" s="1" customFormat="1" spans="2:12">
      <c r="B86" s="32" t="s">
        <v>2647</v>
      </c>
      <c r="C86" s="32" t="s">
        <v>220</v>
      </c>
      <c r="D86" s="10" t="s">
        <v>1384</v>
      </c>
      <c r="E86" s="54"/>
      <c r="F86" s="39"/>
      <c r="G86" s="39"/>
      <c r="H86" s="55"/>
      <c r="I86" s="56"/>
      <c r="J86" s="56"/>
      <c r="K86" s="56"/>
      <c r="L86" s="56"/>
    </row>
    <row r="87" s="1" customFormat="1" spans="2:12">
      <c r="B87" s="32" t="s">
        <v>2648</v>
      </c>
      <c r="C87" s="32" t="s">
        <v>220</v>
      </c>
      <c r="D87" s="10" t="s">
        <v>1386</v>
      </c>
      <c r="E87" s="54"/>
      <c r="F87" s="39"/>
      <c r="G87" s="39"/>
      <c r="H87" s="55"/>
      <c r="I87" s="56"/>
      <c r="J87" s="56"/>
      <c r="K87" s="56"/>
      <c r="L87" s="56"/>
    </row>
    <row r="88" s="1" customFormat="1" spans="2:12">
      <c r="B88" s="32" t="s">
        <v>2649</v>
      </c>
      <c r="C88" s="32" t="s">
        <v>220</v>
      </c>
      <c r="D88" s="10" t="s">
        <v>1388</v>
      </c>
      <c r="E88" s="54"/>
      <c r="F88" s="39"/>
      <c r="G88" s="39"/>
      <c r="H88" s="55"/>
      <c r="I88" s="56"/>
      <c r="J88" s="56"/>
      <c r="K88" s="56"/>
      <c r="L88" s="56"/>
    </row>
    <row r="89" s="1" customFormat="1" spans="2:12">
      <c r="B89" s="32" t="s">
        <v>2650</v>
      </c>
      <c r="C89" s="32" t="s">
        <v>220</v>
      </c>
      <c r="D89" s="10" t="s">
        <v>1390</v>
      </c>
      <c r="E89" s="54"/>
      <c r="F89" s="39"/>
      <c r="G89" s="39"/>
      <c r="H89" s="55"/>
      <c r="I89" s="56"/>
      <c r="J89" s="56"/>
      <c r="K89" s="56"/>
      <c r="L89" s="56"/>
    </row>
    <row r="90" s="1" customFormat="1" spans="2:12">
      <c r="B90" s="32" t="s">
        <v>2710</v>
      </c>
      <c r="C90" s="32" t="s">
        <v>220</v>
      </c>
      <c r="D90" s="10" t="s">
        <v>2815</v>
      </c>
      <c r="E90" s="54"/>
      <c r="F90" s="39"/>
      <c r="G90" s="39"/>
      <c r="H90" s="55"/>
      <c r="I90" s="56"/>
      <c r="J90" s="56"/>
      <c r="K90" s="56"/>
      <c r="L90" s="56"/>
    </row>
    <row r="91" s="1" customFormat="1" spans="2:12">
      <c r="B91" s="32" t="s">
        <v>2711</v>
      </c>
      <c r="C91" s="32" t="s">
        <v>275</v>
      </c>
      <c r="D91" s="10" t="s">
        <v>2816</v>
      </c>
      <c r="E91" s="54"/>
      <c r="F91" s="39"/>
      <c r="G91" s="39"/>
      <c r="H91" s="55"/>
      <c r="I91" s="56"/>
      <c r="J91" s="56"/>
      <c r="K91" s="56"/>
      <c r="L91" s="56"/>
    </row>
    <row r="92" s="1" customFormat="1" spans="2:12">
      <c r="B92" s="32" t="s">
        <v>1284</v>
      </c>
      <c r="C92" s="32" t="s">
        <v>275</v>
      </c>
      <c r="D92" s="10" t="s">
        <v>1285</v>
      </c>
      <c r="E92" s="54"/>
      <c r="F92" s="39"/>
      <c r="G92" s="39"/>
      <c r="H92" s="55"/>
      <c r="I92" s="56"/>
      <c r="J92" s="56"/>
      <c r="K92" s="56"/>
      <c r="L92" s="56"/>
    </row>
    <row r="93" s="1" customFormat="1" spans="2:12">
      <c r="B93" s="32" t="s">
        <v>2712</v>
      </c>
      <c r="C93" s="32" t="s">
        <v>275</v>
      </c>
      <c r="D93" s="10" t="s">
        <v>2817</v>
      </c>
      <c r="E93" s="54"/>
      <c r="F93" s="39"/>
      <c r="G93" s="39"/>
      <c r="H93" s="55"/>
      <c r="I93" s="56"/>
      <c r="J93" s="56"/>
      <c r="K93" s="56"/>
      <c r="L93" s="56"/>
    </row>
    <row r="94" s="1" customFormat="1" spans="2:12">
      <c r="B94" s="32" t="s">
        <v>2713</v>
      </c>
      <c r="C94" s="32" t="s">
        <v>275</v>
      </c>
      <c r="D94" s="10" t="s">
        <v>2818</v>
      </c>
      <c r="E94" s="54"/>
      <c r="F94" s="39"/>
      <c r="G94" s="39"/>
      <c r="H94" s="55"/>
      <c r="I94" s="56"/>
      <c r="J94" s="56"/>
      <c r="K94" s="56"/>
      <c r="L94" s="56"/>
    </row>
    <row r="95" s="1" customFormat="1" spans="2:12">
      <c r="B95" s="32" t="s">
        <v>2714</v>
      </c>
      <c r="C95" s="32" t="s">
        <v>275</v>
      </c>
      <c r="D95" s="10" t="s">
        <v>2819</v>
      </c>
      <c r="E95" s="54"/>
      <c r="F95" s="39"/>
      <c r="G95" s="39"/>
      <c r="H95" s="55"/>
      <c r="I95" s="56"/>
      <c r="J95" s="56"/>
      <c r="K95" s="56"/>
      <c r="L95" s="56"/>
    </row>
    <row r="96" s="1" customFormat="1" spans="2:12">
      <c r="B96" s="32" t="s">
        <v>1409</v>
      </c>
      <c r="C96" s="32" t="s">
        <v>220</v>
      </c>
      <c r="D96" s="10" t="s">
        <v>1410</v>
      </c>
      <c r="E96" s="54"/>
      <c r="F96" s="39"/>
      <c r="G96" s="39"/>
      <c r="H96" s="55"/>
      <c r="I96" s="56"/>
      <c r="J96" s="56"/>
      <c r="K96" s="56"/>
      <c r="L96" s="56"/>
    </row>
    <row r="97" s="1" customFormat="1" spans="2:12">
      <c r="B97" s="32" t="s">
        <v>1282</v>
      </c>
      <c r="C97" s="32" t="s">
        <v>275</v>
      </c>
      <c r="D97" s="10" t="s">
        <v>1283</v>
      </c>
      <c r="E97" s="54"/>
      <c r="F97" s="39"/>
      <c r="G97" s="39"/>
      <c r="H97" s="55"/>
      <c r="I97" s="56"/>
      <c r="J97" s="56"/>
      <c r="K97" s="56"/>
      <c r="L97" s="56"/>
    </row>
    <row r="98" s="1" customFormat="1" spans="2:12">
      <c r="B98" s="32" t="s">
        <v>1419</v>
      </c>
      <c r="C98" s="32" t="s">
        <v>275</v>
      </c>
      <c r="D98" s="10" t="s">
        <v>1420</v>
      </c>
      <c r="E98" s="54"/>
      <c r="F98" s="39"/>
      <c r="G98" s="39"/>
      <c r="H98" s="55"/>
      <c r="I98" s="56"/>
      <c r="J98" s="56"/>
      <c r="K98" s="56"/>
      <c r="L98" s="56"/>
    </row>
    <row r="99" s="1" customFormat="1" spans="2:12">
      <c r="B99" s="32" t="s">
        <v>1812</v>
      </c>
      <c r="C99" s="32" t="s">
        <v>220</v>
      </c>
      <c r="D99" s="10" t="s">
        <v>2741</v>
      </c>
      <c r="E99" s="54"/>
      <c r="F99" s="39"/>
      <c r="G99" s="39"/>
      <c r="H99" s="55"/>
      <c r="I99" s="56"/>
      <c r="J99" s="56"/>
      <c r="K99" s="56"/>
      <c r="L99" s="56"/>
    </row>
    <row r="100" s="1" customFormat="1" spans="2:12">
      <c r="B100" s="32" t="s">
        <v>1280</v>
      </c>
      <c r="C100" s="32" t="s">
        <v>220</v>
      </c>
      <c r="D100" s="10" t="s">
        <v>1281</v>
      </c>
      <c r="E100" s="54"/>
      <c r="F100" s="39"/>
      <c r="G100" s="39"/>
      <c r="H100" s="55"/>
      <c r="I100" s="56"/>
      <c r="J100" s="56"/>
      <c r="K100" s="56"/>
      <c r="L100" s="56"/>
    </row>
    <row r="101" s="1" customFormat="1" spans="2:12">
      <c r="B101" s="32" t="s">
        <v>1274</v>
      </c>
      <c r="C101" s="32" t="s">
        <v>275</v>
      </c>
      <c r="D101" s="10" t="s">
        <v>1421</v>
      </c>
      <c r="E101" s="54"/>
      <c r="F101" s="39"/>
      <c r="G101" s="39"/>
      <c r="H101" s="55"/>
      <c r="I101" s="56"/>
      <c r="J101" s="56"/>
      <c r="K101" s="56"/>
      <c r="L101" s="56"/>
    </row>
    <row r="102" s="1" customFormat="1" spans="2:12">
      <c r="B102" s="32" t="s">
        <v>1951</v>
      </c>
      <c r="C102" s="32" t="s">
        <v>216</v>
      </c>
      <c r="D102" s="10" t="s">
        <v>2820</v>
      </c>
      <c r="E102" s="54"/>
      <c r="F102" s="39"/>
      <c r="G102" s="39"/>
      <c r="H102" s="55"/>
      <c r="I102" s="56"/>
      <c r="J102" s="56"/>
      <c r="K102" s="56"/>
      <c r="L102" s="56"/>
    </row>
    <row r="103" s="1" customFormat="1" spans="2:12">
      <c r="B103" s="32" t="s">
        <v>1286</v>
      </c>
      <c r="C103" s="32" t="s">
        <v>216</v>
      </c>
      <c r="D103" s="10" t="s">
        <v>1955</v>
      </c>
      <c r="E103" s="54"/>
      <c r="F103" s="39"/>
      <c r="G103" s="39"/>
      <c r="H103" s="55"/>
      <c r="I103" s="56"/>
      <c r="J103" s="56"/>
      <c r="K103" s="56"/>
      <c r="L103" s="56"/>
    </row>
    <row r="104" s="1" customFormat="1" spans="2:12">
      <c r="B104" s="32" t="s">
        <v>1270</v>
      </c>
      <c r="C104" s="32" t="s">
        <v>275</v>
      </c>
      <c r="D104" s="10" t="s">
        <v>1271</v>
      </c>
      <c r="E104" s="54"/>
      <c r="F104" s="39"/>
      <c r="G104" s="39"/>
      <c r="H104" s="55"/>
      <c r="I104" s="56"/>
      <c r="J104" s="56"/>
      <c r="K104" s="56"/>
      <c r="L104" s="56"/>
    </row>
    <row r="105" s="1" customFormat="1" spans="2:12">
      <c r="B105" s="32" t="s">
        <v>1272</v>
      </c>
      <c r="C105" s="32" t="s">
        <v>275</v>
      </c>
      <c r="D105" s="10" t="s">
        <v>1273</v>
      </c>
      <c r="E105" s="54"/>
      <c r="F105" s="39"/>
      <c r="G105" s="39"/>
      <c r="H105" s="55"/>
      <c r="I105" s="56"/>
      <c r="J105" s="56"/>
      <c r="K105" s="56"/>
      <c r="L105" s="56"/>
    </row>
    <row r="106" s="1" customFormat="1" spans="2:12">
      <c r="B106" s="32" t="s">
        <v>1425</v>
      </c>
      <c r="C106" s="32" t="s">
        <v>275</v>
      </c>
      <c r="D106" s="10" t="s">
        <v>1426</v>
      </c>
      <c r="E106" s="54"/>
      <c r="F106" s="39"/>
      <c r="G106" s="39"/>
      <c r="H106" s="55"/>
      <c r="I106" s="56"/>
      <c r="J106" s="56"/>
      <c r="K106" s="56"/>
      <c r="L106" s="56"/>
    </row>
    <row r="107" s="1" customFormat="1" spans="2:12">
      <c r="B107" s="32" t="s">
        <v>1427</v>
      </c>
      <c r="C107" s="32" t="s">
        <v>275</v>
      </c>
      <c r="D107" s="10" t="s">
        <v>1428</v>
      </c>
      <c r="E107" s="54"/>
      <c r="F107" s="39"/>
      <c r="G107" s="39"/>
      <c r="H107" s="55"/>
      <c r="I107" s="56"/>
      <c r="J107" s="56"/>
      <c r="K107" s="56"/>
      <c r="L107" s="56"/>
    </row>
    <row r="108" s="1" customFormat="1" spans="2:12">
      <c r="B108" s="32" t="s">
        <v>2715</v>
      </c>
      <c r="C108" s="32" t="s">
        <v>216</v>
      </c>
      <c r="D108" s="10" t="s">
        <v>2740</v>
      </c>
      <c r="E108" s="54"/>
      <c r="F108" s="39"/>
      <c r="G108" s="39"/>
      <c r="H108" s="55"/>
      <c r="I108" s="56"/>
      <c r="J108" s="56"/>
      <c r="K108" s="56"/>
      <c r="L108" s="56"/>
    </row>
    <row r="109" s="1" customFormat="1" spans="2:12">
      <c r="B109" s="32" t="s">
        <v>1308</v>
      </c>
      <c r="C109" s="32" t="s">
        <v>275</v>
      </c>
      <c r="D109" s="10" t="s">
        <v>1309</v>
      </c>
      <c r="E109" s="54"/>
      <c r="F109" s="39"/>
      <c r="G109" s="39"/>
      <c r="H109" s="55"/>
      <c r="I109" s="56"/>
      <c r="J109" s="56"/>
      <c r="K109" s="56"/>
      <c r="L109" s="56"/>
    </row>
    <row r="110" s="1" customFormat="1" spans="2:12">
      <c r="B110" s="32" t="s">
        <v>222</v>
      </c>
      <c r="C110" s="32" t="s">
        <v>275</v>
      </c>
      <c r="D110" s="10" t="s">
        <v>298</v>
      </c>
      <c r="E110" s="54"/>
      <c r="F110" s="39"/>
      <c r="G110" s="39"/>
      <c r="H110" s="55"/>
      <c r="I110" s="56"/>
      <c r="J110" s="56"/>
      <c r="K110" s="56"/>
      <c r="L110" s="56"/>
    </row>
    <row r="111" s="1" customFormat="1" spans="2:12">
      <c r="B111" s="32" t="s">
        <v>1176</v>
      </c>
      <c r="C111" s="32" t="s">
        <v>220</v>
      </c>
      <c r="D111" s="10" t="s">
        <v>2681</v>
      </c>
      <c r="E111" s="54"/>
      <c r="F111" s="39"/>
      <c r="G111" s="39"/>
      <c r="H111" s="55"/>
      <c r="I111" s="56"/>
      <c r="J111" s="56"/>
      <c r="K111" s="56"/>
      <c r="L111" s="56"/>
    </row>
    <row r="112" s="50" customFormat="1" spans="2:12">
      <c r="B112" s="57" t="s">
        <v>1316</v>
      </c>
      <c r="C112" s="57" t="s">
        <v>220</v>
      </c>
      <c r="D112" s="58" t="s">
        <v>2092</v>
      </c>
      <c r="E112" s="59"/>
      <c r="F112" s="60" t="s">
        <v>199</v>
      </c>
      <c r="G112" s="60" t="s">
        <v>252</v>
      </c>
      <c r="H112" s="61"/>
      <c r="I112" s="62" t="s">
        <v>1039</v>
      </c>
      <c r="J112" s="62"/>
      <c r="K112" s="62"/>
      <c r="L112" s="62"/>
    </row>
    <row r="113" s="50" customFormat="1" ht="39.6" spans="2:12">
      <c r="B113" s="57" t="s">
        <v>1318</v>
      </c>
      <c r="C113" s="57" t="s">
        <v>220</v>
      </c>
      <c r="D113" s="58" t="s">
        <v>2093</v>
      </c>
      <c r="E113" s="59"/>
      <c r="F113" s="60" t="s">
        <v>2821</v>
      </c>
      <c r="G113" s="60" t="s">
        <v>2822</v>
      </c>
      <c r="H113" s="61"/>
      <c r="I113" s="62" t="s">
        <v>1039</v>
      </c>
      <c r="J113" s="62"/>
      <c r="K113" s="62"/>
      <c r="L113" s="62"/>
    </row>
    <row r="114" s="50" customFormat="1" ht="39.6" spans="2:12">
      <c r="B114" s="57" t="s">
        <v>1064</v>
      </c>
      <c r="C114" s="57" t="s">
        <v>220</v>
      </c>
      <c r="D114" s="58" t="s">
        <v>1320</v>
      </c>
      <c r="E114" s="59"/>
      <c r="F114" s="60" t="s">
        <v>2821</v>
      </c>
      <c r="G114" s="60" t="s">
        <v>2823</v>
      </c>
      <c r="H114" s="61"/>
      <c r="I114" s="62" t="s">
        <v>1039</v>
      </c>
      <c r="J114" s="62"/>
      <c r="K114" s="62"/>
      <c r="L114" s="62"/>
    </row>
    <row r="115" s="1" customFormat="1" spans="2:12">
      <c r="B115" s="32" t="s">
        <v>2824</v>
      </c>
      <c r="C115" s="32" t="s">
        <v>275</v>
      </c>
      <c r="D115" s="10" t="s">
        <v>1322</v>
      </c>
      <c r="E115" s="54"/>
      <c r="F115" s="39"/>
      <c r="G115" s="39"/>
      <c r="H115" s="55"/>
      <c r="I115" s="56"/>
      <c r="J115" s="56"/>
      <c r="K115" s="56"/>
      <c r="L115" s="56"/>
    </row>
    <row r="116" s="1" customFormat="1" spans="2:12">
      <c r="B116" s="32" t="s">
        <v>2049</v>
      </c>
      <c r="C116" s="32" t="s">
        <v>275</v>
      </c>
      <c r="D116" s="10" t="s">
        <v>2050</v>
      </c>
      <c r="E116" s="54"/>
      <c r="F116" s="39"/>
      <c r="G116" s="39"/>
      <c r="H116" s="55"/>
      <c r="I116" s="56"/>
      <c r="J116" s="56"/>
      <c r="K116" s="56"/>
      <c r="L116" s="56"/>
    </row>
    <row r="117" s="1" customFormat="1" spans="2:12">
      <c r="B117" s="32" t="s">
        <v>2720</v>
      </c>
      <c r="C117" s="32" t="s">
        <v>275</v>
      </c>
      <c r="D117" s="10" t="s">
        <v>1414</v>
      </c>
      <c r="E117" s="54"/>
      <c r="F117" s="39"/>
      <c r="G117" s="39"/>
      <c r="H117" s="55"/>
      <c r="I117" s="56"/>
      <c r="J117" s="56"/>
      <c r="K117" s="56"/>
      <c r="L117" s="56"/>
    </row>
    <row r="118" s="1" customFormat="1" spans="2:12">
      <c r="B118" s="32" t="s">
        <v>2721</v>
      </c>
      <c r="C118" s="32" t="s">
        <v>275</v>
      </c>
      <c r="D118" s="10" t="s">
        <v>2825</v>
      </c>
      <c r="E118" s="54"/>
      <c r="F118" s="39"/>
      <c r="G118" s="39"/>
      <c r="H118" s="55"/>
      <c r="I118" s="56"/>
      <c r="J118" s="56"/>
      <c r="K118" s="56"/>
      <c r="L118" s="56"/>
    </row>
    <row r="119" s="1" customFormat="1" spans="2:12">
      <c r="B119" s="32" t="s">
        <v>2722</v>
      </c>
      <c r="C119" s="32" t="s">
        <v>275</v>
      </c>
      <c r="D119" s="10" t="s">
        <v>2826</v>
      </c>
      <c r="E119" s="54"/>
      <c r="F119" s="39"/>
      <c r="G119" s="39"/>
      <c r="H119" s="55"/>
      <c r="I119" s="56"/>
      <c r="J119" s="56"/>
      <c r="K119" s="56"/>
      <c r="L119" s="56"/>
    </row>
    <row r="120" s="1" customFormat="1" spans="2:12">
      <c r="B120" s="32" t="s">
        <v>1435</v>
      </c>
      <c r="C120" s="32" t="s">
        <v>275</v>
      </c>
      <c r="D120" s="10" t="s">
        <v>2827</v>
      </c>
      <c r="E120" s="54"/>
      <c r="F120" s="39"/>
      <c r="G120" s="39"/>
      <c r="H120" s="55"/>
      <c r="I120" s="56"/>
      <c r="J120" s="56"/>
      <c r="K120" s="56"/>
      <c r="L120" s="56"/>
    </row>
    <row r="121" s="1" customFormat="1" spans="2:12">
      <c r="B121" s="32" t="s">
        <v>1437</v>
      </c>
      <c r="C121" s="32" t="s">
        <v>275</v>
      </c>
      <c r="D121" s="10" t="s">
        <v>2828</v>
      </c>
      <c r="E121" s="54"/>
      <c r="F121" s="39"/>
      <c r="G121" s="39"/>
      <c r="H121" s="55"/>
      <c r="I121" s="56"/>
      <c r="J121" s="56"/>
      <c r="K121" s="56"/>
      <c r="L121" s="56"/>
    </row>
    <row r="122" s="1" customFormat="1" spans="2:12">
      <c r="B122" s="32" t="s">
        <v>2083</v>
      </c>
      <c r="C122" s="32" t="s">
        <v>275</v>
      </c>
      <c r="D122" s="10" t="s">
        <v>2084</v>
      </c>
      <c r="E122" s="54"/>
      <c r="F122" s="39"/>
      <c r="G122" s="39"/>
      <c r="H122" s="55"/>
      <c r="I122" s="56"/>
      <c r="J122" s="56"/>
      <c r="K122" s="56"/>
      <c r="L122" s="56"/>
    </row>
    <row r="123" s="1" customFormat="1" spans="2:12">
      <c r="B123" s="32" t="s">
        <v>2829</v>
      </c>
      <c r="C123" s="32" t="s">
        <v>216</v>
      </c>
      <c r="D123" s="10" t="s">
        <v>2830</v>
      </c>
      <c r="E123" s="54"/>
      <c r="F123" s="39"/>
      <c r="G123" s="39"/>
      <c r="H123" s="55"/>
      <c r="I123" s="56"/>
      <c r="J123" s="56"/>
      <c r="K123" s="56"/>
      <c r="L123" s="56"/>
    </row>
    <row r="124" s="1" customFormat="1" spans="2:12">
      <c r="B124" s="32" t="s">
        <v>2831</v>
      </c>
      <c r="C124" s="32" t="s">
        <v>216</v>
      </c>
      <c r="D124" s="10" t="s">
        <v>2832</v>
      </c>
      <c r="E124" s="54"/>
      <c r="F124" s="39"/>
      <c r="G124" s="39"/>
      <c r="H124" s="55"/>
      <c r="I124" s="56"/>
      <c r="J124" s="56"/>
      <c r="K124" s="56"/>
      <c r="L124" s="56"/>
    </row>
    <row r="125" s="1" customFormat="1" spans="2:12">
      <c r="B125" s="32" t="s">
        <v>1182</v>
      </c>
      <c r="C125" s="32" t="s">
        <v>216</v>
      </c>
      <c r="D125" s="10" t="s">
        <v>1183</v>
      </c>
      <c r="E125" s="54"/>
      <c r="F125" s="39"/>
      <c r="G125" s="39"/>
      <c r="H125" s="55"/>
      <c r="I125" s="56"/>
      <c r="J125" s="56"/>
      <c r="K125" s="56"/>
      <c r="L125" s="56"/>
    </row>
    <row r="126" s="1" customFormat="1" spans="2:12">
      <c r="B126" s="32" t="s">
        <v>1184</v>
      </c>
      <c r="C126" s="32" t="s">
        <v>216</v>
      </c>
      <c r="D126" s="10" t="s">
        <v>2833</v>
      </c>
      <c r="E126" s="54"/>
      <c r="F126" s="39"/>
      <c r="G126" s="39"/>
      <c r="H126" s="55"/>
      <c r="I126" s="56"/>
      <c r="J126" s="56"/>
      <c r="K126" s="56"/>
      <c r="L126" s="56"/>
    </row>
    <row r="127" s="1" customFormat="1" spans="2:12">
      <c r="B127" s="32" t="s">
        <v>1186</v>
      </c>
      <c r="C127" s="32" t="s">
        <v>216</v>
      </c>
      <c r="D127" s="10" t="s">
        <v>2834</v>
      </c>
      <c r="E127" s="54"/>
      <c r="F127" s="39"/>
      <c r="G127" s="39"/>
      <c r="H127" s="55"/>
      <c r="I127" s="56"/>
      <c r="J127" s="56"/>
      <c r="K127" s="56"/>
      <c r="L127" s="56"/>
    </row>
    <row r="128" s="1" customFormat="1" spans="2:12">
      <c r="B128" s="32" t="s">
        <v>1188</v>
      </c>
      <c r="C128" s="32" t="s">
        <v>216</v>
      </c>
      <c r="D128" s="10" t="s">
        <v>2835</v>
      </c>
      <c r="E128" s="54"/>
      <c r="F128" s="39"/>
      <c r="G128" s="39"/>
      <c r="H128" s="55"/>
      <c r="I128" s="56"/>
      <c r="J128" s="56"/>
      <c r="K128" s="56"/>
      <c r="L128" s="56"/>
    </row>
    <row r="129" s="1" customFormat="1" spans="2:12">
      <c r="B129" s="32" t="s">
        <v>350</v>
      </c>
      <c r="C129" s="32" t="s">
        <v>220</v>
      </c>
      <c r="D129" s="10" t="s">
        <v>2836</v>
      </c>
      <c r="E129" s="54"/>
      <c r="F129" s="39"/>
      <c r="G129" s="39"/>
      <c r="H129" s="55"/>
      <c r="I129" s="56"/>
      <c r="J129" s="56"/>
      <c r="K129" s="56"/>
      <c r="L129" s="56"/>
    </row>
    <row r="130" s="1" customFormat="1" spans="2:12">
      <c r="B130" s="32" t="s">
        <v>2837</v>
      </c>
      <c r="C130" s="32" t="s">
        <v>220</v>
      </c>
      <c r="D130" s="10" t="s">
        <v>2838</v>
      </c>
      <c r="E130" s="54"/>
      <c r="F130" s="39"/>
      <c r="G130" s="39"/>
      <c r="H130" s="55"/>
      <c r="I130" s="56"/>
      <c r="J130" s="56"/>
      <c r="K130" s="56"/>
      <c r="L130" s="56"/>
    </row>
    <row r="131" s="1" customFormat="1" spans="2:12">
      <c r="B131" s="32" t="s">
        <v>2839</v>
      </c>
      <c r="C131" s="32" t="s">
        <v>220</v>
      </c>
      <c r="D131" s="10" t="s">
        <v>2840</v>
      </c>
      <c r="E131" s="54"/>
      <c r="F131" s="39"/>
      <c r="G131" s="39"/>
      <c r="H131" s="55"/>
      <c r="I131" s="56"/>
      <c r="J131" s="56"/>
      <c r="K131" s="56"/>
      <c r="L131" s="56"/>
    </row>
    <row r="132" s="1" customFormat="1" spans="2:12">
      <c r="B132" s="32" t="s">
        <v>2841</v>
      </c>
      <c r="C132" s="32" t="s">
        <v>220</v>
      </c>
      <c r="D132" s="10" t="s">
        <v>2842</v>
      </c>
      <c r="E132" s="54"/>
      <c r="F132" s="39"/>
      <c r="G132" s="39"/>
      <c r="H132" s="55"/>
      <c r="I132" s="56"/>
      <c r="J132" s="56"/>
      <c r="K132" s="56"/>
      <c r="L132" s="56"/>
    </row>
    <row r="133" s="1" customFormat="1" spans="2:12">
      <c r="B133" s="32" t="s">
        <v>2843</v>
      </c>
      <c r="C133" s="32" t="s">
        <v>220</v>
      </c>
      <c r="D133" s="10" t="s">
        <v>2844</v>
      </c>
      <c r="E133" s="54"/>
      <c r="F133" s="39"/>
      <c r="G133" s="39"/>
      <c r="H133" s="55"/>
      <c r="I133" s="56"/>
      <c r="J133" s="56"/>
      <c r="K133" s="56"/>
      <c r="L133" s="56"/>
    </row>
    <row r="134" s="1" customFormat="1" spans="2:12">
      <c r="B134" s="32" t="s">
        <v>2845</v>
      </c>
      <c r="C134" s="32" t="s">
        <v>220</v>
      </c>
      <c r="D134" s="10" t="s">
        <v>2846</v>
      </c>
      <c r="E134" s="54"/>
      <c r="F134" s="39"/>
      <c r="G134" s="39"/>
      <c r="H134" s="55"/>
      <c r="I134" s="56"/>
      <c r="J134" s="56"/>
      <c r="K134" s="56"/>
      <c r="L134" s="56"/>
    </row>
    <row r="135" s="1" customFormat="1" spans="2:12">
      <c r="B135" s="32" t="s">
        <v>2847</v>
      </c>
      <c r="C135" s="32" t="s">
        <v>220</v>
      </c>
      <c r="D135" s="10" t="s">
        <v>2848</v>
      </c>
      <c r="E135" s="54"/>
      <c r="F135" s="39"/>
      <c r="G135" s="39"/>
      <c r="H135" s="55"/>
      <c r="I135" s="56"/>
      <c r="J135" s="56"/>
      <c r="K135" s="56"/>
      <c r="L135" s="56"/>
    </row>
    <row r="136" s="1" customFormat="1" spans="2:12">
      <c r="B136" s="32" t="s">
        <v>2849</v>
      </c>
      <c r="C136" s="32" t="s">
        <v>275</v>
      </c>
      <c r="D136" s="10" t="s">
        <v>2850</v>
      </c>
      <c r="E136" s="54"/>
      <c r="F136" s="39"/>
      <c r="G136" s="39"/>
      <c r="H136" s="55"/>
      <c r="I136" s="56"/>
      <c r="J136" s="56"/>
      <c r="K136" s="56"/>
      <c r="L136" s="56"/>
    </row>
    <row r="137" s="1" customFormat="1" spans="2:12">
      <c r="B137" s="32" t="s">
        <v>2851</v>
      </c>
      <c r="C137" s="32" t="s">
        <v>220</v>
      </c>
      <c r="D137" s="10" t="s">
        <v>2852</v>
      </c>
      <c r="E137" s="54"/>
      <c r="F137" s="39"/>
      <c r="G137" s="39"/>
      <c r="H137" s="55"/>
      <c r="I137" s="56"/>
      <c r="J137" s="56"/>
      <c r="K137" s="56"/>
      <c r="L137" s="56"/>
    </row>
    <row r="138" s="1" customFormat="1" spans="2:12">
      <c r="B138" s="32" t="s">
        <v>2853</v>
      </c>
      <c r="C138" s="32" t="s">
        <v>220</v>
      </c>
      <c r="D138" s="10" t="s">
        <v>2854</v>
      </c>
      <c r="E138" s="54"/>
      <c r="F138" s="39"/>
      <c r="G138" s="39"/>
      <c r="H138" s="55"/>
      <c r="I138" s="56"/>
      <c r="J138" s="56"/>
      <c r="K138" s="56"/>
      <c r="L138" s="56"/>
    </row>
    <row r="139" s="1" customFormat="1" spans="2:12">
      <c r="B139" s="32" t="s">
        <v>2855</v>
      </c>
      <c r="C139" s="32" t="s">
        <v>220</v>
      </c>
      <c r="D139" s="10" t="s">
        <v>2856</v>
      </c>
      <c r="E139" s="54"/>
      <c r="F139" s="39"/>
      <c r="G139" s="39"/>
      <c r="H139" s="55"/>
      <c r="I139" s="56"/>
      <c r="J139" s="56"/>
      <c r="K139" s="56"/>
      <c r="L139" s="56"/>
    </row>
    <row r="140" s="1" customFormat="1" spans="2:12">
      <c r="B140" s="32" t="s">
        <v>2857</v>
      </c>
      <c r="C140" s="32" t="s">
        <v>220</v>
      </c>
      <c r="D140" s="10" t="s">
        <v>2858</v>
      </c>
      <c r="E140" s="54"/>
      <c r="F140" s="39"/>
      <c r="G140" s="39"/>
      <c r="H140" s="55"/>
      <c r="I140" s="56"/>
      <c r="J140" s="56"/>
      <c r="K140" s="56"/>
      <c r="L140" s="56"/>
    </row>
    <row r="141" s="1" customFormat="1" spans="1:12">
      <c r="A141" s="40"/>
      <c r="B141" s="32" t="s">
        <v>2859</v>
      </c>
      <c r="C141" s="32" t="s">
        <v>220</v>
      </c>
      <c r="D141" s="10" t="s">
        <v>2860</v>
      </c>
      <c r="E141" s="54"/>
      <c r="F141" s="39"/>
      <c r="G141" s="39"/>
      <c r="H141" s="55"/>
      <c r="I141" s="80"/>
      <c r="J141" s="56"/>
      <c r="K141" s="56"/>
      <c r="L141" s="56"/>
    </row>
    <row r="142" s="1" customFormat="1" spans="1:12">
      <c r="A142" s="40"/>
      <c r="B142" s="32" t="s">
        <v>2861</v>
      </c>
      <c r="C142" s="32" t="s">
        <v>220</v>
      </c>
      <c r="D142" s="10" t="s">
        <v>2862</v>
      </c>
      <c r="E142" s="54"/>
      <c r="F142" s="39"/>
      <c r="G142" s="39"/>
      <c r="H142" s="55"/>
      <c r="I142" s="80"/>
      <c r="J142" s="56"/>
      <c r="K142" s="56"/>
      <c r="L142" s="56"/>
    </row>
    <row r="143" s="1" customFormat="1" spans="1:12">
      <c r="A143" s="40"/>
      <c r="B143" s="32" t="s">
        <v>2863</v>
      </c>
      <c r="C143" s="32" t="s">
        <v>220</v>
      </c>
      <c r="D143" s="10" t="s">
        <v>2864</v>
      </c>
      <c r="E143" s="54"/>
      <c r="F143" s="39"/>
      <c r="G143" s="39"/>
      <c r="H143" s="55"/>
      <c r="I143" s="80"/>
      <c r="J143" s="56"/>
      <c r="K143" s="56"/>
      <c r="L143" s="56"/>
    </row>
    <row r="144" s="1" customFormat="1" spans="1:12">
      <c r="A144" s="40"/>
      <c r="B144" s="11" t="s">
        <v>2865</v>
      </c>
      <c r="C144" s="11" t="s">
        <v>220</v>
      </c>
      <c r="D144" s="10" t="s">
        <v>2866</v>
      </c>
      <c r="E144" s="54"/>
      <c r="F144" s="10"/>
      <c r="G144" s="39"/>
      <c r="H144" s="55"/>
      <c r="I144" s="80"/>
      <c r="J144" s="56"/>
      <c r="K144" s="56"/>
      <c r="L144" s="56"/>
    </row>
    <row r="145" s="1" customFormat="1" spans="1:12">
      <c r="A145" s="40"/>
      <c r="B145" s="11" t="s">
        <v>2867</v>
      </c>
      <c r="C145" s="11" t="s">
        <v>220</v>
      </c>
      <c r="D145" s="10" t="s">
        <v>2868</v>
      </c>
      <c r="E145" s="54"/>
      <c r="F145" s="10"/>
      <c r="G145" s="39"/>
      <c r="H145" s="55"/>
      <c r="I145" s="80"/>
      <c r="J145" s="56"/>
      <c r="K145" s="56"/>
      <c r="L145" s="56"/>
    </row>
    <row r="146" s="1" customFormat="1" spans="1:12">
      <c r="A146" s="40"/>
      <c r="B146" s="11" t="s">
        <v>2869</v>
      </c>
      <c r="C146" s="11" t="s">
        <v>220</v>
      </c>
      <c r="D146" s="10" t="s">
        <v>2870</v>
      </c>
      <c r="E146" s="54"/>
      <c r="F146" s="10"/>
      <c r="G146" s="39"/>
      <c r="H146" s="55"/>
      <c r="I146" s="80"/>
      <c r="J146" s="56"/>
      <c r="K146" s="56"/>
      <c r="L146" s="56"/>
    </row>
    <row r="147" s="1" customFormat="1" spans="1:12">
      <c r="A147" s="40"/>
      <c r="B147" s="11" t="s">
        <v>2871</v>
      </c>
      <c r="C147" s="11" t="s">
        <v>220</v>
      </c>
      <c r="D147" s="10" t="s">
        <v>2872</v>
      </c>
      <c r="E147" s="54"/>
      <c r="F147" s="10"/>
      <c r="G147" s="39"/>
      <c r="H147" s="55"/>
      <c r="I147" s="80"/>
      <c r="J147" s="56"/>
      <c r="K147" s="56"/>
      <c r="L147" s="56"/>
    </row>
    <row r="148" s="1" customFormat="1" spans="1:12">
      <c r="A148" s="40"/>
      <c r="B148" s="11" t="s">
        <v>2873</v>
      </c>
      <c r="C148" s="11" t="s">
        <v>220</v>
      </c>
      <c r="D148" s="10" t="s">
        <v>2874</v>
      </c>
      <c r="E148" s="54"/>
      <c r="F148" s="10"/>
      <c r="G148" s="39"/>
      <c r="H148" s="55"/>
      <c r="I148" s="80"/>
      <c r="J148" s="56"/>
      <c r="K148" s="56"/>
      <c r="L148" s="56"/>
    </row>
    <row r="149" s="1" customFormat="1" spans="1:12">
      <c r="A149" s="40"/>
      <c r="B149" s="32" t="s">
        <v>2875</v>
      </c>
      <c r="C149" s="32" t="s">
        <v>220</v>
      </c>
      <c r="D149" s="10" t="s">
        <v>2876</v>
      </c>
      <c r="E149" s="54"/>
      <c r="F149" s="39"/>
      <c r="G149" s="39"/>
      <c r="H149" s="55"/>
      <c r="I149" s="80"/>
      <c r="J149" s="56"/>
      <c r="K149" s="56"/>
      <c r="L149" s="56"/>
    </row>
    <row r="150" s="1" customFormat="1" spans="1:12">
      <c r="A150" s="40"/>
      <c r="B150" s="11" t="s">
        <v>2877</v>
      </c>
      <c r="C150" s="11" t="s">
        <v>220</v>
      </c>
      <c r="D150" s="10" t="s">
        <v>2838</v>
      </c>
      <c r="E150" s="54"/>
      <c r="F150" s="39"/>
      <c r="G150" s="13"/>
      <c r="H150" s="55"/>
      <c r="I150" s="80"/>
      <c r="J150" s="56"/>
      <c r="K150" s="56"/>
      <c r="L150" s="56"/>
    </row>
    <row r="151" s="1" customFormat="1" spans="1:12">
      <c r="A151" s="40"/>
      <c r="B151" s="11" t="s">
        <v>2878</v>
      </c>
      <c r="C151" s="11" t="s">
        <v>220</v>
      </c>
      <c r="D151" s="10" t="s">
        <v>2840</v>
      </c>
      <c r="E151" s="54"/>
      <c r="F151" s="39"/>
      <c r="G151" s="13"/>
      <c r="H151" s="55"/>
      <c r="I151" s="80"/>
      <c r="J151" s="56"/>
      <c r="K151" s="56"/>
      <c r="L151" s="56"/>
    </row>
    <row r="152" s="1" customFormat="1" spans="1:12">
      <c r="A152" s="40"/>
      <c r="B152" s="11" t="s">
        <v>2879</v>
      </c>
      <c r="C152" s="11" t="s">
        <v>220</v>
      </c>
      <c r="D152" s="10" t="s">
        <v>2842</v>
      </c>
      <c r="E152" s="54"/>
      <c r="F152" s="39"/>
      <c r="G152" s="13"/>
      <c r="H152" s="55"/>
      <c r="I152" s="80"/>
      <c r="J152" s="56"/>
      <c r="K152" s="56"/>
      <c r="L152" s="56"/>
    </row>
    <row r="153" s="1" customFormat="1" spans="1:12">
      <c r="A153" s="40"/>
      <c r="B153" s="11" t="s">
        <v>2880</v>
      </c>
      <c r="C153" s="11" t="s">
        <v>220</v>
      </c>
      <c r="D153" s="10" t="s">
        <v>2844</v>
      </c>
      <c r="E153" s="54"/>
      <c r="F153" s="39"/>
      <c r="G153" s="13"/>
      <c r="H153" s="55"/>
      <c r="I153" s="80"/>
      <c r="J153" s="56"/>
      <c r="K153" s="56"/>
      <c r="L153" s="56"/>
    </row>
    <row r="154" s="1" customFormat="1" spans="1:12">
      <c r="A154" s="40"/>
      <c r="B154" s="32" t="s">
        <v>2881</v>
      </c>
      <c r="C154" s="32" t="s">
        <v>220</v>
      </c>
      <c r="D154" s="10" t="s">
        <v>2846</v>
      </c>
      <c r="E154" s="54"/>
      <c r="F154" s="39"/>
      <c r="G154" s="39"/>
      <c r="H154" s="55"/>
      <c r="I154" s="80"/>
      <c r="J154" s="56"/>
      <c r="K154" s="56"/>
      <c r="L154" s="56"/>
    </row>
    <row r="155" s="1" customFormat="1" spans="2:12">
      <c r="B155" s="32" t="s">
        <v>2882</v>
      </c>
      <c r="C155" s="32" t="s">
        <v>220</v>
      </c>
      <c r="D155" s="10" t="s">
        <v>2848</v>
      </c>
      <c r="E155" s="54"/>
      <c r="F155" s="39"/>
      <c r="G155" s="39"/>
      <c r="H155" s="55"/>
      <c r="I155" s="56"/>
      <c r="J155" s="56"/>
      <c r="K155" s="56"/>
      <c r="L155" s="56"/>
    </row>
    <row r="156" s="1" customFormat="1" spans="2:12">
      <c r="B156" s="32" t="s">
        <v>2883</v>
      </c>
      <c r="C156" s="32" t="s">
        <v>220</v>
      </c>
      <c r="D156" s="10" t="s">
        <v>2850</v>
      </c>
      <c r="E156" s="54"/>
      <c r="F156" s="39"/>
      <c r="G156" s="39"/>
      <c r="H156" s="55"/>
      <c r="I156" s="56"/>
      <c r="J156" s="56"/>
      <c r="K156" s="56"/>
      <c r="L156" s="56"/>
    </row>
    <row r="157" s="40" customFormat="1" spans="2:12">
      <c r="B157" s="32" t="s">
        <v>2884</v>
      </c>
      <c r="C157" s="32" t="s">
        <v>220</v>
      </c>
      <c r="D157" s="10" t="s">
        <v>2885</v>
      </c>
      <c r="E157" s="54"/>
      <c r="F157" s="19"/>
      <c r="G157" s="39"/>
      <c r="H157" s="55"/>
      <c r="I157" s="80"/>
      <c r="J157" s="56"/>
      <c r="K157" s="56"/>
      <c r="L157" s="56"/>
    </row>
    <row r="158" s="40" customFormat="1" spans="2:12">
      <c r="B158" s="32" t="s">
        <v>2886</v>
      </c>
      <c r="C158" s="32" t="s">
        <v>220</v>
      </c>
      <c r="D158" s="10" t="s">
        <v>2887</v>
      </c>
      <c r="E158" s="54"/>
      <c r="F158" s="19"/>
      <c r="G158" s="39"/>
      <c r="H158" s="55"/>
      <c r="I158" s="80"/>
      <c r="J158" s="56"/>
      <c r="K158" s="56"/>
      <c r="L158" s="56"/>
    </row>
    <row r="159" s="70" customFormat="1" spans="1:12">
      <c r="A159" s="75"/>
      <c r="B159" s="78" t="s">
        <v>2888</v>
      </c>
      <c r="C159" s="78" t="s">
        <v>220</v>
      </c>
      <c r="D159" s="10" t="s">
        <v>2889</v>
      </c>
      <c r="E159" s="54"/>
      <c r="F159" s="39"/>
      <c r="G159" s="39"/>
      <c r="H159" s="55"/>
      <c r="I159" s="81"/>
      <c r="J159" s="56"/>
      <c r="K159" s="56"/>
      <c r="L159" s="56"/>
    </row>
    <row r="160" s="1" customFormat="1" spans="1:12">
      <c r="A160" s="40"/>
      <c r="B160" s="11" t="s">
        <v>2890</v>
      </c>
      <c r="C160" s="11" t="s">
        <v>220</v>
      </c>
      <c r="D160" s="10" t="s">
        <v>2891</v>
      </c>
      <c r="E160" s="54"/>
      <c r="F160" s="39"/>
      <c r="G160" s="13"/>
      <c r="H160" s="55"/>
      <c r="I160" s="80"/>
      <c r="J160" s="56"/>
      <c r="K160" s="56"/>
      <c r="L160" s="56"/>
    </row>
    <row r="161" s="40" customFormat="1" spans="2:12">
      <c r="B161" s="32" t="s">
        <v>2892</v>
      </c>
      <c r="C161" s="32" t="s">
        <v>220</v>
      </c>
      <c r="D161" s="10" t="s">
        <v>2893</v>
      </c>
      <c r="E161" s="54"/>
      <c r="F161" s="39"/>
      <c r="G161" s="39"/>
      <c r="H161" s="55"/>
      <c r="I161" s="80"/>
      <c r="J161" s="56"/>
      <c r="K161" s="56"/>
      <c r="L161" s="56"/>
    </row>
    <row r="162" s="40" customFormat="1" spans="2:12">
      <c r="B162" s="32" t="s">
        <v>2894</v>
      </c>
      <c r="C162" s="32" t="s">
        <v>220</v>
      </c>
      <c r="D162" s="10" t="s">
        <v>2895</v>
      </c>
      <c r="E162" s="54"/>
      <c r="F162" s="39"/>
      <c r="G162" s="39"/>
      <c r="H162" s="55"/>
      <c r="I162" s="80"/>
      <c r="J162" s="56"/>
      <c r="K162" s="56"/>
      <c r="L162" s="56"/>
    </row>
    <row r="163" s="40" customFormat="1" spans="2:12">
      <c r="B163" s="32" t="s">
        <v>2896</v>
      </c>
      <c r="C163" s="32" t="s">
        <v>220</v>
      </c>
      <c r="D163" s="10" t="s">
        <v>2897</v>
      </c>
      <c r="E163" s="54"/>
      <c r="F163" s="39"/>
      <c r="G163" s="39"/>
      <c r="H163" s="55"/>
      <c r="I163" s="80"/>
      <c r="J163" s="56"/>
      <c r="K163" s="56"/>
      <c r="L163" s="56"/>
    </row>
    <row r="164" s="40" customFormat="1" spans="2:12">
      <c r="B164" s="32" t="s">
        <v>2898</v>
      </c>
      <c r="C164" s="79" t="s">
        <v>220</v>
      </c>
      <c r="D164" s="10" t="s">
        <v>2899</v>
      </c>
      <c r="E164" s="54"/>
      <c r="F164" s="39"/>
      <c r="G164" s="39"/>
      <c r="H164" s="55"/>
      <c r="I164" s="80"/>
      <c r="J164" s="56"/>
      <c r="K164" s="56"/>
      <c r="L164" s="56"/>
    </row>
    <row r="165" s="3" customFormat="1" spans="2:12">
      <c r="B165" s="32" t="s">
        <v>2900</v>
      </c>
      <c r="C165" s="79" t="s">
        <v>220</v>
      </c>
      <c r="D165" s="10" t="s">
        <v>2901</v>
      </c>
      <c r="E165" s="54"/>
      <c r="F165" s="39"/>
      <c r="G165" s="39"/>
      <c r="H165" s="55"/>
      <c r="I165" s="80"/>
      <c r="J165" s="56"/>
      <c r="K165" s="56"/>
      <c r="L165" s="56"/>
    </row>
    <row r="166" s="3" customFormat="1" spans="2:12">
      <c r="B166" s="32" t="s">
        <v>2902</v>
      </c>
      <c r="C166" s="79" t="s">
        <v>220</v>
      </c>
      <c r="D166" s="10" t="s">
        <v>2903</v>
      </c>
      <c r="E166" s="54"/>
      <c r="F166" s="39"/>
      <c r="G166" s="39"/>
      <c r="H166" s="55"/>
      <c r="I166" s="80"/>
      <c r="J166" s="56"/>
      <c r="K166" s="56"/>
      <c r="L166" s="56"/>
    </row>
    <row r="167" s="1" customFormat="1" spans="1:12">
      <c r="A167" s="40"/>
      <c r="B167" s="32" t="s">
        <v>2904</v>
      </c>
      <c r="C167" s="32" t="s">
        <v>220</v>
      </c>
      <c r="D167" s="10" t="s">
        <v>2905</v>
      </c>
      <c r="E167" s="54"/>
      <c r="F167" s="39"/>
      <c r="G167" s="39"/>
      <c r="H167" s="32"/>
      <c r="I167" s="80"/>
      <c r="J167" s="56"/>
      <c r="K167" s="56"/>
      <c r="L167" s="56"/>
    </row>
    <row r="168" s="3" customFormat="1" spans="2:12">
      <c r="B168" s="32" t="s">
        <v>2906</v>
      </c>
      <c r="C168" s="79" t="s">
        <v>220</v>
      </c>
      <c r="D168" s="10" t="s">
        <v>2907</v>
      </c>
      <c r="E168" s="54"/>
      <c r="F168" s="39"/>
      <c r="G168" s="39"/>
      <c r="H168" s="55"/>
      <c r="I168" s="80"/>
      <c r="J168" s="56"/>
      <c r="K168" s="56"/>
      <c r="L168" s="56"/>
    </row>
    <row r="169" s="3" customFormat="1" spans="2:12">
      <c r="B169" s="32" t="s">
        <v>2908</v>
      </c>
      <c r="C169" s="79" t="s">
        <v>220</v>
      </c>
      <c r="D169" s="10" t="s">
        <v>2909</v>
      </c>
      <c r="E169" s="54"/>
      <c r="F169" s="39"/>
      <c r="G169" s="39"/>
      <c r="H169" s="55"/>
      <c r="I169" s="80"/>
      <c r="J169" s="56"/>
      <c r="K169" s="56"/>
      <c r="L169" s="56"/>
    </row>
    <row r="170" s="3" customFormat="1" spans="2:12">
      <c r="B170" s="32" t="s">
        <v>2910</v>
      </c>
      <c r="C170" s="79" t="s">
        <v>220</v>
      </c>
      <c r="D170" s="10" t="s">
        <v>2838</v>
      </c>
      <c r="E170" s="54"/>
      <c r="F170" s="39"/>
      <c r="G170" s="39"/>
      <c r="H170" s="55"/>
      <c r="I170" s="80"/>
      <c r="J170" s="56"/>
      <c r="K170" s="56"/>
      <c r="L170" s="56"/>
    </row>
    <row r="171" s="3" customFormat="1" spans="2:12">
      <c r="B171" s="78" t="s">
        <v>2911</v>
      </c>
      <c r="C171" s="78" t="s">
        <v>220</v>
      </c>
      <c r="D171" s="10" t="s">
        <v>2840</v>
      </c>
      <c r="E171" s="54"/>
      <c r="F171" s="39"/>
      <c r="G171" s="39"/>
      <c r="H171" s="55"/>
      <c r="I171" s="81"/>
      <c r="J171" s="56"/>
      <c r="K171" s="56"/>
      <c r="L171" s="56"/>
    </row>
    <row r="172" s="70" customFormat="1" spans="1:12">
      <c r="A172" s="75"/>
      <c r="B172" s="78" t="s">
        <v>2912</v>
      </c>
      <c r="C172" s="78" t="s">
        <v>220</v>
      </c>
      <c r="D172" s="10" t="s">
        <v>2842</v>
      </c>
      <c r="E172" s="54"/>
      <c r="F172" s="39"/>
      <c r="G172" s="39"/>
      <c r="H172" s="55"/>
      <c r="I172" s="81"/>
      <c r="J172" s="56"/>
      <c r="K172" s="56"/>
      <c r="L172" s="56"/>
    </row>
    <row r="173" s="70" customFormat="1" spans="1:12">
      <c r="A173" s="75"/>
      <c r="B173" s="78" t="s">
        <v>2913</v>
      </c>
      <c r="C173" s="78" t="s">
        <v>220</v>
      </c>
      <c r="D173" s="10" t="s">
        <v>2844</v>
      </c>
      <c r="E173" s="54"/>
      <c r="F173" s="39"/>
      <c r="G173" s="39"/>
      <c r="H173" s="55"/>
      <c r="I173" s="81"/>
      <c r="J173" s="56"/>
      <c r="K173" s="56"/>
      <c r="L173" s="56"/>
    </row>
    <row r="174" s="70" customFormat="1" spans="1:12">
      <c r="A174" s="75"/>
      <c r="B174" s="78" t="s">
        <v>2914</v>
      </c>
      <c r="C174" s="78" t="s">
        <v>220</v>
      </c>
      <c r="D174" s="10" t="s">
        <v>2846</v>
      </c>
      <c r="E174" s="54"/>
      <c r="F174" s="39"/>
      <c r="G174" s="39"/>
      <c r="H174" s="55"/>
      <c r="I174" s="81"/>
      <c r="J174" s="56"/>
      <c r="K174" s="56"/>
      <c r="L174" s="56"/>
    </row>
    <row r="175" s="70" customFormat="1" spans="1:12">
      <c r="A175" s="75"/>
      <c r="B175" s="78" t="s">
        <v>2915</v>
      </c>
      <c r="C175" s="78" t="s">
        <v>220</v>
      </c>
      <c r="D175" s="10" t="s">
        <v>2848</v>
      </c>
      <c r="E175" s="54"/>
      <c r="F175" s="39"/>
      <c r="G175" s="39"/>
      <c r="H175" s="55"/>
      <c r="I175" s="81"/>
      <c r="J175" s="56"/>
      <c r="K175" s="56"/>
      <c r="L175" s="56"/>
    </row>
    <row r="176" s="70" customFormat="1" spans="1:12">
      <c r="A176" s="75"/>
      <c r="B176" s="78" t="s">
        <v>2916</v>
      </c>
      <c r="C176" s="78" t="s">
        <v>220</v>
      </c>
      <c r="D176" s="10" t="s">
        <v>2850</v>
      </c>
      <c r="E176" s="54"/>
      <c r="F176" s="39"/>
      <c r="G176" s="39"/>
      <c r="H176" s="55"/>
      <c r="I176" s="81"/>
      <c r="J176" s="56"/>
      <c r="K176" s="56"/>
      <c r="L176" s="56"/>
    </row>
    <row r="177" s="70" customFormat="1" spans="1:12">
      <c r="A177" s="75"/>
      <c r="B177" s="78" t="s">
        <v>2917</v>
      </c>
      <c r="C177" s="78" t="s">
        <v>240</v>
      </c>
      <c r="D177" s="10" t="s">
        <v>2918</v>
      </c>
      <c r="E177" s="54"/>
      <c r="F177" s="39"/>
      <c r="G177" s="39"/>
      <c r="H177" s="55"/>
      <c r="I177" s="81"/>
      <c r="J177" s="56"/>
      <c r="K177" s="56"/>
      <c r="L177" s="56"/>
    </row>
    <row r="178" s="70" customFormat="1" spans="1:12">
      <c r="A178" s="75"/>
      <c r="B178" s="78" t="s">
        <v>2919</v>
      </c>
      <c r="C178" s="78" t="s">
        <v>240</v>
      </c>
      <c r="D178" s="10" t="s">
        <v>2920</v>
      </c>
      <c r="E178" s="54"/>
      <c r="F178" s="39"/>
      <c r="G178" s="39"/>
      <c r="H178" s="55"/>
      <c r="I178" s="81"/>
      <c r="J178" s="56"/>
      <c r="K178" s="56"/>
      <c r="L178" s="56"/>
    </row>
    <row r="179" s="70" customFormat="1" spans="1:12">
      <c r="A179" s="75"/>
      <c r="B179" s="78" t="s">
        <v>2921</v>
      </c>
      <c r="C179" s="78" t="s">
        <v>240</v>
      </c>
      <c r="D179" s="10" t="s">
        <v>2922</v>
      </c>
      <c r="E179" s="54"/>
      <c r="F179" s="39"/>
      <c r="G179" s="39"/>
      <c r="H179" s="55"/>
      <c r="I179" s="81"/>
      <c r="J179" s="56"/>
      <c r="K179" s="56"/>
      <c r="L179" s="56"/>
    </row>
    <row r="180" s="70" customFormat="1" spans="1:12">
      <c r="A180" s="75"/>
      <c r="B180" s="78" t="s">
        <v>2923</v>
      </c>
      <c r="C180" s="78" t="s">
        <v>240</v>
      </c>
      <c r="D180" s="10" t="s">
        <v>2924</v>
      </c>
      <c r="E180" s="54"/>
      <c r="F180" s="39"/>
      <c r="G180" s="39"/>
      <c r="H180" s="55"/>
      <c r="I180" s="81"/>
      <c r="J180" s="56"/>
      <c r="K180" s="56"/>
      <c r="L180" s="56"/>
    </row>
    <row r="181" s="70" customFormat="1" spans="1:12">
      <c r="A181" s="75"/>
      <c r="B181" s="78" t="s">
        <v>2925</v>
      </c>
      <c r="C181" s="78" t="s">
        <v>240</v>
      </c>
      <c r="D181" s="10" t="s">
        <v>2926</v>
      </c>
      <c r="E181" s="54"/>
      <c r="F181" s="39"/>
      <c r="G181" s="39"/>
      <c r="H181" s="55"/>
      <c r="I181" s="81"/>
      <c r="J181" s="56"/>
      <c r="K181" s="56"/>
      <c r="L181" s="56"/>
    </row>
    <row r="182" s="70" customFormat="1" spans="1:12">
      <c r="A182" s="75"/>
      <c r="B182" s="78" t="s">
        <v>2927</v>
      </c>
      <c r="C182" s="78" t="s">
        <v>240</v>
      </c>
      <c r="D182" s="10" t="s">
        <v>2928</v>
      </c>
      <c r="E182" s="54"/>
      <c r="F182" s="39"/>
      <c r="G182" s="39"/>
      <c r="H182" s="55"/>
      <c r="I182" s="81"/>
      <c r="J182" s="56"/>
      <c r="K182" s="56"/>
      <c r="L182" s="56"/>
    </row>
    <row r="183" s="3" customFormat="1" spans="2:12">
      <c r="B183" s="32" t="s">
        <v>2929</v>
      </c>
      <c r="C183" s="79" t="s">
        <v>275</v>
      </c>
      <c r="D183" s="10" t="s">
        <v>2930</v>
      </c>
      <c r="E183" s="54"/>
      <c r="F183" s="39"/>
      <c r="G183" s="39"/>
      <c r="H183" s="55"/>
      <c r="I183" s="80"/>
      <c r="J183" s="56"/>
      <c r="K183" s="56"/>
      <c r="L183" s="56"/>
    </row>
    <row r="184" spans="1:12">
      <c r="A184" s="4"/>
      <c r="B184" s="32" t="s">
        <v>2931</v>
      </c>
      <c r="C184" s="79" t="s">
        <v>275</v>
      </c>
      <c r="D184" s="10" t="s">
        <v>2932</v>
      </c>
      <c r="E184" s="54"/>
      <c r="F184" s="39"/>
      <c r="G184" s="39"/>
      <c r="H184" s="55"/>
      <c r="I184" s="56"/>
      <c r="J184" s="56"/>
      <c r="K184" s="56"/>
      <c r="L184" s="56"/>
    </row>
    <row r="185" spans="1:12">
      <c r="A185" s="4"/>
      <c r="B185" s="32" t="s">
        <v>2933</v>
      </c>
      <c r="C185" s="79" t="s">
        <v>275</v>
      </c>
      <c r="D185" s="10" t="s">
        <v>2934</v>
      </c>
      <c r="E185" s="54"/>
      <c r="F185" s="39"/>
      <c r="G185" s="39"/>
      <c r="H185" s="55"/>
      <c r="I185" s="56"/>
      <c r="J185" s="56"/>
      <c r="K185" s="56"/>
      <c r="L185" s="56"/>
    </row>
    <row r="186" spans="1:12">
      <c r="A186" s="4"/>
      <c r="B186" s="32" t="s">
        <v>2935</v>
      </c>
      <c r="C186" s="79" t="s">
        <v>275</v>
      </c>
      <c r="D186" s="10" t="s">
        <v>2936</v>
      </c>
      <c r="E186" s="54"/>
      <c r="F186" s="39"/>
      <c r="G186" s="39"/>
      <c r="H186" s="55"/>
      <c r="I186" s="56"/>
      <c r="J186" s="56"/>
      <c r="K186" s="56"/>
      <c r="L186" s="56"/>
    </row>
    <row r="187" spans="1:12">
      <c r="A187" s="4"/>
      <c r="B187" s="32" t="s">
        <v>2937</v>
      </c>
      <c r="C187" s="79" t="s">
        <v>275</v>
      </c>
      <c r="D187" s="10" t="s">
        <v>2938</v>
      </c>
      <c r="E187" s="54"/>
      <c r="F187" s="39"/>
      <c r="G187" s="39"/>
      <c r="H187" s="55"/>
      <c r="I187" s="56"/>
      <c r="J187" s="56"/>
      <c r="K187" s="56"/>
      <c r="L187" s="56"/>
    </row>
    <row r="188" s="1" customFormat="1" spans="1:12">
      <c r="A188" s="40"/>
      <c r="B188" s="32" t="s">
        <v>2939</v>
      </c>
      <c r="C188" s="79" t="s">
        <v>275</v>
      </c>
      <c r="D188" s="10" t="s">
        <v>2940</v>
      </c>
      <c r="E188" s="54"/>
      <c r="F188" s="39"/>
      <c r="G188" s="39"/>
      <c r="H188" s="55"/>
      <c r="I188" s="80"/>
      <c r="J188" s="56"/>
      <c r="K188" s="56"/>
      <c r="L188" s="56"/>
    </row>
    <row r="189" spans="1:12">
      <c r="A189" s="4"/>
      <c r="B189" s="32" t="s">
        <v>2941</v>
      </c>
      <c r="C189" s="79" t="s">
        <v>275</v>
      </c>
      <c r="D189" s="10" t="s">
        <v>2942</v>
      </c>
      <c r="E189" s="54"/>
      <c r="F189" s="39"/>
      <c r="G189" s="39"/>
      <c r="H189" s="55"/>
      <c r="I189" s="56"/>
      <c r="J189" s="56"/>
      <c r="K189" s="56"/>
      <c r="L189" s="56"/>
    </row>
    <row r="190" s="1" customFormat="1" spans="1:12">
      <c r="A190" s="40"/>
      <c r="B190" s="32" t="s">
        <v>2943</v>
      </c>
      <c r="C190" s="79" t="s">
        <v>275</v>
      </c>
      <c r="D190" s="10" t="s">
        <v>2944</v>
      </c>
      <c r="E190" s="54"/>
      <c r="F190" s="39"/>
      <c r="G190" s="39"/>
      <c r="H190" s="55"/>
      <c r="I190" s="80"/>
      <c r="J190" s="56"/>
      <c r="K190" s="56"/>
      <c r="L190" s="56"/>
    </row>
    <row r="191" s="1" customFormat="1" spans="1:12">
      <c r="A191" s="40"/>
      <c r="B191" s="32" t="s">
        <v>2945</v>
      </c>
      <c r="C191" s="79" t="s">
        <v>275</v>
      </c>
      <c r="D191" s="10" t="s">
        <v>2946</v>
      </c>
      <c r="E191" s="54"/>
      <c r="F191" s="39"/>
      <c r="G191" s="39"/>
      <c r="H191" s="55"/>
      <c r="I191" s="80"/>
      <c r="J191" s="56"/>
      <c r="K191" s="56"/>
      <c r="L191" s="56"/>
    </row>
    <row r="192" s="1" customFormat="1" spans="1:12">
      <c r="A192" s="40"/>
      <c r="B192" s="32" t="s">
        <v>2947</v>
      </c>
      <c r="C192" s="79" t="s">
        <v>275</v>
      </c>
      <c r="D192" s="10" t="s">
        <v>2948</v>
      </c>
      <c r="E192" s="54"/>
      <c r="F192" s="39"/>
      <c r="G192" s="39"/>
      <c r="H192" s="55"/>
      <c r="I192" s="80"/>
      <c r="J192" s="56"/>
      <c r="K192" s="56"/>
      <c r="L192" s="56"/>
    </row>
    <row r="193" s="1" customFormat="1" spans="1:12">
      <c r="A193" s="40"/>
      <c r="B193" s="32" t="s">
        <v>2949</v>
      </c>
      <c r="C193" s="79" t="s">
        <v>275</v>
      </c>
      <c r="D193" s="10" t="s">
        <v>2949</v>
      </c>
      <c r="E193" s="54"/>
      <c r="F193" s="39"/>
      <c r="G193" s="39"/>
      <c r="H193" s="55"/>
      <c r="I193" s="80"/>
      <c r="J193" s="56"/>
      <c r="K193" s="56"/>
      <c r="L193" s="56"/>
    </row>
    <row r="194" s="1" customFormat="1" spans="1:12">
      <c r="A194" s="40"/>
      <c r="B194" s="32" t="s">
        <v>2950</v>
      </c>
      <c r="C194" s="79" t="s">
        <v>275</v>
      </c>
      <c r="D194" s="10" t="s">
        <v>2950</v>
      </c>
      <c r="E194" s="54"/>
      <c r="F194" s="39"/>
      <c r="G194" s="39"/>
      <c r="H194" s="55"/>
      <c r="I194" s="80"/>
      <c r="J194" s="56"/>
      <c r="K194" s="56"/>
      <c r="L194" s="56"/>
    </row>
    <row r="195" s="1" customFormat="1" spans="1:12">
      <c r="A195" s="40"/>
      <c r="B195" s="32" t="s">
        <v>2951</v>
      </c>
      <c r="C195" s="79" t="s">
        <v>275</v>
      </c>
      <c r="D195" s="10" t="s">
        <v>2951</v>
      </c>
      <c r="E195" s="54"/>
      <c r="F195" s="39"/>
      <c r="G195" s="39"/>
      <c r="H195" s="55"/>
      <c r="I195" s="80"/>
      <c r="J195" s="56"/>
      <c r="K195" s="56"/>
      <c r="L195" s="56"/>
    </row>
    <row r="196" s="70" customFormat="1" spans="1:12">
      <c r="A196" s="75"/>
      <c r="B196" s="32" t="s">
        <v>2952</v>
      </c>
      <c r="C196" s="78" t="s">
        <v>275</v>
      </c>
      <c r="D196" s="10" t="s">
        <v>2952</v>
      </c>
      <c r="E196" s="54"/>
      <c r="F196" s="39"/>
      <c r="G196" s="39"/>
      <c r="H196" s="55"/>
      <c r="I196" s="81"/>
      <c r="J196" s="56"/>
      <c r="K196" s="56"/>
      <c r="L196" s="56"/>
    </row>
    <row r="197" s="70" customFormat="1" spans="1:12">
      <c r="A197" s="75"/>
      <c r="B197" s="78" t="s">
        <v>2953</v>
      </c>
      <c r="C197" s="78" t="s">
        <v>275</v>
      </c>
      <c r="D197" s="10" t="s">
        <v>2953</v>
      </c>
      <c r="E197" s="54"/>
      <c r="F197" s="39"/>
      <c r="G197" s="39"/>
      <c r="H197" s="55"/>
      <c r="I197" s="81"/>
      <c r="J197" s="56"/>
      <c r="K197" s="56"/>
      <c r="L197" s="56"/>
    </row>
    <row r="198" s="70" customFormat="1" spans="1:12">
      <c r="A198" s="75"/>
      <c r="B198" s="78" t="s">
        <v>2954</v>
      </c>
      <c r="C198" s="78" t="s">
        <v>275</v>
      </c>
      <c r="D198" s="10" t="s">
        <v>2954</v>
      </c>
      <c r="E198" s="54"/>
      <c r="F198" s="39"/>
      <c r="G198" s="39"/>
      <c r="H198" s="55"/>
      <c r="I198" s="81"/>
      <c r="J198" s="56"/>
      <c r="K198" s="56"/>
      <c r="L198" s="56"/>
    </row>
    <row r="199" s="70" customFormat="1" spans="1:12">
      <c r="A199" s="75"/>
      <c r="B199" s="78" t="s">
        <v>2955</v>
      </c>
      <c r="C199" s="78" t="s">
        <v>275</v>
      </c>
      <c r="D199" s="10" t="s">
        <v>2955</v>
      </c>
      <c r="E199" s="54"/>
      <c r="F199" s="39"/>
      <c r="G199" s="39"/>
      <c r="H199" s="55"/>
      <c r="I199" s="81"/>
      <c r="J199" s="56"/>
      <c r="K199" s="56"/>
      <c r="L199" s="56"/>
    </row>
    <row r="200" s="70" customFormat="1" spans="1:12">
      <c r="A200" s="75"/>
      <c r="B200" s="78" t="s">
        <v>2956</v>
      </c>
      <c r="C200" s="78" t="s">
        <v>275</v>
      </c>
      <c r="D200" s="10" t="s">
        <v>2956</v>
      </c>
      <c r="E200" s="54"/>
      <c r="F200" s="39"/>
      <c r="G200" s="39"/>
      <c r="H200" s="55"/>
      <c r="I200" s="81"/>
      <c r="J200" s="56"/>
      <c r="K200" s="56"/>
      <c r="L200" s="56"/>
    </row>
    <row r="201" s="70" customFormat="1" spans="1:12">
      <c r="A201" s="75"/>
      <c r="B201" s="78" t="s">
        <v>2957</v>
      </c>
      <c r="C201" s="78" t="s">
        <v>275</v>
      </c>
      <c r="D201" s="10" t="s">
        <v>2957</v>
      </c>
      <c r="E201" s="54"/>
      <c r="F201" s="39"/>
      <c r="G201" s="39"/>
      <c r="H201" s="55"/>
      <c r="I201" s="81"/>
      <c r="J201" s="56"/>
      <c r="K201" s="56"/>
      <c r="L201" s="56"/>
    </row>
    <row r="202" s="70" customFormat="1" spans="1:12">
      <c r="A202" s="75"/>
      <c r="B202" s="78" t="s">
        <v>2958</v>
      </c>
      <c r="C202" s="78" t="s">
        <v>275</v>
      </c>
      <c r="D202" s="10" t="s">
        <v>2958</v>
      </c>
      <c r="E202" s="54"/>
      <c r="F202" s="39"/>
      <c r="G202" s="39"/>
      <c r="H202" s="55"/>
      <c r="I202" s="81"/>
      <c r="J202" s="56"/>
      <c r="K202" s="56"/>
      <c r="L202" s="56"/>
    </row>
    <row r="203" s="51" customFormat="1" ht="92.4" spans="1:12">
      <c r="A203" s="63"/>
      <c r="B203" s="64" t="s">
        <v>1295</v>
      </c>
      <c r="C203" s="64" t="s">
        <v>220</v>
      </c>
      <c r="D203" s="29" t="s">
        <v>1296</v>
      </c>
      <c r="E203" s="65" t="s">
        <v>199</v>
      </c>
      <c r="F203" s="66"/>
      <c r="G203" s="66" t="s">
        <v>1297</v>
      </c>
      <c r="H203" s="67"/>
      <c r="I203" s="68" t="s">
        <v>1211</v>
      </c>
      <c r="J203" s="69" t="s">
        <v>345</v>
      </c>
      <c r="K203" s="69" t="s">
        <v>323</v>
      </c>
      <c r="L203" s="69" t="s">
        <v>394</v>
      </c>
    </row>
    <row r="204" s="37" customFormat="1" spans="1:12">
      <c r="A204" s="42"/>
      <c r="B204" s="43" t="s">
        <v>252</v>
      </c>
      <c r="C204" s="43" t="s">
        <v>220</v>
      </c>
      <c r="D204" s="44" t="s">
        <v>254</v>
      </c>
      <c r="E204" s="45"/>
      <c r="F204" s="46"/>
      <c r="G204" s="46"/>
      <c r="H204" s="47"/>
      <c r="I204" s="48"/>
      <c r="J204" s="49"/>
      <c r="K204" s="49"/>
      <c r="L204" s="49"/>
    </row>
    <row r="205" s="37" customFormat="1" spans="1:12">
      <c r="A205" s="42"/>
      <c r="B205" s="43" t="s">
        <v>255</v>
      </c>
      <c r="C205" s="43" t="s">
        <v>216</v>
      </c>
      <c r="D205" s="44" t="s">
        <v>256</v>
      </c>
      <c r="E205" s="45"/>
      <c r="F205" s="46"/>
      <c r="G205" s="46"/>
      <c r="H205" s="47"/>
      <c r="I205" s="48"/>
      <c r="J205" s="49"/>
      <c r="K205" s="49"/>
      <c r="L205" s="49"/>
    </row>
    <row r="206" s="37" customFormat="1" spans="1:12">
      <c r="A206" s="42"/>
      <c r="B206" s="43" t="s">
        <v>257</v>
      </c>
      <c r="C206" s="43" t="s">
        <v>220</v>
      </c>
      <c r="D206" s="44" t="s">
        <v>258</v>
      </c>
      <c r="E206" s="45"/>
      <c r="F206" s="46"/>
      <c r="G206" s="46"/>
      <c r="H206" s="47"/>
      <c r="I206" s="48"/>
      <c r="J206" s="49"/>
      <c r="K206" s="49"/>
      <c r="L206" s="49"/>
    </row>
    <row r="207" s="37" customFormat="1" spans="1:12">
      <c r="A207" s="42"/>
      <c r="B207" s="43" t="s">
        <v>262</v>
      </c>
      <c r="C207" s="43" t="s">
        <v>220</v>
      </c>
      <c r="D207" s="44" t="s">
        <v>263</v>
      </c>
      <c r="E207" s="45"/>
      <c r="F207" s="46"/>
      <c r="G207" s="46"/>
      <c r="H207" s="47"/>
      <c r="I207" s="48"/>
      <c r="J207" s="49"/>
      <c r="K207" s="49"/>
      <c r="L207" s="49"/>
    </row>
  </sheetData>
  <autoFilter xmlns:etc="http://www.wps.cn/officeDocument/2017/etCustomData" ref="A16:N207" etc:filterBottomFollowUsedRange="0">
    <extLst/>
  </autoFilter>
  <mergeCells count="5">
    <mergeCell ref="B2:H2"/>
    <mergeCell ref="B3:H3"/>
    <mergeCell ref="B7:H7"/>
    <mergeCell ref="B15:L15"/>
    <mergeCell ref="G11:G12"/>
  </mergeCells>
  <pageMargins left="0.7" right="0.7" top="0.75" bottom="0.75" header="0.3" footer="0.3"/>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5"/>
  <sheetViews>
    <sheetView zoomScale="85" zoomScaleNormal="85" workbookViewId="0">
      <pane ySplit="5" topLeftCell="A368" activePane="bottomLeft" state="frozen"/>
      <selection/>
      <selection pane="bottomLeft" activeCell="C5" sqref="C5"/>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16.2222222222222"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121</v>
      </c>
      <c r="D5" s="35" t="s">
        <v>122</v>
      </c>
      <c r="E5" s="11" t="s">
        <v>1864</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118</v>
      </c>
      <c r="D9" s="35" t="s">
        <v>119</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2">
      <c r="B16" s="19" t="s">
        <v>1300</v>
      </c>
      <c r="C16" s="19" t="s">
        <v>1071</v>
      </c>
      <c r="D16" s="10" t="s">
        <v>2089</v>
      </c>
      <c r="E16" s="20"/>
      <c r="F16" s="19"/>
      <c r="G16" s="19"/>
      <c r="H16" s="20"/>
      <c r="I16" s="23"/>
      <c r="J16" s="23"/>
      <c r="K16" s="23"/>
      <c r="L16" s="23"/>
    </row>
    <row r="17" s="1" customFormat="1" spans="2:12">
      <c r="B17" s="19" t="s">
        <v>1026</v>
      </c>
      <c r="C17" s="19" t="s">
        <v>220</v>
      </c>
      <c r="D17" s="10" t="s">
        <v>66</v>
      </c>
      <c r="E17" s="20"/>
      <c r="F17" s="19"/>
      <c r="G17" s="19"/>
      <c r="H17" s="20"/>
      <c r="I17" s="23"/>
      <c r="J17" s="23"/>
      <c r="K17" s="23"/>
      <c r="L17" s="23"/>
    </row>
    <row r="18" s="1" customFormat="1" spans="2:12">
      <c r="B18" s="19" t="s">
        <v>1864</v>
      </c>
      <c r="C18" s="19" t="s">
        <v>220</v>
      </c>
      <c r="D18" s="10" t="s">
        <v>2686</v>
      </c>
      <c r="E18" s="20"/>
      <c r="F18" s="19"/>
      <c r="G18" s="19"/>
      <c r="H18" s="20"/>
      <c r="I18" s="23"/>
      <c r="J18" s="23"/>
      <c r="K18" s="23"/>
      <c r="L18" s="23"/>
    </row>
    <row r="19" s="1" customFormat="1" spans="1:12">
      <c r="A19" s="40"/>
      <c r="B19" s="19" t="s">
        <v>1302</v>
      </c>
      <c r="C19" s="19" t="s">
        <v>220</v>
      </c>
      <c r="D19" s="10" t="s">
        <v>1303</v>
      </c>
      <c r="E19" s="20"/>
      <c r="F19" s="19"/>
      <c r="G19" s="19"/>
      <c r="H19" s="20"/>
      <c r="I19" s="23"/>
      <c r="J19" s="23"/>
      <c r="K19" s="23"/>
      <c r="L19" s="23"/>
    </row>
    <row r="20" s="1" customFormat="1" spans="1:12">
      <c r="A20" s="40"/>
      <c r="B20" s="19" t="s">
        <v>1304</v>
      </c>
      <c r="C20" s="19" t="s">
        <v>216</v>
      </c>
      <c r="D20" s="10" t="s">
        <v>1305</v>
      </c>
      <c r="E20" s="20"/>
      <c r="F20" s="19"/>
      <c r="G20" s="19"/>
      <c r="H20" s="20"/>
      <c r="I20" s="23"/>
      <c r="J20" s="23"/>
      <c r="K20" s="23"/>
      <c r="L20" s="23"/>
    </row>
    <row r="21" s="1" customFormat="1" spans="1:12">
      <c r="A21" s="40"/>
      <c r="B21" s="19" t="s">
        <v>1306</v>
      </c>
      <c r="C21" s="19" t="s">
        <v>216</v>
      </c>
      <c r="D21" s="10" t="s">
        <v>1307</v>
      </c>
      <c r="E21" s="20"/>
      <c r="F21" s="19"/>
      <c r="G21" s="19"/>
      <c r="H21" s="20"/>
      <c r="I21" s="23"/>
      <c r="J21" s="23"/>
      <c r="K21" s="23"/>
      <c r="L21" s="23"/>
    </row>
    <row r="22" s="1" customFormat="1" spans="1:12">
      <c r="A22" s="40"/>
      <c r="B22" s="10" t="s">
        <v>302</v>
      </c>
      <c r="C22" s="10" t="s">
        <v>220</v>
      </c>
      <c r="D22" s="10" t="s">
        <v>1051</v>
      </c>
      <c r="E22" s="20"/>
      <c r="F22" s="10"/>
      <c r="G22" s="19"/>
      <c r="H22" s="20"/>
      <c r="I22" s="23"/>
      <c r="J22" s="23"/>
      <c r="K22" s="23"/>
      <c r="L22" s="23"/>
    </row>
    <row r="23" s="1" customFormat="1" spans="1:12">
      <c r="A23" s="40"/>
      <c r="B23" s="10" t="s">
        <v>2612</v>
      </c>
      <c r="C23" s="10" t="s">
        <v>220</v>
      </c>
      <c r="D23" s="10" t="s">
        <v>2738</v>
      </c>
      <c r="E23" s="20"/>
      <c r="F23" s="10"/>
      <c r="G23" s="19"/>
      <c r="H23" s="20"/>
      <c r="I23" s="23"/>
      <c r="J23" s="23"/>
      <c r="K23" s="23"/>
      <c r="L23" s="23"/>
    </row>
    <row r="24" s="1" customFormat="1" spans="1:12">
      <c r="A24" s="40"/>
      <c r="B24" s="10" t="s">
        <v>2614</v>
      </c>
      <c r="C24" s="10" t="s">
        <v>275</v>
      </c>
      <c r="D24" s="10" t="s">
        <v>2739</v>
      </c>
      <c r="E24" s="20"/>
      <c r="F24" s="10"/>
      <c r="G24" s="19"/>
      <c r="H24" s="20"/>
      <c r="I24" s="23"/>
      <c r="J24" s="23"/>
      <c r="K24" s="23"/>
      <c r="L24" s="23"/>
    </row>
    <row r="25" s="1" customFormat="1" spans="1:12">
      <c r="A25" s="40"/>
      <c r="B25" s="10" t="s">
        <v>1308</v>
      </c>
      <c r="C25" s="10" t="s">
        <v>275</v>
      </c>
      <c r="D25" s="10" t="s">
        <v>1309</v>
      </c>
      <c r="E25" s="20"/>
      <c r="F25" s="10"/>
      <c r="G25" s="19"/>
      <c r="H25" s="20"/>
      <c r="I25" s="23"/>
      <c r="J25" s="23"/>
      <c r="K25" s="23"/>
      <c r="L25" s="23"/>
    </row>
    <row r="26" s="1" customFormat="1" spans="1:12">
      <c r="A26" s="40"/>
      <c r="B26" s="10" t="s">
        <v>222</v>
      </c>
      <c r="C26" s="10" t="s">
        <v>216</v>
      </c>
      <c r="D26" s="10" t="s">
        <v>298</v>
      </c>
      <c r="E26" s="20"/>
      <c r="F26" s="10"/>
      <c r="G26" s="19"/>
      <c r="H26" s="20"/>
      <c r="I26" s="23"/>
      <c r="J26" s="23"/>
      <c r="K26" s="23"/>
      <c r="L26" s="23"/>
    </row>
    <row r="27" s="1" customFormat="1" spans="1:12">
      <c r="A27" s="40"/>
      <c r="B27" s="10" t="s">
        <v>1310</v>
      </c>
      <c r="C27" s="10" t="s">
        <v>216</v>
      </c>
      <c r="D27" s="10" t="s">
        <v>1311</v>
      </c>
      <c r="E27" s="20"/>
      <c r="F27" s="10"/>
      <c r="G27" s="19"/>
      <c r="H27" s="20"/>
      <c r="I27" s="23"/>
      <c r="J27" s="23"/>
      <c r="K27" s="23"/>
      <c r="L27" s="23"/>
    </row>
    <row r="28" s="1" customFormat="1" spans="1:12">
      <c r="A28" s="40"/>
      <c r="B28" s="10" t="s">
        <v>267</v>
      </c>
      <c r="C28" s="10" t="s">
        <v>275</v>
      </c>
      <c r="D28" s="10" t="s">
        <v>2094</v>
      </c>
      <c r="E28" s="20"/>
      <c r="F28" s="10"/>
      <c r="G28" s="19"/>
      <c r="H28" s="20"/>
      <c r="I28" s="23"/>
      <c r="J28" s="23"/>
      <c r="K28" s="23"/>
      <c r="L28" s="23"/>
    </row>
    <row r="29" s="1" customFormat="1" spans="1:12">
      <c r="A29" s="40"/>
      <c r="B29" s="10" t="s">
        <v>1176</v>
      </c>
      <c r="C29" s="10" t="s">
        <v>275</v>
      </c>
      <c r="D29" s="10" t="s">
        <v>1312</v>
      </c>
      <c r="E29" s="20"/>
      <c r="F29" s="10"/>
      <c r="G29" s="19"/>
      <c r="H29" s="20"/>
      <c r="I29" s="23"/>
      <c r="J29" s="23"/>
      <c r="K29" s="23"/>
      <c r="L29" s="23"/>
    </row>
    <row r="30" s="1" customFormat="1" spans="1:12">
      <c r="A30" s="40"/>
      <c r="B30" s="10" t="s">
        <v>1808</v>
      </c>
      <c r="C30" s="10" t="s">
        <v>216</v>
      </c>
      <c r="D30" s="10" t="s">
        <v>2572</v>
      </c>
      <c r="E30" s="20"/>
      <c r="F30" s="10"/>
      <c r="G30" s="19"/>
      <c r="H30" s="20"/>
      <c r="I30" s="23"/>
      <c r="J30" s="23"/>
      <c r="K30" s="23"/>
      <c r="L30" s="23"/>
    </row>
    <row r="31" s="1" customFormat="1" spans="1:12">
      <c r="A31" s="40"/>
      <c r="B31" s="10" t="s">
        <v>1316</v>
      </c>
      <c r="C31" s="10" t="s">
        <v>220</v>
      </c>
      <c r="D31" s="10" t="s">
        <v>2092</v>
      </c>
      <c r="E31" s="20"/>
      <c r="F31" s="10"/>
      <c r="G31" s="19"/>
      <c r="H31" s="20"/>
      <c r="I31" s="23"/>
      <c r="J31" s="23"/>
      <c r="K31" s="23"/>
      <c r="L31" s="23"/>
    </row>
    <row r="32" s="1" customFormat="1" spans="1:12">
      <c r="A32" s="40"/>
      <c r="B32" s="10" t="s">
        <v>1318</v>
      </c>
      <c r="C32" s="10" t="s">
        <v>220</v>
      </c>
      <c r="D32" s="10" t="s">
        <v>2093</v>
      </c>
      <c r="E32" s="20"/>
      <c r="F32" s="10"/>
      <c r="G32" s="19"/>
      <c r="H32" s="20"/>
      <c r="I32" s="23"/>
      <c r="J32" s="23"/>
      <c r="K32" s="23"/>
      <c r="L32" s="23"/>
    </row>
    <row r="33" s="1" customFormat="1" spans="1:12">
      <c r="A33" s="40"/>
      <c r="B33" s="10" t="s">
        <v>1064</v>
      </c>
      <c r="C33" s="10" t="s">
        <v>220</v>
      </c>
      <c r="D33" s="10" t="s">
        <v>1320</v>
      </c>
      <c r="E33" s="20"/>
      <c r="F33" s="10"/>
      <c r="G33" s="19"/>
      <c r="H33" s="20"/>
      <c r="I33" s="23"/>
      <c r="J33" s="23"/>
      <c r="K33" s="23"/>
      <c r="L33" s="23"/>
    </row>
    <row r="34" s="1" customFormat="1" spans="1:12">
      <c r="A34" s="40"/>
      <c r="B34" s="10" t="s">
        <v>2959</v>
      </c>
      <c r="C34" s="10" t="s">
        <v>220</v>
      </c>
      <c r="D34" s="10" t="s">
        <v>2960</v>
      </c>
      <c r="E34" s="20"/>
      <c r="F34" s="10"/>
      <c r="G34" s="19"/>
      <c r="H34" s="20"/>
      <c r="I34" s="23"/>
      <c r="J34" s="23"/>
      <c r="K34" s="23"/>
      <c r="L34" s="23"/>
    </row>
    <row r="35" s="1" customFormat="1" spans="1:12">
      <c r="A35" s="40"/>
      <c r="B35" s="10" t="s">
        <v>1891</v>
      </c>
      <c r="C35" s="10" t="s">
        <v>216</v>
      </c>
      <c r="D35" s="10" t="s">
        <v>2961</v>
      </c>
      <c r="E35" s="20"/>
      <c r="F35" s="10"/>
      <c r="G35" s="19"/>
      <c r="H35" s="20"/>
      <c r="I35" s="23"/>
      <c r="J35" s="23"/>
      <c r="K35" s="23"/>
      <c r="L35" s="23"/>
    </row>
    <row r="36" s="1" customFormat="1" spans="1:12">
      <c r="A36" s="40"/>
      <c r="B36" s="10" t="s">
        <v>1313</v>
      </c>
      <c r="C36" s="10" t="s">
        <v>216</v>
      </c>
      <c r="D36" s="10" t="s">
        <v>1893</v>
      </c>
      <c r="E36" s="20"/>
      <c r="F36" s="10"/>
      <c r="G36" s="19"/>
      <c r="H36" s="20"/>
      <c r="I36" s="23"/>
      <c r="J36" s="23"/>
      <c r="K36" s="23"/>
      <c r="L36" s="23"/>
    </row>
    <row r="37" s="1" customFormat="1" spans="1:12">
      <c r="A37" s="40"/>
      <c r="B37" s="10" t="s">
        <v>2710</v>
      </c>
      <c r="C37" s="10" t="s">
        <v>220</v>
      </c>
      <c r="D37" s="10" t="s">
        <v>2962</v>
      </c>
      <c r="E37" s="20"/>
      <c r="F37" s="10"/>
      <c r="G37" s="19"/>
      <c r="H37" s="20"/>
      <c r="I37" s="23"/>
      <c r="J37" s="23"/>
      <c r="K37" s="23"/>
      <c r="L37" s="23"/>
    </row>
    <row r="38" s="1" customFormat="1" spans="1:12">
      <c r="A38" s="40"/>
      <c r="B38" s="10" t="s">
        <v>2829</v>
      </c>
      <c r="C38" s="10" t="s">
        <v>216</v>
      </c>
      <c r="D38" s="10" t="s">
        <v>2830</v>
      </c>
      <c r="E38" s="20"/>
      <c r="F38" s="10"/>
      <c r="G38" s="19"/>
      <c r="H38" s="20"/>
      <c r="I38" s="23"/>
      <c r="J38" s="23"/>
      <c r="K38" s="23"/>
      <c r="L38" s="23"/>
    </row>
    <row r="39" s="1" customFormat="1" spans="1:12">
      <c r="A39" s="40"/>
      <c r="B39" s="10" t="s">
        <v>2831</v>
      </c>
      <c r="C39" s="10" t="s">
        <v>216</v>
      </c>
      <c r="D39" s="10" t="s">
        <v>2832</v>
      </c>
      <c r="E39" s="20"/>
      <c r="F39" s="10"/>
      <c r="G39" s="19"/>
      <c r="H39" s="20"/>
      <c r="I39" s="23"/>
      <c r="J39" s="23"/>
      <c r="K39" s="23"/>
      <c r="L39" s="23"/>
    </row>
    <row r="40" s="1" customFormat="1" spans="1:12">
      <c r="A40" s="40"/>
      <c r="B40" s="10" t="s">
        <v>1878</v>
      </c>
      <c r="C40" s="10" t="s">
        <v>216</v>
      </c>
      <c r="D40" s="10" t="s">
        <v>2571</v>
      </c>
      <c r="E40" s="20"/>
      <c r="F40" s="10"/>
      <c r="G40" s="19"/>
      <c r="H40" s="20"/>
      <c r="I40" s="23"/>
      <c r="J40" s="23"/>
      <c r="K40" s="23"/>
      <c r="L40" s="23"/>
    </row>
    <row r="41" s="1" customFormat="1" spans="1:12">
      <c r="A41" s="40"/>
      <c r="B41" s="10" t="s">
        <v>1182</v>
      </c>
      <c r="C41" s="10" t="s">
        <v>216</v>
      </c>
      <c r="D41" s="10" t="s">
        <v>1183</v>
      </c>
      <c r="E41" s="20"/>
      <c r="F41" s="10"/>
      <c r="G41" s="19"/>
      <c r="H41" s="20"/>
      <c r="I41" s="23"/>
      <c r="J41" s="23"/>
      <c r="K41" s="23"/>
      <c r="L41" s="23"/>
    </row>
    <row r="42" s="1" customFormat="1" spans="1:12">
      <c r="A42" s="40"/>
      <c r="B42" s="10" t="s">
        <v>1184</v>
      </c>
      <c r="C42" s="10" t="s">
        <v>216</v>
      </c>
      <c r="D42" s="10" t="s">
        <v>2833</v>
      </c>
      <c r="E42" s="20"/>
      <c r="F42" s="10"/>
      <c r="G42" s="19"/>
      <c r="H42" s="20"/>
      <c r="I42" s="23"/>
      <c r="J42" s="23"/>
      <c r="K42" s="23"/>
      <c r="L42" s="23"/>
    </row>
    <row r="43" s="1" customFormat="1" spans="1:12">
      <c r="A43" s="40"/>
      <c r="B43" s="10" t="s">
        <v>1186</v>
      </c>
      <c r="C43" s="10" t="s">
        <v>216</v>
      </c>
      <c r="D43" s="10" t="s">
        <v>2834</v>
      </c>
      <c r="E43" s="20"/>
      <c r="F43" s="10"/>
      <c r="G43" s="19"/>
      <c r="H43" s="20"/>
      <c r="I43" s="23"/>
      <c r="J43" s="23"/>
      <c r="K43" s="23"/>
      <c r="L43" s="23"/>
    </row>
    <row r="44" s="1" customFormat="1" spans="1:12">
      <c r="A44" s="40"/>
      <c r="B44" s="10" t="s">
        <v>1188</v>
      </c>
      <c r="C44" s="10" t="s">
        <v>216</v>
      </c>
      <c r="D44" s="10" t="s">
        <v>2835</v>
      </c>
      <c r="E44" s="20"/>
      <c r="F44" s="10"/>
      <c r="G44" s="19"/>
      <c r="H44" s="20"/>
      <c r="I44" s="23"/>
      <c r="J44" s="23"/>
      <c r="K44" s="23"/>
      <c r="L44" s="23"/>
    </row>
    <row r="45" s="1" customFormat="1" spans="1:12">
      <c r="A45" s="40"/>
      <c r="B45" s="10" t="s">
        <v>1321</v>
      </c>
      <c r="C45" s="10" t="s">
        <v>275</v>
      </c>
      <c r="D45" s="10" t="s">
        <v>1322</v>
      </c>
      <c r="E45" s="20"/>
      <c r="F45" s="10"/>
      <c r="G45" s="19"/>
      <c r="H45" s="20"/>
      <c r="I45" s="23"/>
      <c r="J45" s="23"/>
      <c r="K45" s="23"/>
      <c r="L45" s="23"/>
    </row>
    <row r="46" s="1" customFormat="1" spans="1:12">
      <c r="A46" s="40"/>
      <c r="B46" s="10" t="s">
        <v>1351</v>
      </c>
      <c r="C46" s="10" t="s">
        <v>275</v>
      </c>
      <c r="D46" s="10" t="s">
        <v>1352</v>
      </c>
      <c r="E46" s="20"/>
      <c r="F46" s="10"/>
      <c r="G46" s="19"/>
      <c r="H46" s="20"/>
      <c r="I46" s="23"/>
      <c r="J46" s="23"/>
      <c r="K46" s="23"/>
      <c r="L46" s="23"/>
    </row>
    <row r="47" s="1" customFormat="1" spans="1:12">
      <c r="A47" s="40"/>
      <c r="B47" s="10" t="s">
        <v>1353</v>
      </c>
      <c r="C47" s="10" t="s">
        <v>275</v>
      </c>
      <c r="D47" s="10" t="s">
        <v>1354</v>
      </c>
      <c r="E47" s="20"/>
      <c r="F47" s="10"/>
      <c r="G47" s="19"/>
      <c r="H47" s="20"/>
      <c r="I47" s="23"/>
      <c r="J47" s="23"/>
      <c r="K47" s="23"/>
      <c r="L47" s="23"/>
    </row>
    <row r="48" s="1" customFormat="1" spans="1:12">
      <c r="A48" s="40"/>
      <c r="B48" s="10" t="s">
        <v>1355</v>
      </c>
      <c r="C48" s="10" t="s">
        <v>275</v>
      </c>
      <c r="D48" s="10" t="s">
        <v>1356</v>
      </c>
      <c r="E48" s="20"/>
      <c r="F48" s="10"/>
      <c r="G48" s="19"/>
      <c r="H48" s="20"/>
      <c r="I48" s="23"/>
      <c r="J48" s="23"/>
      <c r="K48" s="23"/>
      <c r="L48" s="23"/>
    </row>
    <row r="49" s="1" customFormat="1" spans="1:12">
      <c r="A49" s="40"/>
      <c r="B49" s="10" t="s">
        <v>1357</v>
      </c>
      <c r="C49" s="10" t="s">
        <v>275</v>
      </c>
      <c r="D49" s="10" t="s">
        <v>1358</v>
      </c>
      <c r="E49" s="20"/>
      <c r="F49" s="10"/>
      <c r="G49" s="19"/>
      <c r="H49" s="20"/>
      <c r="I49" s="23"/>
      <c r="J49" s="23"/>
      <c r="K49" s="23"/>
      <c r="L49" s="23"/>
    </row>
    <row r="50" s="1" customFormat="1" spans="1:12">
      <c r="A50" s="40"/>
      <c r="B50" s="10" t="s">
        <v>1359</v>
      </c>
      <c r="C50" s="10" t="s">
        <v>275</v>
      </c>
      <c r="D50" s="10" t="s">
        <v>1360</v>
      </c>
      <c r="E50" s="20"/>
      <c r="F50" s="10"/>
      <c r="G50" s="19"/>
      <c r="H50" s="20"/>
      <c r="I50" s="23"/>
      <c r="J50" s="23"/>
      <c r="K50" s="23"/>
      <c r="L50" s="23"/>
    </row>
    <row r="51" s="1" customFormat="1" spans="1:12">
      <c r="A51" s="40"/>
      <c r="B51" s="10" t="s">
        <v>1361</v>
      </c>
      <c r="C51" s="10" t="s">
        <v>275</v>
      </c>
      <c r="D51" s="10" t="s">
        <v>1362</v>
      </c>
      <c r="E51" s="20"/>
      <c r="F51" s="10"/>
      <c r="G51" s="19"/>
      <c r="H51" s="20"/>
      <c r="I51" s="23"/>
      <c r="J51" s="23"/>
      <c r="K51" s="23"/>
      <c r="L51" s="23"/>
    </row>
    <row r="52" s="1" customFormat="1" spans="1:12">
      <c r="A52" s="40"/>
      <c r="B52" s="10" t="s">
        <v>1363</v>
      </c>
      <c r="C52" s="10" t="s">
        <v>275</v>
      </c>
      <c r="D52" s="10" t="s">
        <v>1364</v>
      </c>
      <c r="E52" s="20"/>
      <c r="F52" s="10"/>
      <c r="G52" s="19"/>
      <c r="H52" s="20"/>
      <c r="I52" s="23"/>
      <c r="J52" s="23"/>
      <c r="K52" s="23"/>
      <c r="L52" s="23"/>
    </row>
    <row r="53" s="1" customFormat="1" spans="1:12">
      <c r="A53" s="40"/>
      <c r="B53" s="10" t="s">
        <v>1365</v>
      </c>
      <c r="C53" s="10" t="s">
        <v>275</v>
      </c>
      <c r="D53" s="10" t="s">
        <v>1366</v>
      </c>
      <c r="E53" s="20"/>
      <c r="F53" s="10"/>
      <c r="G53" s="19"/>
      <c r="H53" s="20"/>
      <c r="I53" s="23"/>
      <c r="J53" s="23"/>
      <c r="K53" s="23"/>
      <c r="L53" s="23"/>
    </row>
    <row r="54" s="1" customFormat="1" spans="1:12">
      <c r="A54" s="40"/>
      <c r="B54" s="10" t="s">
        <v>1367</v>
      </c>
      <c r="C54" s="10" t="s">
        <v>275</v>
      </c>
      <c r="D54" s="10" t="s">
        <v>1368</v>
      </c>
      <c r="E54" s="20"/>
      <c r="F54" s="10"/>
      <c r="G54" s="19"/>
      <c r="H54" s="20"/>
      <c r="I54" s="23"/>
      <c r="J54" s="23"/>
      <c r="K54" s="23"/>
      <c r="L54" s="23"/>
    </row>
    <row r="55" s="1" customFormat="1" spans="1:12">
      <c r="A55" s="40"/>
      <c r="B55" s="10" t="s">
        <v>1369</v>
      </c>
      <c r="C55" s="10" t="s">
        <v>275</v>
      </c>
      <c r="D55" s="10" t="s">
        <v>1370</v>
      </c>
      <c r="E55" s="20"/>
      <c r="F55" s="10"/>
      <c r="G55" s="19"/>
      <c r="H55" s="20"/>
      <c r="I55" s="23"/>
      <c r="J55" s="23"/>
      <c r="K55" s="23"/>
      <c r="L55" s="23"/>
    </row>
    <row r="56" s="1" customFormat="1" spans="1:12">
      <c r="A56" s="40"/>
      <c r="B56" s="10" t="s">
        <v>1371</v>
      </c>
      <c r="C56" s="10" t="s">
        <v>275</v>
      </c>
      <c r="D56" s="10" t="s">
        <v>1372</v>
      </c>
      <c r="E56" s="20"/>
      <c r="F56" s="10"/>
      <c r="G56" s="19"/>
      <c r="H56" s="20"/>
      <c r="I56" s="23"/>
      <c r="J56" s="23"/>
      <c r="K56" s="23"/>
      <c r="L56" s="23"/>
    </row>
    <row r="57" s="1" customFormat="1" spans="1:12">
      <c r="A57" s="40"/>
      <c r="B57" s="10" t="s">
        <v>1373</v>
      </c>
      <c r="C57" s="10" t="s">
        <v>275</v>
      </c>
      <c r="D57" s="10" t="s">
        <v>1374</v>
      </c>
      <c r="E57" s="20"/>
      <c r="F57" s="10"/>
      <c r="G57" s="19"/>
      <c r="H57" s="20"/>
      <c r="I57" s="23"/>
      <c r="J57" s="23"/>
      <c r="K57" s="23"/>
      <c r="L57" s="23"/>
    </row>
    <row r="58" s="1" customFormat="1" spans="1:12">
      <c r="A58" s="40"/>
      <c r="B58" s="10" t="s">
        <v>1375</v>
      </c>
      <c r="C58" s="10" t="s">
        <v>275</v>
      </c>
      <c r="D58" s="10" t="s">
        <v>1376</v>
      </c>
      <c r="E58" s="20"/>
      <c r="F58" s="10"/>
      <c r="G58" s="19"/>
      <c r="H58" s="20"/>
      <c r="I58" s="23"/>
      <c r="J58" s="23"/>
      <c r="K58" s="23"/>
      <c r="L58" s="23"/>
    </row>
    <row r="59" s="1" customFormat="1" spans="1:12">
      <c r="A59" s="40"/>
      <c r="B59" s="10" t="s">
        <v>1377</v>
      </c>
      <c r="C59" s="10" t="s">
        <v>275</v>
      </c>
      <c r="D59" s="10" t="s">
        <v>1378</v>
      </c>
      <c r="E59" s="20"/>
      <c r="F59" s="10"/>
      <c r="G59" s="19"/>
      <c r="H59" s="20"/>
      <c r="I59" s="23"/>
      <c r="J59" s="23"/>
      <c r="K59" s="23"/>
      <c r="L59" s="23"/>
    </row>
    <row r="60" s="1" customFormat="1" spans="1:12">
      <c r="A60" s="40"/>
      <c r="B60" s="10" t="s">
        <v>1391</v>
      </c>
      <c r="C60" s="10" t="s">
        <v>275</v>
      </c>
      <c r="D60" s="10" t="s">
        <v>1392</v>
      </c>
      <c r="E60" s="20"/>
      <c r="F60" s="10"/>
      <c r="G60" s="19"/>
      <c r="H60" s="20"/>
      <c r="I60" s="23"/>
      <c r="J60" s="23"/>
      <c r="K60" s="23"/>
      <c r="L60" s="23"/>
    </row>
    <row r="61" s="1" customFormat="1" spans="1:12">
      <c r="A61" s="40"/>
      <c r="B61" s="10" t="s">
        <v>1393</v>
      </c>
      <c r="C61" s="10" t="s">
        <v>275</v>
      </c>
      <c r="D61" s="10" t="s">
        <v>1394</v>
      </c>
      <c r="E61" s="20"/>
      <c r="F61" s="10"/>
      <c r="G61" s="19"/>
      <c r="H61" s="20"/>
      <c r="I61" s="23"/>
      <c r="J61" s="23"/>
      <c r="K61" s="23"/>
      <c r="L61" s="23"/>
    </row>
    <row r="62" s="1" customFormat="1" spans="1:12">
      <c r="A62" s="40"/>
      <c r="B62" s="10" t="s">
        <v>1323</v>
      </c>
      <c r="C62" s="10" t="s">
        <v>275</v>
      </c>
      <c r="D62" s="10" t="s">
        <v>1324</v>
      </c>
      <c r="E62" s="20"/>
      <c r="F62" s="10"/>
      <c r="G62" s="19"/>
      <c r="H62" s="20"/>
      <c r="I62" s="23"/>
      <c r="J62" s="23"/>
      <c r="K62" s="23"/>
      <c r="L62" s="23"/>
    </row>
    <row r="63" s="1" customFormat="1" spans="1:12">
      <c r="A63" s="40"/>
      <c r="B63" s="10" t="s">
        <v>1325</v>
      </c>
      <c r="C63" s="10" t="s">
        <v>275</v>
      </c>
      <c r="D63" s="10" t="s">
        <v>1326</v>
      </c>
      <c r="E63" s="20"/>
      <c r="F63" s="10"/>
      <c r="G63" s="19"/>
      <c r="H63" s="20"/>
      <c r="I63" s="23"/>
      <c r="J63" s="23"/>
      <c r="K63" s="23"/>
      <c r="L63" s="23"/>
    </row>
    <row r="64" s="1" customFormat="1" spans="1:12">
      <c r="A64" s="40"/>
      <c r="B64" s="10" t="s">
        <v>1327</v>
      </c>
      <c r="C64" s="10" t="s">
        <v>275</v>
      </c>
      <c r="D64" s="10" t="s">
        <v>1328</v>
      </c>
      <c r="E64" s="20"/>
      <c r="F64" s="10"/>
      <c r="G64" s="19"/>
      <c r="H64" s="20"/>
      <c r="I64" s="23"/>
      <c r="J64" s="23"/>
      <c r="K64" s="23"/>
      <c r="L64" s="23"/>
    </row>
    <row r="65" s="1" customFormat="1" spans="1:12">
      <c r="A65" s="40"/>
      <c r="B65" s="10" t="s">
        <v>1329</v>
      </c>
      <c r="C65" s="10" t="s">
        <v>275</v>
      </c>
      <c r="D65" s="10" t="s">
        <v>1330</v>
      </c>
      <c r="E65" s="20"/>
      <c r="F65" s="10"/>
      <c r="G65" s="19"/>
      <c r="H65" s="20"/>
      <c r="I65" s="23"/>
      <c r="J65" s="23"/>
      <c r="K65" s="23"/>
      <c r="L65" s="23"/>
    </row>
    <row r="66" s="1" customFormat="1" spans="1:12">
      <c r="A66" s="40"/>
      <c r="B66" s="10" t="s">
        <v>1331</v>
      </c>
      <c r="C66" s="10" t="s">
        <v>275</v>
      </c>
      <c r="D66" s="10" t="s">
        <v>1332</v>
      </c>
      <c r="E66" s="20"/>
      <c r="F66" s="10"/>
      <c r="G66" s="19"/>
      <c r="H66" s="20"/>
      <c r="I66" s="23"/>
      <c r="J66" s="23"/>
      <c r="K66" s="23"/>
      <c r="L66" s="23"/>
    </row>
    <row r="67" s="1" customFormat="1" spans="1:12">
      <c r="A67" s="40"/>
      <c r="B67" s="10" t="s">
        <v>1333</v>
      </c>
      <c r="C67" s="10" t="s">
        <v>275</v>
      </c>
      <c r="D67" s="10" t="s">
        <v>1334</v>
      </c>
      <c r="E67" s="20"/>
      <c r="F67" s="10"/>
      <c r="G67" s="19"/>
      <c r="H67" s="20"/>
      <c r="I67" s="23"/>
      <c r="J67" s="23"/>
      <c r="K67" s="23"/>
      <c r="L67" s="23"/>
    </row>
    <row r="68" s="1" customFormat="1" spans="1:12">
      <c r="A68" s="40"/>
      <c r="B68" s="10" t="s">
        <v>1335</v>
      </c>
      <c r="C68" s="10" t="s">
        <v>275</v>
      </c>
      <c r="D68" s="10" t="s">
        <v>1336</v>
      </c>
      <c r="E68" s="20"/>
      <c r="F68" s="10"/>
      <c r="G68" s="19"/>
      <c r="H68" s="20"/>
      <c r="I68" s="23"/>
      <c r="J68" s="23"/>
      <c r="K68" s="23"/>
      <c r="L68" s="23"/>
    </row>
    <row r="69" s="1" customFormat="1" spans="1:12">
      <c r="A69" s="40"/>
      <c r="B69" s="10" t="s">
        <v>1337</v>
      </c>
      <c r="C69" s="10" t="s">
        <v>275</v>
      </c>
      <c r="D69" s="10" t="s">
        <v>1338</v>
      </c>
      <c r="E69" s="20"/>
      <c r="F69" s="10"/>
      <c r="G69" s="19"/>
      <c r="H69" s="20"/>
      <c r="I69" s="23"/>
      <c r="J69" s="23"/>
      <c r="K69" s="23"/>
      <c r="L69" s="23"/>
    </row>
    <row r="70" s="1" customFormat="1" spans="1:12">
      <c r="A70" s="40"/>
      <c r="B70" s="10" t="s">
        <v>2111</v>
      </c>
      <c r="C70" s="10" t="s">
        <v>275</v>
      </c>
      <c r="D70" s="10" t="s">
        <v>1340</v>
      </c>
      <c r="E70" s="20"/>
      <c r="F70" s="10"/>
      <c r="G70" s="19"/>
      <c r="H70" s="20"/>
      <c r="I70" s="23"/>
      <c r="J70" s="23"/>
      <c r="K70" s="23"/>
      <c r="L70" s="23"/>
    </row>
    <row r="71" s="1" customFormat="1" spans="1:12">
      <c r="A71" s="40"/>
      <c r="B71" s="10" t="s">
        <v>2112</v>
      </c>
      <c r="C71" s="10" t="s">
        <v>275</v>
      </c>
      <c r="D71" s="10" t="s">
        <v>1342</v>
      </c>
      <c r="E71" s="20"/>
      <c r="F71" s="10"/>
      <c r="G71" s="19"/>
      <c r="H71" s="20"/>
      <c r="I71" s="23"/>
      <c r="J71" s="23"/>
      <c r="K71" s="23"/>
      <c r="L71" s="23"/>
    </row>
    <row r="72" s="1" customFormat="1" spans="1:12">
      <c r="A72" s="40"/>
      <c r="B72" s="10" t="s">
        <v>2702</v>
      </c>
      <c r="C72" s="10" t="s">
        <v>275</v>
      </c>
      <c r="D72" s="10" t="s">
        <v>1380</v>
      </c>
      <c r="E72" s="20"/>
      <c r="F72" s="10"/>
      <c r="G72" s="19"/>
      <c r="H72" s="20"/>
      <c r="I72" s="23"/>
      <c r="J72" s="23"/>
      <c r="K72" s="23"/>
      <c r="L72" s="23"/>
    </row>
    <row r="73" s="1" customFormat="1" spans="1:12">
      <c r="A73" s="40"/>
      <c r="B73" s="10" t="s">
        <v>2703</v>
      </c>
      <c r="C73" s="10" t="s">
        <v>275</v>
      </c>
      <c r="D73" s="10" t="s">
        <v>1382</v>
      </c>
      <c r="E73" s="20"/>
      <c r="F73" s="10"/>
      <c r="G73" s="19"/>
      <c r="H73" s="20"/>
      <c r="I73" s="23"/>
      <c r="J73" s="23"/>
      <c r="K73" s="23"/>
      <c r="L73" s="23"/>
    </row>
    <row r="74" s="1" customFormat="1" spans="1:12">
      <c r="A74" s="40"/>
      <c r="B74" s="10" t="s">
        <v>1395</v>
      </c>
      <c r="C74" s="10" t="s">
        <v>275</v>
      </c>
      <c r="D74" s="10" t="s">
        <v>1396</v>
      </c>
      <c r="E74" s="20"/>
      <c r="F74" s="10"/>
      <c r="G74" s="19"/>
      <c r="H74" s="20"/>
      <c r="I74" s="23"/>
      <c r="J74" s="23"/>
      <c r="K74" s="23"/>
      <c r="L74" s="23"/>
    </row>
    <row r="75" s="1" customFormat="1" spans="1:12">
      <c r="A75" s="40"/>
      <c r="B75" s="10" t="s">
        <v>1397</v>
      </c>
      <c r="C75" s="10" t="s">
        <v>275</v>
      </c>
      <c r="D75" s="10" t="s">
        <v>1398</v>
      </c>
      <c r="E75" s="20"/>
      <c r="F75" s="10"/>
      <c r="G75" s="19"/>
      <c r="H75" s="20"/>
      <c r="I75" s="23"/>
      <c r="J75" s="23"/>
      <c r="K75" s="23"/>
      <c r="L75" s="23"/>
    </row>
    <row r="76" s="1" customFormat="1" spans="1:12">
      <c r="A76" s="40"/>
      <c r="B76" s="10" t="s">
        <v>1399</v>
      </c>
      <c r="C76" s="10" t="s">
        <v>275</v>
      </c>
      <c r="D76" s="10" t="s">
        <v>1400</v>
      </c>
      <c r="E76" s="20"/>
      <c r="F76" s="10"/>
      <c r="G76" s="19"/>
      <c r="H76" s="20"/>
      <c r="I76" s="23"/>
      <c r="J76" s="23"/>
      <c r="K76" s="23"/>
      <c r="L76" s="23"/>
    </row>
    <row r="77" s="1" customFormat="1" spans="1:12">
      <c r="A77" s="40"/>
      <c r="B77" s="10" t="s">
        <v>1401</v>
      </c>
      <c r="C77" s="10" t="s">
        <v>275</v>
      </c>
      <c r="D77" s="10" t="s">
        <v>1402</v>
      </c>
      <c r="E77" s="20"/>
      <c r="F77" s="10"/>
      <c r="G77" s="19"/>
      <c r="H77" s="20"/>
      <c r="I77" s="23"/>
      <c r="J77" s="23"/>
      <c r="K77" s="23"/>
      <c r="L77" s="23"/>
    </row>
    <row r="78" s="1" customFormat="1" spans="1:12">
      <c r="A78" s="40"/>
      <c r="B78" s="10" t="s">
        <v>1403</v>
      </c>
      <c r="C78" s="10" t="s">
        <v>275</v>
      </c>
      <c r="D78" s="10" t="s">
        <v>1404</v>
      </c>
      <c r="E78" s="20"/>
      <c r="F78" s="10"/>
      <c r="G78" s="19"/>
      <c r="H78" s="20"/>
      <c r="I78" s="23"/>
      <c r="J78" s="23"/>
      <c r="K78" s="23"/>
      <c r="L78" s="23"/>
    </row>
    <row r="79" s="1" customFormat="1" spans="1:12">
      <c r="A79" s="40"/>
      <c r="B79" s="10" t="s">
        <v>1405</v>
      </c>
      <c r="C79" s="10" t="s">
        <v>275</v>
      </c>
      <c r="D79" s="10" t="s">
        <v>1406</v>
      </c>
      <c r="E79" s="20"/>
      <c r="F79" s="10"/>
      <c r="G79" s="19"/>
      <c r="H79" s="20"/>
      <c r="I79" s="23"/>
      <c r="J79" s="23"/>
      <c r="K79" s="23"/>
      <c r="L79" s="23"/>
    </row>
    <row r="80" s="1" customFormat="1" spans="1:12">
      <c r="A80" s="40"/>
      <c r="B80" s="10" t="s">
        <v>1284</v>
      </c>
      <c r="C80" s="10" t="s">
        <v>275</v>
      </c>
      <c r="D80" s="10" t="s">
        <v>1285</v>
      </c>
      <c r="E80" s="20"/>
      <c r="F80" s="10"/>
      <c r="G80" s="19"/>
      <c r="H80" s="20"/>
      <c r="I80" s="23"/>
      <c r="J80" s="23"/>
      <c r="K80" s="23"/>
      <c r="L80" s="23"/>
    </row>
    <row r="81" s="1" customFormat="1" spans="1:12">
      <c r="A81" s="40"/>
      <c r="B81" s="10" t="s">
        <v>1407</v>
      </c>
      <c r="C81" s="10" t="s">
        <v>275</v>
      </c>
      <c r="D81" s="10" t="s">
        <v>1408</v>
      </c>
      <c r="E81" s="20"/>
      <c r="F81" s="10"/>
      <c r="G81" s="19"/>
      <c r="H81" s="20"/>
      <c r="I81" s="23"/>
      <c r="J81" s="23"/>
      <c r="K81" s="23"/>
      <c r="L81" s="23"/>
    </row>
    <row r="82" s="1" customFormat="1" spans="1:12">
      <c r="A82" s="40"/>
      <c r="B82" s="10" t="s">
        <v>1409</v>
      </c>
      <c r="C82" s="10" t="s">
        <v>275</v>
      </c>
      <c r="D82" s="10" t="s">
        <v>2746</v>
      </c>
      <c r="E82" s="20"/>
      <c r="F82" s="10"/>
      <c r="G82" s="19"/>
      <c r="H82" s="20"/>
      <c r="I82" s="23"/>
      <c r="J82" s="23"/>
      <c r="K82" s="23"/>
      <c r="L82" s="23"/>
    </row>
    <row r="83" s="1" customFormat="1" spans="1:12">
      <c r="A83" s="40"/>
      <c r="B83" s="10" t="s">
        <v>1411</v>
      </c>
      <c r="C83" s="10" t="s">
        <v>275</v>
      </c>
      <c r="D83" s="10" t="s">
        <v>1412</v>
      </c>
      <c r="E83" s="20"/>
      <c r="F83" s="10"/>
      <c r="G83" s="19"/>
      <c r="H83" s="20"/>
      <c r="I83" s="23"/>
      <c r="J83" s="23"/>
      <c r="K83" s="23"/>
      <c r="L83" s="23"/>
    </row>
    <row r="84" s="1" customFormat="1" spans="1:12">
      <c r="A84" s="40"/>
      <c r="B84" s="10" t="s">
        <v>1413</v>
      </c>
      <c r="C84" s="10" t="s">
        <v>275</v>
      </c>
      <c r="D84" s="10" t="s">
        <v>1414</v>
      </c>
      <c r="E84" s="20"/>
      <c r="F84" s="10"/>
      <c r="G84" s="19"/>
      <c r="H84" s="20"/>
      <c r="I84" s="23"/>
      <c r="J84" s="23"/>
      <c r="K84" s="23"/>
      <c r="L84" s="23"/>
    </row>
    <row r="85" s="1" customFormat="1" spans="1:12">
      <c r="A85" s="40"/>
      <c r="B85" s="10" t="s">
        <v>1415</v>
      </c>
      <c r="C85" s="10" t="s">
        <v>275</v>
      </c>
      <c r="D85" s="10" t="s">
        <v>1416</v>
      </c>
      <c r="E85" s="20"/>
      <c r="F85" s="10"/>
      <c r="G85" s="19"/>
      <c r="H85" s="20"/>
      <c r="I85" s="23"/>
      <c r="J85" s="23"/>
      <c r="K85" s="23"/>
      <c r="L85" s="23"/>
    </row>
    <row r="86" s="1" customFormat="1" spans="1:12">
      <c r="A86" s="40"/>
      <c r="B86" s="10" t="s">
        <v>1417</v>
      </c>
      <c r="C86" s="10" t="s">
        <v>275</v>
      </c>
      <c r="D86" s="10" t="s">
        <v>1418</v>
      </c>
      <c r="E86" s="20"/>
      <c r="F86" s="10"/>
      <c r="G86" s="19"/>
      <c r="H86" s="20"/>
      <c r="I86" s="23"/>
      <c r="J86" s="23"/>
      <c r="K86" s="23"/>
      <c r="L86" s="23"/>
    </row>
    <row r="87" s="1" customFormat="1" spans="1:12">
      <c r="A87" s="40"/>
      <c r="B87" s="10" t="s">
        <v>1419</v>
      </c>
      <c r="C87" s="10" t="s">
        <v>275</v>
      </c>
      <c r="D87" s="10" t="s">
        <v>1420</v>
      </c>
      <c r="E87" s="20"/>
      <c r="F87" s="10"/>
      <c r="G87" s="19"/>
      <c r="H87" s="20"/>
      <c r="I87" s="23"/>
      <c r="J87" s="23"/>
      <c r="K87" s="23"/>
      <c r="L87" s="23"/>
    </row>
    <row r="88" s="1" customFormat="1" spans="1:12">
      <c r="A88" s="40"/>
      <c r="B88" s="10" t="s">
        <v>1274</v>
      </c>
      <c r="C88" s="10" t="s">
        <v>275</v>
      </c>
      <c r="D88" s="10" t="s">
        <v>1421</v>
      </c>
      <c r="E88" s="20"/>
      <c r="F88" s="10"/>
      <c r="G88" s="19"/>
      <c r="H88" s="20"/>
      <c r="I88" s="23"/>
      <c r="J88" s="23"/>
      <c r="K88" s="23"/>
      <c r="L88" s="23"/>
    </row>
    <row r="89" s="1" customFormat="1" spans="1:12">
      <c r="A89" s="40"/>
      <c r="B89" s="10" t="s">
        <v>1422</v>
      </c>
      <c r="C89" s="10" t="s">
        <v>275</v>
      </c>
      <c r="D89" s="10" t="s">
        <v>1283</v>
      </c>
      <c r="E89" s="20"/>
      <c r="F89" s="10"/>
      <c r="G89" s="19"/>
      <c r="H89" s="20"/>
      <c r="I89" s="23"/>
      <c r="J89" s="23"/>
      <c r="K89" s="23"/>
      <c r="L89" s="23"/>
    </row>
    <row r="90" s="1" customFormat="1" spans="1:12">
      <c r="A90" s="40"/>
      <c r="B90" s="10" t="s">
        <v>1280</v>
      </c>
      <c r="C90" s="10" t="s">
        <v>275</v>
      </c>
      <c r="D90" s="10" t="s">
        <v>1423</v>
      </c>
      <c r="E90" s="20"/>
      <c r="F90" s="10"/>
      <c r="G90" s="19"/>
      <c r="H90" s="20"/>
      <c r="I90" s="23"/>
      <c r="J90" s="23"/>
      <c r="K90" s="23"/>
      <c r="L90" s="23"/>
    </row>
    <row r="91" s="1" customFormat="1" spans="1:12">
      <c r="A91" s="40"/>
      <c r="B91" s="10" t="s">
        <v>1270</v>
      </c>
      <c r="C91" s="10" t="s">
        <v>275</v>
      </c>
      <c r="D91" s="10" t="s">
        <v>1271</v>
      </c>
      <c r="E91" s="20"/>
      <c r="F91" s="10"/>
      <c r="G91" s="19"/>
      <c r="H91" s="20"/>
      <c r="I91" s="23"/>
      <c r="J91" s="23"/>
      <c r="K91" s="23"/>
      <c r="L91" s="23"/>
    </row>
    <row r="92" s="1" customFormat="1" spans="1:12">
      <c r="A92" s="40"/>
      <c r="B92" s="10" t="s">
        <v>1424</v>
      </c>
      <c r="C92" s="10" t="s">
        <v>275</v>
      </c>
      <c r="D92" s="10" t="s">
        <v>1273</v>
      </c>
      <c r="E92" s="20"/>
      <c r="F92" s="10"/>
      <c r="G92" s="19"/>
      <c r="H92" s="20"/>
      <c r="I92" s="23"/>
      <c r="J92" s="23"/>
      <c r="K92" s="23"/>
      <c r="L92" s="23"/>
    </row>
    <row r="93" s="1" customFormat="1" spans="1:12">
      <c r="A93" s="40"/>
      <c r="B93" s="10" t="s">
        <v>1425</v>
      </c>
      <c r="C93" s="10" t="s">
        <v>275</v>
      </c>
      <c r="D93" s="10" t="s">
        <v>1426</v>
      </c>
      <c r="E93" s="20"/>
      <c r="F93" s="10"/>
      <c r="G93" s="19"/>
      <c r="H93" s="20"/>
      <c r="I93" s="23"/>
      <c r="J93" s="23"/>
      <c r="K93" s="23"/>
      <c r="L93" s="23"/>
    </row>
    <row r="94" s="1" customFormat="1" spans="1:12">
      <c r="A94" s="40"/>
      <c r="B94" s="10" t="s">
        <v>1427</v>
      </c>
      <c r="C94" s="10" t="s">
        <v>275</v>
      </c>
      <c r="D94" s="10" t="s">
        <v>1428</v>
      </c>
      <c r="E94" s="20"/>
      <c r="F94" s="10"/>
      <c r="G94" s="19"/>
      <c r="H94" s="20"/>
      <c r="I94" s="23"/>
      <c r="J94" s="23"/>
      <c r="K94" s="23"/>
      <c r="L94" s="23"/>
    </row>
    <row r="95" s="1" customFormat="1" spans="1:12">
      <c r="A95" s="40"/>
      <c r="B95" s="10" t="s">
        <v>1429</v>
      </c>
      <c r="C95" s="10" t="s">
        <v>275</v>
      </c>
      <c r="D95" s="10" t="s">
        <v>1430</v>
      </c>
      <c r="E95" s="20"/>
      <c r="F95" s="10"/>
      <c r="G95" s="19"/>
      <c r="H95" s="20"/>
      <c r="I95" s="23"/>
      <c r="J95" s="23"/>
      <c r="K95" s="23"/>
      <c r="L95" s="23"/>
    </row>
    <row r="96" s="1" customFormat="1" spans="1:12">
      <c r="A96" s="40"/>
      <c r="B96" s="10" t="s">
        <v>2721</v>
      </c>
      <c r="C96" s="10" t="s">
        <v>275</v>
      </c>
      <c r="D96" s="10" t="s">
        <v>1432</v>
      </c>
      <c r="E96" s="20"/>
      <c r="F96" s="10"/>
      <c r="G96" s="19"/>
      <c r="H96" s="20"/>
      <c r="I96" s="23"/>
      <c r="J96" s="23"/>
      <c r="K96" s="23"/>
      <c r="L96" s="23"/>
    </row>
    <row r="97" s="1" customFormat="1" spans="1:12">
      <c r="A97" s="40"/>
      <c r="B97" s="10" t="s">
        <v>2722</v>
      </c>
      <c r="C97" s="10" t="s">
        <v>275</v>
      </c>
      <c r="D97" s="10" t="s">
        <v>1434</v>
      </c>
      <c r="E97" s="20"/>
      <c r="F97" s="10"/>
      <c r="G97" s="19"/>
      <c r="H97" s="20"/>
      <c r="I97" s="23"/>
      <c r="J97" s="23"/>
      <c r="K97" s="23"/>
      <c r="L97" s="23"/>
    </row>
    <row r="98" s="1" customFormat="1" spans="1:12">
      <c r="A98" s="40"/>
      <c r="B98" s="10" t="s">
        <v>1435</v>
      </c>
      <c r="C98" s="10" t="s">
        <v>275</v>
      </c>
      <c r="D98" s="10" t="s">
        <v>1436</v>
      </c>
      <c r="E98" s="20"/>
      <c r="F98" s="10"/>
      <c r="G98" s="19"/>
      <c r="H98" s="20"/>
      <c r="I98" s="23"/>
      <c r="J98" s="23"/>
      <c r="K98" s="23"/>
      <c r="L98" s="23"/>
    </row>
    <row r="99" s="1" customFormat="1" spans="1:12">
      <c r="A99" s="40"/>
      <c r="B99" s="10" t="s">
        <v>1437</v>
      </c>
      <c r="C99" s="10" t="s">
        <v>275</v>
      </c>
      <c r="D99" s="10" t="s">
        <v>1438</v>
      </c>
      <c r="E99" s="20"/>
      <c r="F99" s="10"/>
      <c r="G99" s="19"/>
      <c r="H99" s="20"/>
      <c r="I99" s="23"/>
      <c r="J99" s="23"/>
      <c r="K99" s="23"/>
      <c r="L99" s="23"/>
    </row>
    <row r="100" s="1" customFormat="1" spans="1:12">
      <c r="A100" s="40"/>
      <c r="B100" s="10" t="s">
        <v>1439</v>
      </c>
      <c r="C100" s="10" t="s">
        <v>275</v>
      </c>
      <c r="D100" s="10" t="s">
        <v>1440</v>
      </c>
      <c r="E100" s="20"/>
      <c r="F100" s="10"/>
      <c r="G100" s="19"/>
      <c r="H100" s="20"/>
      <c r="I100" s="23"/>
      <c r="J100" s="23"/>
      <c r="K100" s="23"/>
      <c r="L100" s="23"/>
    </row>
    <row r="101" s="1" customFormat="1" spans="1:12">
      <c r="A101" s="40"/>
      <c r="B101" s="10" t="s">
        <v>1441</v>
      </c>
      <c r="C101" s="10" t="s">
        <v>275</v>
      </c>
      <c r="D101" s="10" t="s">
        <v>1442</v>
      </c>
      <c r="E101" s="20"/>
      <c r="F101" s="10"/>
      <c r="G101" s="19"/>
      <c r="H101" s="20"/>
      <c r="I101" s="23"/>
      <c r="J101" s="23"/>
      <c r="K101" s="23"/>
      <c r="L101" s="23"/>
    </row>
    <row r="102" s="1" customFormat="1" spans="1:12">
      <c r="A102" s="40"/>
      <c r="B102" s="10" t="s">
        <v>1443</v>
      </c>
      <c r="C102" s="10" t="s">
        <v>275</v>
      </c>
      <c r="D102" s="10" t="s">
        <v>1444</v>
      </c>
      <c r="E102" s="20"/>
      <c r="F102" s="10"/>
      <c r="G102" s="19"/>
      <c r="H102" s="20"/>
      <c r="I102" s="23"/>
      <c r="J102" s="23"/>
      <c r="K102" s="23"/>
      <c r="L102" s="23"/>
    </row>
    <row r="103" s="1" customFormat="1" spans="1:12">
      <c r="A103" s="40"/>
      <c r="B103" s="10" t="s">
        <v>1445</v>
      </c>
      <c r="C103" s="10" t="s">
        <v>275</v>
      </c>
      <c r="D103" s="10" t="s">
        <v>1446</v>
      </c>
      <c r="E103" s="20"/>
      <c r="F103" s="10"/>
      <c r="G103" s="19"/>
      <c r="H103" s="20"/>
      <c r="I103" s="23"/>
      <c r="J103" s="23"/>
      <c r="K103" s="23"/>
      <c r="L103" s="23"/>
    </row>
    <row r="104" s="1" customFormat="1" spans="1:12">
      <c r="A104" s="40"/>
      <c r="B104" s="10" t="s">
        <v>1447</v>
      </c>
      <c r="C104" s="10" t="s">
        <v>275</v>
      </c>
      <c r="D104" s="10" t="s">
        <v>1448</v>
      </c>
      <c r="E104" s="20"/>
      <c r="F104" s="10"/>
      <c r="G104" s="19"/>
      <c r="H104" s="20"/>
      <c r="I104" s="23"/>
      <c r="J104" s="23"/>
      <c r="K104" s="23"/>
      <c r="L104" s="23"/>
    </row>
    <row r="105" s="1" customFormat="1" spans="1:12">
      <c r="A105" s="40"/>
      <c r="B105" s="19" t="s">
        <v>1449</v>
      </c>
      <c r="C105" s="19" t="s">
        <v>275</v>
      </c>
      <c r="D105" s="10" t="s">
        <v>1450</v>
      </c>
      <c r="E105" s="20"/>
      <c r="F105" s="19"/>
      <c r="G105" s="19"/>
      <c r="H105" s="20"/>
      <c r="I105" s="23"/>
      <c r="J105" s="23"/>
      <c r="K105" s="23"/>
      <c r="L105" s="23"/>
    </row>
    <row r="106" s="1" customFormat="1" spans="1:12">
      <c r="A106" s="40"/>
      <c r="B106" s="10" t="s">
        <v>1451</v>
      </c>
      <c r="C106" s="10" t="s">
        <v>275</v>
      </c>
      <c r="D106" s="10" t="s">
        <v>1452</v>
      </c>
      <c r="E106" s="20"/>
      <c r="F106" s="19"/>
      <c r="G106" s="10"/>
      <c r="H106" s="20"/>
      <c r="I106" s="23"/>
      <c r="J106" s="23"/>
      <c r="K106" s="23"/>
      <c r="L106" s="23"/>
    </row>
    <row r="107" s="1" customFormat="1" spans="1:12">
      <c r="A107" s="40"/>
      <c r="B107" s="10" t="s">
        <v>1453</v>
      </c>
      <c r="C107" s="10" t="s">
        <v>275</v>
      </c>
      <c r="D107" s="10" t="s">
        <v>1454</v>
      </c>
      <c r="E107" s="20"/>
      <c r="F107" s="19"/>
      <c r="G107" s="10"/>
      <c r="H107" s="20"/>
      <c r="I107" s="23"/>
      <c r="J107" s="23"/>
      <c r="K107" s="23"/>
      <c r="L107" s="23"/>
    </row>
    <row r="108" s="1" customFormat="1" spans="1:12">
      <c r="A108" s="40"/>
      <c r="B108" s="10" t="s">
        <v>1455</v>
      </c>
      <c r="C108" s="10" t="s">
        <v>275</v>
      </c>
      <c r="D108" s="10" t="s">
        <v>1456</v>
      </c>
      <c r="E108" s="20"/>
      <c r="F108" s="19"/>
      <c r="G108" s="10"/>
      <c r="H108" s="20"/>
      <c r="I108" s="23"/>
      <c r="J108" s="23"/>
      <c r="K108" s="23"/>
      <c r="L108" s="23"/>
    </row>
    <row r="109" s="1" customFormat="1" spans="1:12">
      <c r="A109" s="40"/>
      <c r="B109" s="10" t="s">
        <v>1457</v>
      </c>
      <c r="C109" s="10" t="s">
        <v>275</v>
      </c>
      <c r="D109" s="10" t="s">
        <v>1458</v>
      </c>
      <c r="E109" s="20"/>
      <c r="F109" s="19"/>
      <c r="G109" s="10"/>
      <c r="H109" s="20"/>
      <c r="I109" s="23"/>
      <c r="J109" s="23"/>
      <c r="K109" s="23"/>
      <c r="L109" s="23"/>
    </row>
    <row r="110" s="1" customFormat="1" spans="1:12">
      <c r="A110" s="40"/>
      <c r="B110" s="19" t="s">
        <v>1459</v>
      </c>
      <c r="C110" s="19" t="s">
        <v>275</v>
      </c>
      <c r="D110" s="10" t="s">
        <v>1460</v>
      </c>
      <c r="E110" s="20"/>
      <c r="F110" s="19"/>
      <c r="G110" s="19"/>
      <c r="H110" s="20"/>
      <c r="I110" s="23"/>
      <c r="J110" s="23"/>
      <c r="K110" s="23"/>
      <c r="L110" s="23"/>
    </row>
    <row r="111" s="1" customFormat="1" spans="2:12">
      <c r="B111" s="19" t="s">
        <v>1461</v>
      </c>
      <c r="C111" s="19" t="s">
        <v>275</v>
      </c>
      <c r="D111" s="10" t="s">
        <v>1462</v>
      </c>
      <c r="E111" s="20"/>
      <c r="F111" s="19"/>
      <c r="G111" s="19"/>
      <c r="H111" s="20"/>
      <c r="I111" s="23"/>
      <c r="J111" s="23"/>
      <c r="K111" s="23"/>
      <c r="L111" s="23"/>
    </row>
    <row r="112" s="1" customFormat="1" spans="2:12">
      <c r="B112" s="19" t="s">
        <v>1463</v>
      </c>
      <c r="C112" s="19" t="s">
        <v>275</v>
      </c>
      <c r="D112" s="10" t="s">
        <v>1464</v>
      </c>
      <c r="E112" s="20"/>
      <c r="F112" s="19"/>
      <c r="G112" s="19"/>
      <c r="H112" s="20"/>
      <c r="I112" s="23"/>
      <c r="J112" s="23"/>
      <c r="K112" s="23"/>
      <c r="L112" s="23"/>
    </row>
    <row r="113" s="40" customFormat="1" ht="26.4" spans="2:12">
      <c r="B113" s="19" t="s">
        <v>1465</v>
      </c>
      <c r="C113" s="19" t="s">
        <v>275</v>
      </c>
      <c r="D113" s="10" t="s">
        <v>1466</v>
      </c>
      <c r="E113" s="20"/>
      <c r="F113" s="19"/>
      <c r="G113" s="19"/>
      <c r="H113" s="20"/>
      <c r="I113" s="23"/>
      <c r="J113" s="23"/>
      <c r="K113" s="23"/>
      <c r="L113" s="23"/>
    </row>
    <row r="114" s="40" customFormat="1" ht="26.4" spans="2:12">
      <c r="B114" s="19" t="s">
        <v>1467</v>
      </c>
      <c r="C114" s="19" t="s">
        <v>275</v>
      </c>
      <c r="D114" s="10" t="s">
        <v>1468</v>
      </c>
      <c r="E114" s="20"/>
      <c r="F114" s="19"/>
      <c r="G114" s="19"/>
      <c r="H114" s="20"/>
      <c r="I114" s="23"/>
      <c r="J114" s="23"/>
      <c r="K114" s="23"/>
      <c r="L114" s="23"/>
    </row>
    <row r="115" s="70" customFormat="1" ht="26.4" spans="1:12">
      <c r="A115" s="75"/>
      <c r="B115" s="76" t="s">
        <v>1469</v>
      </c>
      <c r="C115" s="76" t="s">
        <v>275</v>
      </c>
      <c r="D115" s="10" t="s">
        <v>1470</v>
      </c>
      <c r="E115" s="20"/>
      <c r="F115" s="19"/>
      <c r="G115" s="19"/>
      <c r="H115" s="20"/>
      <c r="I115" s="77"/>
      <c r="J115" s="23"/>
      <c r="K115" s="23"/>
      <c r="L115" s="23"/>
    </row>
    <row r="116" s="1" customFormat="1" spans="1:12">
      <c r="A116" s="40"/>
      <c r="B116" s="10" t="s">
        <v>1471</v>
      </c>
      <c r="C116" s="10" t="s">
        <v>275</v>
      </c>
      <c r="D116" s="10" t="s">
        <v>1472</v>
      </c>
      <c r="E116" s="20"/>
      <c r="F116" s="19"/>
      <c r="G116" s="10"/>
      <c r="H116" s="20"/>
      <c r="I116" s="23"/>
      <c r="J116" s="23"/>
      <c r="K116" s="23"/>
      <c r="L116" s="23"/>
    </row>
    <row r="117" s="40" customFormat="1" ht="26.4" spans="2:12">
      <c r="B117" s="19" t="s">
        <v>1473</v>
      </c>
      <c r="C117" s="19" t="s">
        <v>275</v>
      </c>
      <c r="D117" s="10" t="s">
        <v>1474</v>
      </c>
      <c r="E117" s="20"/>
      <c r="F117" s="19"/>
      <c r="G117" s="19"/>
      <c r="H117" s="20"/>
      <c r="I117" s="23"/>
      <c r="J117" s="23"/>
      <c r="K117" s="23"/>
      <c r="L117" s="23"/>
    </row>
    <row r="118" s="40" customFormat="1" spans="2:12">
      <c r="B118" s="19" t="s">
        <v>1475</v>
      </c>
      <c r="C118" s="19" t="s">
        <v>275</v>
      </c>
      <c r="D118" s="10" t="s">
        <v>1476</v>
      </c>
      <c r="E118" s="20"/>
      <c r="F118" s="19"/>
      <c r="G118" s="19"/>
      <c r="H118" s="20"/>
      <c r="I118" s="23"/>
      <c r="J118" s="23"/>
      <c r="K118" s="23"/>
      <c r="L118" s="23"/>
    </row>
    <row r="119" s="40" customFormat="1" spans="2:12">
      <c r="B119" s="19" t="s">
        <v>1477</v>
      </c>
      <c r="C119" s="19" t="s">
        <v>275</v>
      </c>
      <c r="D119" s="10" t="s">
        <v>1478</v>
      </c>
      <c r="E119" s="20"/>
      <c r="F119" s="19"/>
      <c r="G119" s="19"/>
      <c r="H119" s="20"/>
      <c r="I119" s="23"/>
      <c r="J119" s="23"/>
      <c r="K119" s="23"/>
      <c r="L119" s="23"/>
    </row>
    <row r="120" s="40" customFormat="1" spans="2:12">
      <c r="B120" s="19" t="s">
        <v>1479</v>
      </c>
      <c r="C120" s="19" t="s">
        <v>275</v>
      </c>
      <c r="D120" s="10" t="s">
        <v>1480</v>
      </c>
      <c r="E120" s="20"/>
      <c r="F120" s="19"/>
      <c r="G120" s="19"/>
      <c r="H120" s="20"/>
      <c r="I120" s="23"/>
      <c r="J120" s="23"/>
      <c r="K120" s="23"/>
      <c r="L120" s="23"/>
    </row>
    <row r="121" s="3" customFormat="1" spans="2:12">
      <c r="B121" s="19" t="s">
        <v>1481</v>
      </c>
      <c r="C121" s="19" t="s">
        <v>275</v>
      </c>
      <c r="D121" s="10" t="s">
        <v>1482</v>
      </c>
      <c r="E121" s="20"/>
      <c r="F121" s="19"/>
      <c r="G121" s="19"/>
      <c r="H121" s="20"/>
      <c r="I121" s="23"/>
      <c r="J121" s="23"/>
      <c r="K121" s="23"/>
      <c r="L121" s="23"/>
    </row>
    <row r="122" s="3" customFormat="1" spans="2:12">
      <c r="B122" s="19" t="s">
        <v>1483</v>
      </c>
      <c r="C122" s="19" t="s">
        <v>275</v>
      </c>
      <c r="D122" s="10" t="s">
        <v>1484</v>
      </c>
      <c r="E122" s="20"/>
      <c r="F122" s="19"/>
      <c r="G122" s="19"/>
      <c r="H122" s="20"/>
      <c r="I122" s="23"/>
      <c r="J122" s="23"/>
      <c r="K122" s="23"/>
      <c r="L122" s="23"/>
    </row>
    <row r="123" s="1" customFormat="1" spans="1:12">
      <c r="A123" s="40"/>
      <c r="B123" s="19" t="s">
        <v>1485</v>
      </c>
      <c r="C123" s="19" t="s">
        <v>275</v>
      </c>
      <c r="D123" s="10" t="s">
        <v>1486</v>
      </c>
      <c r="E123" s="20"/>
      <c r="F123" s="19"/>
      <c r="G123" s="19"/>
      <c r="H123" s="19"/>
      <c r="I123" s="23"/>
      <c r="J123" s="23"/>
      <c r="K123" s="23"/>
      <c r="L123" s="23"/>
    </row>
    <row r="124" s="3" customFormat="1" spans="2:12">
      <c r="B124" s="19" t="s">
        <v>1487</v>
      </c>
      <c r="C124" s="19" t="s">
        <v>275</v>
      </c>
      <c r="D124" s="10" t="s">
        <v>1488</v>
      </c>
      <c r="E124" s="20"/>
      <c r="F124" s="19"/>
      <c r="G124" s="19"/>
      <c r="H124" s="20"/>
      <c r="I124" s="23"/>
      <c r="J124" s="23"/>
      <c r="K124" s="23"/>
      <c r="L124" s="23"/>
    </row>
    <row r="125" s="3" customFormat="1" spans="2:12">
      <c r="B125" s="19" t="s">
        <v>1489</v>
      </c>
      <c r="C125" s="19" t="s">
        <v>275</v>
      </c>
      <c r="D125" s="10" t="s">
        <v>1490</v>
      </c>
      <c r="E125" s="20"/>
      <c r="F125" s="19"/>
      <c r="G125" s="19"/>
      <c r="H125" s="20"/>
      <c r="I125" s="23"/>
      <c r="J125" s="23"/>
      <c r="K125" s="23"/>
      <c r="L125" s="23"/>
    </row>
    <row r="126" s="3" customFormat="1" spans="2:12">
      <c r="B126" s="19" t="s">
        <v>1491</v>
      </c>
      <c r="C126" s="19" t="s">
        <v>275</v>
      </c>
      <c r="D126" s="10" t="s">
        <v>1492</v>
      </c>
      <c r="E126" s="20"/>
      <c r="F126" s="19"/>
      <c r="G126" s="19"/>
      <c r="H126" s="20"/>
      <c r="I126" s="23"/>
      <c r="J126" s="23"/>
      <c r="K126" s="23"/>
      <c r="L126" s="23"/>
    </row>
    <row r="127" s="3" customFormat="1" spans="2:12">
      <c r="B127" s="76" t="s">
        <v>1493</v>
      </c>
      <c r="C127" s="76" t="s">
        <v>275</v>
      </c>
      <c r="D127" s="10" t="s">
        <v>1494</v>
      </c>
      <c r="E127" s="20"/>
      <c r="F127" s="19"/>
      <c r="G127" s="19"/>
      <c r="H127" s="20"/>
      <c r="I127" s="77"/>
      <c r="J127" s="23"/>
      <c r="K127" s="23"/>
      <c r="L127" s="23"/>
    </row>
    <row r="128" s="70" customFormat="1" spans="1:12">
      <c r="A128" s="75"/>
      <c r="B128" s="76" t="s">
        <v>1495</v>
      </c>
      <c r="C128" s="76" t="s">
        <v>275</v>
      </c>
      <c r="D128" s="10" t="s">
        <v>1496</v>
      </c>
      <c r="E128" s="20"/>
      <c r="F128" s="19"/>
      <c r="G128" s="19"/>
      <c r="H128" s="20"/>
      <c r="I128" s="77"/>
      <c r="J128" s="23"/>
      <c r="K128" s="23"/>
      <c r="L128" s="23"/>
    </row>
    <row r="129" s="70" customFormat="1" spans="1:12">
      <c r="A129" s="75"/>
      <c r="B129" s="76" t="s">
        <v>1497</v>
      </c>
      <c r="C129" s="76" t="s">
        <v>275</v>
      </c>
      <c r="D129" s="10" t="s">
        <v>1498</v>
      </c>
      <c r="E129" s="20"/>
      <c r="F129" s="19"/>
      <c r="G129" s="19"/>
      <c r="H129" s="20"/>
      <c r="I129" s="77"/>
      <c r="J129" s="23"/>
      <c r="K129" s="23"/>
      <c r="L129" s="23"/>
    </row>
    <row r="130" s="70" customFormat="1" ht="26.4" spans="1:12">
      <c r="A130" s="75"/>
      <c r="B130" s="76" t="s">
        <v>1499</v>
      </c>
      <c r="C130" s="76" t="s">
        <v>275</v>
      </c>
      <c r="D130" s="10" t="s">
        <v>1500</v>
      </c>
      <c r="E130" s="20"/>
      <c r="F130" s="19"/>
      <c r="G130" s="19"/>
      <c r="H130" s="20"/>
      <c r="I130" s="77"/>
      <c r="J130" s="23"/>
      <c r="K130" s="23"/>
      <c r="L130" s="23"/>
    </row>
    <row r="131" s="70" customFormat="1" ht="26.4" spans="1:12">
      <c r="A131" s="75"/>
      <c r="B131" s="76" t="s">
        <v>1501</v>
      </c>
      <c r="C131" s="76" t="s">
        <v>275</v>
      </c>
      <c r="D131" s="10" t="s">
        <v>1502</v>
      </c>
      <c r="E131" s="20"/>
      <c r="F131" s="19"/>
      <c r="G131" s="19"/>
      <c r="H131" s="20"/>
      <c r="I131" s="77"/>
      <c r="J131" s="23"/>
      <c r="K131" s="23"/>
      <c r="L131" s="23"/>
    </row>
    <row r="132" s="70" customFormat="1" ht="26.4" spans="1:12">
      <c r="A132" s="75"/>
      <c r="B132" s="76" t="s">
        <v>1503</v>
      </c>
      <c r="C132" s="76" t="s">
        <v>275</v>
      </c>
      <c r="D132" s="10" t="s">
        <v>1504</v>
      </c>
      <c r="E132" s="20"/>
      <c r="F132" s="19"/>
      <c r="G132" s="19"/>
      <c r="H132" s="20"/>
      <c r="I132" s="77"/>
      <c r="J132" s="23"/>
      <c r="K132" s="23"/>
      <c r="L132" s="23"/>
    </row>
    <row r="133" s="70" customFormat="1" ht="26.4" spans="1:12">
      <c r="A133" s="75"/>
      <c r="B133" s="76" t="s">
        <v>1505</v>
      </c>
      <c r="C133" s="76" t="s">
        <v>275</v>
      </c>
      <c r="D133" s="10" t="s">
        <v>1506</v>
      </c>
      <c r="E133" s="20"/>
      <c r="F133" s="19"/>
      <c r="G133" s="19"/>
      <c r="H133" s="20"/>
      <c r="I133" s="77"/>
      <c r="J133" s="23"/>
      <c r="K133" s="23"/>
      <c r="L133" s="23"/>
    </row>
    <row r="134" s="70" customFormat="1" ht="26.4" spans="1:12">
      <c r="A134" s="75"/>
      <c r="B134" s="76" t="s">
        <v>1507</v>
      </c>
      <c r="C134" s="76" t="s">
        <v>275</v>
      </c>
      <c r="D134" s="10" t="s">
        <v>1508</v>
      </c>
      <c r="E134" s="20"/>
      <c r="F134" s="19"/>
      <c r="G134" s="19"/>
      <c r="H134" s="20"/>
      <c r="I134" s="77"/>
      <c r="J134" s="23"/>
      <c r="K134" s="23"/>
      <c r="L134" s="23"/>
    </row>
    <row r="135" s="70" customFormat="1" ht="26.4" spans="1:12">
      <c r="A135" s="75"/>
      <c r="B135" s="76" t="s">
        <v>1509</v>
      </c>
      <c r="C135" s="76" t="s">
        <v>275</v>
      </c>
      <c r="D135" s="10" t="s">
        <v>1510</v>
      </c>
      <c r="E135" s="20"/>
      <c r="F135" s="19"/>
      <c r="G135" s="19"/>
      <c r="H135" s="20"/>
      <c r="I135" s="77"/>
      <c r="J135" s="23"/>
      <c r="K135" s="23"/>
      <c r="L135" s="23"/>
    </row>
    <row r="136" s="70" customFormat="1" ht="26.4" spans="1:12">
      <c r="A136" s="75"/>
      <c r="B136" s="76" t="s">
        <v>1511</v>
      </c>
      <c r="C136" s="76" t="s">
        <v>275</v>
      </c>
      <c r="D136" s="10" t="s">
        <v>1512</v>
      </c>
      <c r="E136" s="20"/>
      <c r="F136" s="19"/>
      <c r="G136" s="19"/>
      <c r="H136" s="20"/>
      <c r="I136" s="77"/>
      <c r="J136" s="23"/>
      <c r="K136" s="23"/>
      <c r="L136" s="23"/>
    </row>
    <row r="137" s="70" customFormat="1" ht="26.4" spans="1:12">
      <c r="A137" s="75"/>
      <c r="B137" s="76" t="s">
        <v>1513</v>
      </c>
      <c r="C137" s="76" t="s">
        <v>275</v>
      </c>
      <c r="D137" s="10" t="s">
        <v>1514</v>
      </c>
      <c r="E137" s="20"/>
      <c r="F137" s="19"/>
      <c r="G137" s="19"/>
      <c r="H137" s="20"/>
      <c r="I137" s="77"/>
      <c r="J137" s="23"/>
      <c r="K137" s="23"/>
      <c r="L137" s="23"/>
    </row>
    <row r="138" s="70" customFormat="1" ht="26.4" spans="1:12">
      <c r="A138" s="75"/>
      <c r="B138" s="76" t="s">
        <v>1515</v>
      </c>
      <c r="C138" s="76" t="s">
        <v>275</v>
      </c>
      <c r="D138" s="10" t="s">
        <v>1516</v>
      </c>
      <c r="E138" s="20"/>
      <c r="F138" s="19"/>
      <c r="G138" s="19"/>
      <c r="H138" s="20"/>
      <c r="I138" s="77"/>
      <c r="J138" s="23"/>
      <c r="K138" s="23"/>
      <c r="L138" s="23"/>
    </row>
    <row r="139" s="3" customFormat="1" ht="26.4" spans="2:12">
      <c r="B139" s="19" t="s">
        <v>1517</v>
      </c>
      <c r="C139" s="19" t="s">
        <v>275</v>
      </c>
      <c r="D139" s="10" t="s">
        <v>1518</v>
      </c>
      <c r="E139" s="20"/>
      <c r="F139" s="19"/>
      <c r="G139" s="19"/>
      <c r="H139" s="20"/>
      <c r="I139" s="23"/>
      <c r="J139" s="23"/>
      <c r="K139" s="23"/>
      <c r="L139" s="23"/>
    </row>
    <row r="140" ht="26.4" spans="1:12">
      <c r="A140" s="4"/>
      <c r="B140" s="19" t="s">
        <v>1519</v>
      </c>
      <c r="C140" s="19" t="s">
        <v>275</v>
      </c>
      <c r="D140" s="10" t="s">
        <v>1520</v>
      </c>
      <c r="E140" s="20"/>
      <c r="F140" s="19"/>
      <c r="G140" s="19"/>
      <c r="H140" s="20"/>
      <c r="I140" s="23"/>
      <c r="J140" s="23"/>
      <c r="K140" s="23"/>
      <c r="L140" s="23"/>
    </row>
    <row r="141" ht="26.4" spans="1:12">
      <c r="A141" s="4"/>
      <c r="B141" s="19" t="s">
        <v>1521</v>
      </c>
      <c r="C141" s="19" t="s">
        <v>275</v>
      </c>
      <c r="D141" s="10" t="s">
        <v>1522</v>
      </c>
      <c r="E141" s="20"/>
      <c r="F141" s="19"/>
      <c r="G141" s="19"/>
      <c r="H141" s="20"/>
      <c r="I141" s="23"/>
      <c r="J141" s="23"/>
      <c r="K141" s="23"/>
      <c r="L141" s="23"/>
    </row>
    <row r="142" spans="1:12">
      <c r="A142" s="4"/>
      <c r="B142" s="19" t="s">
        <v>1523</v>
      </c>
      <c r="C142" s="19" t="s">
        <v>275</v>
      </c>
      <c r="D142" s="10" t="s">
        <v>1524</v>
      </c>
      <c r="E142" s="20"/>
      <c r="F142" s="19"/>
      <c r="G142" s="19"/>
      <c r="H142" s="20"/>
      <c r="I142" s="23"/>
      <c r="J142" s="23"/>
      <c r="K142" s="23"/>
      <c r="L142" s="23"/>
    </row>
    <row r="143" spans="1:12">
      <c r="A143" s="4"/>
      <c r="B143" s="19" t="s">
        <v>1525</v>
      </c>
      <c r="C143" s="19" t="s">
        <v>275</v>
      </c>
      <c r="D143" s="10" t="s">
        <v>1526</v>
      </c>
      <c r="E143" s="20"/>
      <c r="F143" s="19"/>
      <c r="G143" s="19"/>
      <c r="H143" s="20"/>
      <c r="I143" s="23"/>
      <c r="J143" s="23"/>
      <c r="K143" s="23"/>
      <c r="L143" s="23"/>
    </row>
    <row r="144" s="1" customFormat="1" spans="1:12">
      <c r="A144" s="40"/>
      <c r="B144" s="19" t="s">
        <v>1527</v>
      </c>
      <c r="C144" s="19" t="s">
        <v>275</v>
      </c>
      <c r="D144" s="10" t="s">
        <v>1528</v>
      </c>
      <c r="E144" s="20"/>
      <c r="F144" s="19"/>
      <c r="G144" s="19"/>
      <c r="H144" s="20"/>
      <c r="I144" s="23"/>
      <c r="J144" s="23"/>
      <c r="K144" s="23"/>
      <c r="L144" s="23"/>
    </row>
    <row r="145" spans="1:12">
      <c r="A145" s="4"/>
      <c r="B145" s="19" t="s">
        <v>1529</v>
      </c>
      <c r="C145" s="19" t="s">
        <v>275</v>
      </c>
      <c r="D145" s="10" t="s">
        <v>1530</v>
      </c>
      <c r="E145" s="20"/>
      <c r="F145" s="19"/>
      <c r="G145" s="19"/>
      <c r="H145" s="20"/>
      <c r="I145" s="23"/>
      <c r="J145" s="23"/>
      <c r="K145" s="23"/>
      <c r="L145" s="23"/>
    </row>
    <row r="146" s="1" customFormat="1" spans="1:12">
      <c r="A146" s="40"/>
      <c r="B146" s="19" t="s">
        <v>1531</v>
      </c>
      <c r="C146" s="19" t="s">
        <v>275</v>
      </c>
      <c r="D146" s="10" t="s">
        <v>1532</v>
      </c>
      <c r="E146" s="20"/>
      <c r="F146" s="19"/>
      <c r="G146" s="19"/>
      <c r="H146" s="20"/>
      <c r="I146" s="23"/>
      <c r="J146" s="23"/>
      <c r="K146" s="23"/>
      <c r="L146" s="23"/>
    </row>
    <row r="147" s="1" customFormat="1" spans="1:12">
      <c r="A147" s="40"/>
      <c r="B147" s="19" t="s">
        <v>1533</v>
      </c>
      <c r="C147" s="19" t="s">
        <v>275</v>
      </c>
      <c r="D147" s="10" t="s">
        <v>1534</v>
      </c>
      <c r="E147" s="20"/>
      <c r="F147" s="19"/>
      <c r="G147" s="19"/>
      <c r="H147" s="20"/>
      <c r="I147" s="23"/>
      <c r="J147" s="23"/>
      <c r="K147" s="23"/>
      <c r="L147" s="23"/>
    </row>
    <row r="148" s="1" customFormat="1" spans="1:12">
      <c r="A148" s="40"/>
      <c r="B148" s="19" t="s">
        <v>1535</v>
      </c>
      <c r="C148" s="19" t="s">
        <v>275</v>
      </c>
      <c r="D148" s="10" t="s">
        <v>1536</v>
      </c>
      <c r="E148" s="20"/>
      <c r="F148" s="19"/>
      <c r="G148" s="19"/>
      <c r="H148" s="20"/>
      <c r="I148" s="23"/>
      <c r="J148" s="23"/>
      <c r="K148" s="23"/>
      <c r="L148" s="23"/>
    </row>
    <row r="149" s="1" customFormat="1" spans="1:12">
      <c r="A149" s="40"/>
      <c r="B149" s="19" t="s">
        <v>1537</v>
      </c>
      <c r="C149" s="19" t="s">
        <v>275</v>
      </c>
      <c r="D149" s="10" t="s">
        <v>1538</v>
      </c>
      <c r="E149" s="20"/>
      <c r="F149" s="19"/>
      <c r="G149" s="19"/>
      <c r="H149" s="20"/>
      <c r="I149" s="23"/>
      <c r="J149" s="23"/>
      <c r="K149" s="23"/>
      <c r="L149" s="23"/>
    </row>
    <row r="150" s="1" customFormat="1" spans="1:12">
      <c r="A150" s="40"/>
      <c r="B150" s="19" t="s">
        <v>1539</v>
      </c>
      <c r="C150" s="19" t="s">
        <v>275</v>
      </c>
      <c r="D150" s="10" t="s">
        <v>1540</v>
      </c>
      <c r="E150" s="20"/>
      <c r="F150" s="19"/>
      <c r="G150" s="19"/>
      <c r="H150" s="20"/>
      <c r="I150" s="23"/>
      <c r="J150" s="23"/>
      <c r="K150" s="23"/>
      <c r="L150" s="23"/>
    </row>
    <row r="151" s="1" customFormat="1" spans="1:12">
      <c r="A151" s="40"/>
      <c r="B151" s="19" t="s">
        <v>1541</v>
      </c>
      <c r="C151" s="19" t="s">
        <v>275</v>
      </c>
      <c r="D151" s="10" t="s">
        <v>1542</v>
      </c>
      <c r="E151" s="20"/>
      <c r="F151" s="19"/>
      <c r="G151" s="19"/>
      <c r="H151" s="20"/>
      <c r="I151" s="23"/>
      <c r="J151" s="23"/>
      <c r="K151" s="23"/>
      <c r="L151" s="23"/>
    </row>
    <row r="152" s="70" customFormat="1" spans="1:12">
      <c r="A152" s="75"/>
      <c r="B152" s="19" t="s">
        <v>1543</v>
      </c>
      <c r="C152" s="76" t="s">
        <v>275</v>
      </c>
      <c r="D152" s="10" t="s">
        <v>1544</v>
      </c>
      <c r="E152" s="20"/>
      <c r="F152" s="19"/>
      <c r="G152" s="19"/>
      <c r="H152" s="20"/>
      <c r="I152" s="77"/>
      <c r="J152" s="23"/>
      <c r="K152" s="23"/>
      <c r="L152" s="23"/>
    </row>
    <row r="153" s="70" customFormat="1" spans="1:12">
      <c r="A153" s="75"/>
      <c r="B153" s="76" t="s">
        <v>1545</v>
      </c>
      <c r="C153" s="76" t="s">
        <v>275</v>
      </c>
      <c r="D153" s="10" t="s">
        <v>1546</v>
      </c>
      <c r="E153" s="20"/>
      <c r="F153" s="19"/>
      <c r="G153" s="19"/>
      <c r="H153" s="20"/>
      <c r="I153" s="77"/>
      <c r="J153" s="23"/>
      <c r="K153" s="23"/>
      <c r="L153" s="23"/>
    </row>
    <row r="154" s="70" customFormat="1" spans="1:12">
      <c r="A154" s="75"/>
      <c r="B154" s="76" t="s">
        <v>1547</v>
      </c>
      <c r="C154" s="76" t="s">
        <v>275</v>
      </c>
      <c r="D154" s="10" t="s">
        <v>1548</v>
      </c>
      <c r="E154" s="20"/>
      <c r="F154" s="19"/>
      <c r="G154" s="19"/>
      <c r="H154" s="20"/>
      <c r="I154" s="77"/>
      <c r="J154" s="23"/>
      <c r="K154" s="23"/>
      <c r="L154" s="23"/>
    </row>
    <row r="155" s="70" customFormat="1" spans="1:12">
      <c r="A155" s="75"/>
      <c r="B155" s="76" t="s">
        <v>1549</v>
      </c>
      <c r="C155" s="76" t="s">
        <v>275</v>
      </c>
      <c r="D155" s="10" t="s">
        <v>1550</v>
      </c>
      <c r="E155" s="20"/>
      <c r="F155" s="19"/>
      <c r="G155" s="19"/>
      <c r="H155" s="20"/>
      <c r="I155" s="77"/>
      <c r="J155" s="23"/>
      <c r="K155" s="23"/>
      <c r="L155" s="23"/>
    </row>
    <row r="156" s="70" customFormat="1" spans="1:12">
      <c r="A156" s="75"/>
      <c r="B156" s="76" t="s">
        <v>1551</v>
      </c>
      <c r="C156" s="76" t="s">
        <v>275</v>
      </c>
      <c r="D156" s="10" t="s">
        <v>1552</v>
      </c>
      <c r="E156" s="20"/>
      <c r="F156" s="19"/>
      <c r="G156" s="19"/>
      <c r="H156" s="20"/>
      <c r="I156" s="77"/>
      <c r="J156" s="23"/>
      <c r="K156" s="23"/>
      <c r="L156" s="23"/>
    </row>
    <row r="157" s="70" customFormat="1" spans="1:12">
      <c r="A157" s="75"/>
      <c r="B157" s="76" t="s">
        <v>1553</v>
      </c>
      <c r="C157" s="76" t="s">
        <v>275</v>
      </c>
      <c r="D157" s="10" t="s">
        <v>1554</v>
      </c>
      <c r="E157" s="20"/>
      <c r="F157" s="19"/>
      <c r="G157" s="19"/>
      <c r="H157" s="20"/>
      <c r="I157" s="77"/>
      <c r="J157" s="23"/>
      <c r="K157" s="23"/>
      <c r="L157" s="23"/>
    </row>
    <row r="158" s="70" customFormat="1" spans="1:12">
      <c r="A158" s="75"/>
      <c r="B158" s="76" t="s">
        <v>1555</v>
      </c>
      <c r="C158" s="76" t="s">
        <v>275</v>
      </c>
      <c r="D158" s="10" t="s">
        <v>1556</v>
      </c>
      <c r="E158" s="20"/>
      <c r="F158" s="19"/>
      <c r="G158" s="19"/>
      <c r="H158" s="20"/>
      <c r="I158" s="77"/>
      <c r="J158" s="23"/>
      <c r="K158" s="23"/>
      <c r="L158" s="23"/>
    </row>
    <row r="159" s="70" customFormat="1" spans="1:12">
      <c r="A159" s="75"/>
      <c r="B159" s="76" t="s">
        <v>1557</v>
      </c>
      <c r="C159" s="76" t="s">
        <v>275</v>
      </c>
      <c r="D159" s="10" t="s">
        <v>1558</v>
      </c>
      <c r="E159" s="20"/>
      <c r="F159" s="19"/>
      <c r="G159" s="19"/>
      <c r="H159" s="20"/>
      <c r="I159" s="77"/>
      <c r="J159" s="23"/>
      <c r="K159" s="23"/>
      <c r="L159" s="23"/>
    </row>
    <row r="160" s="70" customFormat="1" spans="1:12">
      <c r="A160" s="75"/>
      <c r="B160" s="76" t="s">
        <v>1559</v>
      </c>
      <c r="C160" s="76" t="s">
        <v>275</v>
      </c>
      <c r="D160" s="10" t="s">
        <v>1560</v>
      </c>
      <c r="E160" s="20"/>
      <c r="F160" s="19"/>
      <c r="G160" s="19"/>
      <c r="H160" s="20"/>
      <c r="I160" s="77"/>
      <c r="J160" s="23"/>
      <c r="K160" s="23"/>
      <c r="L160" s="23"/>
    </row>
    <row r="161" s="70" customFormat="1" spans="1:12">
      <c r="A161" s="75"/>
      <c r="B161" s="76" t="s">
        <v>1561</v>
      </c>
      <c r="C161" s="76" t="s">
        <v>275</v>
      </c>
      <c r="D161" s="10" t="s">
        <v>1562</v>
      </c>
      <c r="E161" s="20"/>
      <c r="F161" s="19"/>
      <c r="G161" s="19"/>
      <c r="H161" s="20"/>
      <c r="I161" s="77"/>
      <c r="J161" s="23"/>
      <c r="K161" s="23"/>
      <c r="L161" s="23"/>
    </row>
    <row r="162" s="70" customFormat="1" spans="1:12">
      <c r="A162" s="75"/>
      <c r="B162" s="76" t="s">
        <v>1563</v>
      </c>
      <c r="C162" s="76" t="s">
        <v>275</v>
      </c>
      <c r="D162" s="10" t="s">
        <v>1564</v>
      </c>
      <c r="E162" s="20"/>
      <c r="F162" s="19"/>
      <c r="G162" s="19"/>
      <c r="H162" s="20"/>
      <c r="I162" s="77"/>
      <c r="J162" s="23"/>
      <c r="K162" s="23"/>
      <c r="L162" s="23"/>
    </row>
    <row r="163" s="70" customFormat="1" spans="1:12">
      <c r="A163" s="75"/>
      <c r="B163" s="76" t="s">
        <v>1565</v>
      </c>
      <c r="C163" s="76" t="s">
        <v>275</v>
      </c>
      <c r="D163" s="10" t="s">
        <v>1566</v>
      </c>
      <c r="E163" s="20"/>
      <c r="F163" s="19"/>
      <c r="G163" s="19"/>
      <c r="H163" s="20"/>
      <c r="I163" s="77"/>
      <c r="J163" s="23"/>
      <c r="K163" s="23"/>
      <c r="L163" s="23"/>
    </row>
    <row r="164" s="70" customFormat="1" spans="1:12">
      <c r="A164" s="75"/>
      <c r="B164" s="76" t="s">
        <v>1567</v>
      </c>
      <c r="C164" s="76" t="s">
        <v>275</v>
      </c>
      <c r="D164" s="10" t="s">
        <v>1568</v>
      </c>
      <c r="E164" s="20"/>
      <c r="F164" s="19"/>
      <c r="G164" s="19"/>
      <c r="H164" s="20"/>
      <c r="I164" s="77"/>
      <c r="J164" s="23"/>
      <c r="K164" s="23"/>
      <c r="L164" s="23"/>
    </row>
    <row r="165" s="70" customFormat="1" spans="1:12">
      <c r="A165" s="75"/>
      <c r="B165" s="76" t="s">
        <v>1569</v>
      </c>
      <c r="C165" s="76" t="s">
        <v>275</v>
      </c>
      <c r="D165" s="10" t="s">
        <v>1570</v>
      </c>
      <c r="E165" s="20"/>
      <c r="F165" s="19"/>
      <c r="G165" s="19"/>
      <c r="H165" s="20"/>
      <c r="I165" s="77"/>
      <c r="J165" s="23"/>
      <c r="K165" s="23"/>
      <c r="L165" s="23"/>
    </row>
    <row r="166" s="70" customFormat="1" spans="1:12">
      <c r="A166" s="75"/>
      <c r="B166" s="76" t="s">
        <v>1571</v>
      </c>
      <c r="C166" s="76" t="s">
        <v>275</v>
      </c>
      <c r="D166" s="10" t="s">
        <v>1572</v>
      </c>
      <c r="E166" s="20"/>
      <c r="F166" s="19"/>
      <c r="G166" s="19"/>
      <c r="H166" s="20"/>
      <c r="I166" s="77"/>
      <c r="J166" s="23"/>
      <c r="K166" s="23"/>
      <c r="L166" s="23"/>
    </row>
    <row r="167" s="70" customFormat="1" spans="1:12">
      <c r="A167" s="75"/>
      <c r="B167" s="76" t="s">
        <v>1573</v>
      </c>
      <c r="C167" s="76" t="s">
        <v>275</v>
      </c>
      <c r="D167" s="10" t="s">
        <v>1574</v>
      </c>
      <c r="E167" s="20"/>
      <c r="F167" s="19"/>
      <c r="G167" s="19"/>
      <c r="H167" s="20"/>
      <c r="I167" s="77"/>
      <c r="J167" s="23"/>
      <c r="K167" s="23"/>
      <c r="L167" s="23"/>
    </row>
    <row r="168" s="70" customFormat="1" spans="1:12">
      <c r="A168" s="75"/>
      <c r="B168" s="76" t="s">
        <v>1575</v>
      </c>
      <c r="C168" s="76" t="s">
        <v>275</v>
      </c>
      <c r="D168" s="10" t="s">
        <v>1576</v>
      </c>
      <c r="E168" s="20"/>
      <c r="F168" s="19"/>
      <c r="G168" s="19"/>
      <c r="H168" s="20"/>
      <c r="I168" s="77"/>
      <c r="J168" s="23"/>
      <c r="K168" s="23"/>
      <c r="L168" s="23"/>
    </row>
    <row r="169" s="70" customFormat="1" spans="1:12">
      <c r="A169" s="75"/>
      <c r="B169" s="76" t="s">
        <v>1577</v>
      </c>
      <c r="C169" s="76" t="s">
        <v>275</v>
      </c>
      <c r="D169" s="10" t="s">
        <v>1578</v>
      </c>
      <c r="E169" s="20"/>
      <c r="F169" s="19"/>
      <c r="G169" s="19"/>
      <c r="H169" s="20"/>
      <c r="I169" s="77"/>
      <c r="J169" s="23"/>
      <c r="K169" s="23"/>
      <c r="L169" s="23"/>
    </row>
    <row r="170" s="70" customFormat="1" spans="1:12">
      <c r="A170" s="75"/>
      <c r="B170" s="76" t="s">
        <v>1579</v>
      </c>
      <c r="C170" s="76" t="s">
        <v>275</v>
      </c>
      <c r="D170" s="10" t="s">
        <v>1580</v>
      </c>
      <c r="E170" s="20"/>
      <c r="F170" s="19"/>
      <c r="G170" s="19"/>
      <c r="H170" s="20"/>
      <c r="I170" s="77"/>
      <c r="J170" s="23"/>
      <c r="K170" s="23"/>
      <c r="L170" s="23"/>
    </row>
    <row r="171" s="70" customFormat="1" spans="1:12">
      <c r="A171" s="75"/>
      <c r="B171" s="76" t="s">
        <v>1581</v>
      </c>
      <c r="C171" s="76" t="s">
        <v>275</v>
      </c>
      <c r="D171" s="10" t="s">
        <v>1582</v>
      </c>
      <c r="E171" s="20"/>
      <c r="F171" s="19"/>
      <c r="G171" s="19"/>
      <c r="H171" s="20"/>
      <c r="I171" s="77"/>
      <c r="J171" s="23"/>
      <c r="K171" s="23"/>
      <c r="L171" s="23"/>
    </row>
    <row r="172" s="70" customFormat="1" spans="1:12">
      <c r="A172" s="75"/>
      <c r="B172" s="76" t="s">
        <v>1583</v>
      </c>
      <c r="C172" s="76" t="s">
        <v>275</v>
      </c>
      <c r="D172" s="10" t="s">
        <v>1584</v>
      </c>
      <c r="E172" s="20"/>
      <c r="F172" s="19"/>
      <c r="G172" s="19"/>
      <c r="H172" s="20"/>
      <c r="I172" s="77"/>
      <c r="J172" s="23"/>
      <c r="K172" s="23"/>
      <c r="L172" s="23"/>
    </row>
    <row r="173" s="70" customFormat="1" spans="1:12">
      <c r="A173" s="75"/>
      <c r="B173" s="76" t="s">
        <v>1585</v>
      </c>
      <c r="C173" s="76" t="s">
        <v>275</v>
      </c>
      <c r="D173" s="10" t="s">
        <v>1586</v>
      </c>
      <c r="E173" s="20"/>
      <c r="F173" s="19"/>
      <c r="G173" s="19"/>
      <c r="H173" s="20"/>
      <c r="I173" s="77"/>
      <c r="J173" s="23"/>
      <c r="K173" s="23"/>
      <c r="L173" s="23"/>
    </row>
    <row r="174" s="70" customFormat="1" spans="1:12">
      <c r="A174" s="75"/>
      <c r="B174" s="76" t="s">
        <v>1587</v>
      </c>
      <c r="C174" s="76" t="s">
        <v>275</v>
      </c>
      <c r="D174" s="10" t="s">
        <v>1588</v>
      </c>
      <c r="E174" s="20"/>
      <c r="F174" s="19"/>
      <c r="G174" s="19"/>
      <c r="H174" s="20"/>
      <c r="I174" s="77"/>
      <c r="J174" s="23"/>
      <c r="K174" s="23"/>
      <c r="L174" s="23"/>
    </row>
    <row r="175" s="70" customFormat="1" spans="1:12">
      <c r="A175" s="75"/>
      <c r="B175" s="76" t="s">
        <v>1589</v>
      </c>
      <c r="C175" s="76" t="s">
        <v>275</v>
      </c>
      <c r="D175" s="10" t="s">
        <v>1590</v>
      </c>
      <c r="E175" s="20"/>
      <c r="F175" s="19"/>
      <c r="G175" s="19"/>
      <c r="H175" s="20"/>
      <c r="I175" s="77"/>
      <c r="J175" s="23"/>
      <c r="K175" s="23"/>
      <c r="L175" s="23"/>
    </row>
    <row r="176" s="70" customFormat="1" spans="1:12">
      <c r="A176" s="75"/>
      <c r="B176" s="76" t="s">
        <v>1591</v>
      </c>
      <c r="C176" s="76" t="s">
        <v>275</v>
      </c>
      <c r="D176" s="10" t="s">
        <v>1592</v>
      </c>
      <c r="E176" s="20"/>
      <c r="F176" s="19"/>
      <c r="G176" s="19"/>
      <c r="H176" s="20"/>
      <c r="I176" s="77"/>
      <c r="J176" s="23"/>
      <c r="K176" s="23"/>
      <c r="L176" s="23"/>
    </row>
    <row r="177" s="70" customFormat="1" spans="1:12">
      <c r="A177" s="75"/>
      <c r="B177" s="76" t="s">
        <v>1593</v>
      </c>
      <c r="C177" s="76" t="s">
        <v>275</v>
      </c>
      <c r="D177" s="10" t="s">
        <v>1594</v>
      </c>
      <c r="E177" s="20"/>
      <c r="F177" s="19"/>
      <c r="G177" s="19"/>
      <c r="H177" s="20"/>
      <c r="I177" s="77"/>
      <c r="J177" s="23"/>
      <c r="K177" s="23"/>
      <c r="L177" s="23"/>
    </row>
    <row r="178" s="70" customFormat="1" spans="1:12">
      <c r="A178" s="75"/>
      <c r="B178" s="76" t="s">
        <v>1595</v>
      </c>
      <c r="C178" s="76" t="s">
        <v>275</v>
      </c>
      <c r="D178" s="10" t="s">
        <v>1596</v>
      </c>
      <c r="E178" s="20"/>
      <c r="F178" s="19"/>
      <c r="G178" s="19"/>
      <c r="H178" s="20"/>
      <c r="I178" s="77"/>
      <c r="J178" s="23"/>
      <c r="K178" s="23"/>
      <c r="L178" s="23"/>
    </row>
    <row r="179" s="70" customFormat="1" spans="1:12">
      <c r="A179" s="75"/>
      <c r="B179" s="76" t="s">
        <v>1597</v>
      </c>
      <c r="C179" s="76" t="s">
        <v>275</v>
      </c>
      <c r="D179" s="10" t="s">
        <v>1598</v>
      </c>
      <c r="E179" s="20"/>
      <c r="F179" s="19"/>
      <c r="G179" s="19"/>
      <c r="H179" s="20"/>
      <c r="I179" s="77"/>
      <c r="J179" s="23"/>
      <c r="K179" s="23"/>
      <c r="L179" s="23"/>
    </row>
    <row r="180" s="70" customFormat="1" spans="1:12">
      <c r="A180" s="75"/>
      <c r="B180" s="76" t="s">
        <v>1599</v>
      </c>
      <c r="C180" s="76" t="s">
        <v>275</v>
      </c>
      <c r="D180" s="10" t="s">
        <v>1600</v>
      </c>
      <c r="E180" s="20"/>
      <c r="F180" s="19"/>
      <c r="G180" s="19"/>
      <c r="H180" s="20"/>
      <c r="I180" s="77"/>
      <c r="J180" s="23"/>
      <c r="K180" s="23"/>
      <c r="L180" s="23"/>
    </row>
    <row r="181" s="70" customFormat="1" spans="1:12">
      <c r="A181" s="75"/>
      <c r="B181" s="76" t="s">
        <v>1601</v>
      </c>
      <c r="C181" s="76" t="s">
        <v>275</v>
      </c>
      <c r="D181" s="10" t="s">
        <v>1602</v>
      </c>
      <c r="E181" s="20"/>
      <c r="F181" s="19"/>
      <c r="G181" s="19"/>
      <c r="H181" s="20"/>
      <c r="I181" s="77"/>
      <c r="J181" s="23"/>
      <c r="K181" s="23"/>
      <c r="L181" s="23"/>
    </row>
    <row r="182" s="70" customFormat="1" spans="1:12">
      <c r="A182" s="75"/>
      <c r="B182" s="76" t="s">
        <v>1603</v>
      </c>
      <c r="C182" s="76" t="s">
        <v>275</v>
      </c>
      <c r="D182" s="10" t="s">
        <v>1604</v>
      </c>
      <c r="E182" s="20"/>
      <c r="F182" s="19"/>
      <c r="G182" s="19"/>
      <c r="H182" s="20"/>
      <c r="I182" s="77"/>
      <c r="J182" s="23"/>
      <c r="K182" s="23"/>
      <c r="L182" s="23"/>
    </row>
    <row r="183" s="70" customFormat="1" spans="1:12">
      <c r="A183" s="75"/>
      <c r="B183" s="76" t="s">
        <v>1605</v>
      </c>
      <c r="C183" s="76" t="s">
        <v>275</v>
      </c>
      <c r="D183" s="10" t="s">
        <v>1606</v>
      </c>
      <c r="E183" s="20"/>
      <c r="F183" s="19"/>
      <c r="G183" s="19"/>
      <c r="H183" s="20"/>
      <c r="I183" s="77"/>
      <c r="J183" s="23"/>
      <c r="K183" s="23"/>
      <c r="L183" s="23"/>
    </row>
    <row r="184" s="70" customFormat="1" spans="1:12">
      <c r="A184" s="75"/>
      <c r="B184" s="76" t="s">
        <v>1607</v>
      </c>
      <c r="C184" s="76" t="s">
        <v>275</v>
      </c>
      <c r="D184" s="10" t="s">
        <v>1608</v>
      </c>
      <c r="E184" s="20"/>
      <c r="F184" s="19"/>
      <c r="G184" s="19"/>
      <c r="H184" s="20"/>
      <c r="I184" s="77"/>
      <c r="J184" s="23"/>
      <c r="K184" s="23"/>
      <c r="L184" s="23"/>
    </row>
    <row r="185" s="70" customFormat="1" spans="1:12">
      <c r="A185" s="75"/>
      <c r="B185" s="76" t="s">
        <v>1609</v>
      </c>
      <c r="C185" s="76" t="s">
        <v>275</v>
      </c>
      <c r="D185" s="10" t="s">
        <v>1610</v>
      </c>
      <c r="E185" s="20"/>
      <c r="F185" s="19"/>
      <c r="G185" s="19"/>
      <c r="H185" s="20"/>
      <c r="I185" s="77"/>
      <c r="J185" s="23"/>
      <c r="K185" s="23"/>
      <c r="L185" s="23"/>
    </row>
    <row r="186" s="70" customFormat="1" spans="1:12">
      <c r="A186" s="75"/>
      <c r="B186" s="76" t="s">
        <v>1611</v>
      </c>
      <c r="C186" s="76" t="s">
        <v>275</v>
      </c>
      <c r="D186" s="10" t="s">
        <v>1612</v>
      </c>
      <c r="E186" s="20"/>
      <c r="F186" s="19"/>
      <c r="G186" s="19"/>
      <c r="H186" s="20"/>
      <c r="I186" s="77"/>
      <c r="J186" s="23"/>
      <c r="K186" s="23"/>
      <c r="L186" s="23"/>
    </row>
    <row r="187" s="70" customFormat="1" spans="1:12">
      <c r="A187" s="75"/>
      <c r="B187" s="76" t="s">
        <v>1613</v>
      </c>
      <c r="C187" s="76" t="s">
        <v>275</v>
      </c>
      <c r="D187" s="10" t="s">
        <v>1614</v>
      </c>
      <c r="E187" s="20"/>
      <c r="F187" s="19"/>
      <c r="G187" s="19"/>
      <c r="H187" s="20"/>
      <c r="I187" s="77"/>
      <c r="J187" s="23"/>
      <c r="K187" s="23"/>
      <c r="L187" s="23"/>
    </row>
    <row r="188" s="70" customFormat="1" spans="1:12">
      <c r="A188" s="75"/>
      <c r="B188" s="76" t="s">
        <v>1615</v>
      </c>
      <c r="C188" s="76" t="s">
        <v>275</v>
      </c>
      <c r="D188" s="10" t="s">
        <v>1616</v>
      </c>
      <c r="E188" s="20"/>
      <c r="F188" s="19"/>
      <c r="G188" s="19"/>
      <c r="H188" s="20"/>
      <c r="I188" s="77"/>
      <c r="J188" s="23"/>
      <c r="K188" s="23"/>
      <c r="L188" s="23"/>
    </row>
    <row r="189" s="70" customFormat="1" spans="1:12">
      <c r="A189" s="75"/>
      <c r="B189" s="76" t="s">
        <v>1617</v>
      </c>
      <c r="C189" s="76" t="s">
        <v>275</v>
      </c>
      <c r="D189" s="10" t="s">
        <v>1618</v>
      </c>
      <c r="E189" s="20"/>
      <c r="F189" s="19"/>
      <c r="G189" s="19"/>
      <c r="H189" s="20"/>
      <c r="I189" s="77"/>
      <c r="J189" s="23"/>
      <c r="K189" s="23"/>
      <c r="L189" s="23"/>
    </row>
    <row r="190" s="70" customFormat="1" spans="1:12">
      <c r="A190" s="75"/>
      <c r="B190" s="76" t="s">
        <v>1619</v>
      </c>
      <c r="C190" s="76" t="s">
        <v>275</v>
      </c>
      <c r="D190" s="10" t="s">
        <v>1620</v>
      </c>
      <c r="E190" s="20"/>
      <c r="F190" s="19"/>
      <c r="G190" s="19"/>
      <c r="H190" s="20"/>
      <c r="I190" s="77"/>
      <c r="J190" s="23"/>
      <c r="K190" s="23"/>
      <c r="L190" s="23"/>
    </row>
    <row r="191" s="70" customFormat="1" spans="1:12">
      <c r="A191" s="75"/>
      <c r="B191" s="76" t="s">
        <v>1621</v>
      </c>
      <c r="C191" s="76" t="s">
        <v>275</v>
      </c>
      <c r="D191" s="10" t="s">
        <v>1622</v>
      </c>
      <c r="E191" s="20"/>
      <c r="F191" s="19"/>
      <c r="G191" s="19"/>
      <c r="H191" s="20"/>
      <c r="I191" s="77"/>
      <c r="J191" s="23"/>
      <c r="K191" s="23"/>
      <c r="L191" s="23"/>
    </row>
    <row r="192" s="70" customFormat="1" spans="1:12">
      <c r="A192" s="75"/>
      <c r="B192" s="76" t="s">
        <v>1623</v>
      </c>
      <c r="C192" s="76" t="s">
        <v>275</v>
      </c>
      <c r="D192" s="10" t="s">
        <v>1624</v>
      </c>
      <c r="E192" s="20"/>
      <c r="F192" s="19"/>
      <c r="G192" s="19"/>
      <c r="H192" s="20"/>
      <c r="I192" s="77"/>
      <c r="J192" s="23"/>
      <c r="K192" s="23"/>
      <c r="L192" s="23"/>
    </row>
    <row r="193" s="70" customFormat="1" spans="1:12">
      <c r="A193" s="75"/>
      <c r="B193" s="76" t="s">
        <v>1625</v>
      </c>
      <c r="C193" s="76" t="s">
        <v>275</v>
      </c>
      <c r="D193" s="10" t="s">
        <v>1626</v>
      </c>
      <c r="E193" s="20"/>
      <c r="F193" s="19"/>
      <c r="G193" s="19"/>
      <c r="H193" s="20"/>
      <c r="I193" s="77"/>
      <c r="J193" s="23"/>
      <c r="K193" s="23"/>
      <c r="L193" s="23"/>
    </row>
    <row r="194" s="70" customFormat="1" spans="1:12">
      <c r="A194" s="75"/>
      <c r="B194" s="76" t="s">
        <v>1627</v>
      </c>
      <c r="C194" s="76" t="s">
        <v>275</v>
      </c>
      <c r="D194" s="10" t="s">
        <v>1628</v>
      </c>
      <c r="E194" s="20"/>
      <c r="F194" s="19"/>
      <c r="G194" s="19"/>
      <c r="H194" s="20"/>
      <c r="I194" s="77"/>
      <c r="J194" s="23"/>
      <c r="K194" s="23"/>
      <c r="L194" s="23"/>
    </row>
    <row r="195" s="70" customFormat="1" spans="1:12">
      <c r="A195" s="75"/>
      <c r="B195" s="76" t="s">
        <v>1629</v>
      </c>
      <c r="C195" s="76" t="s">
        <v>275</v>
      </c>
      <c r="D195" s="10" t="s">
        <v>1630</v>
      </c>
      <c r="E195" s="20"/>
      <c r="F195" s="19"/>
      <c r="G195" s="19"/>
      <c r="H195" s="20"/>
      <c r="I195" s="77"/>
      <c r="J195" s="23"/>
      <c r="K195" s="23"/>
      <c r="L195" s="23"/>
    </row>
    <row r="196" s="70" customFormat="1" spans="1:12">
      <c r="A196" s="75"/>
      <c r="B196" s="76" t="s">
        <v>1631</v>
      </c>
      <c r="C196" s="76" t="s">
        <v>275</v>
      </c>
      <c r="D196" s="10" t="s">
        <v>1632</v>
      </c>
      <c r="E196" s="20"/>
      <c r="F196" s="19"/>
      <c r="G196" s="19"/>
      <c r="H196" s="20"/>
      <c r="I196" s="77"/>
      <c r="J196" s="23"/>
      <c r="K196" s="23"/>
      <c r="L196" s="23"/>
    </row>
    <row r="197" s="70" customFormat="1" ht="26.4" spans="1:12">
      <c r="A197" s="75"/>
      <c r="B197" s="76" t="s">
        <v>1633</v>
      </c>
      <c r="C197" s="76" t="s">
        <v>275</v>
      </c>
      <c r="D197" s="10" t="s">
        <v>1634</v>
      </c>
      <c r="E197" s="20"/>
      <c r="F197" s="19"/>
      <c r="G197" s="19"/>
      <c r="H197" s="20"/>
      <c r="I197" s="77"/>
      <c r="J197" s="23"/>
      <c r="K197" s="23"/>
      <c r="L197" s="23"/>
    </row>
    <row r="198" s="70" customFormat="1" ht="26.4" spans="1:12">
      <c r="A198" s="75"/>
      <c r="B198" s="76" t="s">
        <v>1635</v>
      </c>
      <c r="C198" s="76" t="s">
        <v>275</v>
      </c>
      <c r="D198" s="10" t="s">
        <v>1636</v>
      </c>
      <c r="E198" s="20"/>
      <c r="F198" s="19"/>
      <c r="G198" s="19"/>
      <c r="H198" s="20"/>
      <c r="I198" s="77"/>
      <c r="J198" s="23"/>
      <c r="K198" s="23"/>
      <c r="L198" s="23"/>
    </row>
    <row r="199" s="70" customFormat="1" ht="26.4" spans="1:12">
      <c r="A199" s="75"/>
      <c r="B199" s="76" t="s">
        <v>1637</v>
      </c>
      <c r="C199" s="76" t="s">
        <v>275</v>
      </c>
      <c r="D199" s="10" t="s">
        <v>1638</v>
      </c>
      <c r="E199" s="20"/>
      <c r="F199" s="19"/>
      <c r="G199" s="19"/>
      <c r="H199" s="20"/>
      <c r="I199" s="77"/>
      <c r="J199" s="23"/>
      <c r="K199" s="23"/>
      <c r="L199" s="23"/>
    </row>
    <row r="200" s="70" customFormat="1" ht="26.4" spans="1:12">
      <c r="A200" s="75"/>
      <c r="B200" s="76" t="s">
        <v>1639</v>
      </c>
      <c r="C200" s="76" t="s">
        <v>275</v>
      </c>
      <c r="D200" s="10" t="s">
        <v>1640</v>
      </c>
      <c r="E200" s="20"/>
      <c r="F200" s="19"/>
      <c r="G200" s="19"/>
      <c r="H200" s="20"/>
      <c r="I200" s="77"/>
      <c r="J200" s="23"/>
      <c r="K200" s="23"/>
      <c r="L200" s="23"/>
    </row>
    <row r="201" s="70" customFormat="1" ht="26.4" spans="1:12">
      <c r="A201" s="75"/>
      <c r="B201" s="76" t="s">
        <v>1641</v>
      </c>
      <c r="C201" s="76" t="s">
        <v>275</v>
      </c>
      <c r="D201" s="10" t="s">
        <v>1642</v>
      </c>
      <c r="E201" s="20"/>
      <c r="F201" s="19"/>
      <c r="G201" s="19"/>
      <c r="H201" s="20"/>
      <c r="I201" s="77"/>
      <c r="J201" s="23"/>
      <c r="K201" s="23"/>
      <c r="L201" s="23"/>
    </row>
    <row r="202" s="70" customFormat="1" spans="1:12">
      <c r="A202" s="75"/>
      <c r="B202" s="76" t="s">
        <v>1643</v>
      </c>
      <c r="C202" s="76" t="s">
        <v>275</v>
      </c>
      <c r="D202" s="10" t="s">
        <v>1644</v>
      </c>
      <c r="E202" s="20"/>
      <c r="F202" s="19"/>
      <c r="G202" s="19"/>
      <c r="H202" s="20"/>
      <c r="I202" s="77"/>
      <c r="J202" s="23"/>
      <c r="K202" s="23"/>
      <c r="L202" s="23"/>
    </row>
    <row r="203" s="70" customFormat="1" spans="1:12">
      <c r="A203" s="75"/>
      <c r="B203" s="76" t="s">
        <v>1645</v>
      </c>
      <c r="C203" s="76" t="s">
        <v>275</v>
      </c>
      <c r="D203" s="10" t="s">
        <v>1646</v>
      </c>
      <c r="E203" s="20"/>
      <c r="F203" s="19"/>
      <c r="G203" s="19"/>
      <c r="H203" s="20"/>
      <c r="I203" s="77"/>
      <c r="J203" s="23"/>
      <c r="K203" s="23"/>
      <c r="L203" s="23"/>
    </row>
    <row r="204" s="70" customFormat="1" spans="1:12">
      <c r="A204" s="75"/>
      <c r="B204" s="76" t="s">
        <v>1647</v>
      </c>
      <c r="C204" s="76" t="s">
        <v>275</v>
      </c>
      <c r="D204" s="10" t="s">
        <v>1648</v>
      </c>
      <c r="E204" s="20"/>
      <c r="F204" s="19"/>
      <c r="G204" s="19"/>
      <c r="H204" s="20"/>
      <c r="I204" s="77"/>
      <c r="J204" s="23"/>
      <c r="K204" s="23"/>
      <c r="L204" s="23"/>
    </row>
    <row r="205" s="70" customFormat="1" spans="1:12">
      <c r="A205" s="75"/>
      <c r="B205" s="76" t="s">
        <v>1649</v>
      </c>
      <c r="C205" s="76" t="s">
        <v>275</v>
      </c>
      <c r="D205" s="10" t="s">
        <v>1650</v>
      </c>
      <c r="E205" s="20"/>
      <c r="F205" s="19"/>
      <c r="G205" s="19"/>
      <c r="H205" s="20"/>
      <c r="I205" s="77"/>
      <c r="J205" s="23"/>
      <c r="K205" s="23"/>
      <c r="L205" s="23"/>
    </row>
    <row r="206" s="70" customFormat="1" spans="1:12">
      <c r="A206" s="75"/>
      <c r="B206" s="76" t="s">
        <v>1651</v>
      </c>
      <c r="C206" s="76" t="s">
        <v>275</v>
      </c>
      <c r="D206" s="10" t="s">
        <v>1652</v>
      </c>
      <c r="E206" s="20"/>
      <c r="F206" s="19"/>
      <c r="G206" s="19"/>
      <c r="H206" s="20"/>
      <c r="I206" s="77"/>
      <c r="J206" s="23"/>
      <c r="K206" s="23"/>
      <c r="L206" s="23"/>
    </row>
    <row r="207" s="70" customFormat="1" spans="1:12">
      <c r="A207" s="75"/>
      <c r="B207" s="76" t="s">
        <v>1653</v>
      </c>
      <c r="C207" s="76" t="s">
        <v>275</v>
      </c>
      <c r="D207" s="10" t="s">
        <v>1654</v>
      </c>
      <c r="E207" s="20"/>
      <c r="F207" s="19"/>
      <c r="G207" s="19"/>
      <c r="H207" s="20"/>
      <c r="I207" s="77"/>
      <c r="J207" s="23"/>
      <c r="K207" s="23"/>
      <c r="L207" s="23"/>
    </row>
    <row r="208" s="70" customFormat="1" spans="1:12">
      <c r="A208" s="75"/>
      <c r="B208" s="76" t="s">
        <v>1655</v>
      </c>
      <c r="C208" s="76" t="s">
        <v>275</v>
      </c>
      <c r="D208" s="10" t="s">
        <v>1656</v>
      </c>
      <c r="E208" s="20"/>
      <c r="F208" s="19"/>
      <c r="G208" s="19"/>
      <c r="H208" s="20"/>
      <c r="I208" s="77"/>
      <c r="J208" s="23"/>
      <c r="K208" s="23"/>
      <c r="L208" s="23"/>
    </row>
    <row r="209" s="70" customFormat="1" spans="1:12">
      <c r="A209" s="75"/>
      <c r="B209" s="76" t="s">
        <v>1657</v>
      </c>
      <c r="C209" s="76" t="s">
        <v>275</v>
      </c>
      <c r="D209" s="10" t="s">
        <v>1658</v>
      </c>
      <c r="E209" s="20"/>
      <c r="F209" s="19"/>
      <c r="G209" s="19"/>
      <c r="H209" s="20"/>
      <c r="I209" s="77"/>
      <c r="J209" s="23"/>
      <c r="K209" s="23"/>
      <c r="L209" s="23"/>
    </row>
    <row r="210" s="70" customFormat="1" spans="1:12">
      <c r="A210" s="75"/>
      <c r="B210" s="76" t="s">
        <v>1659</v>
      </c>
      <c r="C210" s="76" t="s">
        <v>275</v>
      </c>
      <c r="D210" s="10" t="s">
        <v>1660</v>
      </c>
      <c r="E210" s="20"/>
      <c r="F210" s="19"/>
      <c r="G210" s="19"/>
      <c r="H210" s="20"/>
      <c r="I210" s="77"/>
      <c r="J210" s="23"/>
      <c r="K210" s="23"/>
      <c r="L210" s="23"/>
    </row>
    <row r="211" s="70" customFormat="1" spans="1:12">
      <c r="A211" s="75"/>
      <c r="B211" s="76" t="s">
        <v>1661</v>
      </c>
      <c r="C211" s="76" t="s">
        <v>275</v>
      </c>
      <c r="D211" s="10" t="s">
        <v>1662</v>
      </c>
      <c r="E211" s="20"/>
      <c r="F211" s="19"/>
      <c r="G211" s="19"/>
      <c r="H211" s="20"/>
      <c r="I211" s="77"/>
      <c r="J211" s="23"/>
      <c r="K211" s="23"/>
      <c r="L211" s="23"/>
    </row>
    <row r="212" s="70" customFormat="1" spans="1:12">
      <c r="A212" s="75"/>
      <c r="B212" s="76" t="s">
        <v>1663</v>
      </c>
      <c r="C212" s="76" t="s">
        <v>275</v>
      </c>
      <c r="D212" s="10" t="s">
        <v>1664</v>
      </c>
      <c r="E212" s="20"/>
      <c r="F212" s="19"/>
      <c r="G212" s="19"/>
      <c r="H212" s="20"/>
      <c r="I212" s="77"/>
      <c r="J212" s="23"/>
      <c r="K212" s="23"/>
      <c r="L212" s="23"/>
    </row>
    <row r="213" s="70" customFormat="1" spans="1:12">
      <c r="A213" s="75"/>
      <c r="B213" s="76" t="s">
        <v>1665</v>
      </c>
      <c r="C213" s="76" t="s">
        <v>275</v>
      </c>
      <c r="D213" s="10" t="s">
        <v>1666</v>
      </c>
      <c r="E213" s="20"/>
      <c r="F213" s="19"/>
      <c r="G213" s="19"/>
      <c r="H213" s="20"/>
      <c r="I213" s="77"/>
      <c r="J213" s="23"/>
      <c r="K213" s="23"/>
      <c r="L213" s="23"/>
    </row>
    <row r="214" s="70" customFormat="1" spans="1:12">
      <c r="A214" s="75"/>
      <c r="B214" s="76" t="s">
        <v>1667</v>
      </c>
      <c r="C214" s="76" t="s">
        <v>275</v>
      </c>
      <c r="D214" s="10" t="s">
        <v>1668</v>
      </c>
      <c r="E214" s="20"/>
      <c r="F214" s="19"/>
      <c r="G214" s="19"/>
      <c r="H214" s="20"/>
      <c r="I214" s="77"/>
      <c r="J214" s="23"/>
      <c r="K214" s="23"/>
      <c r="L214" s="23"/>
    </row>
    <row r="215" s="70" customFormat="1" ht="26.4" spans="1:12">
      <c r="A215" s="75"/>
      <c r="B215" s="76" t="s">
        <v>1669</v>
      </c>
      <c r="C215" s="76" t="s">
        <v>275</v>
      </c>
      <c r="D215" s="10" t="s">
        <v>1670</v>
      </c>
      <c r="E215" s="20"/>
      <c r="F215" s="19"/>
      <c r="G215" s="19"/>
      <c r="H215" s="20"/>
      <c r="I215" s="77"/>
      <c r="J215" s="23"/>
      <c r="K215" s="23"/>
      <c r="L215" s="23"/>
    </row>
    <row r="216" s="70" customFormat="1" ht="26.4" spans="1:12">
      <c r="A216" s="75"/>
      <c r="B216" s="76" t="s">
        <v>1671</v>
      </c>
      <c r="C216" s="76" t="s">
        <v>275</v>
      </c>
      <c r="D216" s="10" t="s">
        <v>1672</v>
      </c>
      <c r="E216" s="20"/>
      <c r="F216" s="19"/>
      <c r="G216" s="19"/>
      <c r="H216" s="20"/>
      <c r="I216" s="77"/>
      <c r="J216" s="23"/>
      <c r="K216" s="23"/>
      <c r="L216" s="23"/>
    </row>
    <row r="217" s="70" customFormat="1" ht="26.4" spans="1:12">
      <c r="A217" s="75"/>
      <c r="B217" s="76" t="s">
        <v>1673</v>
      </c>
      <c r="C217" s="76" t="s">
        <v>275</v>
      </c>
      <c r="D217" s="10" t="s">
        <v>1674</v>
      </c>
      <c r="E217" s="20"/>
      <c r="F217" s="19"/>
      <c r="G217" s="19"/>
      <c r="H217" s="20"/>
      <c r="I217" s="77"/>
      <c r="J217" s="23"/>
      <c r="K217" s="23"/>
      <c r="L217" s="23"/>
    </row>
    <row r="218" s="70" customFormat="1" ht="26.4" spans="1:12">
      <c r="A218" s="75"/>
      <c r="B218" s="76" t="s">
        <v>1675</v>
      </c>
      <c r="C218" s="76" t="s">
        <v>275</v>
      </c>
      <c r="D218" s="10" t="s">
        <v>1676</v>
      </c>
      <c r="E218" s="20"/>
      <c r="F218" s="19"/>
      <c r="G218" s="19"/>
      <c r="H218" s="20"/>
      <c r="I218" s="77"/>
      <c r="J218" s="23"/>
      <c r="K218" s="23"/>
      <c r="L218" s="23"/>
    </row>
    <row r="219" s="70" customFormat="1" ht="26.4" spans="1:12">
      <c r="A219" s="75"/>
      <c r="B219" s="76" t="s">
        <v>1677</v>
      </c>
      <c r="C219" s="76" t="s">
        <v>275</v>
      </c>
      <c r="D219" s="10" t="s">
        <v>1678</v>
      </c>
      <c r="E219" s="20"/>
      <c r="F219" s="19"/>
      <c r="G219" s="19"/>
      <c r="H219" s="20"/>
      <c r="I219" s="77"/>
      <c r="J219" s="23"/>
      <c r="K219" s="23"/>
      <c r="L219" s="23"/>
    </row>
    <row r="220" s="70" customFormat="1" spans="1:12">
      <c r="A220" s="75"/>
      <c r="B220" s="76" t="s">
        <v>1679</v>
      </c>
      <c r="C220" s="76" t="s">
        <v>275</v>
      </c>
      <c r="D220" s="10" t="s">
        <v>1680</v>
      </c>
      <c r="E220" s="20"/>
      <c r="F220" s="19"/>
      <c r="G220" s="19"/>
      <c r="H220" s="20"/>
      <c r="I220" s="77"/>
      <c r="J220" s="23"/>
      <c r="K220" s="23"/>
      <c r="L220" s="23"/>
    </row>
    <row r="221" s="70" customFormat="1" spans="1:12">
      <c r="A221" s="75"/>
      <c r="B221" s="76" t="s">
        <v>1681</v>
      </c>
      <c r="C221" s="76" t="s">
        <v>275</v>
      </c>
      <c r="D221" s="10" t="s">
        <v>1682</v>
      </c>
      <c r="E221" s="20"/>
      <c r="F221" s="19"/>
      <c r="G221" s="19"/>
      <c r="H221" s="20"/>
      <c r="I221" s="77"/>
      <c r="J221" s="23"/>
      <c r="K221" s="23"/>
      <c r="L221" s="23"/>
    </row>
    <row r="222" s="70" customFormat="1" spans="1:12">
      <c r="A222" s="75"/>
      <c r="B222" s="76" t="s">
        <v>1683</v>
      </c>
      <c r="C222" s="76" t="s">
        <v>275</v>
      </c>
      <c r="D222" s="10" t="s">
        <v>1684</v>
      </c>
      <c r="E222" s="20"/>
      <c r="F222" s="19"/>
      <c r="G222" s="19"/>
      <c r="H222" s="20"/>
      <c r="I222" s="77"/>
      <c r="J222" s="23"/>
      <c r="K222" s="23"/>
      <c r="L222" s="23"/>
    </row>
    <row r="223" s="70" customFormat="1" spans="1:12">
      <c r="A223" s="75"/>
      <c r="B223" s="76" t="s">
        <v>1685</v>
      </c>
      <c r="C223" s="76" t="s">
        <v>275</v>
      </c>
      <c r="D223" s="10" t="s">
        <v>1686</v>
      </c>
      <c r="E223" s="20"/>
      <c r="F223" s="19"/>
      <c r="G223" s="19"/>
      <c r="H223" s="20"/>
      <c r="I223" s="77"/>
      <c r="J223" s="23"/>
      <c r="K223" s="23"/>
      <c r="L223" s="23"/>
    </row>
    <row r="224" s="70" customFormat="1" spans="1:12">
      <c r="A224" s="75"/>
      <c r="B224" s="76" t="s">
        <v>1687</v>
      </c>
      <c r="C224" s="76" t="s">
        <v>275</v>
      </c>
      <c r="D224" s="10" t="s">
        <v>1688</v>
      </c>
      <c r="E224" s="20"/>
      <c r="F224" s="19"/>
      <c r="G224" s="19"/>
      <c r="H224" s="20"/>
      <c r="I224" s="77"/>
      <c r="J224" s="23"/>
      <c r="K224" s="23"/>
      <c r="L224" s="23"/>
    </row>
    <row r="225" spans="2:12">
      <c r="B225" s="10" t="s">
        <v>1689</v>
      </c>
      <c r="C225" s="10" t="s">
        <v>275</v>
      </c>
      <c r="D225" s="10" t="s">
        <v>1690</v>
      </c>
      <c r="E225" s="10"/>
      <c r="F225" s="10"/>
      <c r="G225" s="10"/>
      <c r="H225" s="10"/>
      <c r="I225" s="10"/>
      <c r="J225" s="10"/>
      <c r="K225" s="10"/>
      <c r="L225" s="10"/>
    </row>
    <row r="226" spans="2:12">
      <c r="B226" s="10" t="s">
        <v>2774</v>
      </c>
      <c r="C226" s="10" t="s">
        <v>275</v>
      </c>
      <c r="D226" s="10" t="s">
        <v>2775</v>
      </c>
      <c r="E226" s="10"/>
      <c r="F226" s="10"/>
      <c r="G226" s="10"/>
      <c r="H226" s="10"/>
      <c r="I226" s="10"/>
      <c r="J226" s="10"/>
      <c r="K226" s="10"/>
      <c r="L226" s="10"/>
    </row>
    <row r="227" spans="2:12">
      <c r="B227" s="10" t="s">
        <v>2776</v>
      </c>
      <c r="C227" s="10" t="s">
        <v>275</v>
      </c>
      <c r="D227" s="10" t="s">
        <v>2777</v>
      </c>
      <c r="E227" s="10"/>
      <c r="F227" s="10"/>
      <c r="G227" s="10"/>
      <c r="H227" s="10"/>
      <c r="I227" s="10"/>
      <c r="J227" s="10"/>
      <c r="K227" s="10"/>
      <c r="L227" s="10"/>
    </row>
    <row r="228" spans="2:12">
      <c r="B228" s="10" t="s">
        <v>2778</v>
      </c>
      <c r="C228" s="10" t="s">
        <v>275</v>
      </c>
      <c r="D228" s="10" t="s">
        <v>2779</v>
      </c>
      <c r="E228" s="10"/>
      <c r="F228" s="10"/>
      <c r="G228" s="10"/>
      <c r="H228" s="10"/>
      <c r="I228" s="10"/>
      <c r="J228" s="10"/>
      <c r="K228" s="10"/>
      <c r="L228" s="10"/>
    </row>
    <row r="229" spans="2:12">
      <c r="B229" s="10" t="s">
        <v>2780</v>
      </c>
      <c r="C229" s="10" t="s">
        <v>275</v>
      </c>
      <c r="D229" s="10" t="s">
        <v>2781</v>
      </c>
      <c r="E229" s="10"/>
      <c r="F229" s="10"/>
      <c r="G229" s="10"/>
      <c r="H229" s="10"/>
      <c r="I229" s="10"/>
      <c r="J229" s="10"/>
      <c r="K229" s="10"/>
      <c r="L229" s="10"/>
    </row>
    <row r="230" spans="2:12">
      <c r="B230" s="10" t="s">
        <v>2782</v>
      </c>
      <c r="C230" s="10" t="s">
        <v>275</v>
      </c>
      <c r="D230" s="10" t="s">
        <v>2783</v>
      </c>
      <c r="E230" s="10"/>
      <c r="F230" s="10"/>
      <c r="G230" s="10"/>
      <c r="H230" s="10"/>
      <c r="I230" s="10"/>
      <c r="J230" s="10"/>
      <c r="K230" s="10"/>
      <c r="L230" s="10"/>
    </row>
    <row r="231" spans="2:12">
      <c r="B231" s="10" t="s">
        <v>2784</v>
      </c>
      <c r="C231" s="10" t="s">
        <v>275</v>
      </c>
      <c r="D231" s="10" t="s">
        <v>2785</v>
      </c>
      <c r="E231" s="10"/>
      <c r="F231" s="10"/>
      <c r="G231" s="10"/>
      <c r="H231" s="10"/>
      <c r="I231" s="10"/>
      <c r="J231" s="10"/>
      <c r="K231" s="10"/>
      <c r="L231" s="10"/>
    </row>
    <row r="232" spans="2:12">
      <c r="B232" s="10" t="s">
        <v>2368</v>
      </c>
      <c r="C232" s="10" t="s">
        <v>275</v>
      </c>
      <c r="D232" s="10" t="s">
        <v>2369</v>
      </c>
      <c r="E232" s="10"/>
      <c r="F232" s="10"/>
      <c r="G232" s="10"/>
      <c r="H232" s="10"/>
      <c r="I232" s="10"/>
      <c r="J232" s="10"/>
      <c r="K232" s="10"/>
      <c r="L232" s="10"/>
    </row>
    <row r="233" spans="2:12">
      <c r="B233" s="10" t="s">
        <v>2370</v>
      </c>
      <c r="C233" s="10" t="s">
        <v>275</v>
      </c>
      <c r="D233" s="10" t="s">
        <v>2371</v>
      </c>
      <c r="E233" s="10"/>
      <c r="F233" s="10"/>
      <c r="G233" s="10"/>
      <c r="H233" s="10"/>
      <c r="I233" s="10"/>
      <c r="J233" s="10"/>
      <c r="K233" s="10"/>
      <c r="L233" s="10"/>
    </row>
    <row r="234" spans="2:12">
      <c r="B234" s="10" t="s">
        <v>2372</v>
      </c>
      <c r="C234" s="10" t="s">
        <v>275</v>
      </c>
      <c r="D234" s="10" t="s">
        <v>2373</v>
      </c>
      <c r="E234" s="10"/>
      <c r="F234" s="10"/>
      <c r="G234" s="10"/>
      <c r="H234" s="10"/>
      <c r="I234" s="10"/>
      <c r="J234" s="10"/>
      <c r="K234" s="10"/>
      <c r="L234" s="10"/>
    </row>
    <row r="235" spans="2:12">
      <c r="B235" s="10" t="s">
        <v>2374</v>
      </c>
      <c r="C235" s="10" t="s">
        <v>275</v>
      </c>
      <c r="D235" s="10" t="s">
        <v>2375</v>
      </c>
      <c r="E235" s="10"/>
      <c r="F235" s="10"/>
      <c r="G235" s="10"/>
      <c r="H235" s="10"/>
      <c r="I235" s="10"/>
      <c r="J235" s="10"/>
      <c r="K235" s="10"/>
      <c r="L235" s="10"/>
    </row>
    <row r="236" spans="2:12">
      <c r="B236" s="10" t="s">
        <v>2376</v>
      </c>
      <c r="C236" s="10" t="s">
        <v>275</v>
      </c>
      <c r="D236" s="10" t="s">
        <v>2377</v>
      </c>
      <c r="E236" s="10"/>
      <c r="F236" s="10"/>
      <c r="G236" s="10"/>
      <c r="H236" s="10"/>
      <c r="I236" s="10"/>
      <c r="J236" s="10"/>
      <c r="K236" s="10"/>
      <c r="L236" s="10"/>
    </row>
    <row r="237" spans="2:12">
      <c r="B237" s="10" t="s">
        <v>2378</v>
      </c>
      <c r="C237" s="10" t="s">
        <v>275</v>
      </c>
      <c r="D237" s="10" t="s">
        <v>2379</v>
      </c>
      <c r="E237" s="10"/>
      <c r="F237" s="10"/>
      <c r="G237" s="10"/>
      <c r="H237" s="10"/>
      <c r="I237" s="10"/>
      <c r="J237" s="10"/>
      <c r="K237" s="10"/>
      <c r="L237" s="10"/>
    </row>
    <row r="238" spans="2:12">
      <c r="B238" s="10" t="s">
        <v>2380</v>
      </c>
      <c r="C238" s="10" t="s">
        <v>275</v>
      </c>
      <c r="D238" s="10" t="s">
        <v>2381</v>
      </c>
      <c r="E238" s="10"/>
      <c r="F238" s="10"/>
      <c r="G238" s="10"/>
      <c r="H238" s="10"/>
      <c r="I238" s="10"/>
      <c r="J238" s="10"/>
      <c r="K238" s="10"/>
      <c r="L238" s="10"/>
    </row>
    <row r="239" spans="2:12">
      <c r="B239" s="10" t="s">
        <v>2382</v>
      </c>
      <c r="C239" s="10" t="s">
        <v>275</v>
      </c>
      <c r="D239" s="10" t="s">
        <v>2383</v>
      </c>
      <c r="E239" s="10"/>
      <c r="F239" s="10"/>
      <c r="G239" s="10"/>
      <c r="H239" s="10"/>
      <c r="I239" s="10"/>
      <c r="J239" s="10"/>
      <c r="K239" s="10"/>
      <c r="L239" s="10"/>
    </row>
    <row r="240" spans="2:12">
      <c r="B240" s="10" t="s">
        <v>2384</v>
      </c>
      <c r="C240" s="10" t="s">
        <v>275</v>
      </c>
      <c r="D240" s="10" t="s">
        <v>2385</v>
      </c>
      <c r="E240" s="10"/>
      <c r="F240" s="10"/>
      <c r="G240" s="10"/>
      <c r="H240" s="10"/>
      <c r="I240" s="10"/>
      <c r="J240" s="10"/>
      <c r="K240" s="10"/>
      <c r="L240" s="10"/>
    </row>
    <row r="241" spans="2:12">
      <c r="B241" s="10" t="s">
        <v>2386</v>
      </c>
      <c r="C241" s="10" t="s">
        <v>275</v>
      </c>
      <c r="D241" s="10" t="s">
        <v>2387</v>
      </c>
      <c r="E241" s="10"/>
      <c r="F241" s="10"/>
      <c r="G241" s="10"/>
      <c r="H241" s="10"/>
      <c r="I241" s="10"/>
      <c r="J241" s="10"/>
      <c r="K241" s="10"/>
      <c r="L241" s="10"/>
    </row>
    <row r="242" spans="2:12">
      <c r="B242" s="10" t="s">
        <v>2388</v>
      </c>
      <c r="C242" s="10" t="s">
        <v>275</v>
      </c>
      <c r="D242" s="10" t="s">
        <v>2389</v>
      </c>
      <c r="E242" s="10"/>
      <c r="F242" s="10"/>
      <c r="G242" s="10"/>
      <c r="H242" s="10"/>
      <c r="I242" s="10"/>
      <c r="J242" s="10"/>
      <c r="K242" s="10"/>
      <c r="L242" s="10"/>
    </row>
    <row r="243" spans="2:12">
      <c r="B243" s="10" t="s">
        <v>2390</v>
      </c>
      <c r="C243" s="10" t="s">
        <v>275</v>
      </c>
      <c r="D243" s="10" t="s">
        <v>2391</v>
      </c>
      <c r="E243" s="10"/>
      <c r="F243" s="10"/>
      <c r="G243" s="10"/>
      <c r="H243" s="10"/>
      <c r="I243" s="10"/>
      <c r="J243" s="10"/>
      <c r="K243" s="10"/>
      <c r="L243" s="10"/>
    </row>
    <row r="244" spans="2:12">
      <c r="B244" s="10" t="s">
        <v>2392</v>
      </c>
      <c r="C244" s="10" t="s">
        <v>275</v>
      </c>
      <c r="D244" s="10" t="s">
        <v>2393</v>
      </c>
      <c r="E244" s="10"/>
      <c r="F244" s="10"/>
      <c r="G244" s="10"/>
      <c r="H244" s="10"/>
      <c r="I244" s="10"/>
      <c r="J244" s="10"/>
      <c r="K244" s="10"/>
      <c r="L244" s="10"/>
    </row>
    <row r="245" spans="2:12">
      <c r="B245" s="10" t="s">
        <v>2394</v>
      </c>
      <c r="C245" s="10" t="s">
        <v>275</v>
      </c>
      <c r="D245" s="10" t="s">
        <v>2395</v>
      </c>
      <c r="E245" s="10"/>
      <c r="F245" s="10"/>
      <c r="G245" s="10"/>
      <c r="H245" s="10"/>
      <c r="I245" s="10"/>
      <c r="J245" s="10"/>
      <c r="K245" s="10"/>
      <c r="L245" s="10"/>
    </row>
    <row r="246" spans="2:12">
      <c r="B246" s="10" t="s">
        <v>2396</v>
      </c>
      <c r="C246" s="10" t="s">
        <v>275</v>
      </c>
      <c r="D246" s="10" t="s">
        <v>2397</v>
      </c>
      <c r="E246" s="10"/>
      <c r="F246" s="10"/>
      <c r="G246" s="10"/>
      <c r="H246" s="10"/>
      <c r="I246" s="10"/>
      <c r="J246" s="10"/>
      <c r="K246" s="10"/>
      <c r="L246" s="10"/>
    </row>
    <row r="247" spans="2:12">
      <c r="B247" s="10" t="s">
        <v>2398</v>
      </c>
      <c r="C247" s="10" t="s">
        <v>275</v>
      </c>
      <c r="D247" s="10" t="s">
        <v>2399</v>
      </c>
      <c r="E247" s="10"/>
      <c r="F247" s="10"/>
      <c r="G247" s="10"/>
      <c r="H247" s="10"/>
      <c r="I247" s="10"/>
      <c r="J247" s="10"/>
      <c r="K247" s="10"/>
      <c r="L247" s="10"/>
    </row>
    <row r="248" spans="2:12">
      <c r="B248" s="10" t="s">
        <v>2400</v>
      </c>
      <c r="C248" s="10" t="s">
        <v>275</v>
      </c>
      <c r="D248" s="10" t="s">
        <v>2401</v>
      </c>
      <c r="E248" s="10"/>
      <c r="F248" s="10"/>
      <c r="G248" s="10"/>
      <c r="H248" s="10"/>
      <c r="I248" s="10"/>
      <c r="J248" s="10"/>
      <c r="K248" s="10"/>
      <c r="L248" s="10"/>
    </row>
    <row r="249" spans="2:12">
      <c r="B249" s="10" t="s">
        <v>2402</v>
      </c>
      <c r="C249" s="10" t="s">
        <v>275</v>
      </c>
      <c r="D249" s="10" t="s">
        <v>2403</v>
      </c>
      <c r="E249" s="10"/>
      <c r="F249" s="10"/>
      <c r="G249" s="10"/>
      <c r="H249" s="10"/>
      <c r="I249" s="10"/>
      <c r="J249" s="10"/>
      <c r="K249" s="10"/>
      <c r="L249" s="10"/>
    </row>
    <row r="250" spans="2:12">
      <c r="B250" s="10" t="s">
        <v>2404</v>
      </c>
      <c r="C250" s="10" t="s">
        <v>275</v>
      </c>
      <c r="D250" s="10" t="s">
        <v>2405</v>
      </c>
      <c r="E250" s="10"/>
      <c r="F250" s="10"/>
      <c r="G250" s="10"/>
      <c r="H250" s="10"/>
      <c r="I250" s="10"/>
      <c r="J250" s="10"/>
      <c r="K250" s="10"/>
      <c r="L250" s="10"/>
    </row>
    <row r="251" spans="2:12">
      <c r="B251" s="10" t="s">
        <v>2406</v>
      </c>
      <c r="C251" s="10" t="s">
        <v>275</v>
      </c>
      <c r="D251" s="10" t="s">
        <v>2407</v>
      </c>
      <c r="E251" s="10"/>
      <c r="F251" s="10"/>
      <c r="G251" s="10"/>
      <c r="H251" s="10"/>
      <c r="I251" s="10"/>
      <c r="J251" s="10"/>
      <c r="K251" s="10"/>
      <c r="L251" s="10"/>
    </row>
    <row r="252" spans="2:12">
      <c r="B252" s="10" t="s">
        <v>2408</v>
      </c>
      <c r="C252" s="10" t="s">
        <v>275</v>
      </c>
      <c r="D252" s="10" t="s">
        <v>2409</v>
      </c>
      <c r="E252" s="10"/>
      <c r="F252" s="10"/>
      <c r="G252" s="10"/>
      <c r="H252" s="10"/>
      <c r="I252" s="10"/>
      <c r="J252" s="10"/>
      <c r="K252" s="10"/>
      <c r="L252" s="10"/>
    </row>
    <row r="253" spans="2:12">
      <c r="B253" s="10" t="s">
        <v>2410</v>
      </c>
      <c r="C253" s="10" t="s">
        <v>275</v>
      </c>
      <c r="D253" s="10" t="s">
        <v>2411</v>
      </c>
      <c r="E253" s="10"/>
      <c r="F253" s="10"/>
      <c r="G253" s="10"/>
      <c r="H253" s="10"/>
      <c r="I253" s="10"/>
      <c r="J253" s="10"/>
      <c r="K253" s="10"/>
      <c r="L253" s="10"/>
    </row>
    <row r="254" spans="2:12">
      <c r="B254" s="10" t="s">
        <v>2412</v>
      </c>
      <c r="C254" s="10" t="s">
        <v>275</v>
      </c>
      <c r="D254" s="10" t="s">
        <v>2413</v>
      </c>
      <c r="E254" s="10"/>
      <c r="F254" s="10"/>
      <c r="G254" s="10"/>
      <c r="H254" s="10"/>
      <c r="I254" s="10"/>
      <c r="J254" s="10"/>
      <c r="K254" s="10"/>
      <c r="L254" s="10"/>
    </row>
    <row r="255" spans="2:12">
      <c r="B255" s="10" t="s">
        <v>2414</v>
      </c>
      <c r="C255" s="10" t="s">
        <v>275</v>
      </c>
      <c r="D255" s="10" t="s">
        <v>2415</v>
      </c>
      <c r="E255" s="10"/>
      <c r="F255" s="10"/>
      <c r="G255" s="10"/>
      <c r="H255" s="10"/>
      <c r="I255" s="10"/>
      <c r="J255" s="10"/>
      <c r="K255" s="10"/>
      <c r="L255" s="10"/>
    </row>
    <row r="256" spans="2:12">
      <c r="B256" s="10" t="s">
        <v>2416</v>
      </c>
      <c r="C256" s="10" t="s">
        <v>275</v>
      </c>
      <c r="D256" s="10" t="s">
        <v>2417</v>
      </c>
      <c r="E256" s="10"/>
      <c r="F256" s="10"/>
      <c r="G256" s="10"/>
      <c r="H256" s="10"/>
      <c r="I256" s="10"/>
      <c r="J256" s="10"/>
      <c r="K256" s="10"/>
      <c r="L256" s="10"/>
    </row>
    <row r="257" spans="2:12">
      <c r="B257" s="10" t="s">
        <v>2418</v>
      </c>
      <c r="C257" s="10" t="s">
        <v>275</v>
      </c>
      <c r="D257" s="10" t="s">
        <v>2419</v>
      </c>
      <c r="E257" s="10"/>
      <c r="F257" s="10"/>
      <c r="G257" s="10"/>
      <c r="H257" s="10"/>
      <c r="I257" s="10"/>
      <c r="J257" s="10"/>
      <c r="K257" s="10"/>
      <c r="L257" s="10"/>
    </row>
    <row r="258" spans="2:12">
      <c r="B258" s="10" t="s">
        <v>2420</v>
      </c>
      <c r="C258" s="10" t="s">
        <v>275</v>
      </c>
      <c r="D258" s="10" t="s">
        <v>2421</v>
      </c>
      <c r="E258" s="10"/>
      <c r="F258" s="10"/>
      <c r="G258" s="10"/>
      <c r="H258" s="10"/>
      <c r="I258" s="10"/>
      <c r="J258" s="10"/>
      <c r="K258" s="10"/>
      <c r="L258" s="10"/>
    </row>
    <row r="259" spans="2:12">
      <c r="B259" s="10" t="s">
        <v>2422</v>
      </c>
      <c r="C259" s="10" t="s">
        <v>275</v>
      </c>
      <c r="D259" s="10" t="s">
        <v>2423</v>
      </c>
      <c r="E259" s="10"/>
      <c r="F259" s="10"/>
      <c r="G259" s="10"/>
      <c r="H259" s="10"/>
      <c r="I259" s="10"/>
      <c r="J259" s="10"/>
      <c r="K259" s="10"/>
      <c r="L259" s="10"/>
    </row>
    <row r="260" spans="2:12">
      <c r="B260" s="10" t="s">
        <v>2424</v>
      </c>
      <c r="C260" s="10" t="s">
        <v>275</v>
      </c>
      <c r="D260" s="10" t="s">
        <v>2425</v>
      </c>
      <c r="E260" s="10"/>
      <c r="F260" s="10"/>
      <c r="G260" s="10"/>
      <c r="H260" s="10"/>
      <c r="I260" s="10"/>
      <c r="J260" s="10"/>
      <c r="K260" s="10"/>
      <c r="L260" s="10"/>
    </row>
    <row r="261" spans="2:12">
      <c r="B261" s="10" t="s">
        <v>2426</v>
      </c>
      <c r="C261" s="10" t="s">
        <v>275</v>
      </c>
      <c r="D261" s="10" t="s">
        <v>2427</v>
      </c>
      <c r="E261" s="10"/>
      <c r="F261" s="10"/>
      <c r="G261" s="10"/>
      <c r="H261" s="10"/>
      <c r="I261" s="10"/>
      <c r="J261" s="10"/>
      <c r="K261" s="10"/>
      <c r="L261" s="10"/>
    </row>
    <row r="262" spans="2:12">
      <c r="B262" s="10" t="s">
        <v>2428</v>
      </c>
      <c r="C262" s="10" t="s">
        <v>275</v>
      </c>
      <c r="D262" s="10" t="s">
        <v>2429</v>
      </c>
      <c r="E262" s="10"/>
      <c r="F262" s="10"/>
      <c r="G262" s="10"/>
      <c r="H262" s="10"/>
      <c r="I262" s="10"/>
      <c r="J262" s="10"/>
      <c r="K262" s="10"/>
      <c r="L262" s="10"/>
    </row>
    <row r="263" spans="2:12">
      <c r="B263" s="10" t="s">
        <v>2430</v>
      </c>
      <c r="C263" s="10" t="s">
        <v>275</v>
      </c>
      <c r="D263" s="10" t="s">
        <v>2431</v>
      </c>
      <c r="E263" s="10"/>
      <c r="F263" s="10"/>
      <c r="G263" s="10"/>
      <c r="H263" s="10"/>
      <c r="I263" s="10"/>
      <c r="J263" s="10"/>
      <c r="K263" s="10"/>
      <c r="L263" s="10"/>
    </row>
    <row r="264" spans="2:12">
      <c r="B264" s="10" t="s">
        <v>2432</v>
      </c>
      <c r="C264" s="10" t="s">
        <v>275</v>
      </c>
      <c r="D264" s="10" t="s">
        <v>2433</v>
      </c>
      <c r="E264" s="10"/>
      <c r="F264" s="10"/>
      <c r="G264" s="10"/>
      <c r="H264" s="10"/>
      <c r="I264" s="10"/>
      <c r="J264" s="10"/>
      <c r="K264" s="10"/>
      <c r="L264" s="10"/>
    </row>
    <row r="265" spans="2:12">
      <c r="B265" s="10" t="s">
        <v>2434</v>
      </c>
      <c r="C265" s="10" t="s">
        <v>275</v>
      </c>
      <c r="D265" s="10" t="s">
        <v>2435</v>
      </c>
      <c r="E265" s="10"/>
      <c r="F265" s="10"/>
      <c r="G265" s="10"/>
      <c r="H265" s="10"/>
      <c r="I265" s="10"/>
      <c r="J265" s="10"/>
      <c r="K265" s="10"/>
      <c r="L265" s="10"/>
    </row>
    <row r="266" spans="2:12">
      <c r="B266" s="10" t="s">
        <v>2436</v>
      </c>
      <c r="C266" s="10" t="s">
        <v>275</v>
      </c>
      <c r="D266" s="10" t="s">
        <v>2437</v>
      </c>
      <c r="E266" s="10"/>
      <c r="F266" s="10"/>
      <c r="G266" s="10"/>
      <c r="H266" s="10"/>
      <c r="I266" s="10"/>
      <c r="J266" s="10"/>
      <c r="K266" s="10"/>
      <c r="L266" s="10"/>
    </row>
    <row r="267" spans="2:12">
      <c r="B267" s="10" t="s">
        <v>2438</v>
      </c>
      <c r="C267" s="10" t="s">
        <v>275</v>
      </c>
      <c r="D267" s="10" t="s">
        <v>2439</v>
      </c>
      <c r="E267" s="10"/>
      <c r="F267" s="10"/>
      <c r="G267" s="10"/>
      <c r="H267" s="10"/>
      <c r="I267" s="10"/>
      <c r="J267" s="10"/>
      <c r="K267" s="10"/>
      <c r="L267" s="10"/>
    </row>
    <row r="268" spans="2:12">
      <c r="B268" s="10" t="s">
        <v>350</v>
      </c>
      <c r="C268" s="10" t="s">
        <v>275</v>
      </c>
      <c r="D268" s="10" t="s">
        <v>2836</v>
      </c>
      <c r="E268" s="10"/>
      <c r="F268" s="10"/>
      <c r="G268" s="10"/>
      <c r="H268" s="10"/>
      <c r="I268" s="10"/>
      <c r="J268" s="10"/>
      <c r="K268" s="10"/>
      <c r="L268" s="10"/>
    </row>
    <row r="269" spans="2:12">
      <c r="B269" s="10" t="s">
        <v>2837</v>
      </c>
      <c r="C269" s="10" t="s">
        <v>275</v>
      </c>
      <c r="D269" s="10" t="s">
        <v>2838</v>
      </c>
      <c r="E269" s="10"/>
      <c r="F269" s="10"/>
      <c r="G269" s="10"/>
      <c r="H269" s="10"/>
      <c r="I269" s="10"/>
      <c r="J269" s="10"/>
      <c r="K269" s="10"/>
      <c r="L269" s="10"/>
    </row>
    <row r="270" spans="2:12">
      <c r="B270" s="10" t="s">
        <v>2839</v>
      </c>
      <c r="C270" s="10" t="s">
        <v>275</v>
      </c>
      <c r="D270" s="10" t="s">
        <v>2840</v>
      </c>
      <c r="E270" s="10"/>
      <c r="F270" s="10"/>
      <c r="G270" s="10"/>
      <c r="H270" s="10"/>
      <c r="I270" s="10"/>
      <c r="J270" s="10"/>
      <c r="K270" s="10"/>
      <c r="L270" s="10"/>
    </row>
    <row r="271" spans="2:12">
      <c r="B271" s="10" t="s">
        <v>2841</v>
      </c>
      <c r="C271" s="10" t="s">
        <v>275</v>
      </c>
      <c r="D271" s="10" t="s">
        <v>2842</v>
      </c>
      <c r="E271" s="10"/>
      <c r="F271" s="10"/>
      <c r="G271" s="10"/>
      <c r="H271" s="10"/>
      <c r="I271" s="10"/>
      <c r="J271" s="10"/>
      <c r="K271" s="10"/>
      <c r="L271" s="10"/>
    </row>
    <row r="272" spans="2:12">
      <c r="B272" s="10" t="s">
        <v>2843</v>
      </c>
      <c r="C272" s="10" t="s">
        <v>275</v>
      </c>
      <c r="D272" s="10" t="s">
        <v>2844</v>
      </c>
      <c r="E272" s="10"/>
      <c r="F272" s="10"/>
      <c r="G272" s="10"/>
      <c r="H272" s="10"/>
      <c r="I272" s="10"/>
      <c r="J272" s="10"/>
      <c r="K272" s="10"/>
      <c r="L272" s="10"/>
    </row>
    <row r="273" spans="2:12">
      <c r="B273" s="10" t="s">
        <v>2845</v>
      </c>
      <c r="C273" s="10" t="s">
        <v>275</v>
      </c>
      <c r="D273" s="10" t="s">
        <v>2846</v>
      </c>
      <c r="E273" s="10"/>
      <c r="F273" s="10"/>
      <c r="G273" s="10"/>
      <c r="H273" s="10"/>
      <c r="I273" s="10"/>
      <c r="J273" s="10"/>
      <c r="K273" s="10"/>
      <c r="L273" s="10"/>
    </row>
    <row r="274" spans="2:12">
      <c r="B274" s="10" t="s">
        <v>2847</v>
      </c>
      <c r="C274" s="10" t="s">
        <v>275</v>
      </c>
      <c r="D274" s="10" t="s">
        <v>2848</v>
      </c>
      <c r="E274" s="10"/>
      <c r="F274" s="10"/>
      <c r="G274" s="10"/>
      <c r="H274" s="10"/>
      <c r="I274" s="10"/>
      <c r="J274" s="10"/>
      <c r="K274" s="10"/>
      <c r="L274" s="10"/>
    </row>
    <row r="275" spans="2:12">
      <c r="B275" s="10" t="s">
        <v>2849</v>
      </c>
      <c r="C275" s="10" t="s">
        <v>275</v>
      </c>
      <c r="D275" s="10" t="s">
        <v>2850</v>
      </c>
      <c r="E275" s="10"/>
      <c r="F275" s="10"/>
      <c r="G275" s="10"/>
      <c r="H275" s="10"/>
      <c r="I275" s="10"/>
      <c r="J275" s="10"/>
      <c r="K275" s="10"/>
      <c r="L275" s="10"/>
    </row>
    <row r="276" spans="2:12">
      <c r="B276" s="10" t="s">
        <v>2917</v>
      </c>
      <c r="C276" s="10" t="s">
        <v>240</v>
      </c>
      <c r="D276" s="10" t="s">
        <v>2918</v>
      </c>
      <c r="E276" s="10"/>
      <c r="F276" s="10"/>
      <c r="G276" s="10"/>
      <c r="H276" s="10"/>
      <c r="I276" s="10"/>
      <c r="J276" s="10"/>
      <c r="K276" s="10"/>
      <c r="L276" s="10"/>
    </row>
    <row r="277" spans="2:12">
      <c r="B277" s="10" t="s">
        <v>2919</v>
      </c>
      <c r="C277" s="10" t="s">
        <v>240</v>
      </c>
      <c r="D277" s="10" t="s">
        <v>2920</v>
      </c>
      <c r="E277" s="10"/>
      <c r="F277" s="10"/>
      <c r="G277" s="10"/>
      <c r="H277" s="10"/>
      <c r="I277" s="10"/>
      <c r="J277" s="10"/>
      <c r="K277" s="10"/>
      <c r="L277" s="10"/>
    </row>
    <row r="278" spans="2:12">
      <c r="B278" s="10" t="s">
        <v>2921</v>
      </c>
      <c r="C278" s="10" t="s">
        <v>240</v>
      </c>
      <c r="D278" s="10" t="s">
        <v>2922</v>
      </c>
      <c r="E278" s="10"/>
      <c r="F278" s="10"/>
      <c r="G278" s="10"/>
      <c r="H278" s="10"/>
      <c r="I278" s="10"/>
      <c r="J278" s="10"/>
      <c r="K278" s="10"/>
      <c r="L278" s="10"/>
    </row>
    <row r="279" spans="2:12">
      <c r="B279" s="10" t="s">
        <v>2923</v>
      </c>
      <c r="C279" s="10" t="s">
        <v>240</v>
      </c>
      <c r="D279" s="10" t="s">
        <v>2924</v>
      </c>
      <c r="E279" s="10"/>
      <c r="F279" s="10"/>
      <c r="G279" s="10"/>
      <c r="H279" s="10"/>
      <c r="I279" s="10"/>
      <c r="J279" s="10"/>
      <c r="K279" s="10"/>
      <c r="L279" s="10"/>
    </row>
    <row r="280" spans="2:12">
      <c r="B280" s="10" t="s">
        <v>2925</v>
      </c>
      <c r="C280" s="10" t="s">
        <v>240</v>
      </c>
      <c r="D280" s="10" t="s">
        <v>2926</v>
      </c>
      <c r="E280" s="10"/>
      <c r="F280" s="10"/>
      <c r="G280" s="10"/>
      <c r="H280" s="10"/>
      <c r="I280" s="10"/>
      <c r="J280" s="10"/>
      <c r="K280" s="10"/>
      <c r="L280" s="10"/>
    </row>
    <row r="281" spans="2:12">
      <c r="B281" s="10" t="s">
        <v>2927</v>
      </c>
      <c r="C281" s="10" t="s">
        <v>240</v>
      </c>
      <c r="D281" s="10" t="s">
        <v>2928</v>
      </c>
      <c r="E281" s="10"/>
      <c r="F281" s="10"/>
      <c r="G281" s="10"/>
      <c r="H281" s="10"/>
      <c r="I281" s="10"/>
      <c r="J281" s="10"/>
      <c r="K281" s="10"/>
      <c r="L281" s="10"/>
    </row>
    <row r="282" spans="2:12">
      <c r="B282" s="10" t="s">
        <v>2929</v>
      </c>
      <c r="C282" s="10" t="s">
        <v>275</v>
      </c>
      <c r="D282" s="10" t="s">
        <v>2930</v>
      </c>
      <c r="E282" s="10"/>
      <c r="F282" s="10"/>
      <c r="G282" s="10"/>
      <c r="H282" s="10"/>
      <c r="I282" s="10"/>
      <c r="J282" s="10"/>
      <c r="K282" s="10"/>
      <c r="L282" s="10"/>
    </row>
    <row r="283" spans="2:12">
      <c r="B283" s="10" t="s">
        <v>2931</v>
      </c>
      <c r="C283" s="10" t="s">
        <v>275</v>
      </c>
      <c r="D283" s="10" t="s">
        <v>2932</v>
      </c>
      <c r="E283" s="10"/>
      <c r="F283" s="10"/>
      <c r="G283" s="10"/>
      <c r="H283" s="10"/>
      <c r="I283" s="10"/>
      <c r="J283" s="10"/>
      <c r="K283" s="10"/>
      <c r="L283" s="10"/>
    </row>
    <row r="284" spans="2:12">
      <c r="B284" s="10" t="s">
        <v>2933</v>
      </c>
      <c r="C284" s="10" t="s">
        <v>275</v>
      </c>
      <c r="D284" s="10" t="s">
        <v>2934</v>
      </c>
      <c r="E284" s="10"/>
      <c r="F284" s="10"/>
      <c r="G284" s="10"/>
      <c r="H284" s="10"/>
      <c r="I284" s="10"/>
      <c r="J284" s="10"/>
      <c r="K284" s="10"/>
      <c r="L284" s="10"/>
    </row>
    <row r="285" spans="2:12">
      <c r="B285" s="10" t="s">
        <v>2935</v>
      </c>
      <c r="C285" s="10" t="s">
        <v>275</v>
      </c>
      <c r="D285" s="10" t="s">
        <v>2936</v>
      </c>
      <c r="E285" s="10"/>
      <c r="F285" s="10"/>
      <c r="G285" s="10"/>
      <c r="H285" s="10"/>
      <c r="I285" s="10"/>
      <c r="J285" s="10"/>
      <c r="K285" s="10"/>
      <c r="L285" s="10"/>
    </row>
    <row r="286" spans="2:12">
      <c r="B286" s="10" t="s">
        <v>2937</v>
      </c>
      <c r="C286" s="10" t="s">
        <v>275</v>
      </c>
      <c r="D286" s="10" t="s">
        <v>2938</v>
      </c>
      <c r="E286" s="10"/>
      <c r="F286" s="10"/>
      <c r="G286" s="10"/>
      <c r="H286" s="10"/>
      <c r="I286" s="10"/>
      <c r="J286" s="10"/>
      <c r="K286" s="10"/>
      <c r="L286" s="10"/>
    </row>
    <row r="287" spans="2:12">
      <c r="B287" s="10" t="s">
        <v>2939</v>
      </c>
      <c r="C287" s="10" t="s">
        <v>275</v>
      </c>
      <c r="D287" s="10" t="s">
        <v>2940</v>
      </c>
      <c r="E287" s="10"/>
      <c r="F287" s="10"/>
      <c r="G287" s="10"/>
      <c r="H287" s="10"/>
      <c r="I287" s="10"/>
      <c r="J287" s="10"/>
      <c r="K287" s="10"/>
      <c r="L287" s="10"/>
    </row>
    <row r="288" spans="2:12">
      <c r="B288" s="10" t="s">
        <v>2941</v>
      </c>
      <c r="C288" s="10" t="s">
        <v>275</v>
      </c>
      <c r="D288" s="10" t="s">
        <v>2942</v>
      </c>
      <c r="E288" s="10"/>
      <c r="F288" s="10"/>
      <c r="G288" s="10"/>
      <c r="H288" s="10"/>
      <c r="I288" s="10"/>
      <c r="J288" s="10"/>
      <c r="K288" s="10"/>
      <c r="L288" s="10"/>
    </row>
    <row r="289" spans="2:12">
      <c r="B289" s="10" t="s">
        <v>2943</v>
      </c>
      <c r="C289" s="10" t="s">
        <v>275</v>
      </c>
      <c r="D289" s="10" t="s">
        <v>2944</v>
      </c>
      <c r="E289" s="10"/>
      <c r="F289" s="10"/>
      <c r="G289" s="10"/>
      <c r="H289" s="10"/>
      <c r="I289" s="10"/>
      <c r="J289" s="10"/>
      <c r="K289" s="10"/>
      <c r="L289" s="10"/>
    </row>
    <row r="290" spans="2:12">
      <c r="B290" s="10" t="s">
        <v>2945</v>
      </c>
      <c r="C290" s="10" t="s">
        <v>275</v>
      </c>
      <c r="D290" s="10" t="s">
        <v>2946</v>
      </c>
      <c r="E290" s="10"/>
      <c r="F290" s="10"/>
      <c r="G290" s="10"/>
      <c r="H290" s="10"/>
      <c r="I290" s="10"/>
      <c r="J290" s="10"/>
      <c r="K290" s="10"/>
      <c r="L290" s="10"/>
    </row>
    <row r="291" spans="2:12">
      <c r="B291" s="10" t="s">
        <v>2947</v>
      </c>
      <c r="C291" s="10" t="s">
        <v>275</v>
      </c>
      <c r="D291" s="10" t="s">
        <v>2948</v>
      </c>
      <c r="E291" s="10"/>
      <c r="F291" s="10"/>
      <c r="G291" s="10"/>
      <c r="H291" s="10"/>
      <c r="I291" s="10"/>
      <c r="J291" s="10"/>
      <c r="K291" s="10"/>
      <c r="L291" s="10"/>
    </row>
    <row r="292" spans="2:12">
      <c r="B292" s="10" t="s">
        <v>2949</v>
      </c>
      <c r="C292" s="10" t="s">
        <v>275</v>
      </c>
      <c r="D292" s="10" t="s">
        <v>2949</v>
      </c>
      <c r="E292" s="10"/>
      <c r="F292" s="10"/>
      <c r="G292" s="10"/>
      <c r="H292" s="10"/>
      <c r="I292" s="10"/>
      <c r="J292" s="10"/>
      <c r="K292" s="10"/>
      <c r="L292" s="10"/>
    </row>
    <row r="293" spans="2:12">
      <c r="B293" s="10" t="s">
        <v>2950</v>
      </c>
      <c r="C293" s="10" t="s">
        <v>275</v>
      </c>
      <c r="D293" s="10" t="s">
        <v>2950</v>
      </c>
      <c r="E293" s="10"/>
      <c r="F293" s="10"/>
      <c r="G293" s="10"/>
      <c r="H293" s="10"/>
      <c r="I293" s="10"/>
      <c r="J293" s="10"/>
      <c r="K293" s="10"/>
      <c r="L293" s="10"/>
    </row>
    <row r="294" spans="2:12">
      <c r="B294" s="10" t="s">
        <v>2951</v>
      </c>
      <c r="C294" s="10" t="s">
        <v>275</v>
      </c>
      <c r="D294" s="10" t="s">
        <v>2951</v>
      </c>
      <c r="E294" s="10"/>
      <c r="F294" s="10"/>
      <c r="G294" s="10"/>
      <c r="H294" s="10"/>
      <c r="I294" s="10"/>
      <c r="J294" s="10"/>
      <c r="K294" s="10"/>
      <c r="L294" s="10"/>
    </row>
    <row r="295" spans="2:12">
      <c r="B295" s="10" t="s">
        <v>2952</v>
      </c>
      <c r="C295" s="10" t="s">
        <v>275</v>
      </c>
      <c r="D295" s="10" t="s">
        <v>2952</v>
      </c>
      <c r="E295" s="10"/>
      <c r="F295" s="10"/>
      <c r="G295" s="10"/>
      <c r="H295" s="10"/>
      <c r="I295" s="10"/>
      <c r="J295" s="10"/>
      <c r="K295" s="10"/>
      <c r="L295" s="10"/>
    </row>
    <row r="296" spans="2:12">
      <c r="B296" s="10" t="s">
        <v>2953</v>
      </c>
      <c r="C296" s="10" t="s">
        <v>275</v>
      </c>
      <c r="D296" s="10" t="s">
        <v>2953</v>
      </c>
      <c r="E296" s="10"/>
      <c r="F296" s="10"/>
      <c r="G296" s="10"/>
      <c r="H296" s="10"/>
      <c r="I296" s="10"/>
      <c r="J296" s="10"/>
      <c r="K296" s="10"/>
      <c r="L296" s="10"/>
    </row>
    <row r="297" spans="2:12">
      <c r="B297" s="10" t="s">
        <v>2954</v>
      </c>
      <c r="C297" s="10" t="s">
        <v>275</v>
      </c>
      <c r="D297" s="10" t="s">
        <v>2954</v>
      </c>
      <c r="E297" s="10"/>
      <c r="F297" s="10"/>
      <c r="G297" s="10"/>
      <c r="H297" s="10"/>
      <c r="I297" s="10"/>
      <c r="J297" s="10"/>
      <c r="K297" s="10"/>
      <c r="L297" s="10"/>
    </row>
    <row r="298" spans="2:12">
      <c r="B298" s="10" t="s">
        <v>2955</v>
      </c>
      <c r="C298" s="10" t="s">
        <v>275</v>
      </c>
      <c r="D298" s="10" t="s">
        <v>2955</v>
      </c>
      <c r="E298" s="10"/>
      <c r="F298" s="10"/>
      <c r="G298" s="10"/>
      <c r="H298" s="10"/>
      <c r="I298" s="10"/>
      <c r="J298" s="10"/>
      <c r="K298" s="10"/>
      <c r="L298" s="10"/>
    </row>
    <row r="299" spans="2:12">
      <c r="B299" s="10" t="s">
        <v>2956</v>
      </c>
      <c r="C299" s="10" t="s">
        <v>275</v>
      </c>
      <c r="D299" s="10" t="s">
        <v>2956</v>
      </c>
      <c r="E299" s="10"/>
      <c r="F299" s="10"/>
      <c r="G299" s="10"/>
      <c r="H299" s="10"/>
      <c r="I299" s="10"/>
      <c r="J299" s="10"/>
      <c r="K299" s="10"/>
      <c r="L299" s="10"/>
    </row>
    <row r="300" spans="2:12">
      <c r="B300" s="10" t="s">
        <v>2957</v>
      </c>
      <c r="C300" s="10" t="s">
        <v>275</v>
      </c>
      <c r="D300" s="10" t="s">
        <v>2957</v>
      </c>
      <c r="E300" s="10"/>
      <c r="F300" s="10"/>
      <c r="G300" s="10"/>
      <c r="H300" s="10"/>
      <c r="I300" s="10"/>
      <c r="J300" s="10"/>
      <c r="K300" s="10"/>
      <c r="L300" s="10"/>
    </row>
    <row r="301" spans="2:12">
      <c r="B301" s="10" t="s">
        <v>2958</v>
      </c>
      <c r="C301" s="10" t="s">
        <v>275</v>
      </c>
      <c r="D301" s="10" t="s">
        <v>2958</v>
      </c>
      <c r="E301" s="10"/>
      <c r="F301" s="10"/>
      <c r="G301" s="10"/>
      <c r="H301" s="10"/>
      <c r="I301" s="10"/>
      <c r="J301" s="10"/>
      <c r="K301" s="10"/>
      <c r="L301" s="10"/>
    </row>
    <row r="302" spans="2:12">
      <c r="B302" s="10" t="s">
        <v>1691</v>
      </c>
      <c r="C302" s="10" t="s">
        <v>275</v>
      </c>
      <c r="D302" s="10" t="s">
        <v>1692</v>
      </c>
      <c r="E302" s="10"/>
      <c r="F302" s="10"/>
      <c r="G302" s="10"/>
      <c r="H302" s="10"/>
      <c r="I302" s="10"/>
      <c r="J302" s="10"/>
      <c r="K302" s="10"/>
      <c r="L302" s="10"/>
    </row>
    <row r="303" spans="2:12">
      <c r="B303" s="10" t="s">
        <v>1693</v>
      </c>
      <c r="C303" s="10" t="s">
        <v>275</v>
      </c>
      <c r="D303" s="10" t="s">
        <v>1694</v>
      </c>
      <c r="E303" s="10"/>
      <c r="F303" s="10"/>
      <c r="G303" s="10"/>
      <c r="H303" s="10"/>
      <c r="I303" s="10"/>
      <c r="J303" s="10"/>
      <c r="K303" s="10"/>
      <c r="L303" s="10"/>
    </row>
    <row r="304" spans="2:12">
      <c r="B304" s="10" t="s">
        <v>1695</v>
      </c>
      <c r="C304" s="10" t="s">
        <v>275</v>
      </c>
      <c r="D304" s="10" t="s">
        <v>1696</v>
      </c>
      <c r="E304" s="10"/>
      <c r="F304" s="10"/>
      <c r="G304" s="10"/>
      <c r="H304" s="10"/>
      <c r="I304" s="10"/>
      <c r="J304" s="10"/>
      <c r="K304" s="10"/>
      <c r="L304" s="10"/>
    </row>
    <row r="305" spans="2:12">
      <c r="B305" s="10" t="s">
        <v>1697</v>
      </c>
      <c r="C305" s="10" t="s">
        <v>275</v>
      </c>
      <c r="D305" s="10" t="s">
        <v>1698</v>
      </c>
      <c r="E305" s="10"/>
      <c r="F305" s="10"/>
      <c r="G305" s="10"/>
      <c r="H305" s="10"/>
      <c r="I305" s="10"/>
      <c r="J305" s="10"/>
      <c r="K305" s="10"/>
      <c r="L305" s="10"/>
    </row>
    <row r="306" spans="2:12">
      <c r="B306" s="10" t="s">
        <v>1699</v>
      </c>
      <c r="C306" s="10" t="s">
        <v>275</v>
      </c>
      <c r="D306" s="10" t="s">
        <v>1700</v>
      </c>
      <c r="E306" s="10"/>
      <c r="F306" s="10"/>
      <c r="G306" s="10"/>
      <c r="H306" s="10"/>
      <c r="I306" s="10"/>
      <c r="J306" s="10"/>
      <c r="K306" s="10"/>
      <c r="L306" s="10"/>
    </row>
    <row r="307" spans="2:12">
      <c r="B307" s="10" t="s">
        <v>1701</v>
      </c>
      <c r="C307" s="10" t="s">
        <v>275</v>
      </c>
      <c r="D307" s="10" t="s">
        <v>1702</v>
      </c>
      <c r="E307" s="10"/>
      <c r="F307" s="10"/>
      <c r="G307" s="10"/>
      <c r="H307" s="10"/>
      <c r="I307" s="10"/>
      <c r="J307" s="10"/>
      <c r="K307" s="10"/>
      <c r="L307" s="10"/>
    </row>
    <row r="308" spans="2:12">
      <c r="B308" s="10" t="s">
        <v>1703</v>
      </c>
      <c r="C308" s="10" t="s">
        <v>275</v>
      </c>
      <c r="D308" s="10" t="s">
        <v>1704</v>
      </c>
      <c r="E308" s="10"/>
      <c r="F308" s="10"/>
      <c r="G308" s="10"/>
      <c r="H308" s="10"/>
      <c r="I308" s="10"/>
      <c r="J308" s="10"/>
      <c r="K308" s="10"/>
      <c r="L308" s="10"/>
    </row>
    <row r="309" spans="2:12">
      <c r="B309" s="10" t="s">
        <v>1705</v>
      </c>
      <c r="C309" s="10" t="s">
        <v>275</v>
      </c>
      <c r="D309" s="10" t="s">
        <v>1706</v>
      </c>
      <c r="E309" s="10"/>
      <c r="F309" s="10"/>
      <c r="G309" s="10"/>
      <c r="H309" s="10"/>
      <c r="I309" s="10"/>
      <c r="J309" s="10"/>
      <c r="K309" s="10"/>
      <c r="L309" s="10"/>
    </row>
    <row r="310" spans="2:12">
      <c r="B310" s="10" t="s">
        <v>1707</v>
      </c>
      <c r="C310" s="10" t="s">
        <v>275</v>
      </c>
      <c r="D310" s="10" t="s">
        <v>1708</v>
      </c>
      <c r="E310" s="10"/>
      <c r="F310" s="10"/>
      <c r="G310" s="10"/>
      <c r="H310" s="10"/>
      <c r="I310" s="10"/>
      <c r="J310" s="10"/>
      <c r="K310" s="10"/>
      <c r="L310" s="10"/>
    </row>
    <row r="311" spans="2:12">
      <c r="B311" s="10" t="s">
        <v>1709</v>
      </c>
      <c r="C311" s="10" t="s">
        <v>275</v>
      </c>
      <c r="D311" s="10" t="s">
        <v>1710</v>
      </c>
      <c r="E311" s="10"/>
      <c r="F311" s="10"/>
      <c r="G311" s="10"/>
      <c r="H311" s="10"/>
      <c r="I311" s="10"/>
      <c r="J311" s="10"/>
      <c r="K311" s="10"/>
      <c r="L311" s="10"/>
    </row>
    <row r="312" spans="2:12">
      <c r="B312" s="10" t="s">
        <v>1711</v>
      </c>
      <c r="C312" s="10" t="s">
        <v>275</v>
      </c>
      <c r="D312" s="10" t="s">
        <v>1712</v>
      </c>
      <c r="E312" s="10"/>
      <c r="F312" s="10"/>
      <c r="G312" s="10"/>
      <c r="H312" s="10"/>
      <c r="I312" s="10"/>
      <c r="J312" s="10"/>
      <c r="K312" s="10"/>
      <c r="L312" s="10"/>
    </row>
    <row r="313" spans="2:12">
      <c r="B313" s="10" t="s">
        <v>1713</v>
      </c>
      <c r="C313" s="10" t="s">
        <v>275</v>
      </c>
      <c r="D313" s="10" t="s">
        <v>1714</v>
      </c>
      <c r="E313" s="10"/>
      <c r="F313" s="10"/>
      <c r="G313" s="10"/>
      <c r="H313" s="10"/>
      <c r="I313" s="10"/>
      <c r="J313" s="10"/>
      <c r="K313" s="10"/>
      <c r="L313" s="10"/>
    </row>
    <row r="314" spans="2:12">
      <c r="B314" s="10" t="s">
        <v>1715</v>
      </c>
      <c r="C314" s="10" t="s">
        <v>275</v>
      </c>
      <c r="D314" s="10" t="s">
        <v>1716</v>
      </c>
      <c r="E314" s="10"/>
      <c r="F314" s="10"/>
      <c r="G314" s="10"/>
      <c r="H314" s="10"/>
      <c r="I314" s="10"/>
      <c r="J314" s="10"/>
      <c r="K314" s="10"/>
      <c r="L314" s="10"/>
    </row>
    <row r="315" spans="2:12">
      <c r="B315" s="10" t="s">
        <v>1717</v>
      </c>
      <c r="C315" s="10" t="s">
        <v>275</v>
      </c>
      <c r="D315" s="10" t="s">
        <v>1718</v>
      </c>
      <c r="E315" s="10"/>
      <c r="F315" s="10"/>
      <c r="G315" s="10"/>
      <c r="H315" s="10"/>
      <c r="I315" s="10"/>
      <c r="J315" s="10"/>
      <c r="K315" s="10"/>
      <c r="L315" s="10"/>
    </row>
    <row r="316" spans="2:12">
      <c r="B316" s="10" t="s">
        <v>1719</v>
      </c>
      <c r="C316" s="10" t="s">
        <v>275</v>
      </c>
      <c r="D316" s="10" t="s">
        <v>1720</v>
      </c>
      <c r="E316" s="10"/>
      <c r="F316" s="10"/>
      <c r="G316" s="10"/>
      <c r="H316" s="10"/>
      <c r="I316" s="10"/>
      <c r="J316" s="10"/>
      <c r="K316" s="10"/>
      <c r="L316" s="10"/>
    </row>
    <row r="317" spans="2:12">
      <c r="B317" s="10" t="s">
        <v>1721</v>
      </c>
      <c r="C317" s="10" t="s">
        <v>275</v>
      </c>
      <c r="D317" s="10" t="s">
        <v>1722</v>
      </c>
      <c r="E317" s="10"/>
      <c r="F317" s="10"/>
      <c r="G317" s="10"/>
      <c r="H317" s="10"/>
      <c r="I317" s="10"/>
      <c r="J317" s="10"/>
      <c r="K317" s="10"/>
      <c r="L317" s="10"/>
    </row>
    <row r="318" spans="2:12">
      <c r="B318" s="10" t="s">
        <v>1723</v>
      </c>
      <c r="C318" s="10" t="s">
        <v>275</v>
      </c>
      <c r="D318" s="10" t="s">
        <v>1724</v>
      </c>
      <c r="E318" s="10"/>
      <c r="F318" s="10"/>
      <c r="G318" s="10"/>
      <c r="H318" s="10"/>
      <c r="I318" s="10"/>
      <c r="J318" s="10"/>
      <c r="K318" s="10"/>
      <c r="L318" s="10"/>
    </row>
    <row r="319" spans="2:12">
      <c r="B319" s="10" t="s">
        <v>1725</v>
      </c>
      <c r="C319" s="10" t="s">
        <v>275</v>
      </c>
      <c r="D319" s="10" t="s">
        <v>1726</v>
      </c>
      <c r="E319" s="10"/>
      <c r="F319" s="10"/>
      <c r="G319" s="10"/>
      <c r="H319" s="10"/>
      <c r="I319" s="10"/>
      <c r="J319" s="10"/>
      <c r="K319" s="10"/>
      <c r="L319" s="10"/>
    </row>
    <row r="320" spans="2:12">
      <c r="B320" s="10" t="s">
        <v>1727</v>
      </c>
      <c r="C320" s="10" t="s">
        <v>275</v>
      </c>
      <c r="D320" s="10" t="s">
        <v>1728</v>
      </c>
      <c r="E320" s="10"/>
      <c r="F320" s="10"/>
      <c r="G320" s="10"/>
      <c r="H320" s="10"/>
      <c r="I320" s="10"/>
      <c r="J320" s="10"/>
      <c r="K320" s="10"/>
      <c r="L320" s="10"/>
    </row>
    <row r="321" spans="2:12">
      <c r="B321" s="10" t="s">
        <v>1729</v>
      </c>
      <c r="C321" s="10" t="s">
        <v>275</v>
      </c>
      <c r="D321" s="10" t="s">
        <v>1730</v>
      </c>
      <c r="E321" s="10"/>
      <c r="F321" s="10"/>
      <c r="G321" s="10"/>
      <c r="H321" s="10"/>
      <c r="I321" s="10"/>
      <c r="J321" s="10"/>
      <c r="K321" s="10"/>
      <c r="L321" s="10"/>
    </row>
    <row r="322" spans="2:12">
      <c r="B322" s="10" t="s">
        <v>1731</v>
      </c>
      <c r="C322" s="10" t="s">
        <v>275</v>
      </c>
      <c r="D322" s="10" t="s">
        <v>1732</v>
      </c>
      <c r="E322" s="10"/>
      <c r="F322" s="10"/>
      <c r="G322" s="10"/>
      <c r="H322" s="10"/>
      <c r="I322" s="10"/>
      <c r="J322" s="10"/>
      <c r="K322" s="10"/>
      <c r="L322" s="10"/>
    </row>
    <row r="323" spans="2:12">
      <c r="B323" s="10" t="s">
        <v>1733</v>
      </c>
      <c r="C323" s="10" t="s">
        <v>275</v>
      </c>
      <c r="D323" s="10" t="s">
        <v>1734</v>
      </c>
      <c r="E323" s="10"/>
      <c r="F323" s="10"/>
      <c r="G323" s="10"/>
      <c r="H323" s="10"/>
      <c r="I323" s="10"/>
      <c r="J323" s="10"/>
      <c r="K323" s="10"/>
      <c r="L323" s="10"/>
    </row>
    <row r="324" spans="2:12">
      <c r="B324" s="10" t="s">
        <v>1735</v>
      </c>
      <c r="C324" s="10" t="s">
        <v>275</v>
      </c>
      <c r="D324" s="10" t="s">
        <v>1736</v>
      </c>
      <c r="E324" s="10"/>
      <c r="F324" s="10"/>
      <c r="G324" s="10"/>
      <c r="H324" s="10"/>
      <c r="I324" s="10"/>
      <c r="J324" s="10"/>
      <c r="K324" s="10"/>
      <c r="L324" s="10"/>
    </row>
    <row r="325" spans="2:12">
      <c r="B325" s="10" t="s">
        <v>1737</v>
      </c>
      <c r="C325" s="10" t="s">
        <v>275</v>
      </c>
      <c r="D325" s="10" t="s">
        <v>1738</v>
      </c>
      <c r="E325" s="10"/>
      <c r="F325" s="10"/>
      <c r="G325" s="10"/>
      <c r="H325" s="10"/>
      <c r="I325" s="10"/>
      <c r="J325" s="10"/>
      <c r="K325" s="10"/>
      <c r="L325" s="10"/>
    </row>
    <row r="326" spans="2:12">
      <c r="B326" s="10" t="s">
        <v>1739</v>
      </c>
      <c r="C326" s="10" t="s">
        <v>275</v>
      </c>
      <c r="D326" s="10" t="s">
        <v>1740</v>
      </c>
      <c r="E326" s="10"/>
      <c r="F326" s="10"/>
      <c r="G326" s="10"/>
      <c r="H326" s="10"/>
      <c r="I326" s="10"/>
      <c r="J326" s="10"/>
      <c r="K326" s="10"/>
      <c r="L326" s="10"/>
    </row>
    <row r="327" spans="2:12">
      <c r="B327" s="10" t="s">
        <v>1741</v>
      </c>
      <c r="C327" s="10" t="s">
        <v>275</v>
      </c>
      <c r="D327" s="10" t="s">
        <v>1742</v>
      </c>
      <c r="E327" s="10"/>
      <c r="F327" s="10"/>
      <c r="G327" s="10"/>
      <c r="H327" s="10"/>
      <c r="I327" s="10"/>
      <c r="J327" s="10"/>
      <c r="K327" s="10"/>
      <c r="L327" s="10"/>
    </row>
    <row r="328" spans="2:12">
      <c r="B328" s="10" t="s">
        <v>1743</v>
      </c>
      <c r="C328" s="10" t="s">
        <v>275</v>
      </c>
      <c r="D328" s="10" t="s">
        <v>1744</v>
      </c>
      <c r="E328" s="10"/>
      <c r="F328" s="10"/>
      <c r="G328" s="10"/>
      <c r="H328" s="10"/>
      <c r="I328" s="10"/>
      <c r="J328" s="10"/>
      <c r="K328" s="10"/>
      <c r="L328" s="10"/>
    </row>
    <row r="329" spans="2:12">
      <c r="B329" s="10" t="s">
        <v>1745</v>
      </c>
      <c r="C329" s="10" t="s">
        <v>275</v>
      </c>
      <c r="D329" s="10" t="s">
        <v>1746</v>
      </c>
      <c r="E329" s="10"/>
      <c r="F329" s="10"/>
      <c r="G329" s="10"/>
      <c r="H329" s="10"/>
      <c r="I329" s="10"/>
      <c r="J329" s="10"/>
      <c r="K329" s="10"/>
      <c r="L329" s="10"/>
    </row>
    <row r="330" spans="2:12">
      <c r="B330" s="10" t="s">
        <v>1747</v>
      </c>
      <c r="C330" s="10" t="s">
        <v>275</v>
      </c>
      <c r="D330" s="10" t="s">
        <v>1748</v>
      </c>
      <c r="E330" s="10"/>
      <c r="F330" s="10"/>
      <c r="G330" s="10"/>
      <c r="H330" s="10"/>
      <c r="I330" s="10"/>
      <c r="J330" s="10"/>
      <c r="K330" s="10"/>
      <c r="L330" s="10"/>
    </row>
    <row r="331" spans="2:12">
      <c r="B331" s="10" t="s">
        <v>1749</v>
      </c>
      <c r="C331" s="10" t="s">
        <v>275</v>
      </c>
      <c r="D331" s="10" t="s">
        <v>1750</v>
      </c>
      <c r="E331" s="10"/>
      <c r="F331" s="10"/>
      <c r="G331" s="10"/>
      <c r="H331" s="10"/>
      <c r="I331" s="10"/>
      <c r="J331" s="10"/>
      <c r="K331" s="10"/>
      <c r="L331" s="10"/>
    </row>
    <row r="332" spans="2:12">
      <c r="B332" s="10" t="s">
        <v>1258</v>
      </c>
      <c r="C332" s="10" t="s">
        <v>240</v>
      </c>
      <c r="D332" s="10" t="s">
        <v>2963</v>
      </c>
      <c r="E332" s="10"/>
      <c r="F332" s="10"/>
      <c r="G332" s="10"/>
      <c r="H332" s="10"/>
      <c r="I332" s="10"/>
      <c r="J332" s="10"/>
      <c r="K332" s="10"/>
      <c r="L332" s="10"/>
    </row>
    <row r="333" spans="2:12">
      <c r="B333" s="10" t="s">
        <v>1260</v>
      </c>
      <c r="C333" s="10" t="s">
        <v>240</v>
      </c>
      <c r="D333" s="10" t="s">
        <v>2964</v>
      </c>
      <c r="E333" s="10"/>
      <c r="F333" s="10"/>
      <c r="G333" s="10"/>
      <c r="H333" s="10"/>
      <c r="I333" s="10"/>
      <c r="J333" s="10"/>
      <c r="K333" s="10"/>
      <c r="L333" s="10"/>
    </row>
    <row r="334" spans="2:12">
      <c r="B334" s="10" t="s">
        <v>1751</v>
      </c>
      <c r="C334" s="10" t="s">
        <v>275</v>
      </c>
      <c r="D334" s="10" t="s">
        <v>1752</v>
      </c>
      <c r="E334" s="10"/>
      <c r="F334" s="10"/>
      <c r="G334" s="10"/>
      <c r="H334" s="10"/>
      <c r="I334" s="10"/>
      <c r="J334" s="10"/>
      <c r="K334" s="10"/>
      <c r="L334" s="10"/>
    </row>
    <row r="335" spans="2:12">
      <c r="B335" s="10" t="s">
        <v>1753</v>
      </c>
      <c r="C335" s="10" t="s">
        <v>240</v>
      </c>
      <c r="D335" s="10" t="s">
        <v>1754</v>
      </c>
      <c r="E335" s="10"/>
      <c r="F335" s="10"/>
      <c r="G335" s="10"/>
      <c r="H335" s="10"/>
      <c r="I335" s="10"/>
      <c r="J335" s="10"/>
      <c r="K335" s="10"/>
      <c r="L335" s="10"/>
    </row>
    <row r="336" spans="2:12">
      <c r="B336" s="10" t="s">
        <v>1755</v>
      </c>
      <c r="C336" s="10" t="s">
        <v>240</v>
      </c>
      <c r="D336" s="10" t="s">
        <v>1420</v>
      </c>
      <c r="E336" s="10"/>
      <c r="F336" s="10"/>
      <c r="G336" s="10"/>
      <c r="H336" s="10"/>
      <c r="I336" s="10"/>
      <c r="J336" s="10"/>
      <c r="K336" s="10"/>
      <c r="L336" s="10"/>
    </row>
    <row r="337" spans="2:12">
      <c r="B337" s="10" t="s">
        <v>1756</v>
      </c>
      <c r="C337" s="10" t="s">
        <v>275</v>
      </c>
      <c r="D337" s="10" t="s">
        <v>1757</v>
      </c>
      <c r="E337" s="10"/>
      <c r="F337" s="10"/>
      <c r="G337" s="10"/>
      <c r="H337" s="10"/>
      <c r="I337" s="10"/>
      <c r="J337" s="10"/>
      <c r="K337" s="10"/>
      <c r="L337" s="10"/>
    </row>
    <row r="338" spans="2:12">
      <c r="B338" s="10" t="s">
        <v>1758</v>
      </c>
      <c r="C338" s="10" t="s">
        <v>275</v>
      </c>
      <c r="D338" s="10" t="s">
        <v>1759</v>
      </c>
      <c r="E338" s="10"/>
      <c r="F338" s="10"/>
      <c r="G338" s="10"/>
      <c r="H338" s="10"/>
      <c r="I338" s="10"/>
      <c r="J338" s="10"/>
      <c r="K338" s="10"/>
      <c r="L338" s="10"/>
    </row>
    <row r="339" spans="2:12">
      <c r="B339" s="10" t="s">
        <v>1760</v>
      </c>
      <c r="C339" s="10" t="s">
        <v>240</v>
      </c>
      <c r="D339" s="10" t="s">
        <v>1761</v>
      </c>
      <c r="E339" s="10"/>
      <c r="F339" s="10"/>
      <c r="G339" s="10"/>
      <c r="H339" s="10"/>
      <c r="I339" s="10"/>
      <c r="J339" s="10"/>
      <c r="K339" s="10"/>
      <c r="L339" s="10"/>
    </row>
    <row r="340" spans="2:12">
      <c r="B340" s="10" t="s">
        <v>1762</v>
      </c>
      <c r="C340" s="10" t="s">
        <v>275</v>
      </c>
      <c r="D340" s="10" t="s">
        <v>1763</v>
      </c>
      <c r="E340" s="10"/>
      <c r="F340" s="10"/>
      <c r="G340" s="10"/>
      <c r="H340" s="10"/>
      <c r="I340" s="10"/>
      <c r="J340" s="10"/>
      <c r="K340" s="10"/>
      <c r="L340" s="10"/>
    </row>
    <row r="341" spans="2:12">
      <c r="B341" s="10" t="s">
        <v>1764</v>
      </c>
      <c r="C341" s="10" t="s">
        <v>240</v>
      </c>
      <c r="D341" s="10" t="s">
        <v>1765</v>
      </c>
      <c r="E341" s="10"/>
      <c r="F341" s="10"/>
      <c r="G341" s="10"/>
      <c r="H341" s="10"/>
      <c r="I341" s="10"/>
      <c r="J341" s="10"/>
      <c r="K341" s="10"/>
      <c r="L341" s="10"/>
    </row>
    <row r="342" spans="2:12">
      <c r="B342" s="10" t="s">
        <v>1766</v>
      </c>
      <c r="C342" s="10" t="s">
        <v>240</v>
      </c>
      <c r="D342" s="10" t="s">
        <v>1767</v>
      </c>
      <c r="E342" s="10"/>
      <c r="F342" s="10"/>
      <c r="G342" s="10"/>
      <c r="H342" s="10"/>
      <c r="I342" s="10"/>
      <c r="J342" s="10"/>
      <c r="K342" s="10"/>
      <c r="L342" s="10"/>
    </row>
    <row r="343" spans="2:12">
      <c r="B343" s="10" t="s">
        <v>1768</v>
      </c>
      <c r="C343" s="10" t="s">
        <v>275</v>
      </c>
      <c r="D343" s="10" t="s">
        <v>1769</v>
      </c>
      <c r="E343" s="10"/>
      <c r="F343" s="10"/>
      <c r="G343" s="10"/>
      <c r="H343" s="10"/>
      <c r="I343" s="10"/>
      <c r="J343" s="10"/>
      <c r="K343" s="10"/>
      <c r="L343" s="10"/>
    </row>
    <row r="344" spans="2:12">
      <c r="B344" s="10" t="s">
        <v>1770</v>
      </c>
      <c r="C344" s="10" t="s">
        <v>275</v>
      </c>
      <c r="D344" s="10" t="s">
        <v>1771</v>
      </c>
      <c r="E344" s="10"/>
      <c r="F344" s="10"/>
      <c r="G344" s="10"/>
      <c r="H344" s="10"/>
      <c r="I344" s="10"/>
      <c r="J344" s="10"/>
      <c r="K344" s="10"/>
      <c r="L344" s="10"/>
    </row>
    <row r="345" spans="2:12">
      <c r="B345" s="10" t="s">
        <v>1773</v>
      </c>
      <c r="C345" s="10" t="s">
        <v>275</v>
      </c>
      <c r="D345" s="10" t="s">
        <v>1774</v>
      </c>
      <c r="E345" s="10"/>
      <c r="F345" s="10"/>
      <c r="G345" s="10"/>
      <c r="H345" s="10"/>
      <c r="I345" s="10"/>
      <c r="J345" s="10"/>
      <c r="K345" s="10"/>
      <c r="L345" s="10"/>
    </row>
    <row r="346" spans="2:12">
      <c r="B346" s="10" t="s">
        <v>1775</v>
      </c>
      <c r="C346" s="10" t="s">
        <v>275</v>
      </c>
      <c r="D346" s="10" t="s">
        <v>1776</v>
      </c>
      <c r="E346" s="10"/>
      <c r="F346" s="10"/>
      <c r="G346" s="10"/>
      <c r="H346" s="10"/>
      <c r="I346" s="10"/>
      <c r="J346" s="10"/>
      <c r="K346" s="10"/>
      <c r="L346" s="10"/>
    </row>
    <row r="347" spans="2:12">
      <c r="B347" s="10" t="s">
        <v>1777</v>
      </c>
      <c r="C347" s="10" t="s">
        <v>275</v>
      </c>
      <c r="D347" s="10" t="s">
        <v>1778</v>
      </c>
      <c r="E347" s="10"/>
      <c r="F347" s="10"/>
      <c r="G347" s="10"/>
      <c r="H347" s="10"/>
      <c r="I347" s="10"/>
      <c r="J347" s="10"/>
      <c r="K347" s="10"/>
      <c r="L347" s="10"/>
    </row>
    <row r="348" spans="2:12">
      <c r="B348" s="10" t="s">
        <v>1779</v>
      </c>
      <c r="C348" s="10" t="s">
        <v>275</v>
      </c>
      <c r="D348" s="10" t="s">
        <v>1780</v>
      </c>
      <c r="E348" s="10"/>
      <c r="F348" s="10"/>
      <c r="G348" s="10"/>
      <c r="H348" s="10"/>
      <c r="I348" s="10"/>
      <c r="J348" s="10"/>
      <c r="K348" s="10"/>
      <c r="L348" s="10"/>
    </row>
    <row r="349" spans="2:12">
      <c r="B349" s="10" t="s">
        <v>1782</v>
      </c>
      <c r="C349" s="10" t="s">
        <v>275</v>
      </c>
      <c r="D349" s="10" t="s">
        <v>1783</v>
      </c>
      <c r="E349" s="10"/>
      <c r="F349" s="10"/>
      <c r="G349" s="10"/>
      <c r="H349" s="10"/>
      <c r="I349" s="10"/>
      <c r="J349" s="10"/>
      <c r="K349" s="10"/>
      <c r="L349" s="10"/>
    </row>
    <row r="350" spans="2:12">
      <c r="B350" s="10" t="s">
        <v>1784</v>
      </c>
      <c r="C350" s="10" t="s">
        <v>275</v>
      </c>
      <c r="D350" s="10" t="s">
        <v>1785</v>
      </c>
      <c r="E350" s="10"/>
      <c r="F350" s="10"/>
      <c r="G350" s="10"/>
      <c r="H350" s="10"/>
      <c r="I350" s="10"/>
      <c r="J350" s="10"/>
      <c r="K350" s="10"/>
      <c r="L350" s="10"/>
    </row>
    <row r="351" spans="2:12">
      <c r="B351" s="10" t="s">
        <v>1786</v>
      </c>
      <c r="C351" s="10" t="s">
        <v>275</v>
      </c>
      <c r="D351" s="10" t="s">
        <v>1787</v>
      </c>
      <c r="E351" s="10"/>
      <c r="F351" s="10"/>
      <c r="G351" s="10"/>
      <c r="H351" s="10"/>
      <c r="I351" s="10"/>
      <c r="J351" s="10"/>
      <c r="K351" s="10"/>
      <c r="L351" s="10"/>
    </row>
    <row r="352" spans="2:12">
      <c r="B352" s="10" t="s">
        <v>1788</v>
      </c>
      <c r="C352" s="10" t="s">
        <v>275</v>
      </c>
      <c r="D352" s="10" t="s">
        <v>1789</v>
      </c>
      <c r="E352" s="10"/>
      <c r="F352" s="10"/>
      <c r="G352" s="10"/>
      <c r="H352" s="10"/>
      <c r="I352" s="10"/>
      <c r="J352" s="10"/>
      <c r="K352" s="10"/>
      <c r="L352" s="10"/>
    </row>
    <row r="353" spans="2:12">
      <c r="B353" s="10" t="s">
        <v>1343</v>
      </c>
      <c r="C353" s="10" t="s">
        <v>275</v>
      </c>
      <c r="D353" s="10" t="s">
        <v>2137</v>
      </c>
      <c r="E353" s="10"/>
      <c r="F353" s="10"/>
      <c r="G353" s="10"/>
      <c r="H353" s="10"/>
      <c r="I353" s="10"/>
      <c r="J353" s="10"/>
      <c r="K353" s="10"/>
      <c r="L353" s="10"/>
    </row>
    <row r="354" spans="2:12">
      <c r="B354" s="10" t="s">
        <v>1344</v>
      </c>
      <c r="C354" s="10" t="s">
        <v>275</v>
      </c>
      <c r="D354" s="10" t="s">
        <v>2138</v>
      </c>
      <c r="E354" s="10"/>
      <c r="F354" s="10"/>
      <c r="G354" s="10"/>
      <c r="H354" s="10"/>
      <c r="I354" s="10"/>
      <c r="J354" s="10"/>
      <c r="K354" s="10"/>
      <c r="L354" s="10"/>
    </row>
    <row r="355" spans="2:12">
      <c r="B355" s="10" t="s">
        <v>1345</v>
      </c>
      <c r="C355" s="10" t="s">
        <v>275</v>
      </c>
      <c r="D355" s="10" t="s">
        <v>2139</v>
      </c>
      <c r="E355" s="10"/>
      <c r="F355" s="10"/>
      <c r="G355" s="10"/>
      <c r="H355" s="10"/>
      <c r="I355" s="10"/>
      <c r="J355" s="10"/>
      <c r="K355" s="10"/>
      <c r="L355" s="10"/>
    </row>
    <row r="356" spans="2:12">
      <c r="B356" s="10" t="s">
        <v>1790</v>
      </c>
      <c r="C356" s="10" t="s">
        <v>275</v>
      </c>
      <c r="D356" s="10" t="s">
        <v>1791</v>
      </c>
      <c r="E356" s="10"/>
      <c r="F356" s="10"/>
      <c r="G356" s="10"/>
      <c r="H356" s="10"/>
      <c r="I356" s="10"/>
      <c r="J356" s="10"/>
      <c r="K356" s="10"/>
      <c r="L356" s="10"/>
    </row>
    <row r="357" spans="2:12">
      <c r="B357" s="10" t="s">
        <v>1792</v>
      </c>
      <c r="C357" s="10" t="s">
        <v>275</v>
      </c>
      <c r="D357" s="10" t="s">
        <v>1793</v>
      </c>
      <c r="E357" s="10"/>
      <c r="F357" s="10"/>
      <c r="G357" s="10"/>
      <c r="H357" s="10"/>
      <c r="I357" s="10"/>
      <c r="J357" s="10"/>
      <c r="K357" s="10"/>
      <c r="L357" s="10"/>
    </row>
    <row r="358" spans="2:12">
      <c r="B358" s="10" t="s">
        <v>2694</v>
      </c>
      <c r="C358" s="10" t="s">
        <v>275</v>
      </c>
      <c r="D358" s="10" t="s">
        <v>2695</v>
      </c>
      <c r="E358" s="10"/>
      <c r="F358" s="10"/>
      <c r="G358" s="10"/>
      <c r="H358" s="10"/>
      <c r="I358" s="10"/>
      <c r="J358" s="10"/>
      <c r="K358" s="10"/>
      <c r="L358" s="10"/>
    </row>
    <row r="359" spans="2:12">
      <c r="B359" s="10" t="s">
        <v>2760</v>
      </c>
      <c r="C359" s="10" t="s">
        <v>275</v>
      </c>
      <c r="D359" s="10" t="s">
        <v>2697</v>
      </c>
      <c r="E359" s="10"/>
      <c r="F359" s="10"/>
      <c r="G359" s="10"/>
      <c r="H359" s="10"/>
      <c r="I359" s="10"/>
      <c r="J359" s="10"/>
      <c r="K359" s="10"/>
      <c r="L359" s="10"/>
    </row>
    <row r="360" spans="2:12">
      <c r="B360" s="10" t="s">
        <v>1347</v>
      </c>
      <c r="C360" s="10" t="s">
        <v>275</v>
      </c>
      <c r="D360" s="10" t="s">
        <v>2140</v>
      </c>
      <c r="E360" s="10"/>
      <c r="F360" s="10"/>
      <c r="G360" s="10"/>
      <c r="H360" s="10"/>
      <c r="I360" s="10"/>
      <c r="J360" s="10"/>
      <c r="K360" s="10"/>
      <c r="L360" s="10"/>
    </row>
    <row r="361" spans="2:12">
      <c r="B361" s="10" t="s">
        <v>2761</v>
      </c>
      <c r="C361" s="10" t="s">
        <v>275</v>
      </c>
      <c r="D361" s="10" t="s">
        <v>2762</v>
      </c>
      <c r="E361" s="10"/>
      <c r="F361" s="10"/>
      <c r="G361" s="10"/>
      <c r="H361" s="10"/>
      <c r="I361" s="10"/>
      <c r="J361" s="10"/>
      <c r="K361" s="10"/>
      <c r="L361" s="10"/>
    </row>
    <row r="362" spans="2:12">
      <c r="B362" s="10" t="s">
        <v>1349</v>
      </c>
      <c r="C362" s="10" t="s">
        <v>275</v>
      </c>
      <c r="D362" s="10" t="s">
        <v>2141</v>
      </c>
      <c r="E362" s="10"/>
      <c r="F362" s="10"/>
      <c r="G362" s="10"/>
      <c r="H362" s="10"/>
      <c r="I362" s="10"/>
      <c r="J362" s="10"/>
      <c r="K362" s="10"/>
      <c r="L362" s="10"/>
    </row>
    <row r="363" spans="2:12">
      <c r="B363" s="10" t="s">
        <v>2763</v>
      </c>
      <c r="C363" s="10" t="s">
        <v>275</v>
      </c>
      <c r="D363" s="10" t="s">
        <v>2764</v>
      </c>
      <c r="E363" s="10"/>
      <c r="F363" s="10"/>
      <c r="G363" s="10"/>
      <c r="H363" s="10"/>
      <c r="I363" s="10"/>
      <c r="J363" s="10"/>
      <c r="K363" s="10"/>
      <c r="L363" s="10"/>
    </row>
    <row r="364" spans="2:12">
      <c r="B364" s="10" t="s">
        <v>2100</v>
      </c>
      <c r="C364" s="10" t="s">
        <v>275</v>
      </c>
      <c r="D364" s="10" t="s">
        <v>2575</v>
      </c>
      <c r="E364" s="10"/>
      <c r="F364" s="10"/>
      <c r="G364" s="10"/>
      <c r="H364" s="10"/>
      <c r="I364" s="10"/>
      <c r="J364" s="10"/>
      <c r="K364" s="10"/>
      <c r="L364" s="10"/>
    </row>
    <row r="365" spans="2:12">
      <c r="B365" s="10" t="s">
        <v>2698</v>
      </c>
      <c r="C365" s="10" t="s">
        <v>275</v>
      </c>
      <c r="D365" s="10" t="s">
        <v>2699</v>
      </c>
      <c r="E365" s="10"/>
      <c r="F365" s="10"/>
      <c r="G365" s="10"/>
      <c r="H365" s="10"/>
      <c r="I365" s="10"/>
      <c r="J365" s="10"/>
      <c r="K365" s="10"/>
      <c r="L365" s="10"/>
    </row>
    <row r="366" spans="2:12">
      <c r="B366" s="10" t="s">
        <v>1798</v>
      </c>
      <c r="C366" s="10" t="s">
        <v>275</v>
      </c>
      <c r="D366" s="10" t="s">
        <v>1799</v>
      </c>
      <c r="E366" s="10"/>
      <c r="F366" s="10"/>
      <c r="G366" s="10"/>
      <c r="H366" s="10"/>
      <c r="I366" s="10"/>
      <c r="J366" s="10"/>
      <c r="K366" s="10"/>
      <c r="L366" s="10"/>
    </row>
    <row r="367" spans="2:12">
      <c r="B367" s="10" t="s">
        <v>2700</v>
      </c>
      <c r="C367" s="10" t="s">
        <v>275</v>
      </c>
      <c r="D367" s="10" t="s">
        <v>2701</v>
      </c>
      <c r="E367" s="10"/>
      <c r="F367" s="10"/>
      <c r="G367" s="10"/>
      <c r="H367" s="10"/>
      <c r="I367" s="10"/>
      <c r="J367" s="10"/>
      <c r="K367" s="10"/>
      <c r="L367" s="10"/>
    </row>
    <row r="368" spans="2:12">
      <c r="B368" s="10" t="s">
        <v>1800</v>
      </c>
      <c r="C368" s="10" t="s">
        <v>275</v>
      </c>
      <c r="D368" s="10" t="s">
        <v>1801</v>
      </c>
      <c r="E368" s="10"/>
      <c r="F368" s="10"/>
      <c r="G368" s="10"/>
      <c r="H368" s="10"/>
      <c r="I368" s="10"/>
      <c r="J368" s="10"/>
      <c r="K368" s="10"/>
      <c r="L368" s="10"/>
    </row>
    <row r="369" spans="2:12">
      <c r="B369" s="10" t="s">
        <v>1802</v>
      </c>
      <c r="C369" s="10" t="s">
        <v>275</v>
      </c>
      <c r="D369" s="10" t="s">
        <v>1803</v>
      </c>
      <c r="E369" s="10"/>
      <c r="F369" s="10"/>
      <c r="G369" s="10"/>
      <c r="H369" s="10"/>
      <c r="I369" s="10"/>
      <c r="J369" s="10"/>
      <c r="K369" s="10"/>
      <c r="L369" s="10"/>
    </row>
    <row r="370" spans="2:12">
      <c r="B370" s="10" t="s">
        <v>1804</v>
      </c>
      <c r="C370" s="10" t="s">
        <v>240</v>
      </c>
      <c r="D370" s="10" t="s">
        <v>1805</v>
      </c>
      <c r="E370" s="10"/>
      <c r="F370" s="10"/>
      <c r="G370" s="10"/>
      <c r="H370" s="10"/>
      <c r="I370" s="10"/>
      <c r="J370" s="10"/>
      <c r="K370" s="10"/>
      <c r="L370" s="10"/>
    </row>
    <row r="371" spans="2:12">
      <c r="B371" s="10" t="s">
        <v>1806</v>
      </c>
      <c r="C371" s="10" t="s">
        <v>275</v>
      </c>
      <c r="D371" s="10" t="s">
        <v>1807</v>
      </c>
      <c r="E371" s="10"/>
      <c r="F371" s="10"/>
      <c r="G371" s="10"/>
      <c r="H371" s="10"/>
      <c r="I371" s="10"/>
      <c r="J371" s="10"/>
      <c r="K371" s="10"/>
      <c r="L371" s="10"/>
    </row>
    <row r="372" spans="2:12">
      <c r="B372" s="10" t="s">
        <v>2594</v>
      </c>
      <c r="C372" s="10" t="s">
        <v>216</v>
      </c>
      <c r="D372" s="10" t="s">
        <v>2595</v>
      </c>
      <c r="E372" s="10"/>
      <c r="F372" s="10"/>
      <c r="G372" s="10"/>
      <c r="H372" s="10"/>
      <c r="I372" s="10"/>
      <c r="J372" s="10"/>
      <c r="K372" s="10"/>
      <c r="L372" s="10"/>
    </row>
    <row r="373" spans="2:12">
      <c r="B373" s="10" t="s">
        <v>2605</v>
      </c>
      <c r="C373" s="10" t="s">
        <v>216</v>
      </c>
      <c r="D373" s="10" t="s">
        <v>2606</v>
      </c>
      <c r="E373" s="10"/>
      <c r="F373" s="10"/>
      <c r="G373" s="10"/>
      <c r="H373" s="10"/>
      <c r="I373" s="10"/>
      <c r="J373" s="10"/>
      <c r="K373" s="10"/>
      <c r="L373" s="10"/>
    </row>
    <row r="374" spans="2:12">
      <c r="B374" s="10" t="s">
        <v>2715</v>
      </c>
      <c r="C374" s="10" t="s">
        <v>216</v>
      </c>
      <c r="D374" s="10" t="s">
        <v>2740</v>
      </c>
      <c r="E374" s="10"/>
      <c r="F374" s="10"/>
      <c r="G374" s="10"/>
      <c r="H374" s="10"/>
      <c r="I374" s="10"/>
      <c r="J374" s="10"/>
      <c r="K374" s="10"/>
      <c r="L374" s="10"/>
    </row>
    <row r="375" spans="2:12">
      <c r="B375" s="10" t="s">
        <v>1812</v>
      </c>
      <c r="C375" s="10" t="s">
        <v>220</v>
      </c>
      <c r="D375" s="10" t="s">
        <v>2741</v>
      </c>
      <c r="E375" s="10"/>
      <c r="F375" s="10"/>
      <c r="G375" s="10"/>
      <c r="H375" s="10"/>
      <c r="I375" s="10"/>
      <c r="J375" s="10"/>
      <c r="K375" s="10"/>
      <c r="L375" s="10"/>
    </row>
    <row r="376" spans="2:12">
      <c r="B376" s="10" t="s">
        <v>2591</v>
      </c>
      <c r="C376" s="10" t="s">
        <v>216</v>
      </c>
      <c r="D376" s="10" t="s">
        <v>2098</v>
      </c>
      <c r="E376" s="10"/>
      <c r="F376" s="10"/>
      <c r="G376" s="10"/>
      <c r="H376" s="10"/>
      <c r="I376" s="10"/>
      <c r="J376" s="10"/>
      <c r="K376" s="10"/>
      <c r="L376" s="10"/>
    </row>
    <row r="377" spans="2:12">
      <c r="B377" s="10" t="s">
        <v>2589</v>
      </c>
      <c r="C377" s="10" t="s">
        <v>216</v>
      </c>
      <c r="D377" s="10" t="s">
        <v>2590</v>
      </c>
      <c r="E377" s="10"/>
      <c r="F377" s="10"/>
      <c r="G377" s="10"/>
      <c r="H377" s="10"/>
      <c r="I377" s="10"/>
      <c r="J377" s="10"/>
      <c r="K377" s="10"/>
      <c r="L377" s="10"/>
    </row>
    <row r="378" spans="2:12">
      <c r="B378" s="10" t="s">
        <v>1289</v>
      </c>
      <c r="C378" s="10" t="s">
        <v>216</v>
      </c>
      <c r="D378" s="10" t="s">
        <v>1813</v>
      </c>
      <c r="E378" s="10"/>
      <c r="F378" s="10"/>
      <c r="G378" s="10"/>
      <c r="H378" s="10"/>
      <c r="I378" s="10"/>
      <c r="J378" s="10"/>
      <c r="K378" s="10"/>
      <c r="L378" s="10"/>
    </row>
    <row r="379" s="36" customFormat="1" spans="1:12">
      <c r="A379" s="41"/>
      <c r="B379" s="29" t="s">
        <v>1814</v>
      </c>
      <c r="C379" s="29" t="s">
        <v>275</v>
      </c>
      <c r="D379" s="29" t="s">
        <v>1815</v>
      </c>
      <c r="E379" s="29"/>
      <c r="F379" s="29"/>
      <c r="G379" s="29" t="s">
        <v>1816</v>
      </c>
      <c r="H379" s="29"/>
      <c r="I379" s="29" t="s">
        <v>1211</v>
      </c>
      <c r="J379" s="29" t="s">
        <v>345</v>
      </c>
      <c r="K379" s="29" t="s">
        <v>323</v>
      </c>
      <c r="L379" s="29" t="s">
        <v>339</v>
      </c>
    </row>
    <row r="380" s="36" customFormat="1" spans="1:12">
      <c r="A380" s="41"/>
      <c r="B380" s="29" t="s">
        <v>1817</v>
      </c>
      <c r="C380" s="29" t="s">
        <v>216</v>
      </c>
      <c r="D380" s="29" t="s">
        <v>1818</v>
      </c>
      <c r="E380" s="29"/>
      <c r="F380" s="29"/>
      <c r="G380" s="29" t="s">
        <v>2469</v>
      </c>
      <c r="H380" s="29"/>
      <c r="I380" s="29" t="s">
        <v>1211</v>
      </c>
      <c r="J380" s="29" t="s">
        <v>345</v>
      </c>
      <c r="K380" s="29" t="s">
        <v>323</v>
      </c>
      <c r="L380" s="29" t="s">
        <v>323</v>
      </c>
    </row>
    <row r="381" s="36" customFormat="1" spans="1:12">
      <c r="A381" s="41"/>
      <c r="B381" s="29" t="s">
        <v>1820</v>
      </c>
      <c r="C381" s="29" t="s">
        <v>216</v>
      </c>
      <c r="D381" s="29" t="s">
        <v>1821</v>
      </c>
      <c r="E381" s="29"/>
      <c r="F381" s="29"/>
      <c r="G381" s="29" t="s">
        <v>2470</v>
      </c>
      <c r="H381" s="29"/>
      <c r="I381" s="29" t="s">
        <v>1211</v>
      </c>
      <c r="J381" s="29" t="s">
        <v>345</v>
      </c>
      <c r="K381" s="29" t="s">
        <v>323</v>
      </c>
      <c r="L381" s="29" t="s">
        <v>323</v>
      </c>
    </row>
    <row r="382" s="37" customFormat="1" spans="1:12">
      <c r="A382" s="42"/>
      <c r="B382" s="43" t="s">
        <v>252</v>
      </c>
      <c r="C382" s="43" t="s">
        <v>220</v>
      </c>
      <c r="D382" s="44" t="s">
        <v>254</v>
      </c>
      <c r="E382" s="45"/>
      <c r="F382" s="46"/>
      <c r="G382" s="46"/>
      <c r="H382" s="47"/>
      <c r="I382" s="48"/>
      <c r="J382" s="49"/>
      <c r="K382" s="49"/>
      <c r="L382" s="49"/>
    </row>
    <row r="383" s="37" customFormat="1" spans="1:12">
      <c r="A383" s="42"/>
      <c r="B383" s="43" t="s">
        <v>255</v>
      </c>
      <c r="C383" s="43" t="s">
        <v>216</v>
      </c>
      <c r="D383" s="44" t="s">
        <v>256</v>
      </c>
      <c r="E383" s="45"/>
      <c r="F383" s="46"/>
      <c r="G383" s="46"/>
      <c r="H383" s="47"/>
      <c r="I383" s="48"/>
      <c r="J383" s="49"/>
      <c r="K383" s="49"/>
      <c r="L383" s="49"/>
    </row>
    <row r="384" s="37" customFormat="1" spans="1:12">
      <c r="A384" s="42"/>
      <c r="B384" s="43" t="s">
        <v>257</v>
      </c>
      <c r="C384" s="43" t="s">
        <v>220</v>
      </c>
      <c r="D384" s="44" t="s">
        <v>258</v>
      </c>
      <c r="E384" s="45"/>
      <c r="F384" s="46"/>
      <c r="G384" s="46"/>
      <c r="H384" s="47"/>
      <c r="I384" s="48"/>
      <c r="J384" s="49"/>
      <c r="K384" s="49"/>
      <c r="L384" s="49"/>
    </row>
    <row r="385" s="37" customFormat="1" spans="1:12">
      <c r="A385" s="42"/>
      <c r="B385" s="43" t="s">
        <v>262</v>
      </c>
      <c r="C385" s="43" t="s">
        <v>220</v>
      </c>
      <c r="D385" s="44" t="s">
        <v>263</v>
      </c>
      <c r="E385" s="45"/>
      <c r="F385" s="46"/>
      <c r="G385" s="46"/>
      <c r="H385" s="47"/>
      <c r="I385" s="48"/>
      <c r="J385" s="49"/>
      <c r="K385" s="49"/>
      <c r="L385" s="49"/>
    </row>
  </sheetData>
  <autoFilter xmlns:etc="http://www.wps.cn/officeDocument/2017/etCustomData" ref="A15:N385"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7"/>
  <sheetViews>
    <sheetView zoomScale="85" zoomScaleNormal="85" workbookViewId="0">
      <pane ySplit="5" topLeftCell="A354" activePane="bottomLeft" state="frozen"/>
      <selection/>
      <selection pane="bottomLeft" activeCell="A1" sqref="A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16.2222222222222" style="3" customWidth="1"/>
    <col min="8" max="8" width="23.1111111111111"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123</v>
      </c>
      <c r="D5" s="35" t="s">
        <v>124</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121</v>
      </c>
      <c r="D9" s="35" t="s">
        <v>122</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2">
      <c r="B16" s="19" t="s">
        <v>1300</v>
      </c>
      <c r="C16" s="19" t="s">
        <v>1071</v>
      </c>
      <c r="D16" s="10" t="s">
        <v>2089</v>
      </c>
      <c r="E16" s="20"/>
      <c r="F16" s="19"/>
      <c r="G16" s="19"/>
      <c r="H16" s="20"/>
      <c r="I16" s="23"/>
      <c r="J16" s="23"/>
      <c r="K16" s="23"/>
      <c r="L16" s="23"/>
    </row>
    <row r="17" s="1" customFormat="1" spans="2:12">
      <c r="B17" s="19" t="s">
        <v>1026</v>
      </c>
      <c r="C17" s="19" t="s">
        <v>220</v>
      </c>
      <c r="D17" s="10" t="s">
        <v>66</v>
      </c>
      <c r="E17" s="20"/>
      <c r="F17" s="19"/>
      <c r="G17" s="19"/>
      <c r="H17" s="20"/>
      <c r="I17" s="23"/>
      <c r="J17" s="23"/>
      <c r="K17" s="23"/>
      <c r="L17" s="23"/>
    </row>
    <row r="18" s="1" customFormat="1" spans="2:12">
      <c r="B18" s="19" t="s">
        <v>1302</v>
      </c>
      <c r="C18" s="19" t="s">
        <v>220</v>
      </c>
      <c r="D18" s="10" t="s">
        <v>1303</v>
      </c>
      <c r="E18" s="20"/>
      <c r="F18" s="19"/>
      <c r="J18" s="23"/>
      <c r="K18" s="23"/>
      <c r="L18" s="23"/>
    </row>
    <row r="19" s="1" customFormat="1" spans="1:12">
      <c r="A19" s="40"/>
      <c r="B19" s="19" t="s">
        <v>1304</v>
      </c>
      <c r="C19" s="19" t="s">
        <v>216</v>
      </c>
      <c r="D19" s="10" t="s">
        <v>1305</v>
      </c>
      <c r="E19" s="20"/>
      <c r="F19" s="19"/>
      <c r="G19" s="19"/>
      <c r="H19" s="20"/>
      <c r="I19" s="23"/>
      <c r="J19" s="23"/>
      <c r="K19" s="23"/>
      <c r="L19" s="23"/>
    </row>
    <row r="20" s="1" customFormat="1" spans="1:12">
      <c r="A20" s="40"/>
      <c r="B20" s="19" t="s">
        <v>1306</v>
      </c>
      <c r="C20" s="19" t="s">
        <v>216</v>
      </c>
      <c r="D20" s="10" t="s">
        <v>1307</v>
      </c>
      <c r="E20" s="20"/>
      <c r="F20" s="19"/>
      <c r="G20" s="19"/>
      <c r="H20" s="20"/>
      <c r="I20" s="23"/>
      <c r="J20" s="23"/>
      <c r="K20" s="23"/>
      <c r="L20" s="23"/>
    </row>
    <row r="21" s="1" customFormat="1" spans="1:12">
      <c r="A21" s="40"/>
      <c r="B21" s="19" t="s">
        <v>302</v>
      </c>
      <c r="C21" s="19" t="s">
        <v>220</v>
      </c>
      <c r="D21" s="10" t="s">
        <v>1051</v>
      </c>
      <c r="E21" s="20"/>
      <c r="F21" s="19"/>
      <c r="G21" s="19"/>
      <c r="H21" s="20"/>
      <c r="I21" s="23"/>
      <c r="J21" s="23"/>
      <c r="K21" s="23"/>
      <c r="L21" s="23"/>
    </row>
    <row r="22" s="1" customFormat="1" spans="1:12">
      <c r="A22" s="40"/>
      <c r="B22" s="10" t="s">
        <v>2612</v>
      </c>
      <c r="C22" s="10" t="s">
        <v>220</v>
      </c>
      <c r="D22" s="10" t="s">
        <v>2738</v>
      </c>
      <c r="E22" s="20"/>
      <c r="F22" s="19"/>
      <c r="G22" s="19"/>
      <c r="H22" s="20"/>
      <c r="I22" s="23"/>
      <c r="J22" s="23"/>
      <c r="K22" s="23"/>
      <c r="L22" s="23"/>
    </row>
    <row r="23" s="1" customFormat="1" spans="1:12">
      <c r="A23" s="40"/>
      <c r="B23" s="10" t="s">
        <v>2614</v>
      </c>
      <c r="C23" s="10" t="s">
        <v>275</v>
      </c>
      <c r="D23" s="10" t="s">
        <v>2739</v>
      </c>
      <c r="E23" s="20"/>
      <c r="F23" s="19"/>
      <c r="G23" s="19"/>
      <c r="H23" s="20"/>
      <c r="I23" s="23"/>
      <c r="J23" s="23"/>
      <c r="K23" s="23"/>
      <c r="L23" s="23"/>
    </row>
    <row r="24" s="1" customFormat="1" spans="1:12">
      <c r="A24" s="40"/>
      <c r="B24" s="10" t="s">
        <v>1308</v>
      </c>
      <c r="C24" s="10" t="s">
        <v>275</v>
      </c>
      <c r="D24" s="10" t="s">
        <v>1309</v>
      </c>
      <c r="E24" s="20"/>
      <c r="F24" s="19"/>
      <c r="G24" s="19"/>
      <c r="H24" s="20"/>
      <c r="I24" s="23"/>
      <c r="J24" s="23"/>
      <c r="K24" s="23"/>
      <c r="L24" s="23"/>
    </row>
    <row r="25" s="1" customFormat="1" spans="1:12">
      <c r="A25" s="40"/>
      <c r="B25" s="10" t="s">
        <v>222</v>
      </c>
      <c r="C25" s="10" t="s">
        <v>216</v>
      </c>
      <c r="D25" s="10" t="s">
        <v>298</v>
      </c>
      <c r="E25" s="20"/>
      <c r="F25" s="19"/>
      <c r="G25" s="19"/>
      <c r="H25" s="20"/>
      <c r="I25" s="23"/>
      <c r="J25" s="23"/>
      <c r="K25" s="23"/>
      <c r="L25" s="23"/>
    </row>
    <row r="26" s="1" customFormat="1" spans="1:12">
      <c r="A26" s="40"/>
      <c r="B26" s="10" t="s">
        <v>1310</v>
      </c>
      <c r="C26" s="10" t="s">
        <v>216</v>
      </c>
      <c r="D26" s="10" t="s">
        <v>1311</v>
      </c>
      <c r="E26" s="20"/>
      <c r="F26" s="19"/>
      <c r="G26" s="19"/>
      <c r="H26" s="20"/>
      <c r="I26" s="23"/>
      <c r="J26" s="23"/>
      <c r="K26" s="23"/>
      <c r="L26" s="23"/>
    </row>
    <row r="27" s="1" customFormat="1" spans="1:12">
      <c r="A27" s="40"/>
      <c r="B27" s="10" t="s">
        <v>267</v>
      </c>
      <c r="C27" s="10" t="s">
        <v>275</v>
      </c>
      <c r="D27" s="10" t="s">
        <v>2094</v>
      </c>
      <c r="E27" s="20"/>
      <c r="F27" s="19"/>
      <c r="G27" s="19"/>
      <c r="H27" s="20"/>
      <c r="I27" s="23"/>
      <c r="J27" s="23"/>
      <c r="K27" s="23"/>
      <c r="L27" s="23"/>
    </row>
    <row r="28" s="1" customFormat="1" spans="1:12">
      <c r="A28" s="40"/>
      <c r="B28" s="10" t="s">
        <v>1176</v>
      </c>
      <c r="C28" s="10" t="s">
        <v>275</v>
      </c>
      <c r="D28" s="10" t="s">
        <v>1312</v>
      </c>
      <c r="E28" s="20"/>
      <c r="F28" s="19"/>
      <c r="G28" s="19"/>
      <c r="H28" s="20"/>
      <c r="I28" s="23"/>
      <c r="J28" s="23"/>
      <c r="K28" s="23"/>
      <c r="L28" s="23"/>
    </row>
    <row r="29" s="1" customFormat="1" spans="1:12">
      <c r="A29" s="40"/>
      <c r="B29" s="10" t="s">
        <v>1808</v>
      </c>
      <c r="C29" s="10" t="s">
        <v>216</v>
      </c>
      <c r="D29" s="10" t="s">
        <v>2572</v>
      </c>
      <c r="E29" s="20"/>
      <c r="F29" s="19"/>
      <c r="G29" s="19"/>
      <c r="H29" s="20"/>
      <c r="I29" s="23"/>
      <c r="J29" s="23"/>
      <c r="K29" s="23"/>
      <c r="L29" s="23"/>
    </row>
    <row r="30" s="1" customFormat="1" spans="1:12">
      <c r="A30" s="40"/>
      <c r="B30" s="10" t="s">
        <v>1316</v>
      </c>
      <c r="C30" s="10" t="s">
        <v>220</v>
      </c>
      <c r="D30" s="10" t="s">
        <v>2092</v>
      </c>
      <c r="E30" s="20"/>
      <c r="F30" s="19"/>
      <c r="G30" s="19"/>
      <c r="H30" s="20"/>
      <c r="I30" s="23"/>
      <c r="J30" s="23"/>
      <c r="K30" s="23"/>
      <c r="L30" s="23"/>
    </row>
    <row r="31" s="1" customFormat="1" spans="1:12">
      <c r="A31" s="40"/>
      <c r="B31" s="10" t="s">
        <v>1318</v>
      </c>
      <c r="C31" s="10" t="s">
        <v>220</v>
      </c>
      <c r="D31" s="10" t="s">
        <v>2093</v>
      </c>
      <c r="E31" s="20"/>
      <c r="F31" s="19"/>
      <c r="G31" s="19"/>
      <c r="H31" s="20"/>
      <c r="I31" s="23"/>
      <c r="J31" s="23"/>
      <c r="K31" s="23"/>
      <c r="L31" s="23"/>
    </row>
    <row r="32" s="1" customFormat="1" spans="1:12">
      <c r="A32" s="40"/>
      <c r="B32" s="10" t="s">
        <v>1064</v>
      </c>
      <c r="C32" s="10" t="s">
        <v>220</v>
      </c>
      <c r="D32" s="10" t="s">
        <v>1320</v>
      </c>
      <c r="E32" s="20"/>
      <c r="F32" s="19"/>
      <c r="G32" s="19"/>
      <c r="H32" s="20"/>
      <c r="I32" s="23"/>
      <c r="J32" s="23"/>
      <c r="K32" s="23"/>
      <c r="L32" s="23"/>
    </row>
    <row r="33" s="1" customFormat="1" spans="1:12">
      <c r="A33" s="40"/>
      <c r="B33" s="10" t="s">
        <v>2959</v>
      </c>
      <c r="C33" s="10" t="s">
        <v>220</v>
      </c>
      <c r="D33" s="10" t="s">
        <v>2960</v>
      </c>
      <c r="E33" s="20"/>
      <c r="F33" s="19"/>
      <c r="G33" s="19"/>
      <c r="H33" s="20"/>
      <c r="I33" s="23"/>
      <c r="J33" s="23"/>
      <c r="K33" s="23"/>
      <c r="L33" s="23"/>
    </row>
    <row r="34" s="1" customFormat="1" spans="1:12">
      <c r="A34" s="40"/>
      <c r="B34" s="10" t="s">
        <v>1891</v>
      </c>
      <c r="C34" s="10" t="s">
        <v>216</v>
      </c>
      <c r="D34" s="10" t="s">
        <v>2961</v>
      </c>
      <c r="E34" s="20"/>
      <c r="F34" s="19"/>
      <c r="G34" s="19"/>
      <c r="H34" s="20"/>
      <c r="I34" s="23"/>
      <c r="J34" s="23"/>
      <c r="K34" s="23"/>
      <c r="L34" s="23"/>
    </row>
    <row r="35" s="1" customFormat="1" spans="1:12">
      <c r="A35" s="40"/>
      <c r="B35" s="10" t="s">
        <v>1313</v>
      </c>
      <c r="C35" s="10" t="s">
        <v>216</v>
      </c>
      <c r="D35" s="10" t="s">
        <v>1893</v>
      </c>
      <c r="E35" s="20"/>
      <c r="F35" s="19"/>
      <c r="G35" s="19"/>
      <c r="H35" s="20"/>
      <c r="I35" s="23"/>
      <c r="J35" s="23"/>
      <c r="K35" s="23"/>
      <c r="L35" s="23"/>
    </row>
    <row r="36" s="1" customFormat="1" spans="1:12">
      <c r="A36" s="40"/>
      <c r="B36" s="10" t="s">
        <v>2710</v>
      </c>
      <c r="C36" s="10" t="s">
        <v>220</v>
      </c>
      <c r="D36" s="10" t="s">
        <v>2962</v>
      </c>
      <c r="E36" s="20"/>
      <c r="F36" s="19"/>
      <c r="G36" s="19"/>
      <c r="H36" s="20"/>
      <c r="I36" s="23"/>
      <c r="J36" s="23"/>
      <c r="K36" s="23"/>
      <c r="L36" s="23"/>
    </row>
    <row r="37" s="1" customFormat="1" spans="1:12">
      <c r="A37" s="40"/>
      <c r="B37" s="10" t="s">
        <v>1321</v>
      </c>
      <c r="C37" s="10" t="s">
        <v>275</v>
      </c>
      <c r="D37" s="10" t="s">
        <v>1322</v>
      </c>
      <c r="E37" s="20"/>
      <c r="F37" s="19"/>
      <c r="G37" s="19"/>
      <c r="H37" s="20"/>
      <c r="I37" s="23"/>
      <c r="J37" s="23"/>
      <c r="K37" s="23"/>
      <c r="L37" s="23"/>
    </row>
    <row r="38" s="1" customFormat="1" spans="1:12">
      <c r="A38" s="40"/>
      <c r="B38" s="10" t="s">
        <v>1351</v>
      </c>
      <c r="C38" s="10" t="s">
        <v>275</v>
      </c>
      <c r="D38" s="10" t="s">
        <v>1352</v>
      </c>
      <c r="E38" s="20"/>
      <c r="F38" s="19"/>
      <c r="G38" s="19"/>
      <c r="H38" s="20"/>
      <c r="I38" s="23"/>
      <c r="J38" s="23"/>
      <c r="K38" s="23"/>
      <c r="L38" s="23"/>
    </row>
    <row r="39" s="1" customFormat="1" spans="1:12">
      <c r="A39" s="40"/>
      <c r="B39" s="10" t="s">
        <v>1353</v>
      </c>
      <c r="C39" s="10" t="s">
        <v>275</v>
      </c>
      <c r="D39" s="10" t="s">
        <v>1354</v>
      </c>
      <c r="E39" s="20"/>
      <c r="F39" s="19"/>
      <c r="G39" s="19"/>
      <c r="H39" s="20"/>
      <c r="I39" s="23"/>
      <c r="J39" s="23"/>
      <c r="K39" s="23"/>
      <c r="L39" s="23"/>
    </row>
    <row r="40" s="1" customFormat="1" spans="1:12">
      <c r="A40" s="40"/>
      <c r="B40" s="10" t="s">
        <v>1355</v>
      </c>
      <c r="C40" s="10" t="s">
        <v>275</v>
      </c>
      <c r="D40" s="10" t="s">
        <v>1356</v>
      </c>
      <c r="E40" s="20"/>
      <c r="F40" s="19"/>
      <c r="G40" s="19"/>
      <c r="H40" s="20"/>
      <c r="I40" s="23"/>
      <c r="J40" s="23"/>
      <c r="K40" s="23"/>
      <c r="L40" s="23"/>
    </row>
    <row r="41" s="1" customFormat="1" spans="1:12">
      <c r="A41" s="40"/>
      <c r="B41" s="10" t="s">
        <v>1357</v>
      </c>
      <c r="C41" s="10" t="s">
        <v>275</v>
      </c>
      <c r="D41" s="10" t="s">
        <v>1358</v>
      </c>
      <c r="E41" s="20"/>
      <c r="F41" s="19"/>
      <c r="G41" s="19"/>
      <c r="H41" s="20"/>
      <c r="I41" s="23"/>
      <c r="J41" s="23"/>
      <c r="K41" s="23"/>
      <c r="L41" s="23"/>
    </row>
    <row r="42" s="1" customFormat="1" spans="1:12">
      <c r="A42" s="40"/>
      <c r="B42" s="10" t="s">
        <v>1359</v>
      </c>
      <c r="C42" s="10" t="s">
        <v>275</v>
      </c>
      <c r="D42" s="10" t="s">
        <v>1360</v>
      </c>
      <c r="E42" s="20"/>
      <c r="F42" s="19"/>
      <c r="G42" s="19"/>
      <c r="H42" s="20"/>
      <c r="I42" s="23"/>
      <c r="J42" s="23"/>
      <c r="K42" s="23"/>
      <c r="L42" s="23"/>
    </row>
    <row r="43" s="1" customFormat="1" spans="1:12">
      <c r="A43" s="40"/>
      <c r="B43" s="10" t="s">
        <v>1361</v>
      </c>
      <c r="C43" s="10" t="s">
        <v>275</v>
      </c>
      <c r="D43" s="10" t="s">
        <v>1362</v>
      </c>
      <c r="E43" s="20"/>
      <c r="F43" s="19"/>
      <c r="G43" s="19"/>
      <c r="H43" s="20"/>
      <c r="I43" s="23"/>
      <c r="J43" s="23"/>
      <c r="K43" s="23"/>
      <c r="L43" s="23"/>
    </row>
    <row r="44" s="1" customFormat="1" spans="1:12">
      <c r="A44" s="40"/>
      <c r="B44" s="10" t="s">
        <v>1363</v>
      </c>
      <c r="C44" s="10" t="s">
        <v>275</v>
      </c>
      <c r="D44" s="10" t="s">
        <v>1364</v>
      </c>
      <c r="E44" s="20"/>
      <c r="F44" s="19"/>
      <c r="G44" s="19"/>
      <c r="H44" s="20"/>
      <c r="I44" s="23"/>
      <c r="J44" s="23"/>
      <c r="K44" s="23"/>
      <c r="L44" s="23"/>
    </row>
    <row r="45" s="1" customFormat="1" spans="1:12">
      <c r="A45" s="40"/>
      <c r="B45" s="10" t="s">
        <v>1365</v>
      </c>
      <c r="C45" s="10" t="s">
        <v>275</v>
      </c>
      <c r="D45" s="10" t="s">
        <v>1366</v>
      </c>
      <c r="E45" s="20"/>
      <c r="F45" s="19"/>
      <c r="G45" s="19"/>
      <c r="H45" s="20"/>
      <c r="I45" s="23"/>
      <c r="J45" s="23"/>
      <c r="K45" s="23"/>
      <c r="L45" s="23"/>
    </row>
    <row r="46" s="1" customFormat="1" spans="1:12">
      <c r="A46" s="40"/>
      <c r="B46" s="10" t="s">
        <v>1367</v>
      </c>
      <c r="C46" s="10" t="s">
        <v>275</v>
      </c>
      <c r="D46" s="10" t="s">
        <v>1368</v>
      </c>
      <c r="E46" s="20"/>
      <c r="F46" s="19"/>
      <c r="G46" s="19"/>
      <c r="H46" s="20"/>
      <c r="I46" s="23"/>
      <c r="J46" s="23"/>
      <c r="K46" s="23"/>
      <c r="L46" s="23"/>
    </row>
    <row r="47" s="1" customFormat="1" spans="1:12">
      <c r="A47" s="40"/>
      <c r="B47" s="10" t="s">
        <v>1369</v>
      </c>
      <c r="C47" s="10" t="s">
        <v>275</v>
      </c>
      <c r="D47" s="10" t="s">
        <v>1370</v>
      </c>
      <c r="E47" s="20"/>
      <c r="F47" s="19"/>
      <c r="G47" s="19"/>
      <c r="H47" s="20"/>
      <c r="I47" s="23"/>
      <c r="J47" s="23"/>
      <c r="K47" s="23"/>
      <c r="L47" s="23"/>
    </row>
    <row r="48" s="1" customFormat="1" spans="1:12">
      <c r="A48" s="40"/>
      <c r="B48" s="10" t="s">
        <v>1371</v>
      </c>
      <c r="C48" s="10" t="s">
        <v>275</v>
      </c>
      <c r="D48" s="10" t="s">
        <v>1372</v>
      </c>
      <c r="E48" s="20"/>
      <c r="F48" s="19"/>
      <c r="G48" s="19"/>
      <c r="H48" s="20"/>
      <c r="I48" s="23"/>
      <c r="J48" s="23"/>
      <c r="K48" s="23"/>
      <c r="L48" s="23"/>
    </row>
    <row r="49" s="1" customFormat="1" spans="1:12">
      <c r="A49" s="40"/>
      <c r="B49" s="10" t="s">
        <v>1373</v>
      </c>
      <c r="C49" s="10" t="s">
        <v>275</v>
      </c>
      <c r="D49" s="10" t="s">
        <v>1374</v>
      </c>
      <c r="E49" s="20"/>
      <c r="F49" s="19"/>
      <c r="G49" s="19"/>
      <c r="H49" s="20"/>
      <c r="I49" s="23"/>
      <c r="J49" s="23"/>
      <c r="K49" s="23"/>
      <c r="L49" s="23"/>
    </row>
    <row r="50" s="1" customFormat="1" spans="1:12">
      <c r="A50" s="40"/>
      <c r="B50" s="10" t="s">
        <v>1375</v>
      </c>
      <c r="C50" s="10" t="s">
        <v>275</v>
      </c>
      <c r="D50" s="10" t="s">
        <v>1376</v>
      </c>
      <c r="E50" s="20"/>
      <c r="F50" s="19"/>
      <c r="G50" s="19"/>
      <c r="H50" s="20"/>
      <c r="I50" s="23"/>
      <c r="J50" s="23"/>
      <c r="K50" s="23"/>
      <c r="L50" s="23"/>
    </row>
    <row r="51" s="1" customFormat="1" spans="1:12">
      <c r="A51" s="40"/>
      <c r="B51" s="10" t="s">
        <v>1377</v>
      </c>
      <c r="C51" s="10" t="s">
        <v>275</v>
      </c>
      <c r="D51" s="10" t="s">
        <v>1378</v>
      </c>
      <c r="E51" s="20"/>
      <c r="F51" s="19"/>
      <c r="G51" s="19"/>
      <c r="H51" s="20"/>
      <c r="I51" s="23"/>
      <c r="J51" s="23"/>
      <c r="K51" s="23"/>
      <c r="L51" s="23"/>
    </row>
    <row r="52" s="1" customFormat="1" spans="1:12">
      <c r="A52" s="40"/>
      <c r="B52" s="10" t="s">
        <v>1391</v>
      </c>
      <c r="C52" s="10" t="s">
        <v>275</v>
      </c>
      <c r="D52" s="10" t="s">
        <v>1392</v>
      </c>
      <c r="E52" s="20"/>
      <c r="F52" s="19"/>
      <c r="G52" s="19"/>
      <c r="H52" s="20"/>
      <c r="I52" s="23"/>
      <c r="J52" s="23"/>
      <c r="K52" s="23"/>
      <c r="L52" s="23"/>
    </row>
    <row r="53" s="1" customFormat="1" spans="1:12">
      <c r="A53" s="40"/>
      <c r="B53" s="10" t="s">
        <v>1393</v>
      </c>
      <c r="C53" s="10" t="s">
        <v>275</v>
      </c>
      <c r="D53" s="10" t="s">
        <v>1394</v>
      </c>
      <c r="E53" s="20"/>
      <c r="F53" s="19"/>
      <c r="G53" s="19"/>
      <c r="H53" s="20"/>
      <c r="I53" s="23"/>
      <c r="J53" s="23"/>
      <c r="K53" s="23"/>
      <c r="L53" s="23"/>
    </row>
    <row r="54" s="1" customFormat="1" spans="1:12">
      <c r="A54" s="40"/>
      <c r="B54" s="10" t="s">
        <v>1323</v>
      </c>
      <c r="C54" s="10" t="s">
        <v>275</v>
      </c>
      <c r="D54" s="10" t="s">
        <v>1324</v>
      </c>
      <c r="E54" s="20"/>
      <c r="F54" s="19"/>
      <c r="G54" s="19"/>
      <c r="H54" s="20"/>
      <c r="I54" s="23"/>
      <c r="J54" s="23"/>
      <c r="K54" s="23"/>
      <c r="L54" s="23"/>
    </row>
    <row r="55" s="1" customFormat="1" spans="1:12">
      <c r="A55" s="40"/>
      <c r="B55" s="10" t="s">
        <v>1325</v>
      </c>
      <c r="C55" s="10" t="s">
        <v>275</v>
      </c>
      <c r="D55" s="10" t="s">
        <v>1326</v>
      </c>
      <c r="E55" s="20"/>
      <c r="F55" s="19"/>
      <c r="G55" s="19"/>
      <c r="H55" s="20"/>
      <c r="I55" s="23"/>
      <c r="J55" s="23"/>
      <c r="K55" s="23"/>
      <c r="L55" s="23"/>
    </row>
    <row r="56" s="1" customFormat="1" spans="1:12">
      <c r="A56" s="40"/>
      <c r="B56" s="10" t="s">
        <v>1327</v>
      </c>
      <c r="C56" s="10" t="s">
        <v>275</v>
      </c>
      <c r="D56" s="10" t="s">
        <v>1328</v>
      </c>
      <c r="E56" s="20"/>
      <c r="F56" s="19"/>
      <c r="G56" s="19"/>
      <c r="H56" s="20"/>
      <c r="I56" s="23"/>
      <c r="J56" s="23"/>
      <c r="K56" s="23"/>
      <c r="L56" s="23"/>
    </row>
    <row r="57" s="1" customFormat="1" spans="1:12">
      <c r="A57" s="40"/>
      <c r="B57" s="10" t="s">
        <v>1329</v>
      </c>
      <c r="C57" s="10" t="s">
        <v>275</v>
      </c>
      <c r="D57" s="10" t="s">
        <v>1330</v>
      </c>
      <c r="E57" s="20"/>
      <c r="F57" s="19"/>
      <c r="G57" s="19"/>
      <c r="H57" s="20"/>
      <c r="I57" s="23"/>
      <c r="J57" s="23"/>
      <c r="K57" s="23"/>
      <c r="L57" s="23"/>
    </row>
    <row r="58" s="1" customFormat="1" spans="1:12">
      <c r="A58" s="40"/>
      <c r="B58" s="10" t="s">
        <v>1331</v>
      </c>
      <c r="C58" s="10" t="s">
        <v>275</v>
      </c>
      <c r="D58" s="10" t="s">
        <v>1332</v>
      </c>
      <c r="E58" s="20"/>
      <c r="F58" s="19"/>
      <c r="G58" s="19"/>
      <c r="H58" s="20"/>
      <c r="I58" s="23"/>
      <c r="J58" s="23"/>
      <c r="K58" s="23"/>
      <c r="L58" s="23"/>
    </row>
    <row r="59" s="1" customFormat="1" spans="1:12">
      <c r="A59" s="40"/>
      <c r="B59" s="10" t="s">
        <v>1333</v>
      </c>
      <c r="C59" s="10" t="s">
        <v>275</v>
      </c>
      <c r="D59" s="10" t="s">
        <v>1334</v>
      </c>
      <c r="E59" s="20"/>
      <c r="F59" s="19"/>
      <c r="G59" s="19"/>
      <c r="H59" s="20"/>
      <c r="I59" s="23"/>
      <c r="J59" s="23"/>
      <c r="K59" s="23"/>
      <c r="L59" s="23"/>
    </row>
    <row r="60" s="1" customFormat="1" spans="1:12">
      <c r="A60" s="40"/>
      <c r="B60" s="10" t="s">
        <v>1335</v>
      </c>
      <c r="C60" s="10" t="s">
        <v>275</v>
      </c>
      <c r="D60" s="10" t="s">
        <v>1336</v>
      </c>
      <c r="E60" s="20"/>
      <c r="F60" s="19"/>
      <c r="G60" s="19"/>
      <c r="H60" s="20"/>
      <c r="I60" s="23"/>
      <c r="J60" s="23"/>
      <c r="K60" s="23"/>
      <c r="L60" s="23"/>
    </row>
    <row r="61" s="1" customFormat="1" spans="1:12">
      <c r="A61" s="40"/>
      <c r="B61" s="10" t="s">
        <v>1337</v>
      </c>
      <c r="C61" s="10" t="s">
        <v>275</v>
      </c>
      <c r="D61" s="10" t="s">
        <v>1338</v>
      </c>
      <c r="E61" s="20"/>
      <c r="F61" s="19"/>
      <c r="G61" s="19"/>
      <c r="H61" s="20"/>
      <c r="I61" s="23"/>
      <c r="J61" s="23"/>
      <c r="K61" s="23"/>
      <c r="L61" s="23"/>
    </row>
    <row r="62" s="1" customFormat="1" spans="1:12">
      <c r="A62" s="40"/>
      <c r="B62" s="10" t="s">
        <v>2111</v>
      </c>
      <c r="C62" s="10" t="s">
        <v>275</v>
      </c>
      <c r="D62" s="10" t="s">
        <v>1340</v>
      </c>
      <c r="E62" s="20"/>
      <c r="F62" s="19"/>
      <c r="G62" s="19"/>
      <c r="H62" s="20"/>
      <c r="I62" s="23"/>
      <c r="J62" s="23"/>
      <c r="K62" s="23"/>
      <c r="L62" s="23"/>
    </row>
    <row r="63" s="1" customFormat="1" spans="1:12">
      <c r="A63" s="40"/>
      <c r="B63" s="10" t="s">
        <v>2112</v>
      </c>
      <c r="C63" s="10" t="s">
        <v>275</v>
      </c>
      <c r="D63" s="10" t="s">
        <v>1342</v>
      </c>
      <c r="E63" s="20"/>
      <c r="F63" s="19"/>
      <c r="G63" s="19"/>
      <c r="H63" s="20"/>
      <c r="I63" s="23"/>
      <c r="J63" s="23"/>
      <c r="K63" s="23"/>
      <c r="L63" s="23"/>
    </row>
    <row r="64" s="1" customFormat="1" spans="1:12">
      <c r="A64" s="40"/>
      <c r="B64" s="10" t="s">
        <v>2702</v>
      </c>
      <c r="C64" s="10" t="s">
        <v>275</v>
      </c>
      <c r="D64" s="10" t="s">
        <v>1380</v>
      </c>
      <c r="E64" s="20"/>
      <c r="F64" s="19"/>
      <c r="G64" s="19"/>
      <c r="H64" s="20"/>
      <c r="I64" s="23"/>
      <c r="J64" s="23"/>
      <c r="K64" s="23"/>
      <c r="L64" s="23"/>
    </row>
    <row r="65" s="1" customFormat="1" spans="1:12">
      <c r="A65" s="40"/>
      <c r="B65" s="10" t="s">
        <v>2703</v>
      </c>
      <c r="C65" s="10" t="s">
        <v>275</v>
      </c>
      <c r="D65" s="10" t="s">
        <v>1382</v>
      </c>
      <c r="E65" s="20"/>
      <c r="F65" s="19"/>
      <c r="G65" s="19"/>
      <c r="H65" s="20"/>
      <c r="I65" s="23"/>
      <c r="J65" s="23"/>
      <c r="K65" s="23"/>
      <c r="L65" s="23"/>
    </row>
    <row r="66" s="1" customFormat="1" spans="1:12">
      <c r="A66" s="40"/>
      <c r="B66" s="10" t="s">
        <v>1395</v>
      </c>
      <c r="C66" s="10" t="s">
        <v>275</v>
      </c>
      <c r="D66" s="10" t="s">
        <v>1396</v>
      </c>
      <c r="E66" s="20"/>
      <c r="F66" s="19"/>
      <c r="G66" s="19"/>
      <c r="H66" s="20"/>
      <c r="I66" s="23"/>
      <c r="J66" s="23"/>
      <c r="K66" s="23"/>
      <c r="L66" s="23"/>
    </row>
    <row r="67" s="1" customFormat="1" spans="1:12">
      <c r="A67" s="40"/>
      <c r="B67" s="10" t="s">
        <v>1397</v>
      </c>
      <c r="C67" s="10" t="s">
        <v>275</v>
      </c>
      <c r="D67" s="10" t="s">
        <v>1398</v>
      </c>
      <c r="E67" s="20"/>
      <c r="F67" s="19"/>
      <c r="G67" s="19"/>
      <c r="H67" s="20"/>
      <c r="I67" s="23"/>
      <c r="J67" s="23"/>
      <c r="K67" s="23"/>
      <c r="L67" s="23"/>
    </row>
    <row r="68" s="1" customFormat="1" spans="1:12">
      <c r="A68" s="40"/>
      <c r="B68" s="10" t="s">
        <v>1399</v>
      </c>
      <c r="C68" s="10" t="s">
        <v>275</v>
      </c>
      <c r="D68" s="10" t="s">
        <v>1400</v>
      </c>
      <c r="E68" s="20"/>
      <c r="F68" s="19"/>
      <c r="G68" s="19"/>
      <c r="H68" s="20"/>
      <c r="I68" s="23"/>
      <c r="J68" s="23"/>
      <c r="K68" s="23"/>
      <c r="L68" s="23"/>
    </row>
    <row r="69" s="1" customFormat="1" spans="1:12">
      <c r="A69" s="40"/>
      <c r="B69" s="10" t="s">
        <v>1401</v>
      </c>
      <c r="C69" s="10" t="s">
        <v>275</v>
      </c>
      <c r="D69" s="10" t="s">
        <v>1402</v>
      </c>
      <c r="E69" s="20"/>
      <c r="F69" s="19"/>
      <c r="G69" s="19"/>
      <c r="H69" s="20"/>
      <c r="I69" s="23"/>
      <c r="J69" s="23"/>
      <c r="K69" s="23"/>
      <c r="L69" s="23"/>
    </row>
    <row r="70" s="1" customFormat="1" spans="1:12">
      <c r="A70" s="40"/>
      <c r="B70" s="10" t="s">
        <v>1403</v>
      </c>
      <c r="C70" s="10" t="s">
        <v>275</v>
      </c>
      <c r="D70" s="10" t="s">
        <v>1404</v>
      </c>
      <c r="E70" s="20"/>
      <c r="F70" s="19"/>
      <c r="G70" s="19"/>
      <c r="H70" s="20"/>
      <c r="I70" s="23"/>
      <c r="J70" s="23"/>
      <c r="K70" s="23"/>
      <c r="L70" s="23"/>
    </row>
    <row r="71" s="1" customFormat="1" spans="1:12">
      <c r="A71" s="40"/>
      <c r="B71" s="10" t="s">
        <v>1405</v>
      </c>
      <c r="C71" s="10" t="s">
        <v>275</v>
      </c>
      <c r="D71" s="10" t="s">
        <v>1406</v>
      </c>
      <c r="E71" s="20"/>
      <c r="F71" s="19"/>
      <c r="G71" s="19"/>
      <c r="H71" s="20"/>
      <c r="I71" s="23"/>
      <c r="J71" s="23"/>
      <c r="K71" s="23"/>
      <c r="L71" s="23"/>
    </row>
    <row r="72" s="1" customFormat="1" spans="1:12">
      <c r="A72" s="40"/>
      <c r="B72" s="10" t="s">
        <v>1284</v>
      </c>
      <c r="C72" s="10" t="s">
        <v>275</v>
      </c>
      <c r="D72" s="10" t="s">
        <v>1285</v>
      </c>
      <c r="E72" s="20"/>
      <c r="F72" s="19"/>
      <c r="G72" s="19"/>
      <c r="H72" s="20"/>
      <c r="I72" s="23"/>
      <c r="J72" s="23"/>
      <c r="K72" s="23"/>
      <c r="L72" s="23"/>
    </row>
    <row r="73" s="1" customFormat="1" spans="1:12">
      <c r="A73" s="40"/>
      <c r="B73" s="10" t="s">
        <v>1407</v>
      </c>
      <c r="C73" s="10" t="s">
        <v>275</v>
      </c>
      <c r="D73" s="10" t="s">
        <v>1408</v>
      </c>
      <c r="E73" s="20"/>
      <c r="F73" s="19"/>
      <c r="G73" s="19"/>
      <c r="H73" s="20"/>
      <c r="I73" s="23"/>
      <c r="J73" s="23"/>
      <c r="K73" s="23"/>
      <c r="L73" s="23"/>
    </row>
    <row r="74" s="1" customFormat="1" spans="1:12">
      <c r="A74" s="40"/>
      <c r="B74" s="10" t="s">
        <v>1409</v>
      </c>
      <c r="C74" s="10" t="s">
        <v>275</v>
      </c>
      <c r="D74" s="10" t="s">
        <v>2746</v>
      </c>
      <c r="E74" s="20"/>
      <c r="F74" s="19"/>
      <c r="G74" s="19"/>
      <c r="H74" s="20"/>
      <c r="I74" s="23"/>
      <c r="J74" s="23"/>
      <c r="K74" s="23"/>
      <c r="L74" s="23"/>
    </row>
    <row r="75" s="1" customFormat="1" spans="1:12">
      <c r="A75" s="40"/>
      <c r="B75" s="10" t="s">
        <v>1411</v>
      </c>
      <c r="C75" s="10" t="s">
        <v>275</v>
      </c>
      <c r="D75" s="10" t="s">
        <v>1412</v>
      </c>
      <c r="E75" s="20"/>
      <c r="F75" s="19"/>
      <c r="G75" s="19"/>
      <c r="H75" s="20"/>
      <c r="I75" s="23"/>
      <c r="J75" s="23"/>
      <c r="K75" s="23"/>
      <c r="L75" s="23"/>
    </row>
    <row r="76" s="1" customFormat="1" spans="1:12">
      <c r="A76" s="40"/>
      <c r="B76" s="10" t="s">
        <v>1413</v>
      </c>
      <c r="C76" s="10" t="s">
        <v>275</v>
      </c>
      <c r="D76" s="10" t="s">
        <v>1414</v>
      </c>
      <c r="E76" s="20"/>
      <c r="F76" s="19"/>
      <c r="G76" s="19"/>
      <c r="H76" s="20"/>
      <c r="I76" s="23"/>
      <c r="J76" s="23"/>
      <c r="K76" s="23"/>
      <c r="L76" s="23"/>
    </row>
    <row r="77" s="1" customFormat="1" spans="1:12">
      <c r="A77" s="40"/>
      <c r="B77" s="10" t="s">
        <v>1415</v>
      </c>
      <c r="C77" s="10" t="s">
        <v>275</v>
      </c>
      <c r="D77" s="10" t="s">
        <v>1416</v>
      </c>
      <c r="E77" s="20"/>
      <c r="F77" s="19"/>
      <c r="G77" s="19"/>
      <c r="H77" s="20"/>
      <c r="I77" s="23"/>
      <c r="J77" s="23"/>
      <c r="K77" s="23"/>
      <c r="L77" s="23"/>
    </row>
    <row r="78" s="1" customFormat="1" spans="1:12">
      <c r="A78" s="40"/>
      <c r="B78" s="10" t="s">
        <v>1417</v>
      </c>
      <c r="C78" s="10" t="s">
        <v>275</v>
      </c>
      <c r="D78" s="10" t="s">
        <v>1418</v>
      </c>
      <c r="E78" s="20"/>
      <c r="F78" s="19"/>
      <c r="G78" s="19"/>
      <c r="H78" s="20"/>
      <c r="I78" s="23"/>
      <c r="J78" s="23"/>
      <c r="K78" s="23"/>
      <c r="L78" s="23"/>
    </row>
    <row r="79" s="1" customFormat="1" spans="1:12">
      <c r="A79" s="40"/>
      <c r="B79" s="10" t="s">
        <v>1419</v>
      </c>
      <c r="C79" s="10" t="s">
        <v>275</v>
      </c>
      <c r="D79" s="10" t="s">
        <v>1420</v>
      </c>
      <c r="E79" s="20"/>
      <c r="F79" s="19"/>
      <c r="G79" s="19"/>
      <c r="H79" s="20"/>
      <c r="I79" s="23"/>
      <c r="J79" s="23"/>
      <c r="K79" s="23"/>
      <c r="L79" s="23"/>
    </row>
    <row r="80" s="1" customFormat="1" spans="1:12">
      <c r="A80" s="40"/>
      <c r="B80" s="10" t="s">
        <v>1274</v>
      </c>
      <c r="C80" s="10" t="s">
        <v>275</v>
      </c>
      <c r="D80" s="10" t="s">
        <v>1421</v>
      </c>
      <c r="E80" s="20"/>
      <c r="F80" s="19"/>
      <c r="G80" s="19"/>
      <c r="H80" s="20"/>
      <c r="I80" s="23"/>
      <c r="J80" s="23"/>
      <c r="K80" s="23"/>
      <c r="L80" s="23"/>
    </row>
    <row r="81" s="1" customFormat="1" spans="1:12">
      <c r="A81" s="40"/>
      <c r="B81" s="10" t="s">
        <v>1422</v>
      </c>
      <c r="C81" s="10" t="s">
        <v>275</v>
      </c>
      <c r="D81" s="10" t="s">
        <v>1283</v>
      </c>
      <c r="E81" s="20"/>
      <c r="F81" s="19"/>
      <c r="G81" s="19"/>
      <c r="H81" s="20"/>
      <c r="I81" s="23"/>
      <c r="J81" s="23"/>
      <c r="K81" s="23"/>
      <c r="L81" s="23"/>
    </row>
    <row r="82" s="1" customFormat="1" spans="1:12">
      <c r="A82" s="40"/>
      <c r="B82" s="10" t="s">
        <v>1280</v>
      </c>
      <c r="C82" s="10" t="s">
        <v>275</v>
      </c>
      <c r="D82" s="10" t="s">
        <v>1423</v>
      </c>
      <c r="E82" s="20"/>
      <c r="F82" s="19"/>
      <c r="G82" s="19"/>
      <c r="H82" s="20"/>
      <c r="I82" s="23"/>
      <c r="J82" s="23"/>
      <c r="K82" s="23"/>
      <c r="L82" s="23"/>
    </row>
    <row r="83" s="1" customFormat="1" spans="1:12">
      <c r="A83" s="40"/>
      <c r="B83" s="10" t="s">
        <v>1270</v>
      </c>
      <c r="C83" s="10" t="s">
        <v>275</v>
      </c>
      <c r="D83" s="10" t="s">
        <v>1271</v>
      </c>
      <c r="E83" s="20"/>
      <c r="F83" s="19"/>
      <c r="G83" s="19"/>
      <c r="H83" s="20"/>
      <c r="I83" s="23"/>
      <c r="J83" s="23"/>
      <c r="K83" s="23"/>
      <c r="L83" s="23"/>
    </row>
    <row r="84" s="1" customFormat="1" spans="1:12">
      <c r="A84" s="40"/>
      <c r="B84" s="10" t="s">
        <v>1424</v>
      </c>
      <c r="C84" s="10" t="s">
        <v>275</v>
      </c>
      <c r="D84" s="10" t="s">
        <v>1273</v>
      </c>
      <c r="E84" s="20"/>
      <c r="F84" s="19"/>
      <c r="G84" s="19"/>
      <c r="H84" s="20"/>
      <c r="I84" s="23"/>
      <c r="J84" s="23"/>
      <c r="K84" s="23"/>
      <c r="L84" s="23"/>
    </row>
    <row r="85" s="1" customFormat="1" spans="1:12">
      <c r="A85" s="40"/>
      <c r="B85" s="10" t="s">
        <v>1425</v>
      </c>
      <c r="C85" s="10" t="s">
        <v>275</v>
      </c>
      <c r="D85" s="10" t="s">
        <v>1426</v>
      </c>
      <c r="E85" s="20"/>
      <c r="F85" s="19"/>
      <c r="G85" s="19"/>
      <c r="H85" s="20"/>
      <c r="I85" s="23"/>
      <c r="J85" s="23"/>
      <c r="K85" s="23"/>
      <c r="L85" s="23"/>
    </row>
    <row r="86" s="1" customFormat="1" spans="1:12">
      <c r="A86" s="40"/>
      <c r="B86" s="10" t="s">
        <v>1427</v>
      </c>
      <c r="C86" s="10" t="s">
        <v>275</v>
      </c>
      <c r="D86" s="10" t="s">
        <v>1428</v>
      </c>
      <c r="E86" s="20"/>
      <c r="F86" s="19"/>
      <c r="G86" s="19"/>
      <c r="H86" s="20"/>
      <c r="I86" s="23"/>
      <c r="J86" s="23"/>
      <c r="K86" s="23"/>
      <c r="L86" s="23"/>
    </row>
    <row r="87" s="1" customFormat="1" spans="1:12">
      <c r="A87" s="40"/>
      <c r="B87" s="10" t="s">
        <v>1429</v>
      </c>
      <c r="C87" s="10" t="s">
        <v>275</v>
      </c>
      <c r="D87" s="10" t="s">
        <v>1430</v>
      </c>
      <c r="E87" s="20"/>
      <c r="F87" s="19"/>
      <c r="G87" s="19"/>
      <c r="H87" s="20"/>
      <c r="I87" s="23"/>
      <c r="J87" s="23"/>
      <c r="K87" s="23"/>
      <c r="L87" s="23"/>
    </row>
    <row r="88" s="1" customFormat="1" spans="1:12">
      <c r="A88" s="40"/>
      <c r="B88" s="10" t="s">
        <v>2721</v>
      </c>
      <c r="C88" s="10" t="s">
        <v>275</v>
      </c>
      <c r="D88" s="10" t="s">
        <v>1432</v>
      </c>
      <c r="E88" s="20"/>
      <c r="F88" s="19"/>
      <c r="G88" s="19"/>
      <c r="H88" s="20"/>
      <c r="I88" s="23"/>
      <c r="J88" s="23"/>
      <c r="K88" s="23"/>
      <c r="L88" s="23"/>
    </row>
    <row r="89" s="1" customFormat="1" spans="1:12">
      <c r="A89" s="40"/>
      <c r="B89" s="10" t="s">
        <v>2722</v>
      </c>
      <c r="C89" s="10" t="s">
        <v>275</v>
      </c>
      <c r="D89" s="10" t="s">
        <v>1434</v>
      </c>
      <c r="E89" s="20"/>
      <c r="F89" s="19"/>
      <c r="G89" s="19"/>
      <c r="H89" s="20"/>
      <c r="I89" s="23"/>
      <c r="J89" s="23"/>
      <c r="K89" s="23"/>
      <c r="L89" s="23"/>
    </row>
    <row r="90" s="1" customFormat="1" spans="1:12">
      <c r="A90" s="40"/>
      <c r="B90" s="10" t="s">
        <v>1435</v>
      </c>
      <c r="C90" s="10" t="s">
        <v>275</v>
      </c>
      <c r="D90" s="10" t="s">
        <v>1436</v>
      </c>
      <c r="E90" s="20"/>
      <c r="F90" s="19"/>
      <c r="G90" s="19"/>
      <c r="H90" s="20"/>
      <c r="I90" s="23"/>
      <c r="J90" s="23"/>
      <c r="K90" s="23"/>
      <c r="L90" s="23"/>
    </row>
    <row r="91" s="1" customFormat="1" spans="1:12">
      <c r="A91" s="40"/>
      <c r="B91" s="10" t="s">
        <v>1437</v>
      </c>
      <c r="C91" s="10" t="s">
        <v>275</v>
      </c>
      <c r="D91" s="10" t="s">
        <v>1438</v>
      </c>
      <c r="E91" s="20"/>
      <c r="F91" s="19"/>
      <c r="G91" s="19"/>
      <c r="H91" s="20"/>
      <c r="I91" s="23"/>
      <c r="J91" s="23"/>
      <c r="K91" s="23"/>
      <c r="L91" s="23"/>
    </row>
    <row r="92" s="1" customFormat="1" spans="1:12">
      <c r="A92" s="40"/>
      <c r="B92" s="10" t="s">
        <v>1439</v>
      </c>
      <c r="C92" s="10" t="s">
        <v>275</v>
      </c>
      <c r="D92" s="10" t="s">
        <v>1440</v>
      </c>
      <c r="E92" s="20"/>
      <c r="F92" s="19"/>
      <c r="G92" s="19"/>
      <c r="H92" s="20"/>
      <c r="I92" s="23"/>
      <c r="J92" s="23"/>
      <c r="K92" s="23"/>
      <c r="L92" s="23"/>
    </row>
    <row r="93" s="1" customFormat="1" spans="1:12">
      <c r="A93" s="40"/>
      <c r="B93" s="10" t="s">
        <v>1441</v>
      </c>
      <c r="C93" s="10" t="s">
        <v>275</v>
      </c>
      <c r="D93" s="10" t="s">
        <v>1442</v>
      </c>
      <c r="E93" s="20"/>
      <c r="F93" s="19"/>
      <c r="G93" s="19"/>
      <c r="H93" s="20"/>
      <c r="I93" s="23"/>
      <c r="J93" s="23"/>
      <c r="K93" s="23"/>
      <c r="L93" s="23"/>
    </row>
    <row r="94" s="1" customFormat="1" spans="1:12">
      <c r="A94" s="40"/>
      <c r="B94" s="10" t="s">
        <v>1443</v>
      </c>
      <c r="C94" s="10" t="s">
        <v>275</v>
      </c>
      <c r="D94" s="10" t="s">
        <v>1444</v>
      </c>
      <c r="E94" s="20"/>
      <c r="F94" s="19"/>
      <c r="G94" s="19"/>
      <c r="H94" s="20"/>
      <c r="I94" s="23"/>
      <c r="J94" s="23"/>
      <c r="K94" s="23"/>
      <c r="L94" s="23"/>
    </row>
    <row r="95" s="1" customFormat="1" spans="1:12">
      <c r="A95" s="40"/>
      <c r="B95" s="10" t="s">
        <v>1445</v>
      </c>
      <c r="C95" s="10" t="s">
        <v>275</v>
      </c>
      <c r="D95" s="10" t="s">
        <v>1446</v>
      </c>
      <c r="E95" s="20"/>
      <c r="F95" s="19"/>
      <c r="G95" s="19"/>
      <c r="H95" s="20"/>
      <c r="I95" s="23"/>
      <c r="J95" s="23"/>
      <c r="K95" s="23"/>
      <c r="L95" s="23"/>
    </row>
    <row r="96" s="1" customFormat="1" spans="1:12">
      <c r="A96" s="40"/>
      <c r="B96" s="10" t="s">
        <v>1447</v>
      </c>
      <c r="C96" s="10" t="s">
        <v>275</v>
      </c>
      <c r="D96" s="10" t="s">
        <v>1448</v>
      </c>
      <c r="E96" s="20"/>
      <c r="F96" s="19"/>
      <c r="G96" s="19"/>
      <c r="H96" s="20"/>
      <c r="I96" s="23"/>
      <c r="J96" s="23"/>
      <c r="K96" s="23"/>
      <c r="L96" s="23"/>
    </row>
    <row r="97" s="1" customFormat="1" spans="1:12">
      <c r="A97" s="40"/>
      <c r="B97" s="10" t="s">
        <v>1449</v>
      </c>
      <c r="C97" s="10" t="s">
        <v>275</v>
      </c>
      <c r="D97" s="10" t="s">
        <v>1450</v>
      </c>
      <c r="E97" s="20"/>
      <c r="F97" s="19"/>
      <c r="G97" s="19"/>
      <c r="H97" s="20"/>
      <c r="I97" s="23"/>
      <c r="J97" s="23"/>
      <c r="K97" s="23"/>
      <c r="L97" s="23"/>
    </row>
    <row r="98" s="1" customFormat="1" spans="1:12">
      <c r="A98" s="40"/>
      <c r="B98" s="10" t="s">
        <v>1451</v>
      </c>
      <c r="C98" s="10" t="s">
        <v>275</v>
      </c>
      <c r="D98" s="10" t="s">
        <v>1452</v>
      </c>
      <c r="E98" s="20"/>
      <c r="F98" s="19"/>
      <c r="G98" s="19"/>
      <c r="H98" s="20"/>
      <c r="I98" s="23"/>
      <c r="J98" s="23"/>
      <c r="K98" s="23"/>
      <c r="L98" s="23"/>
    </row>
    <row r="99" s="1" customFormat="1" spans="1:12">
      <c r="A99" s="40"/>
      <c r="B99" s="10" t="s">
        <v>1453</v>
      </c>
      <c r="C99" s="10" t="s">
        <v>275</v>
      </c>
      <c r="D99" s="10" t="s">
        <v>1454</v>
      </c>
      <c r="E99" s="20"/>
      <c r="F99" s="19"/>
      <c r="G99" s="19"/>
      <c r="H99" s="20"/>
      <c r="I99" s="23"/>
      <c r="J99" s="23"/>
      <c r="K99" s="23"/>
      <c r="L99" s="23"/>
    </row>
    <row r="100" s="1" customFormat="1" spans="1:12">
      <c r="A100" s="40"/>
      <c r="B100" s="10" t="s">
        <v>1455</v>
      </c>
      <c r="C100" s="10" t="s">
        <v>275</v>
      </c>
      <c r="D100" s="10" t="s">
        <v>1456</v>
      </c>
      <c r="E100" s="20"/>
      <c r="F100" s="19"/>
      <c r="G100" s="19"/>
      <c r="H100" s="20"/>
      <c r="I100" s="23"/>
      <c r="J100" s="23"/>
      <c r="K100" s="23"/>
      <c r="L100" s="23"/>
    </row>
    <row r="101" s="1" customFormat="1" spans="1:12">
      <c r="A101" s="40"/>
      <c r="B101" s="10" t="s">
        <v>1457</v>
      </c>
      <c r="C101" s="10" t="s">
        <v>275</v>
      </c>
      <c r="D101" s="10" t="s">
        <v>1458</v>
      </c>
      <c r="E101" s="20"/>
      <c r="F101" s="19"/>
      <c r="G101" s="19"/>
      <c r="H101" s="20"/>
      <c r="I101" s="23"/>
      <c r="J101" s="23"/>
      <c r="K101" s="23"/>
      <c r="L101" s="23"/>
    </row>
    <row r="102" s="1" customFormat="1" spans="1:12">
      <c r="A102" s="40"/>
      <c r="B102" s="10" t="s">
        <v>1459</v>
      </c>
      <c r="C102" s="10" t="s">
        <v>275</v>
      </c>
      <c r="D102" s="10" t="s">
        <v>1460</v>
      </c>
      <c r="E102" s="20"/>
      <c r="F102" s="19"/>
      <c r="G102" s="19"/>
      <c r="H102" s="20"/>
      <c r="I102" s="23"/>
      <c r="J102" s="23"/>
      <c r="K102" s="23"/>
      <c r="L102" s="23"/>
    </row>
    <row r="103" s="1" customFormat="1" spans="1:12">
      <c r="A103" s="40"/>
      <c r="B103" s="10" t="s">
        <v>1461</v>
      </c>
      <c r="C103" s="10" t="s">
        <v>275</v>
      </c>
      <c r="D103" s="10" t="s">
        <v>1462</v>
      </c>
      <c r="E103" s="20"/>
      <c r="F103" s="19"/>
      <c r="G103" s="19"/>
      <c r="H103" s="20"/>
      <c r="I103" s="23"/>
      <c r="J103" s="23"/>
      <c r="K103" s="23"/>
      <c r="L103" s="23"/>
    </row>
    <row r="104" s="1" customFormat="1" spans="1:12">
      <c r="A104" s="40"/>
      <c r="B104" s="10" t="s">
        <v>1463</v>
      </c>
      <c r="C104" s="10" t="s">
        <v>275</v>
      </c>
      <c r="D104" s="10" t="s">
        <v>1464</v>
      </c>
      <c r="E104" s="20"/>
      <c r="F104" s="19"/>
      <c r="G104" s="19"/>
      <c r="H104" s="20"/>
      <c r="I104" s="23"/>
      <c r="J104" s="23"/>
      <c r="K104" s="23"/>
      <c r="L104" s="23"/>
    </row>
    <row r="105" s="1" customFormat="1" ht="26.4" spans="1:12">
      <c r="A105" s="40"/>
      <c r="B105" s="19" t="s">
        <v>1465</v>
      </c>
      <c r="C105" s="19" t="s">
        <v>275</v>
      </c>
      <c r="D105" s="10" t="s">
        <v>1466</v>
      </c>
      <c r="E105" s="20"/>
      <c r="F105" s="19"/>
      <c r="G105" s="19"/>
      <c r="H105" s="20"/>
      <c r="I105" s="23"/>
      <c r="J105" s="23"/>
      <c r="K105" s="23"/>
      <c r="L105" s="23"/>
    </row>
    <row r="106" s="1" customFormat="1" spans="1:12">
      <c r="A106" s="40"/>
      <c r="B106" s="10" t="s">
        <v>1467</v>
      </c>
      <c r="C106" s="10" t="s">
        <v>275</v>
      </c>
      <c r="D106" s="10" t="s">
        <v>1468</v>
      </c>
      <c r="E106" s="20"/>
      <c r="F106" s="19"/>
      <c r="G106" s="19"/>
      <c r="H106" s="20"/>
      <c r="I106" s="23"/>
      <c r="J106" s="23"/>
      <c r="K106" s="23"/>
      <c r="L106" s="23"/>
    </row>
    <row r="107" s="1" customFormat="1" spans="1:12">
      <c r="A107" s="40"/>
      <c r="B107" s="10" t="s">
        <v>1469</v>
      </c>
      <c r="C107" s="10" t="s">
        <v>275</v>
      </c>
      <c r="D107" s="10" t="s">
        <v>1470</v>
      </c>
      <c r="E107" s="20"/>
      <c r="F107" s="19"/>
      <c r="G107" s="10"/>
      <c r="H107" s="20"/>
      <c r="I107" s="23"/>
      <c r="J107" s="23"/>
      <c r="K107" s="23"/>
      <c r="L107" s="23"/>
    </row>
    <row r="108" s="1" customFormat="1" spans="1:12">
      <c r="A108" s="40"/>
      <c r="B108" s="10" t="s">
        <v>1471</v>
      </c>
      <c r="C108" s="10" t="s">
        <v>275</v>
      </c>
      <c r="D108" s="10" t="s">
        <v>1472</v>
      </c>
      <c r="E108" s="20"/>
      <c r="F108" s="19"/>
      <c r="G108" s="10"/>
      <c r="H108" s="20"/>
      <c r="I108" s="23"/>
      <c r="J108" s="23"/>
      <c r="K108" s="23"/>
      <c r="L108" s="23"/>
    </row>
    <row r="109" s="1" customFormat="1" spans="1:12">
      <c r="A109" s="40"/>
      <c r="B109" s="10" t="s">
        <v>1473</v>
      </c>
      <c r="C109" s="10" t="s">
        <v>275</v>
      </c>
      <c r="D109" s="10" t="s">
        <v>1474</v>
      </c>
      <c r="E109" s="20"/>
      <c r="F109" s="19"/>
      <c r="G109" s="10"/>
      <c r="H109" s="20"/>
      <c r="I109" s="23"/>
      <c r="J109" s="23"/>
      <c r="K109" s="23"/>
      <c r="L109" s="23"/>
    </row>
    <row r="110" s="1" customFormat="1" spans="1:12">
      <c r="A110" s="40"/>
      <c r="B110" s="19" t="s">
        <v>1475</v>
      </c>
      <c r="C110" s="19" t="s">
        <v>275</v>
      </c>
      <c r="D110" s="10" t="s">
        <v>1476</v>
      </c>
      <c r="E110" s="20"/>
      <c r="F110" s="19"/>
      <c r="G110" s="10"/>
      <c r="H110" s="20"/>
      <c r="I110" s="23"/>
      <c r="J110" s="23"/>
      <c r="K110" s="23"/>
      <c r="L110" s="23"/>
    </row>
    <row r="111" s="1" customFormat="1" spans="2:12">
      <c r="B111" s="19" t="s">
        <v>1477</v>
      </c>
      <c r="C111" s="19" t="s">
        <v>275</v>
      </c>
      <c r="D111" s="10" t="s">
        <v>1478</v>
      </c>
      <c r="E111" s="20"/>
      <c r="F111" s="19"/>
      <c r="G111" s="19"/>
      <c r="H111" s="20"/>
      <c r="I111" s="23"/>
      <c r="J111" s="23"/>
      <c r="K111" s="23"/>
      <c r="L111" s="23"/>
    </row>
    <row r="112" s="1" customFormat="1" spans="2:12">
      <c r="B112" s="19" t="s">
        <v>1479</v>
      </c>
      <c r="C112" s="19" t="s">
        <v>275</v>
      </c>
      <c r="D112" s="10" t="s">
        <v>1480</v>
      </c>
      <c r="E112" s="20"/>
      <c r="F112" s="19"/>
      <c r="G112" s="19"/>
      <c r="H112" s="20"/>
      <c r="I112" s="23"/>
      <c r="J112" s="23"/>
      <c r="K112" s="23"/>
      <c r="L112" s="23"/>
    </row>
    <row r="113" s="40" customFormat="1" customHeight="1" spans="2:12">
      <c r="B113" s="19" t="s">
        <v>1481</v>
      </c>
      <c r="C113" s="19" t="s">
        <v>275</v>
      </c>
      <c r="D113" s="10" t="s">
        <v>1482</v>
      </c>
      <c r="E113" s="20"/>
      <c r="F113" s="19"/>
      <c r="G113" s="19"/>
      <c r="H113" s="20"/>
      <c r="I113" s="23"/>
      <c r="J113" s="23"/>
      <c r="K113" s="23"/>
      <c r="L113" s="23"/>
    </row>
    <row r="114" s="40" customFormat="1" customHeight="1" spans="2:12">
      <c r="B114" s="19" t="s">
        <v>1483</v>
      </c>
      <c r="C114" s="19" t="s">
        <v>275</v>
      </c>
      <c r="D114" s="10" t="s">
        <v>1484</v>
      </c>
      <c r="E114" s="20"/>
      <c r="F114" s="19"/>
      <c r="G114" s="19"/>
      <c r="H114" s="20"/>
      <c r="I114" s="23"/>
      <c r="J114" s="23"/>
      <c r="K114" s="23"/>
      <c r="L114" s="23"/>
    </row>
    <row r="115" s="70" customFormat="1" customHeight="1" spans="1:12">
      <c r="A115" s="75"/>
      <c r="B115" s="76" t="s">
        <v>1485</v>
      </c>
      <c r="C115" s="76" t="s">
        <v>275</v>
      </c>
      <c r="D115" s="10" t="s">
        <v>1486</v>
      </c>
      <c r="E115" s="20"/>
      <c r="F115" s="19"/>
      <c r="G115" s="19"/>
      <c r="H115" s="20"/>
      <c r="I115" s="23"/>
      <c r="J115" s="23"/>
      <c r="K115" s="23"/>
      <c r="L115" s="23"/>
    </row>
    <row r="116" s="1" customFormat="1" spans="1:12">
      <c r="A116" s="40"/>
      <c r="B116" s="10" t="s">
        <v>1487</v>
      </c>
      <c r="C116" s="10" t="s">
        <v>275</v>
      </c>
      <c r="D116" s="10" t="s">
        <v>1488</v>
      </c>
      <c r="E116" s="20"/>
      <c r="F116" s="19"/>
      <c r="G116" s="19"/>
      <c r="H116" s="20"/>
      <c r="I116" s="77"/>
      <c r="J116" s="23"/>
      <c r="K116" s="23"/>
      <c r="L116" s="23"/>
    </row>
    <row r="117" s="40" customFormat="1" customHeight="1" spans="2:12">
      <c r="B117" s="19" t="s">
        <v>1489</v>
      </c>
      <c r="C117" s="19" t="s">
        <v>275</v>
      </c>
      <c r="D117" s="10" t="s">
        <v>1490</v>
      </c>
      <c r="E117" s="20"/>
      <c r="F117" s="19"/>
      <c r="G117" s="10"/>
      <c r="H117" s="20"/>
      <c r="I117" s="23"/>
      <c r="J117" s="23"/>
      <c r="K117" s="23"/>
      <c r="L117" s="23"/>
    </row>
    <row r="118" s="40" customFormat="1" spans="2:12">
      <c r="B118" s="19" t="s">
        <v>1491</v>
      </c>
      <c r="C118" s="19" t="s">
        <v>275</v>
      </c>
      <c r="D118" s="10" t="s">
        <v>1492</v>
      </c>
      <c r="E118" s="20"/>
      <c r="F118" s="19"/>
      <c r="G118" s="19"/>
      <c r="H118" s="20"/>
      <c r="I118" s="23"/>
      <c r="J118" s="23"/>
      <c r="K118" s="23"/>
      <c r="L118" s="23"/>
    </row>
    <row r="119" s="40" customFormat="1" spans="2:12">
      <c r="B119" s="19" t="s">
        <v>1493</v>
      </c>
      <c r="C119" s="19" t="s">
        <v>275</v>
      </c>
      <c r="D119" s="10" t="s">
        <v>1494</v>
      </c>
      <c r="E119" s="20"/>
      <c r="F119" s="19"/>
      <c r="G119" s="19"/>
      <c r="H119" s="20"/>
      <c r="I119" s="23"/>
      <c r="J119" s="23"/>
      <c r="K119" s="23"/>
      <c r="L119" s="23"/>
    </row>
    <row r="120" s="40" customFormat="1" spans="2:12">
      <c r="B120" s="19" t="s">
        <v>1495</v>
      </c>
      <c r="C120" s="19" t="s">
        <v>275</v>
      </c>
      <c r="D120" s="10" t="s">
        <v>1496</v>
      </c>
      <c r="E120" s="20"/>
      <c r="F120" s="19"/>
      <c r="G120" s="19"/>
      <c r="H120" s="20"/>
      <c r="I120" s="23"/>
      <c r="J120" s="23"/>
      <c r="K120" s="23"/>
      <c r="L120" s="23"/>
    </row>
    <row r="121" s="3" customFormat="1" spans="2:12">
      <c r="B121" s="19" t="s">
        <v>1497</v>
      </c>
      <c r="C121" s="19" t="s">
        <v>275</v>
      </c>
      <c r="D121" s="10" t="s">
        <v>1498</v>
      </c>
      <c r="E121" s="20"/>
      <c r="F121" s="19"/>
      <c r="G121" s="19"/>
      <c r="H121" s="20"/>
      <c r="I121" s="23"/>
      <c r="J121" s="23"/>
      <c r="K121" s="23"/>
      <c r="L121" s="23"/>
    </row>
    <row r="122" s="3" customFormat="1" ht="26.4" spans="2:12">
      <c r="B122" s="19" t="s">
        <v>1499</v>
      </c>
      <c r="C122" s="19" t="s">
        <v>275</v>
      </c>
      <c r="D122" s="10" t="s">
        <v>1500</v>
      </c>
      <c r="E122" s="20"/>
      <c r="F122" s="19"/>
      <c r="G122" s="19"/>
      <c r="H122" s="20"/>
      <c r="I122" s="23"/>
      <c r="J122" s="23"/>
      <c r="K122" s="23"/>
      <c r="L122" s="23"/>
    </row>
    <row r="123" s="1" customFormat="1" ht="26.4" spans="1:12">
      <c r="A123" s="40"/>
      <c r="B123" s="19" t="s">
        <v>1501</v>
      </c>
      <c r="C123" s="19" t="s">
        <v>275</v>
      </c>
      <c r="D123" s="10" t="s">
        <v>1502</v>
      </c>
      <c r="E123" s="20"/>
      <c r="F123" s="19"/>
      <c r="G123" s="19"/>
      <c r="H123" s="20"/>
      <c r="I123" s="23"/>
      <c r="J123" s="23"/>
      <c r="K123" s="23"/>
      <c r="L123" s="23"/>
    </row>
    <row r="124" s="3" customFormat="1" ht="26.4" spans="2:12">
      <c r="B124" s="19" t="s">
        <v>1503</v>
      </c>
      <c r="C124" s="19" t="s">
        <v>275</v>
      </c>
      <c r="D124" s="10" t="s">
        <v>1504</v>
      </c>
      <c r="E124" s="20"/>
      <c r="F124" s="19"/>
      <c r="G124" s="19"/>
      <c r="H124" s="19"/>
      <c r="I124" s="23"/>
      <c r="J124" s="23"/>
      <c r="K124" s="23"/>
      <c r="L124" s="23"/>
    </row>
    <row r="125" s="3" customFormat="1" ht="26.4" spans="2:12">
      <c r="B125" s="19" t="s">
        <v>1505</v>
      </c>
      <c r="C125" s="19" t="s">
        <v>275</v>
      </c>
      <c r="D125" s="10" t="s">
        <v>1506</v>
      </c>
      <c r="E125" s="20"/>
      <c r="F125" s="19"/>
      <c r="G125" s="19"/>
      <c r="H125" s="20"/>
      <c r="I125" s="23"/>
      <c r="J125" s="23"/>
      <c r="K125" s="23"/>
      <c r="L125" s="23"/>
    </row>
    <row r="126" s="3" customFormat="1" ht="26.4" spans="2:12">
      <c r="B126" s="19" t="s">
        <v>1507</v>
      </c>
      <c r="C126" s="19" t="s">
        <v>275</v>
      </c>
      <c r="D126" s="10" t="s">
        <v>1508</v>
      </c>
      <c r="E126" s="20"/>
      <c r="F126" s="19"/>
      <c r="G126" s="19"/>
      <c r="H126" s="20"/>
      <c r="I126" s="23"/>
      <c r="J126" s="23"/>
      <c r="K126" s="23"/>
      <c r="L126" s="23"/>
    </row>
    <row r="127" s="3" customFormat="1" ht="26.4" spans="2:12">
      <c r="B127" s="76" t="s">
        <v>1509</v>
      </c>
      <c r="C127" s="76" t="s">
        <v>275</v>
      </c>
      <c r="D127" s="10" t="s">
        <v>1510</v>
      </c>
      <c r="E127" s="20"/>
      <c r="F127" s="19"/>
      <c r="G127" s="19"/>
      <c r="H127" s="20"/>
      <c r="I127" s="23"/>
      <c r="J127" s="23"/>
      <c r="K127" s="23"/>
      <c r="L127" s="23"/>
    </row>
    <row r="128" s="70" customFormat="1" ht="26.4" spans="1:12">
      <c r="A128" s="75"/>
      <c r="B128" s="76" t="s">
        <v>1511</v>
      </c>
      <c r="C128" s="76" t="s">
        <v>275</v>
      </c>
      <c r="D128" s="10" t="s">
        <v>1512</v>
      </c>
      <c r="E128" s="20"/>
      <c r="F128" s="19"/>
      <c r="G128" s="19"/>
      <c r="H128" s="20"/>
      <c r="I128" s="77"/>
      <c r="J128" s="23"/>
      <c r="K128" s="23"/>
      <c r="L128" s="23"/>
    </row>
    <row r="129" s="70" customFormat="1" ht="26.4" spans="1:12">
      <c r="A129" s="75"/>
      <c r="B129" s="76" t="s">
        <v>1513</v>
      </c>
      <c r="C129" s="76" t="s">
        <v>275</v>
      </c>
      <c r="D129" s="10" t="s">
        <v>1514</v>
      </c>
      <c r="E129" s="20"/>
      <c r="F129" s="19"/>
      <c r="G129" s="19"/>
      <c r="H129" s="20"/>
      <c r="I129" s="77"/>
      <c r="J129" s="23"/>
      <c r="K129" s="23"/>
      <c r="L129" s="23"/>
    </row>
    <row r="130" s="70" customFormat="1" customHeight="1" spans="1:12">
      <c r="A130" s="75"/>
      <c r="B130" s="76" t="s">
        <v>1515</v>
      </c>
      <c r="C130" s="76" t="s">
        <v>275</v>
      </c>
      <c r="D130" s="10" t="s">
        <v>1516</v>
      </c>
      <c r="E130" s="20"/>
      <c r="F130" s="19"/>
      <c r="G130" s="19"/>
      <c r="H130" s="20"/>
      <c r="I130" s="77"/>
      <c r="J130" s="23"/>
      <c r="K130" s="23"/>
      <c r="L130" s="23"/>
    </row>
    <row r="131" s="70" customFormat="1" customHeight="1" spans="1:12">
      <c r="A131" s="75"/>
      <c r="B131" s="76" t="s">
        <v>1517</v>
      </c>
      <c r="C131" s="76" t="s">
        <v>275</v>
      </c>
      <c r="D131" s="10" t="s">
        <v>1518</v>
      </c>
      <c r="E131" s="20"/>
      <c r="F131" s="19"/>
      <c r="G131" s="19"/>
      <c r="H131" s="20"/>
      <c r="I131" s="77"/>
      <c r="J131" s="23"/>
      <c r="K131" s="23"/>
      <c r="L131" s="23"/>
    </row>
    <row r="132" s="70" customFormat="1" customHeight="1" spans="1:12">
      <c r="A132" s="75"/>
      <c r="B132" s="76" t="s">
        <v>1519</v>
      </c>
      <c r="C132" s="76" t="s">
        <v>275</v>
      </c>
      <c r="D132" s="10" t="s">
        <v>1520</v>
      </c>
      <c r="E132" s="20"/>
      <c r="F132" s="19"/>
      <c r="G132" s="19"/>
      <c r="H132" s="20"/>
      <c r="I132" s="77"/>
      <c r="J132" s="23"/>
      <c r="K132" s="23"/>
      <c r="L132" s="23"/>
    </row>
    <row r="133" s="70" customFormat="1" customHeight="1" spans="1:12">
      <c r="A133" s="75"/>
      <c r="B133" s="76" t="s">
        <v>1521</v>
      </c>
      <c r="C133" s="76" t="s">
        <v>275</v>
      </c>
      <c r="D133" s="10" t="s">
        <v>1522</v>
      </c>
      <c r="E133" s="20"/>
      <c r="F133" s="19"/>
      <c r="G133" s="19"/>
      <c r="H133" s="20"/>
      <c r="I133" s="77"/>
      <c r="J133" s="23"/>
      <c r="K133" s="23"/>
      <c r="L133" s="23"/>
    </row>
    <row r="134" s="70" customFormat="1" customHeight="1" spans="1:12">
      <c r="A134" s="75"/>
      <c r="B134" s="76" t="s">
        <v>1523</v>
      </c>
      <c r="C134" s="76" t="s">
        <v>275</v>
      </c>
      <c r="D134" s="10" t="s">
        <v>1524</v>
      </c>
      <c r="E134" s="20"/>
      <c r="F134" s="19"/>
      <c r="G134" s="19"/>
      <c r="H134" s="20"/>
      <c r="I134" s="77"/>
      <c r="J134" s="23"/>
      <c r="K134" s="23"/>
      <c r="L134" s="23"/>
    </row>
    <row r="135" s="70" customFormat="1" customHeight="1" spans="1:12">
      <c r="A135" s="75"/>
      <c r="B135" s="76" t="s">
        <v>1525</v>
      </c>
      <c r="C135" s="76" t="s">
        <v>275</v>
      </c>
      <c r="D135" s="10" t="s">
        <v>1526</v>
      </c>
      <c r="E135" s="20"/>
      <c r="F135" s="19"/>
      <c r="G135" s="19"/>
      <c r="H135" s="20"/>
      <c r="I135" s="77"/>
      <c r="J135" s="23"/>
      <c r="K135" s="23"/>
      <c r="L135" s="23"/>
    </row>
    <row r="136" s="70" customFormat="1" customHeight="1" spans="1:12">
      <c r="A136" s="75"/>
      <c r="B136" s="76" t="s">
        <v>1527</v>
      </c>
      <c r="C136" s="76" t="s">
        <v>275</v>
      </c>
      <c r="D136" s="10" t="s">
        <v>1528</v>
      </c>
      <c r="E136" s="20"/>
      <c r="F136" s="19"/>
      <c r="G136" s="19"/>
      <c r="H136" s="20"/>
      <c r="I136" s="77"/>
      <c r="J136" s="23"/>
      <c r="K136" s="23"/>
      <c r="L136" s="23"/>
    </row>
    <row r="137" s="70" customFormat="1" customHeight="1" spans="1:12">
      <c r="A137" s="75"/>
      <c r="B137" s="76" t="s">
        <v>1529</v>
      </c>
      <c r="C137" s="76" t="s">
        <v>275</v>
      </c>
      <c r="D137" s="10" t="s">
        <v>1530</v>
      </c>
      <c r="E137" s="20"/>
      <c r="F137" s="19"/>
      <c r="G137" s="19"/>
      <c r="H137" s="20"/>
      <c r="I137" s="77"/>
      <c r="J137" s="23"/>
      <c r="K137" s="23"/>
      <c r="L137" s="23"/>
    </row>
    <row r="138" s="70" customFormat="1" customHeight="1" spans="1:12">
      <c r="A138" s="75"/>
      <c r="B138" s="76" t="s">
        <v>1531</v>
      </c>
      <c r="C138" s="76" t="s">
        <v>275</v>
      </c>
      <c r="D138" s="10" t="s">
        <v>1532</v>
      </c>
      <c r="E138" s="20"/>
      <c r="F138" s="19"/>
      <c r="G138" s="19"/>
      <c r="H138" s="20"/>
      <c r="I138" s="77"/>
      <c r="J138" s="23"/>
      <c r="K138" s="23"/>
      <c r="L138" s="23"/>
    </row>
    <row r="139" s="3" customFormat="1" customHeight="1" spans="2:12">
      <c r="B139" s="19" t="s">
        <v>1533</v>
      </c>
      <c r="C139" s="19" t="s">
        <v>275</v>
      </c>
      <c r="D139" s="10" t="s">
        <v>1534</v>
      </c>
      <c r="E139" s="20"/>
      <c r="F139" s="19"/>
      <c r="G139" s="19"/>
      <c r="H139" s="20"/>
      <c r="I139" s="77"/>
      <c r="J139" s="23"/>
      <c r="K139" s="23"/>
      <c r="L139" s="23"/>
    </row>
    <row r="140" customHeight="1" spans="1:12">
      <c r="A140" s="4"/>
      <c r="B140" s="19" t="s">
        <v>1535</v>
      </c>
      <c r="C140" s="19" t="s">
        <v>275</v>
      </c>
      <c r="D140" s="10" t="s">
        <v>1536</v>
      </c>
      <c r="E140" s="20"/>
      <c r="F140" s="19"/>
      <c r="G140" s="19"/>
      <c r="H140" s="20"/>
      <c r="I140" s="23"/>
      <c r="J140" s="23"/>
      <c r="K140" s="23"/>
      <c r="L140" s="23"/>
    </row>
    <row r="141" customHeight="1" spans="1:12">
      <c r="A141" s="4"/>
      <c r="B141" s="19" t="s">
        <v>1537</v>
      </c>
      <c r="C141" s="19" t="s">
        <v>275</v>
      </c>
      <c r="D141" s="10" t="s">
        <v>1538</v>
      </c>
      <c r="E141" s="20"/>
      <c r="F141" s="19"/>
      <c r="G141" s="19"/>
      <c r="H141" s="20"/>
      <c r="I141" s="23"/>
      <c r="J141" s="23"/>
      <c r="K141" s="23"/>
      <c r="L141" s="23"/>
    </row>
    <row r="142" spans="1:12">
      <c r="A142" s="4"/>
      <c r="B142" s="19" t="s">
        <v>1539</v>
      </c>
      <c r="C142" s="19" t="s">
        <v>275</v>
      </c>
      <c r="D142" s="10" t="s">
        <v>1540</v>
      </c>
      <c r="E142" s="20"/>
      <c r="F142" s="19"/>
      <c r="G142" s="19"/>
      <c r="H142" s="20"/>
      <c r="I142" s="23"/>
      <c r="J142" s="23"/>
      <c r="K142" s="23"/>
      <c r="L142" s="23"/>
    </row>
    <row r="143" spans="1:12">
      <c r="A143" s="4"/>
      <c r="B143" s="19" t="s">
        <v>1541</v>
      </c>
      <c r="C143" s="19" t="s">
        <v>275</v>
      </c>
      <c r="D143" s="10" t="s">
        <v>1542</v>
      </c>
      <c r="E143" s="20"/>
      <c r="F143" s="19"/>
      <c r="G143" s="19"/>
      <c r="H143" s="20"/>
      <c r="I143" s="23"/>
      <c r="J143" s="23"/>
      <c r="K143" s="23"/>
      <c r="L143" s="23"/>
    </row>
    <row r="144" s="1" customFormat="1" spans="1:12">
      <c r="A144" s="40"/>
      <c r="B144" s="19" t="s">
        <v>1543</v>
      </c>
      <c r="C144" s="19" t="s">
        <v>275</v>
      </c>
      <c r="D144" s="10" t="s">
        <v>1544</v>
      </c>
      <c r="E144" s="20"/>
      <c r="F144" s="19"/>
      <c r="G144" s="19"/>
      <c r="H144" s="20"/>
      <c r="I144" s="23"/>
      <c r="J144" s="23"/>
      <c r="K144" s="23"/>
      <c r="L144" s="23"/>
    </row>
    <row r="145" spans="1:12">
      <c r="A145" s="4"/>
      <c r="B145" s="19" t="s">
        <v>1545</v>
      </c>
      <c r="C145" s="19" t="s">
        <v>275</v>
      </c>
      <c r="D145" s="10" t="s">
        <v>1546</v>
      </c>
      <c r="E145" s="20"/>
      <c r="F145" s="19"/>
      <c r="G145" s="19"/>
      <c r="H145" s="20"/>
      <c r="I145" s="23"/>
      <c r="J145" s="23"/>
      <c r="K145" s="23"/>
      <c r="L145" s="23"/>
    </row>
    <row r="146" s="1" customFormat="1" spans="1:12">
      <c r="A146" s="40"/>
      <c r="B146" s="19" t="s">
        <v>1547</v>
      </c>
      <c r="C146" s="19" t="s">
        <v>275</v>
      </c>
      <c r="D146" s="10" t="s">
        <v>1548</v>
      </c>
      <c r="E146" s="20"/>
      <c r="F146" s="19"/>
      <c r="G146" s="19"/>
      <c r="H146" s="20"/>
      <c r="I146" s="23"/>
      <c r="J146" s="23"/>
      <c r="K146" s="23"/>
      <c r="L146" s="23"/>
    </row>
    <row r="147" s="1" customFormat="1" spans="1:12">
      <c r="A147" s="40"/>
      <c r="B147" s="19" t="s">
        <v>1549</v>
      </c>
      <c r="C147" s="19" t="s">
        <v>275</v>
      </c>
      <c r="D147" s="10" t="s">
        <v>1550</v>
      </c>
      <c r="E147" s="20"/>
      <c r="F147" s="19"/>
      <c r="G147" s="19"/>
      <c r="H147" s="20"/>
      <c r="I147" s="23"/>
      <c r="J147" s="23"/>
      <c r="K147" s="23"/>
      <c r="L147" s="23"/>
    </row>
    <row r="148" s="1" customFormat="1" spans="1:12">
      <c r="A148" s="40"/>
      <c r="B148" s="19" t="s">
        <v>1551</v>
      </c>
      <c r="C148" s="19" t="s">
        <v>275</v>
      </c>
      <c r="D148" s="10" t="s">
        <v>1552</v>
      </c>
      <c r="E148" s="20"/>
      <c r="F148" s="19"/>
      <c r="G148" s="19"/>
      <c r="H148" s="20"/>
      <c r="I148" s="23"/>
      <c r="J148" s="23"/>
      <c r="K148" s="23"/>
      <c r="L148" s="23"/>
    </row>
    <row r="149" s="1" customFormat="1" spans="1:12">
      <c r="A149" s="40"/>
      <c r="B149" s="19" t="s">
        <v>1553</v>
      </c>
      <c r="C149" s="19" t="s">
        <v>275</v>
      </c>
      <c r="D149" s="10" t="s">
        <v>1554</v>
      </c>
      <c r="E149" s="20"/>
      <c r="F149" s="19"/>
      <c r="G149" s="19"/>
      <c r="H149" s="20"/>
      <c r="I149" s="23"/>
      <c r="J149" s="23"/>
      <c r="K149" s="23"/>
      <c r="L149" s="23"/>
    </row>
    <row r="150" s="1" customFormat="1" spans="1:12">
      <c r="A150" s="40"/>
      <c r="B150" s="19" t="s">
        <v>1555</v>
      </c>
      <c r="C150" s="19" t="s">
        <v>275</v>
      </c>
      <c r="D150" s="10" t="s">
        <v>1556</v>
      </c>
      <c r="E150" s="20"/>
      <c r="F150" s="19"/>
      <c r="G150" s="19"/>
      <c r="H150" s="20"/>
      <c r="I150" s="23"/>
      <c r="J150" s="23"/>
      <c r="K150" s="23"/>
      <c r="L150" s="23"/>
    </row>
    <row r="151" s="1" customFormat="1" spans="1:12">
      <c r="A151" s="40"/>
      <c r="B151" s="19" t="s">
        <v>1557</v>
      </c>
      <c r="C151" s="19" t="s">
        <v>275</v>
      </c>
      <c r="D151" s="10" t="s">
        <v>1558</v>
      </c>
      <c r="E151" s="20"/>
      <c r="F151" s="19"/>
      <c r="G151" s="19"/>
      <c r="H151" s="20"/>
      <c r="I151" s="23"/>
      <c r="J151" s="23"/>
      <c r="K151" s="23"/>
      <c r="L151" s="23"/>
    </row>
    <row r="152" s="70" customFormat="1" spans="1:12">
      <c r="A152" s="75"/>
      <c r="B152" s="19" t="s">
        <v>1559</v>
      </c>
      <c r="C152" s="76" t="s">
        <v>275</v>
      </c>
      <c r="D152" s="10" t="s">
        <v>1560</v>
      </c>
      <c r="E152" s="20"/>
      <c r="F152" s="19"/>
      <c r="G152" s="19"/>
      <c r="H152" s="20"/>
      <c r="I152" s="23"/>
      <c r="J152" s="23"/>
      <c r="K152" s="23"/>
      <c r="L152" s="23"/>
    </row>
    <row r="153" s="70" customFormat="1" spans="1:12">
      <c r="A153" s="75"/>
      <c r="B153" s="76" t="s">
        <v>1561</v>
      </c>
      <c r="C153" s="76" t="s">
        <v>275</v>
      </c>
      <c r="D153" s="10" t="s">
        <v>1562</v>
      </c>
      <c r="E153" s="20"/>
      <c r="F153" s="19"/>
      <c r="G153" s="19"/>
      <c r="H153" s="20"/>
      <c r="I153" s="77"/>
      <c r="J153" s="23"/>
      <c r="K153" s="23"/>
      <c r="L153" s="23"/>
    </row>
    <row r="154" s="70" customFormat="1" spans="1:12">
      <c r="A154" s="75"/>
      <c r="B154" s="76" t="s">
        <v>1563</v>
      </c>
      <c r="C154" s="76" t="s">
        <v>275</v>
      </c>
      <c r="D154" s="10" t="s">
        <v>1564</v>
      </c>
      <c r="E154" s="20"/>
      <c r="F154" s="19"/>
      <c r="G154" s="19"/>
      <c r="H154" s="20"/>
      <c r="I154" s="77"/>
      <c r="J154" s="23"/>
      <c r="K154" s="23"/>
      <c r="L154" s="23"/>
    </row>
    <row r="155" s="70" customFormat="1" spans="1:12">
      <c r="A155" s="75"/>
      <c r="B155" s="76" t="s">
        <v>1565</v>
      </c>
      <c r="C155" s="76" t="s">
        <v>275</v>
      </c>
      <c r="D155" s="10" t="s">
        <v>1566</v>
      </c>
      <c r="E155" s="20"/>
      <c r="F155" s="19"/>
      <c r="G155" s="19"/>
      <c r="H155" s="20"/>
      <c r="I155" s="77"/>
      <c r="J155" s="23"/>
      <c r="K155" s="23"/>
      <c r="L155" s="23"/>
    </row>
    <row r="156" s="70" customFormat="1" spans="1:12">
      <c r="A156" s="75"/>
      <c r="B156" s="76" t="s">
        <v>1567</v>
      </c>
      <c r="C156" s="76" t="s">
        <v>275</v>
      </c>
      <c r="D156" s="10" t="s">
        <v>1568</v>
      </c>
      <c r="E156" s="20"/>
      <c r="F156" s="19"/>
      <c r="G156" s="19"/>
      <c r="H156" s="20"/>
      <c r="I156" s="77"/>
      <c r="J156" s="23"/>
      <c r="K156" s="23"/>
      <c r="L156" s="23"/>
    </row>
    <row r="157" s="70" customFormat="1" spans="1:12">
      <c r="A157" s="75"/>
      <c r="B157" s="76" t="s">
        <v>1569</v>
      </c>
      <c r="C157" s="76" t="s">
        <v>275</v>
      </c>
      <c r="D157" s="10" t="s">
        <v>1570</v>
      </c>
      <c r="E157" s="20"/>
      <c r="F157" s="19"/>
      <c r="G157" s="19"/>
      <c r="H157" s="20"/>
      <c r="I157" s="77"/>
      <c r="J157" s="23"/>
      <c r="K157" s="23"/>
      <c r="L157" s="23"/>
    </row>
    <row r="158" s="70" customFormat="1" spans="1:12">
      <c r="A158" s="75"/>
      <c r="B158" s="76" t="s">
        <v>1571</v>
      </c>
      <c r="C158" s="76" t="s">
        <v>275</v>
      </c>
      <c r="D158" s="10" t="s">
        <v>1572</v>
      </c>
      <c r="E158" s="20"/>
      <c r="F158" s="19"/>
      <c r="G158" s="19"/>
      <c r="H158" s="20"/>
      <c r="I158" s="77"/>
      <c r="J158" s="23"/>
      <c r="K158" s="23"/>
      <c r="L158" s="23"/>
    </row>
    <row r="159" s="70" customFormat="1" spans="1:12">
      <c r="A159" s="75"/>
      <c r="B159" s="76" t="s">
        <v>1573</v>
      </c>
      <c r="C159" s="76" t="s">
        <v>275</v>
      </c>
      <c r="D159" s="10" t="s">
        <v>1574</v>
      </c>
      <c r="E159" s="20"/>
      <c r="F159" s="19"/>
      <c r="G159" s="19"/>
      <c r="H159" s="20"/>
      <c r="I159" s="77"/>
      <c r="J159" s="23"/>
      <c r="K159" s="23"/>
      <c r="L159" s="23"/>
    </row>
    <row r="160" s="70" customFormat="1" spans="1:12">
      <c r="A160" s="75"/>
      <c r="B160" s="76" t="s">
        <v>1575</v>
      </c>
      <c r="C160" s="76" t="s">
        <v>275</v>
      </c>
      <c r="D160" s="10" t="s">
        <v>1576</v>
      </c>
      <c r="E160" s="20"/>
      <c r="F160" s="19"/>
      <c r="G160" s="19"/>
      <c r="H160" s="20"/>
      <c r="I160" s="77"/>
      <c r="J160" s="23"/>
      <c r="K160" s="23"/>
      <c r="L160" s="23"/>
    </row>
    <row r="161" s="70" customFormat="1" spans="1:12">
      <c r="A161" s="75"/>
      <c r="B161" s="76" t="s">
        <v>1577</v>
      </c>
      <c r="C161" s="76" t="s">
        <v>275</v>
      </c>
      <c r="D161" s="10" t="s">
        <v>1578</v>
      </c>
      <c r="E161" s="20"/>
      <c r="F161" s="19"/>
      <c r="G161" s="19"/>
      <c r="H161" s="20"/>
      <c r="I161" s="77"/>
      <c r="J161" s="23"/>
      <c r="K161" s="23"/>
      <c r="L161" s="23"/>
    </row>
    <row r="162" s="70" customFormat="1" spans="1:12">
      <c r="A162" s="75"/>
      <c r="B162" s="76" t="s">
        <v>1579</v>
      </c>
      <c r="C162" s="76" t="s">
        <v>275</v>
      </c>
      <c r="D162" s="10" t="s">
        <v>1580</v>
      </c>
      <c r="E162" s="20"/>
      <c r="F162" s="19"/>
      <c r="G162" s="19"/>
      <c r="H162" s="20"/>
      <c r="I162" s="77"/>
      <c r="J162" s="23"/>
      <c r="K162" s="23"/>
      <c r="L162" s="23"/>
    </row>
    <row r="163" s="70" customFormat="1" spans="1:12">
      <c r="A163" s="75"/>
      <c r="B163" s="76" t="s">
        <v>1581</v>
      </c>
      <c r="C163" s="76" t="s">
        <v>275</v>
      </c>
      <c r="D163" s="10" t="s">
        <v>1582</v>
      </c>
      <c r="E163" s="20"/>
      <c r="F163" s="19"/>
      <c r="G163" s="19"/>
      <c r="H163" s="20"/>
      <c r="I163" s="77"/>
      <c r="J163" s="23"/>
      <c r="K163" s="23"/>
      <c r="L163" s="23"/>
    </row>
    <row r="164" s="70" customFormat="1" spans="1:12">
      <c r="A164" s="75"/>
      <c r="B164" s="76" t="s">
        <v>1583</v>
      </c>
      <c r="C164" s="76" t="s">
        <v>275</v>
      </c>
      <c r="D164" s="10" t="s">
        <v>1584</v>
      </c>
      <c r="E164" s="20"/>
      <c r="F164" s="19"/>
      <c r="G164" s="19"/>
      <c r="H164" s="20"/>
      <c r="I164" s="77"/>
      <c r="J164" s="23"/>
      <c r="K164" s="23"/>
      <c r="L164" s="23"/>
    </row>
    <row r="165" s="70" customFormat="1" spans="1:12">
      <c r="A165" s="75"/>
      <c r="B165" s="76" t="s">
        <v>1585</v>
      </c>
      <c r="C165" s="76" t="s">
        <v>275</v>
      </c>
      <c r="D165" s="10" t="s">
        <v>1586</v>
      </c>
      <c r="E165" s="20"/>
      <c r="F165" s="19"/>
      <c r="G165" s="19"/>
      <c r="H165" s="20"/>
      <c r="I165" s="77"/>
      <c r="J165" s="23"/>
      <c r="K165" s="23"/>
      <c r="L165" s="23"/>
    </row>
    <row r="166" s="70" customFormat="1" spans="1:12">
      <c r="A166" s="75"/>
      <c r="B166" s="76" t="s">
        <v>1587</v>
      </c>
      <c r="C166" s="76" t="s">
        <v>275</v>
      </c>
      <c r="D166" s="10" t="s">
        <v>1588</v>
      </c>
      <c r="E166" s="20"/>
      <c r="F166" s="19"/>
      <c r="G166" s="19"/>
      <c r="H166" s="20"/>
      <c r="I166" s="77"/>
      <c r="J166" s="23"/>
      <c r="K166" s="23"/>
      <c r="L166" s="23"/>
    </row>
    <row r="167" s="70" customFormat="1" spans="1:12">
      <c r="A167" s="75"/>
      <c r="B167" s="76" t="s">
        <v>1589</v>
      </c>
      <c r="C167" s="76" t="s">
        <v>275</v>
      </c>
      <c r="D167" s="10" t="s">
        <v>1590</v>
      </c>
      <c r="E167" s="20"/>
      <c r="F167" s="19"/>
      <c r="G167" s="19"/>
      <c r="H167" s="20"/>
      <c r="I167" s="77"/>
      <c r="J167" s="23"/>
      <c r="K167" s="23"/>
      <c r="L167" s="23"/>
    </row>
    <row r="168" s="70" customFormat="1" spans="1:12">
      <c r="A168" s="75"/>
      <c r="B168" s="76" t="s">
        <v>1591</v>
      </c>
      <c r="C168" s="76" t="s">
        <v>275</v>
      </c>
      <c r="D168" s="10" t="s">
        <v>1592</v>
      </c>
      <c r="E168" s="20"/>
      <c r="F168" s="19"/>
      <c r="G168" s="19"/>
      <c r="H168" s="20"/>
      <c r="I168" s="77"/>
      <c r="J168" s="23"/>
      <c r="K168" s="23"/>
      <c r="L168" s="23"/>
    </row>
    <row r="169" s="70" customFormat="1" spans="1:12">
      <c r="A169" s="75"/>
      <c r="B169" s="76" t="s">
        <v>1593</v>
      </c>
      <c r="C169" s="76" t="s">
        <v>275</v>
      </c>
      <c r="D169" s="10" t="s">
        <v>1594</v>
      </c>
      <c r="E169" s="20"/>
      <c r="F169" s="19"/>
      <c r="G169" s="19"/>
      <c r="H169" s="20"/>
      <c r="I169" s="77"/>
      <c r="J169" s="23"/>
      <c r="K169" s="23"/>
      <c r="L169" s="23"/>
    </row>
    <row r="170" s="70" customFormat="1" spans="1:12">
      <c r="A170" s="75"/>
      <c r="B170" s="76" t="s">
        <v>1595</v>
      </c>
      <c r="C170" s="76" t="s">
        <v>275</v>
      </c>
      <c r="D170" s="10" t="s">
        <v>1596</v>
      </c>
      <c r="E170" s="20"/>
      <c r="F170" s="19"/>
      <c r="G170" s="19"/>
      <c r="H170" s="20"/>
      <c r="I170" s="77"/>
      <c r="J170" s="23"/>
      <c r="K170" s="23"/>
      <c r="L170" s="23"/>
    </row>
    <row r="171" s="70" customFormat="1" spans="1:12">
      <c r="A171" s="75"/>
      <c r="B171" s="76" t="s">
        <v>1597</v>
      </c>
      <c r="C171" s="76" t="s">
        <v>275</v>
      </c>
      <c r="D171" s="10" t="s">
        <v>1598</v>
      </c>
      <c r="E171" s="20"/>
      <c r="F171" s="19"/>
      <c r="G171" s="19"/>
      <c r="H171" s="20"/>
      <c r="I171" s="77"/>
      <c r="J171" s="23"/>
      <c r="K171" s="23"/>
      <c r="L171" s="23"/>
    </row>
    <row r="172" s="70" customFormat="1" spans="1:12">
      <c r="A172" s="75"/>
      <c r="B172" s="76" t="s">
        <v>1599</v>
      </c>
      <c r="C172" s="76" t="s">
        <v>275</v>
      </c>
      <c r="D172" s="10" t="s">
        <v>1600</v>
      </c>
      <c r="E172" s="20"/>
      <c r="F172" s="19"/>
      <c r="G172" s="19"/>
      <c r="H172" s="20"/>
      <c r="I172" s="77"/>
      <c r="J172" s="23"/>
      <c r="K172" s="23"/>
      <c r="L172" s="23"/>
    </row>
    <row r="173" s="70" customFormat="1" spans="1:12">
      <c r="A173" s="75"/>
      <c r="B173" s="76" t="s">
        <v>1601</v>
      </c>
      <c r="C173" s="76" t="s">
        <v>275</v>
      </c>
      <c r="D173" s="10" t="s">
        <v>1602</v>
      </c>
      <c r="E173" s="20"/>
      <c r="F173" s="19"/>
      <c r="G173" s="19"/>
      <c r="H173" s="20"/>
      <c r="I173" s="77"/>
      <c r="J173" s="23"/>
      <c r="K173" s="23"/>
      <c r="L173" s="23"/>
    </row>
    <row r="174" s="70" customFormat="1" spans="1:12">
      <c r="A174" s="75"/>
      <c r="B174" s="76" t="s">
        <v>1603</v>
      </c>
      <c r="C174" s="76" t="s">
        <v>275</v>
      </c>
      <c r="D174" s="10" t="s">
        <v>1604</v>
      </c>
      <c r="E174" s="20"/>
      <c r="F174" s="19"/>
      <c r="G174" s="19"/>
      <c r="H174" s="20"/>
      <c r="I174" s="77"/>
      <c r="J174" s="23"/>
      <c r="K174" s="23"/>
      <c r="L174" s="23"/>
    </row>
    <row r="175" s="70" customFormat="1" spans="1:12">
      <c r="A175" s="75"/>
      <c r="B175" s="76" t="s">
        <v>1605</v>
      </c>
      <c r="C175" s="76" t="s">
        <v>275</v>
      </c>
      <c r="D175" s="10" t="s">
        <v>1606</v>
      </c>
      <c r="E175" s="20"/>
      <c r="F175" s="19"/>
      <c r="G175" s="19"/>
      <c r="H175" s="20"/>
      <c r="I175" s="77"/>
      <c r="J175" s="23"/>
      <c r="K175" s="23"/>
      <c r="L175" s="23"/>
    </row>
    <row r="176" s="70" customFormat="1" spans="1:12">
      <c r="A176" s="75"/>
      <c r="B176" s="76" t="s">
        <v>1607</v>
      </c>
      <c r="C176" s="76" t="s">
        <v>275</v>
      </c>
      <c r="D176" s="10" t="s">
        <v>1608</v>
      </c>
      <c r="E176" s="20"/>
      <c r="F176" s="19"/>
      <c r="G176" s="19"/>
      <c r="H176" s="20"/>
      <c r="I176" s="77"/>
      <c r="J176" s="23"/>
      <c r="K176" s="23"/>
      <c r="L176" s="23"/>
    </row>
    <row r="177" s="70" customFormat="1" spans="1:12">
      <c r="A177" s="75"/>
      <c r="B177" s="76" t="s">
        <v>1609</v>
      </c>
      <c r="C177" s="76" t="s">
        <v>275</v>
      </c>
      <c r="D177" s="10" t="s">
        <v>1610</v>
      </c>
      <c r="E177" s="20"/>
      <c r="F177" s="19"/>
      <c r="G177" s="19"/>
      <c r="H177" s="20"/>
      <c r="I177" s="77"/>
      <c r="J177" s="23"/>
      <c r="K177" s="23"/>
      <c r="L177" s="23"/>
    </row>
    <row r="178" s="70" customFormat="1" spans="1:12">
      <c r="A178" s="75"/>
      <c r="B178" s="76" t="s">
        <v>1611</v>
      </c>
      <c r="C178" s="76" t="s">
        <v>275</v>
      </c>
      <c r="D178" s="10" t="s">
        <v>1612</v>
      </c>
      <c r="E178" s="20"/>
      <c r="F178" s="19"/>
      <c r="G178" s="19"/>
      <c r="H178" s="20"/>
      <c r="I178" s="77"/>
      <c r="J178" s="23"/>
      <c r="K178" s="23"/>
      <c r="L178" s="23"/>
    </row>
    <row r="179" s="70" customFormat="1" spans="1:12">
      <c r="A179" s="75"/>
      <c r="B179" s="76" t="s">
        <v>1613</v>
      </c>
      <c r="C179" s="76" t="s">
        <v>275</v>
      </c>
      <c r="D179" s="10" t="s">
        <v>1614</v>
      </c>
      <c r="E179" s="20"/>
      <c r="F179" s="19"/>
      <c r="G179" s="19"/>
      <c r="H179" s="20"/>
      <c r="I179" s="77"/>
      <c r="J179" s="23"/>
      <c r="K179" s="23"/>
      <c r="L179" s="23"/>
    </row>
    <row r="180" s="70" customFormat="1" spans="1:12">
      <c r="A180" s="75"/>
      <c r="B180" s="76" t="s">
        <v>1615</v>
      </c>
      <c r="C180" s="76" t="s">
        <v>275</v>
      </c>
      <c r="D180" s="10" t="s">
        <v>1616</v>
      </c>
      <c r="E180" s="20"/>
      <c r="F180" s="19"/>
      <c r="G180" s="19"/>
      <c r="H180" s="20"/>
      <c r="I180" s="77"/>
      <c r="J180" s="23"/>
      <c r="K180" s="23"/>
      <c r="L180" s="23"/>
    </row>
    <row r="181" s="70" customFormat="1" spans="1:12">
      <c r="A181" s="75"/>
      <c r="B181" s="76" t="s">
        <v>1617</v>
      </c>
      <c r="C181" s="76" t="s">
        <v>275</v>
      </c>
      <c r="D181" s="10" t="s">
        <v>1618</v>
      </c>
      <c r="E181" s="20"/>
      <c r="F181" s="19"/>
      <c r="G181" s="19"/>
      <c r="H181" s="20"/>
      <c r="I181" s="77"/>
      <c r="J181" s="23"/>
      <c r="K181" s="23"/>
      <c r="L181" s="23"/>
    </row>
    <row r="182" s="70" customFormat="1" spans="1:12">
      <c r="A182" s="75"/>
      <c r="B182" s="76" t="s">
        <v>1619</v>
      </c>
      <c r="C182" s="76" t="s">
        <v>275</v>
      </c>
      <c r="D182" s="10" t="s">
        <v>1620</v>
      </c>
      <c r="E182" s="20"/>
      <c r="F182" s="19"/>
      <c r="G182" s="19"/>
      <c r="H182" s="20"/>
      <c r="I182" s="77"/>
      <c r="J182" s="23"/>
      <c r="K182" s="23"/>
      <c r="L182" s="23"/>
    </row>
    <row r="183" s="70" customFormat="1" spans="1:12">
      <c r="A183" s="75"/>
      <c r="B183" s="76" t="s">
        <v>1621</v>
      </c>
      <c r="C183" s="76" t="s">
        <v>275</v>
      </c>
      <c r="D183" s="10" t="s">
        <v>1622</v>
      </c>
      <c r="E183" s="20"/>
      <c r="F183" s="19"/>
      <c r="G183" s="19"/>
      <c r="H183" s="20"/>
      <c r="I183" s="77"/>
      <c r="J183" s="23"/>
      <c r="K183" s="23"/>
      <c r="L183" s="23"/>
    </row>
    <row r="184" s="70" customFormat="1" spans="1:12">
      <c r="A184" s="75"/>
      <c r="B184" s="76" t="s">
        <v>1623</v>
      </c>
      <c r="C184" s="76" t="s">
        <v>275</v>
      </c>
      <c r="D184" s="10" t="s">
        <v>1624</v>
      </c>
      <c r="E184" s="20"/>
      <c r="F184" s="19"/>
      <c r="G184" s="19"/>
      <c r="H184" s="20"/>
      <c r="I184" s="77"/>
      <c r="J184" s="23"/>
      <c r="K184" s="23"/>
      <c r="L184" s="23"/>
    </row>
    <row r="185" s="70" customFormat="1" spans="1:12">
      <c r="A185" s="75"/>
      <c r="B185" s="76" t="s">
        <v>1625</v>
      </c>
      <c r="C185" s="76" t="s">
        <v>275</v>
      </c>
      <c r="D185" s="10" t="s">
        <v>1626</v>
      </c>
      <c r="E185" s="20"/>
      <c r="F185" s="19"/>
      <c r="G185" s="19"/>
      <c r="H185" s="20"/>
      <c r="I185" s="77"/>
      <c r="J185" s="23"/>
      <c r="K185" s="23"/>
      <c r="L185" s="23"/>
    </row>
    <row r="186" s="70" customFormat="1" spans="1:12">
      <c r="A186" s="75"/>
      <c r="B186" s="76" t="s">
        <v>1627</v>
      </c>
      <c r="C186" s="76" t="s">
        <v>275</v>
      </c>
      <c r="D186" s="10" t="s">
        <v>1628</v>
      </c>
      <c r="E186" s="20"/>
      <c r="F186" s="19"/>
      <c r="G186" s="19"/>
      <c r="H186" s="20"/>
      <c r="I186" s="77"/>
      <c r="J186" s="23"/>
      <c r="K186" s="23"/>
      <c r="L186" s="23"/>
    </row>
    <row r="187" s="70" customFormat="1" spans="1:12">
      <c r="A187" s="75"/>
      <c r="B187" s="76" t="s">
        <v>1629</v>
      </c>
      <c r="C187" s="76" t="s">
        <v>275</v>
      </c>
      <c r="D187" s="10" t="s">
        <v>1630</v>
      </c>
      <c r="E187" s="20"/>
      <c r="F187" s="19"/>
      <c r="G187" s="19"/>
      <c r="H187" s="20"/>
      <c r="I187" s="77"/>
      <c r="J187" s="23"/>
      <c r="K187" s="23"/>
      <c r="L187" s="23"/>
    </row>
    <row r="188" s="70" customFormat="1" spans="1:12">
      <c r="A188" s="75"/>
      <c r="B188" s="76" t="s">
        <v>1631</v>
      </c>
      <c r="C188" s="76" t="s">
        <v>275</v>
      </c>
      <c r="D188" s="10" t="s">
        <v>1632</v>
      </c>
      <c r="E188" s="20"/>
      <c r="F188" s="19"/>
      <c r="G188" s="19"/>
      <c r="H188" s="20"/>
      <c r="I188" s="77"/>
      <c r="J188" s="23"/>
      <c r="K188" s="23"/>
      <c r="L188" s="23"/>
    </row>
    <row r="189" s="70" customFormat="1" ht="26.4" spans="1:12">
      <c r="A189" s="75"/>
      <c r="B189" s="76" t="s">
        <v>1633</v>
      </c>
      <c r="C189" s="76" t="s">
        <v>275</v>
      </c>
      <c r="D189" s="10" t="s">
        <v>1634</v>
      </c>
      <c r="E189" s="20"/>
      <c r="F189" s="19"/>
      <c r="G189" s="19"/>
      <c r="H189" s="20"/>
      <c r="I189" s="77"/>
      <c r="J189" s="23"/>
      <c r="K189" s="23"/>
      <c r="L189" s="23"/>
    </row>
    <row r="190" s="70" customFormat="1" ht="26.4" spans="1:12">
      <c r="A190" s="75"/>
      <c r="B190" s="76" t="s">
        <v>1635</v>
      </c>
      <c r="C190" s="76" t="s">
        <v>275</v>
      </c>
      <c r="D190" s="10" t="s">
        <v>1636</v>
      </c>
      <c r="E190" s="20"/>
      <c r="F190" s="19"/>
      <c r="G190" s="19"/>
      <c r="H190" s="20"/>
      <c r="I190" s="77"/>
      <c r="J190" s="23"/>
      <c r="K190" s="23"/>
      <c r="L190" s="23"/>
    </row>
    <row r="191" s="70" customFormat="1" ht="26.4" spans="1:12">
      <c r="A191" s="75"/>
      <c r="B191" s="76" t="s">
        <v>1637</v>
      </c>
      <c r="C191" s="76" t="s">
        <v>275</v>
      </c>
      <c r="D191" s="10" t="s">
        <v>1638</v>
      </c>
      <c r="E191" s="20"/>
      <c r="F191" s="19"/>
      <c r="G191" s="19"/>
      <c r="H191" s="20"/>
      <c r="I191" s="77"/>
      <c r="J191" s="23"/>
      <c r="K191" s="23"/>
      <c r="L191" s="23"/>
    </row>
    <row r="192" s="70" customFormat="1" ht="26.4" spans="1:12">
      <c r="A192" s="75"/>
      <c r="B192" s="76" t="s">
        <v>1639</v>
      </c>
      <c r="C192" s="76" t="s">
        <v>275</v>
      </c>
      <c r="D192" s="10" t="s">
        <v>1640</v>
      </c>
      <c r="E192" s="20"/>
      <c r="F192" s="19"/>
      <c r="G192" s="19"/>
      <c r="H192" s="20"/>
      <c r="I192" s="77"/>
      <c r="J192" s="23"/>
      <c r="K192" s="23"/>
      <c r="L192" s="23"/>
    </row>
    <row r="193" s="70" customFormat="1" ht="26.4" spans="1:12">
      <c r="A193" s="75"/>
      <c r="B193" s="76" t="s">
        <v>1641</v>
      </c>
      <c r="C193" s="76" t="s">
        <v>275</v>
      </c>
      <c r="D193" s="10" t="s">
        <v>1642</v>
      </c>
      <c r="E193" s="20"/>
      <c r="F193" s="19"/>
      <c r="G193" s="19"/>
      <c r="H193" s="20"/>
      <c r="I193" s="77"/>
      <c r="J193" s="23"/>
      <c r="K193" s="23"/>
      <c r="L193" s="23"/>
    </row>
    <row r="194" s="70" customFormat="1" spans="1:12">
      <c r="A194" s="75"/>
      <c r="B194" s="76" t="s">
        <v>1643</v>
      </c>
      <c r="C194" s="76" t="s">
        <v>275</v>
      </c>
      <c r="D194" s="10" t="s">
        <v>1644</v>
      </c>
      <c r="E194" s="20"/>
      <c r="F194" s="19"/>
      <c r="G194" s="19"/>
      <c r="H194" s="20"/>
      <c r="I194" s="77"/>
      <c r="J194" s="23"/>
      <c r="K194" s="23"/>
      <c r="L194" s="23"/>
    </row>
    <row r="195" s="70" customFormat="1" spans="1:12">
      <c r="A195" s="75"/>
      <c r="B195" s="76" t="s">
        <v>1645</v>
      </c>
      <c r="C195" s="76" t="s">
        <v>275</v>
      </c>
      <c r="D195" s="10" t="s">
        <v>1646</v>
      </c>
      <c r="E195" s="20"/>
      <c r="F195" s="19"/>
      <c r="G195" s="19"/>
      <c r="H195" s="20"/>
      <c r="I195" s="77"/>
      <c r="J195" s="23"/>
      <c r="K195" s="23"/>
      <c r="L195" s="23"/>
    </row>
    <row r="196" s="70" customFormat="1" spans="1:12">
      <c r="A196" s="75"/>
      <c r="B196" s="76" t="s">
        <v>1647</v>
      </c>
      <c r="C196" s="76" t="s">
        <v>275</v>
      </c>
      <c r="D196" s="10" t="s">
        <v>1648</v>
      </c>
      <c r="E196" s="20"/>
      <c r="F196" s="19"/>
      <c r="G196" s="19"/>
      <c r="H196" s="20"/>
      <c r="I196" s="77"/>
      <c r="J196" s="23"/>
      <c r="K196" s="23"/>
      <c r="L196" s="23"/>
    </row>
    <row r="197" s="70" customFormat="1" customHeight="1" spans="1:12">
      <c r="A197" s="75"/>
      <c r="B197" s="76" t="s">
        <v>1649</v>
      </c>
      <c r="C197" s="76" t="s">
        <v>275</v>
      </c>
      <c r="D197" s="10" t="s">
        <v>1650</v>
      </c>
      <c r="E197" s="20"/>
      <c r="F197" s="19"/>
      <c r="G197" s="19"/>
      <c r="H197" s="20"/>
      <c r="I197" s="77"/>
      <c r="J197" s="23"/>
      <c r="K197" s="23"/>
      <c r="L197" s="23"/>
    </row>
    <row r="198" s="70" customFormat="1" customHeight="1" spans="1:12">
      <c r="A198" s="75"/>
      <c r="B198" s="76" t="s">
        <v>1651</v>
      </c>
      <c r="C198" s="76" t="s">
        <v>275</v>
      </c>
      <c r="D198" s="10" t="s">
        <v>1652</v>
      </c>
      <c r="E198" s="20"/>
      <c r="F198" s="19"/>
      <c r="G198" s="19"/>
      <c r="H198" s="20"/>
      <c r="I198" s="77"/>
      <c r="J198" s="23"/>
      <c r="K198" s="23"/>
      <c r="L198" s="23"/>
    </row>
    <row r="199" s="70" customFormat="1" customHeight="1" spans="1:12">
      <c r="A199" s="75"/>
      <c r="B199" s="76" t="s">
        <v>1653</v>
      </c>
      <c r="C199" s="76" t="s">
        <v>275</v>
      </c>
      <c r="D199" s="10" t="s">
        <v>1654</v>
      </c>
      <c r="E199" s="20"/>
      <c r="F199" s="19"/>
      <c r="G199" s="19"/>
      <c r="H199" s="20"/>
      <c r="I199" s="77"/>
      <c r="J199" s="23"/>
      <c r="K199" s="23"/>
      <c r="L199" s="23"/>
    </row>
    <row r="200" s="70" customFormat="1" customHeight="1" spans="1:12">
      <c r="A200" s="75"/>
      <c r="B200" s="76" t="s">
        <v>1655</v>
      </c>
      <c r="C200" s="76" t="s">
        <v>275</v>
      </c>
      <c r="D200" s="10" t="s">
        <v>1656</v>
      </c>
      <c r="E200" s="20"/>
      <c r="F200" s="19"/>
      <c r="G200" s="19"/>
      <c r="H200" s="20"/>
      <c r="I200" s="77"/>
      <c r="J200" s="23"/>
      <c r="K200" s="23"/>
      <c r="L200" s="23"/>
    </row>
    <row r="201" s="70" customFormat="1" customHeight="1" spans="1:12">
      <c r="A201" s="75"/>
      <c r="B201" s="76" t="s">
        <v>1657</v>
      </c>
      <c r="C201" s="76" t="s">
        <v>275</v>
      </c>
      <c r="D201" s="10" t="s">
        <v>1658</v>
      </c>
      <c r="E201" s="20"/>
      <c r="F201" s="19"/>
      <c r="G201" s="19"/>
      <c r="H201" s="20"/>
      <c r="I201" s="77"/>
      <c r="J201" s="23"/>
      <c r="K201" s="23"/>
      <c r="L201" s="23"/>
    </row>
    <row r="202" s="70" customFormat="1" spans="1:12">
      <c r="A202" s="75"/>
      <c r="B202" s="76" t="s">
        <v>1659</v>
      </c>
      <c r="C202" s="76" t="s">
        <v>275</v>
      </c>
      <c r="D202" s="10" t="s">
        <v>1660</v>
      </c>
      <c r="E202" s="20"/>
      <c r="F202" s="19"/>
      <c r="G202" s="19"/>
      <c r="H202" s="20"/>
      <c r="I202" s="77"/>
      <c r="J202" s="23"/>
      <c r="K202" s="23"/>
      <c r="L202" s="23"/>
    </row>
    <row r="203" s="70" customFormat="1" spans="1:12">
      <c r="A203" s="75"/>
      <c r="B203" s="76" t="s">
        <v>1661</v>
      </c>
      <c r="C203" s="76" t="s">
        <v>275</v>
      </c>
      <c r="D203" s="10" t="s">
        <v>1662</v>
      </c>
      <c r="E203" s="20"/>
      <c r="F203" s="19"/>
      <c r="G203" s="19"/>
      <c r="H203" s="20"/>
      <c r="I203" s="77"/>
      <c r="J203" s="23"/>
      <c r="K203" s="23"/>
      <c r="L203" s="23"/>
    </row>
    <row r="204" s="70" customFormat="1" spans="1:12">
      <c r="A204" s="75"/>
      <c r="B204" s="76" t="s">
        <v>1663</v>
      </c>
      <c r="C204" s="76" t="s">
        <v>275</v>
      </c>
      <c r="D204" s="10" t="s">
        <v>1664</v>
      </c>
      <c r="E204" s="20"/>
      <c r="F204" s="19"/>
      <c r="G204" s="19"/>
      <c r="H204" s="20"/>
      <c r="I204" s="77"/>
      <c r="J204" s="23"/>
      <c r="K204" s="23"/>
      <c r="L204" s="23"/>
    </row>
    <row r="205" s="70" customFormat="1" spans="1:12">
      <c r="A205" s="75"/>
      <c r="B205" s="76" t="s">
        <v>1665</v>
      </c>
      <c r="C205" s="76" t="s">
        <v>275</v>
      </c>
      <c r="D205" s="10" t="s">
        <v>1666</v>
      </c>
      <c r="E205" s="20"/>
      <c r="F205" s="19"/>
      <c r="G205" s="19"/>
      <c r="H205" s="20"/>
      <c r="I205" s="77"/>
      <c r="J205" s="23"/>
      <c r="K205" s="23"/>
      <c r="L205" s="23"/>
    </row>
    <row r="206" s="70" customFormat="1" spans="1:12">
      <c r="A206" s="75"/>
      <c r="B206" s="76" t="s">
        <v>1667</v>
      </c>
      <c r="C206" s="76" t="s">
        <v>275</v>
      </c>
      <c r="D206" s="10" t="s">
        <v>1668</v>
      </c>
      <c r="E206" s="20"/>
      <c r="F206" s="19"/>
      <c r="G206" s="19"/>
      <c r="H206" s="20"/>
      <c r="I206" s="77"/>
      <c r="J206" s="23"/>
      <c r="K206" s="23"/>
      <c r="L206" s="23"/>
    </row>
    <row r="207" s="70" customFormat="1" ht="26.4" spans="1:12">
      <c r="A207" s="75"/>
      <c r="B207" s="76" t="s">
        <v>1669</v>
      </c>
      <c r="C207" s="76" t="s">
        <v>275</v>
      </c>
      <c r="D207" s="10" t="s">
        <v>1670</v>
      </c>
      <c r="E207" s="20"/>
      <c r="F207" s="19"/>
      <c r="G207" s="19"/>
      <c r="H207" s="20"/>
      <c r="I207" s="77"/>
      <c r="J207" s="23"/>
      <c r="K207" s="23"/>
      <c r="L207" s="23"/>
    </row>
    <row r="208" s="70" customFormat="1" ht="26.4" spans="1:12">
      <c r="A208" s="75"/>
      <c r="B208" s="76" t="s">
        <v>1671</v>
      </c>
      <c r="C208" s="76" t="s">
        <v>275</v>
      </c>
      <c r="D208" s="10" t="s">
        <v>1672</v>
      </c>
      <c r="E208" s="20"/>
      <c r="F208" s="19"/>
      <c r="G208" s="19"/>
      <c r="H208" s="20"/>
      <c r="I208" s="77"/>
      <c r="J208" s="23"/>
      <c r="K208" s="23"/>
      <c r="L208" s="23"/>
    </row>
    <row r="209" s="70" customFormat="1" ht="26.4" spans="1:12">
      <c r="A209" s="75"/>
      <c r="B209" s="76" t="s">
        <v>1673</v>
      </c>
      <c r="C209" s="76" t="s">
        <v>275</v>
      </c>
      <c r="D209" s="10" t="s">
        <v>1674</v>
      </c>
      <c r="E209" s="20"/>
      <c r="F209" s="19"/>
      <c r="G209" s="19"/>
      <c r="H209" s="20"/>
      <c r="I209" s="77"/>
      <c r="J209" s="23"/>
      <c r="K209" s="23"/>
      <c r="L209" s="23"/>
    </row>
    <row r="210" s="70" customFormat="1" ht="26.4" spans="1:12">
      <c r="A210" s="75"/>
      <c r="B210" s="76" t="s">
        <v>1675</v>
      </c>
      <c r="C210" s="76" t="s">
        <v>275</v>
      </c>
      <c r="D210" s="10" t="s">
        <v>1676</v>
      </c>
      <c r="E210" s="20"/>
      <c r="F210" s="19"/>
      <c r="G210" s="19"/>
      <c r="H210" s="20"/>
      <c r="I210" s="77"/>
      <c r="J210" s="23"/>
      <c r="K210" s="23"/>
      <c r="L210" s="23"/>
    </row>
    <row r="211" s="70" customFormat="1" ht="26.4" spans="1:12">
      <c r="A211" s="75"/>
      <c r="B211" s="76" t="s">
        <v>1677</v>
      </c>
      <c r="C211" s="76" t="s">
        <v>275</v>
      </c>
      <c r="D211" s="10" t="s">
        <v>1678</v>
      </c>
      <c r="E211" s="20"/>
      <c r="F211" s="19"/>
      <c r="G211" s="19"/>
      <c r="H211" s="20"/>
      <c r="I211" s="77"/>
      <c r="J211" s="23"/>
      <c r="K211" s="23"/>
      <c r="L211" s="23"/>
    </row>
    <row r="212" s="70" customFormat="1" spans="1:12">
      <c r="A212" s="75"/>
      <c r="B212" s="76" t="s">
        <v>1679</v>
      </c>
      <c r="C212" s="76" t="s">
        <v>275</v>
      </c>
      <c r="D212" s="10" t="s">
        <v>1680</v>
      </c>
      <c r="E212" s="20"/>
      <c r="F212" s="19"/>
      <c r="G212" s="19"/>
      <c r="H212" s="20"/>
      <c r="I212" s="77"/>
      <c r="J212" s="23"/>
      <c r="K212" s="23"/>
      <c r="L212" s="23"/>
    </row>
    <row r="213" s="70" customFormat="1" spans="1:12">
      <c r="A213" s="75"/>
      <c r="B213" s="76" t="s">
        <v>1681</v>
      </c>
      <c r="C213" s="76" t="s">
        <v>275</v>
      </c>
      <c r="D213" s="10" t="s">
        <v>1682</v>
      </c>
      <c r="E213" s="20"/>
      <c r="F213" s="19"/>
      <c r="G213" s="19"/>
      <c r="H213" s="20"/>
      <c r="I213" s="77"/>
      <c r="J213" s="23"/>
      <c r="K213" s="23"/>
      <c r="L213" s="23"/>
    </row>
    <row r="214" s="70" customFormat="1" spans="1:12">
      <c r="A214" s="75"/>
      <c r="B214" s="76" t="s">
        <v>1683</v>
      </c>
      <c r="C214" s="76" t="s">
        <v>275</v>
      </c>
      <c r="D214" s="10" t="s">
        <v>1684</v>
      </c>
      <c r="E214" s="20"/>
      <c r="F214" s="19"/>
      <c r="G214" s="19"/>
      <c r="H214" s="20"/>
      <c r="I214" s="77"/>
      <c r="J214" s="23"/>
      <c r="K214" s="23"/>
      <c r="L214" s="23"/>
    </row>
    <row r="215" s="70" customFormat="1" customHeight="1" spans="1:12">
      <c r="A215" s="75"/>
      <c r="B215" s="76" t="s">
        <v>1685</v>
      </c>
      <c r="C215" s="76" t="s">
        <v>275</v>
      </c>
      <c r="D215" s="10" t="s">
        <v>1686</v>
      </c>
      <c r="E215" s="20"/>
      <c r="F215" s="19"/>
      <c r="G215" s="19"/>
      <c r="H215" s="20"/>
      <c r="I215" s="77"/>
      <c r="J215" s="23"/>
      <c r="K215" s="23"/>
      <c r="L215" s="23"/>
    </row>
    <row r="216" s="70" customFormat="1" customHeight="1" spans="1:12">
      <c r="A216" s="75"/>
      <c r="B216" s="76" t="s">
        <v>1687</v>
      </c>
      <c r="C216" s="76" t="s">
        <v>275</v>
      </c>
      <c r="D216" s="10" t="s">
        <v>1688</v>
      </c>
      <c r="E216" s="20"/>
      <c r="F216" s="19"/>
      <c r="G216" s="19"/>
      <c r="H216" s="20"/>
      <c r="I216" s="77"/>
      <c r="J216" s="23"/>
      <c r="K216" s="23"/>
      <c r="L216" s="23"/>
    </row>
    <row r="217" s="70" customFormat="1" customHeight="1" spans="1:12">
      <c r="A217" s="75"/>
      <c r="B217" s="76" t="s">
        <v>1689</v>
      </c>
      <c r="C217" s="76" t="s">
        <v>275</v>
      </c>
      <c r="D217" s="10" t="s">
        <v>1690</v>
      </c>
      <c r="E217" s="20"/>
      <c r="F217" s="19"/>
      <c r="G217" s="19"/>
      <c r="H217" s="20"/>
      <c r="I217" s="77"/>
      <c r="J217" s="23"/>
      <c r="K217" s="23"/>
      <c r="L217" s="23"/>
    </row>
    <row r="218" s="70" customFormat="1" customHeight="1" spans="1:12">
      <c r="A218" s="75"/>
      <c r="B218" s="76" t="s">
        <v>2774</v>
      </c>
      <c r="C218" s="76" t="s">
        <v>275</v>
      </c>
      <c r="D218" s="10" t="s">
        <v>2775</v>
      </c>
      <c r="E218" s="20"/>
      <c r="F218" s="19"/>
      <c r="G218" s="19"/>
      <c r="H218" s="20"/>
      <c r="I218" s="77"/>
      <c r="J218" s="23"/>
      <c r="K218" s="23"/>
      <c r="L218" s="23"/>
    </row>
    <row r="219" s="70" customFormat="1" customHeight="1" spans="1:12">
      <c r="A219" s="75"/>
      <c r="B219" s="76" t="s">
        <v>2776</v>
      </c>
      <c r="C219" s="76" t="s">
        <v>275</v>
      </c>
      <c r="D219" s="10" t="s">
        <v>2777</v>
      </c>
      <c r="E219" s="20"/>
      <c r="F219" s="19"/>
      <c r="G219" s="19"/>
      <c r="H219" s="20"/>
      <c r="I219" s="77"/>
      <c r="J219" s="23"/>
      <c r="K219" s="23"/>
      <c r="L219" s="23"/>
    </row>
    <row r="220" s="70" customFormat="1" ht="26.4" spans="1:12">
      <c r="A220" s="75"/>
      <c r="B220" s="76" t="s">
        <v>2778</v>
      </c>
      <c r="C220" s="76" t="s">
        <v>275</v>
      </c>
      <c r="D220" s="10" t="s">
        <v>2779</v>
      </c>
      <c r="E220" s="20"/>
      <c r="F220" s="19"/>
      <c r="G220" s="19"/>
      <c r="H220" s="20"/>
      <c r="I220" s="77"/>
      <c r="J220" s="23"/>
      <c r="K220" s="23"/>
      <c r="L220" s="23"/>
    </row>
    <row r="221" s="70" customFormat="1" ht="26.4" spans="1:12">
      <c r="A221" s="75"/>
      <c r="B221" s="76" t="s">
        <v>2780</v>
      </c>
      <c r="C221" s="76" t="s">
        <v>275</v>
      </c>
      <c r="D221" s="10" t="s">
        <v>2781</v>
      </c>
      <c r="E221" s="20"/>
      <c r="F221" s="19"/>
      <c r="G221" s="19"/>
      <c r="H221" s="20"/>
      <c r="I221" s="77"/>
      <c r="J221" s="23"/>
      <c r="K221" s="23"/>
      <c r="L221" s="23"/>
    </row>
    <row r="222" s="70" customFormat="1" ht="26.4" spans="1:12">
      <c r="A222" s="75"/>
      <c r="B222" s="76" t="s">
        <v>2782</v>
      </c>
      <c r="C222" s="76" t="s">
        <v>275</v>
      </c>
      <c r="D222" s="10" t="s">
        <v>2783</v>
      </c>
      <c r="E222" s="20"/>
      <c r="F222" s="19"/>
      <c r="G222" s="19"/>
      <c r="H222" s="20"/>
      <c r="I222" s="77"/>
      <c r="J222" s="23"/>
      <c r="K222" s="23"/>
      <c r="L222" s="23"/>
    </row>
    <row r="223" s="70" customFormat="1" ht="26.4" spans="1:12">
      <c r="A223" s="75"/>
      <c r="B223" s="76" t="s">
        <v>2784</v>
      </c>
      <c r="C223" s="76" t="s">
        <v>275</v>
      </c>
      <c r="D223" s="10" t="s">
        <v>2785</v>
      </c>
      <c r="E223" s="20"/>
      <c r="F223" s="19"/>
      <c r="G223" s="19"/>
      <c r="H223" s="20"/>
      <c r="I223" s="77"/>
      <c r="J223" s="23"/>
      <c r="K223" s="23"/>
      <c r="L223" s="23"/>
    </row>
    <row r="224" s="70" customFormat="1" spans="1:12">
      <c r="A224" s="75"/>
      <c r="B224" s="76" t="s">
        <v>2368</v>
      </c>
      <c r="C224" s="76" t="s">
        <v>275</v>
      </c>
      <c r="D224" s="10" t="s">
        <v>2369</v>
      </c>
      <c r="E224" s="20"/>
      <c r="F224" s="19"/>
      <c r="G224" s="19"/>
      <c r="H224" s="20"/>
      <c r="I224" s="77"/>
      <c r="J224" s="23"/>
      <c r="K224" s="23"/>
      <c r="L224" s="23"/>
    </row>
    <row r="225" spans="2:12">
      <c r="B225" s="10" t="s">
        <v>2370</v>
      </c>
      <c r="C225" s="10" t="s">
        <v>275</v>
      </c>
      <c r="D225" s="10" t="s">
        <v>2371</v>
      </c>
      <c r="E225" s="10"/>
      <c r="F225" s="19"/>
      <c r="G225" s="19"/>
      <c r="H225" s="20"/>
      <c r="I225" s="77"/>
      <c r="J225" s="10"/>
      <c r="K225" s="10"/>
      <c r="L225" s="10"/>
    </row>
    <row r="226" spans="2:12">
      <c r="B226" s="10" t="s">
        <v>2372</v>
      </c>
      <c r="C226" s="10" t="s">
        <v>275</v>
      </c>
      <c r="D226" s="10" t="s">
        <v>2373</v>
      </c>
      <c r="E226" s="10"/>
      <c r="F226" s="19"/>
      <c r="G226" s="10"/>
      <c r="H226" s="10"/>
      <c r="I226" s="10"/>
      <c r="J226" s="10"/>
      <c r="K226" s="10"/>
      <c r="L226" s="10"/>
    </row>
    <row r="227" spans="2:12">
      <c r="B227" s="10" t="s">
        <v>2374</v>
      </c>
      <c r="C227" s="10" t="s">
        <v>275</v>
      </c>
      <c r="D227" s="10" t="s">
        <v>2375</v>
      </c>
      <c r="E227" s="10"/>
      <c r="F227" s="19"/>
      <c r="G227" s="10"/>
      <c r="H227" s="10"/>
      <c r="I227" s="10"/>
      <c r="J227" s="10"/>
      <c r="K227" s="10"/>
      <c r="L227" s="10"/>
    </row>
    <row r="228" spans="2:12">
      <c r="B228" s="10" t="s">
        <v>2376</v>
      </c>
      <c r="C228" s="10" t="s">
        <v>275</v>
      </c>
      <c r="D228" s="10" t="s">
        <v>2377</v>
      </c>
      <c r="E228" s="10"/>
      <c r="F228" s="19"/>
      <c r="G228" s="10"/>
      <c r="H228" s="10"/>
      <c r="I228" s="10"/>
      <c r="J228" s="10"/>
      <c r="K228" s="10"/>
      <c r="L228" s="10"/>
    </row>
    <row r="229" spans="2:12">
      <c r="B229" s="10" t="s">
        <v>2378</v>
      </c>
      <c r="C229" s="10" t="s">
        <v>275</v>
      </c>
      <c r="D229" s="10" t="s">
        <v>2379</v>
      </c>
      <c r="E229" s="10"/>
      <c r="F229" s="19"/>
      <c r="G229" s="10"/>
      <c r="H229" s="10"/>
      <c r="I229" s="10"/>
      <c r="J229" s="10"/>
      <c r="K229" s="10"/>
      <c r="L229" s="10"/>
    </row>
    <row r="230" spans="2:12">
      <c r="B230" s="10" t="s">
        <v>2380</v>
      </c>
      <c r="C230" s="10" t="s">
        <v>275</v>
      </c>
      <c r="D230" s="10" t="s">
        <v>2381</v>
      </c>
      <c r="E230" s="10"/>
      <c r="F230" s="19"/>
      <c r="G230" s="10"/>
      <c r="H230" s="10"/>
      <c r="I230" s="10"/>
      <c r="J230" s="10"/>
      <c r="K230" s="10"/>
      <c r="L230" s="10"/>
    </row>
    <row r="231" spans="2:12">
      <c r="B231" s="10" t="s">
        <v>2382</v>
      </c>
      <c r="C231" s="10" t="s">
        <v>275</v>
      </c>
      <c r="D231" s="10" t="s">
        <v>2383</v>
      </c>
      <c r="E231" s="10"/>
      <c r="F231" s="19"/>
      <c r="G231" s="10"/>
      <c r="H231" s="10"/>
      <c r="I231" s="10"/>
      <c r="J231" s="10"/>
      <c r="K231" s="10"/>
      <c r="L231" s="10"/>
    </row>
    <row r="232" spans="2:12">
      <c r="B232" s="10" t="s">
        <v>2384</v>
      </c>
      <c r="C232" s="10" t="s">
        <v>275</v>
      </c>
      <c r="D232" s="10" t="s">
        <v>2385</v>
      </c>
      <c r="E232" s="10"/>
      <c r="F232" s="19"/>
      <c r="G232" s="10"/>
      <c r="H232" s="10"/>
      <c r="I232" s="10"/>
      <c r="J232" s="10"/>
      <c r="K232" s="10"/>
      <c r="L232" s="10"/>
    </row>
    <row r="233" spans="2:12">
      <c r="B233" s="10" t="s">
        <v>2386</v>
      </c>
      <c r="C233" s="10" t="s">
        <v>275</v>
      </c>
      <c r="D233" s="10" t="s">
        <v>2387</v>
      </c>
      <c r="E233" s="10"/>
      <c r="F233" s="19"/>
      <c r="G233" s="10"/>
      <c r="H233" s="10"/>
      <c r="I233" s="10"/>
      <c r="J233" s="10"/>
      <c r="K233" s="10"/>
      <c r="L233" s="10"/>
    </row>
    <row r="234" spans="2:12">
      <c r="B234" s="10" t="s">
        <v>2388</v>
      </c>
      <c r="C234" s="10" t="s">
        <v>275</v>
      </c>
      <c r="D234" s="10" t="s">
        <v>2389</v>
      </c>
      <c r="E234" s="10"/>
      <c r="F234" s="19"/>
      <c r="G234" s="10"/>
      <c r="H234" s="10"/>
      <c r="I234" s="10"/>
      <c r="J234" s="10"/>
      <c r="K234" s="10"/>
      <c r="L234" s="10"/>
    </row>
    <row r="235" spans="2:12">
      <c r="B235" s="10" t="s">
        <v>2390</v>
      </c>
      <c r="C235" s="10" t="s">
        <v>275</v>
      </c>
      <c r="D235" s="10" t="s">
        <v>2391</v>
      </c>
      <c r="E235" s="10"/>
      <c r="F235" s="19"/>
      <c r="G235" s="10"/>
      <c r="H235" s="10"/>
      <c r="I235" s="10"/>
      <c r="J235" s="10"/>
      <c r="K235" s="10"/>
      <c r="L235" s="10"/>
    </row>
    <row r="236" spans="2:12">
      <c r="B236" s="10" t="s">
        <v>2392</v>
      </c>
      <c r="C236" s="10" t="s">
        <v>275</v>
      </c>
      <c r="D236" s="10" t="s">
        <v>2393</v>
      </c>
      <c r="E236" s="10"/>
      <c r="F236" s="19"/>
      <c r="G236" s="10"/>
      <c r="H236" s="10"/>
      <c r="I236" s="10"/>
      <c r="J236" s="10"/>
      <c r="K236" s="10"/>
      <c r="L236" s="10"/>
    </row>
    <row r="237" spans="2:12">
      <c r="B237" s="10" t="s">
        <v>2394</v>
      </c>
      <c r="C237" s="10" t="s">
        <v>275</v>
      </c>
      <c r="D237" s="10" t="s">
        <v>2395</v>
      </c>
      <c r="E237" s="10"/>
      <c r="F237" s="19"/>
      <c r="G237" s="10"/>
      <c r="H237" s="10"/>
      <c r="I237" s="10"/>
      <c r="J237" s="10"/>
      <c r="K237" s="10"/>
      <c r="L237" s="10"/>
    </row>
    <row r="238" spans="2:12">
      <c r="B238" s="10" t="s">
        <v>2396</v>
      </c>
      <c r="C238" s="10" t="s">
        <v>275</v>
      </c>
      <c r="D238" s="10" t="s">
        <v>2397</v>
      </c>
      <c r="E238" s="10"/>
      <c r="F238" s="19"/>
      <c r="G238" s="10"/>
      <c r="H238" s="10"/>
      <c r="I238" s="10"/>
      <c r="J238" s="10"/>
      <c r="K238" s="10"/>
      <c r="L238" s="10"/>
    </row>
    <row r="239" spans="2:12">
      <c r="B239" s="10" t="s">
        <v>2398</v>
      </c>
      <c r="C239" s="10" t="s">
        <v>275</v>
      </c>
      <c r="D239" s="10" t="s">
        <v>2399</v>
      </c>
      <c r="E239" s="10"/>
      <c r="F239" s="19"/>
      <c r="G239" s="10"/>
      <c r="H239" s="10"/>
      <c r="I239" s="10"/>
      <c r="J239" s="10"/>
      <c r="K239" s="10"/>
      <c r="L239" s="10"/>
    </row>
    <row r="240" spans="2:12">
      <c r="B240" s="10" t="s">
        <v>2400</v>
      </c>
      <c r="C240" s="10" t="s">
        <v>275</v>
      </c>
      <c r="D240" s="10" t="s">
        <v>2401</v>
      </c>
      <c r="E240" s="10"/>
      <c r="F240" s="19"/>
      <c r="G240" s="10"/>
      <c r="H240" s="10"/>
      <c r="I240" s="10"/>
      <c r="J240" s="10"/>
      <c r="K240" s="10"/>
      <c r="L240" s="10"/>
    </row>
    <row r="241" spans="2:12">
      <c r="B241" s="10" t="s">
        <v>2402</v>
      </c>
      <c r="C241" s="10" t="s">
        <v>275</v>
      </c>
      <c r="D241" s="10" t="s">
        <v>2403</v>
      </c>
      <c r="E241" s="10"/>
      <c r="F241" s="19"/>
      <c r="G241" s="10"/>
      <c r="H241" s="10"/>
      <c r="I241" s="10"/>
      <c r="J241" s="10"/>
      <c r="K241" s="10"/>
      <c r="L241" s="10"/>
    </row>
    <row r="242" spans="2:12">
      <c r="B242" s="10" t="s">
        <v>2404</v>
      </c>
      <c r="C242" s="10" t="s">
        <v>275</v>
      </c>
      <c r="D242" s="10" t="s">
        <v>2405</v>
      </c>
      <c r="E242" s="10"/>
      <c r="F242" s="19"/>
      <c r="G242" s="10"/>
      <c r="H242" s="10"/>
      <c r="I242" s="10"/>
      <c r="J242" s="10"/>
      <c r="K242" s="10"/>
      <c r="L242" s="10"/>
    </row>
    <row r="243" spans="2:12">
      <c r="B243" s="10" t="s">
        <v>2406</v>
      </c>
      <c r="C243" s="10" t="s">
        <v>275</v>
      </c>
      <c r="D243" s="10" t="s">
        <v>2407</v>
      </c>
      <c r="E243" s="10"/>
      <c r="F243" s="19"/>
      <c r="G243" s="10"/>
      <c r="H243" s="10"/>
      <c r="I243" s="10"/>
      <c r="J243" s="10"/>
      <c r="K243" s="10"/>
      <c r="L243" s="10"/>
    </row>
    <row r="244" spans="2:12">
      <c r="B244" s="10" t="s">
        <v>2408</v>
      </c>
      <c r="C244" s="10" t="s">
        <v>275</v>
      </c>
      <c r="D244" s="10" t="s">
        <v>2409</v>
      </c>
      <c r="E244" s="10"/>
      <c r="F244" s="19"/>
      <c r="G244" s="10"/>
      <c r="H244" s="10"/>
      <c r="I244" s="10"/>
      <c r="J244" s="10"/>
      <c r="K244" s="10"/>
      <c r="L244" s="10"/>
    </row>
    <row r="245" spans="2:12">
      <c r="B245" s="10" t="s">
        <v>2410</v>
      </c>
      <c r="C245" s="10" t="s">
        <v>275</v>
      </c>
      <c r="D245" s="10" t="s">
        <v>2411</v>
      </c>
      <c r="E245" s="10"/>
      <c r="F245" s="19"/>
      <c r="G245" s="10"/>
      <c r="H245" s="10"/>
      <c r="I245" s="10"/>
      <c r="J245" s="10"/>
      <c r="K245" s="10"/>
      <c r="L245" s="10"/>
    </row>
    <row r="246" spans="2:12">
      <c r="B246" s="10" t="s">
        <v>2412</v>
      </c>
      <c r="C246" s="10" t="s">
        <v>275</v>
      </c>
      <c r="D246" s="10" t="s">
        <v>2413</v>
      </c>
      <c r="E246" s="10"/>
      <c r="F246" s="19"/>
      <c r="G246" s="10"/>
      <c r="H246" s="10"/>
      <c r="I246" s="10"/>
      <c r="J246" s="10"/>
      <c r="K246" s="10"/>
      <c r="L246" s="10"/>
    </row>
    <row r="247" spans="2:12">
      <c r="B247" s="10" t="s">
        <v>2414</v>
      </c>
      <c r="C247" s="10" t="s">
        <v>275</v>
      </c>
      <c r="D247" s="10" t="s">
        <v>2415</v>
      </c>
      <c r="E247" s="10"/>
      <c r="F247" s="19"/>
      <c r="G247" s="10"/>
      <c r="H247" s="10"/>
      <c r="I247" s="10"/>
      <c r="J247" s="10"/>
      <c r="K247" s="10"/>
      <c r="L247" s="10"/>
    </row>
    <row r="248" spans="2:12">
      <c r="B248" s="10" t="s">
        <v>2416</v>
      </c>
      <c r="C248" s="10" t="s">
        <v>275</v>
      </c>
      <c r="D248" s="10" t="s">
        <v>2417</v>
      </c>
      <c r="E248" s="10"/>
      <c r="F248" s="19"/>
      <c r="G248" s="10"/>
      <c r="H248" s="10"/>
      <c r="I248" s="10"/>
      <c r="J248" s="10"/>
      <c r="K248" s="10"/>
      <c r="L248" s="10"/>
    </row>
    <row r="249" spans="2:12">
      <c r="B249" s="10" t="s">
        <v>2418</v>
      </c>
      <c r="C249" s="10" t="s">
        <v>275</v>
      </c>
      <c r="D249" s="10" t="s">
        <v>2419</v>
      </c>
      <c r="E249" s="10"/>
      <c r="F249" s="19"/>
      <c r="G249" s="10"/>
      <c r="H249" s="10"/>
      <c r="I249" s="10"/>
      <c r="J249" s="10"/>
      <c r="K249" s="10"/>
      <c r="L249" s="10"/>
    </row>
    <row r="250" spans="2:12">
      <c r="B250" s="10" t="s">
        <v>2420</v>
      </c>
      <c r="C250" s="10" t="s">
        <v>275</v>
      </c>
      <c r="D250" s="10" t="s">
        <v>2421</v>
      </c>
      <c r="E250" s="10"/>
      <c r="F250" s="19"/>
      <c r="G250" s="10"/>
      <c r="H250" s="10"/>
      <c r="I250" s="10"/>
      <c r="J250" s="10"/>
      <c r="K250" s="10"/>
      <c r="L250" s="10"/>
    </row>
    <row r="251" spans="2:12">
      <c r="B251" s="10" t="s">
        <v>2422</v>
      </c>
      <c r="C251" s="10" t="s">
        <v>275</v>
      </c>
      <c r="D251" s="10" t="s">
        <v>2423</v>
      </c>
      <c r="E251" s="10"/>
      <c r="F251" s="19"/>
      <c r="G251" s="10"/>
      <c r="H251" s="10"/>
      <c r="I251" s="10"/>
      <c r="J251" s="10"/>
      <c r="K251" s="10"/>
      <c r="L251" s="10"/>
    </row>
    <row r="252" spans="2:12">
      <c r="B252" s="10" t="s">
        <v>2424</v>
      </c>
      <c r="C252" s="10" t="s">
        <v>275</v>
      </c>
      <c r="D252" s="10" t="s">
        <v>2425</v>
      </c>
      <c r="E252" s="10"/>
      <c r="F252" s="19"/>
      <c r="G252" s="10"/>
      <c r="H252" s="10"/>
      <c r="I252" s="10"/>
      <c r="J252" s="10"/>
      <c r="K252" s="10"/>
      <c r="L252" s="10"/>
    </row>
    <row r="253" spans="2:12">
      <c r="B253" s="10" t="s">
        <v>2426</v>
      </c>
      <c r="C253" s="10" t="s">
        <v>275</v>
      </c>
      <c r="D253" s="10" t="s">
        <v>2427</v>
      </c>
      <c r="E253" s="10"/>
      <c r="F253" s="19"/>
      <c r="G253" s="10"/>
      <c r="H253" s="10"/>
      <c r="I253" s="10"/>
      <c r="J253" s="10"/>
      <c r="K253" s="10"/>
      <c r="L253" s="10"/>
    </row>
    <row r="254" spans="2:12">
      <c r="B254" s="10" t="s">
        <v>2428</v>
      </c>
      <c r="C254" s="10" t="s">
        <v>275</v>
      </c>
      <c r="D254" s="10" t="s">
        <v>2429</v>
      </c>
      <c r="E254" s="10"/>
      <c r="F254" s="19"/>
      <c r="G254" s="10"/>
      <c r="H254" s="10"/>
      <c r="I254" s="10"/>
      <c r="J254" s="10"/>
      <c r="K254" s="10"/>
      <c r="L254" s="10"/>
    </row>
    <row r="255" spans="2:12">
      <c r="B255" s="10" t="s">
        <v>2430</v>
      </c>
      <c r="C255" s="10" t="s">
        <v>275</v>
      </c>
      <c r="D255" s="10" t="s">
        <v>2431</v>
      </c>
      <c r="E255" s="10"/>
      <c r="F255" s="19"/>
      <c r="G255" s="10"/>
      <c r="H255" s="10"/>
      <c r="I255" s="10"/>
      <c r="J255" s="10"/>
      <c r="K255" s="10"/>
      <c r="L255" s="10"/>
    </row>
    <row r="256" spans="2:12">
      <c r="B256" s="10" t="s">
        <v>2432</v>
      </c>
      <c r="C256" s="10" t="s">
        <v>275</v>
      </c>
      <c r="D256" s="10" t="s">
        <v>2433</v>
      </c>
      <c r="E256" s="10"/>
      <c r="F256" s="19"/>
      <c r="G256" s="10"/>
      <c r="H256" s="10"/>
      <c r="I256" s="10"/>
      <c r="J256" s="10"/>
      <c r="K256" s="10"/>
      <c r="L256" s="10"/>
    </row>
    <row r="257" spans="2:12">
      <c r="B257" s="10" t="s">
        <v>2434</v>
      </c>
      <c r="C257" s="10" t="s">
        <v>275</v>
      </c>
      <c r="D257" s="10" t="s">
        <v>2435</v>
      </c>
      <c r="E257" s="10"/>
      <c r="F257" s="19"/>
      <c r="G257" s="10"/>
      <c r="H257" s="10"/>
      <c r="I257" s="10"/>
      <c r="J257" s="10"/>
      <c r="K257" s="10"/>
      <c r="L257" s="10"/>
    </row>
    <row r="258" spans="2:12">
      <c r="B258" s="10" t="s">
        <v>2436</v>
      </c>
      <c r="C258" s="10" t="s">
        <v>275</v>
      </c>
      <c r="D258" s="10" t="s">
        <v>2437</v>
      </c>
      <c r="E258" s="10"/>
      <c r="F258" s="19"/>
      <c r="G258" s="10"/>
      <c r="H258" s="10"/>
      <c r="I258" s="10"/>
      <c r="J258" s="10"/>
      <c r="K258" s="10"/>
      <c r="L258" s="10"/>
    </row>
    <row r="259" spans="2:12">
      <c r="B259" s="10" t="s">
        <v>2438</v>
      </c>
      <c r="C259" s="10" t="s">
        <v>275</v>
      </c>
      <c r="D259" s="10" t="s">
        <v>2439</v>
      </c>
      <c r="E259" s="10"/>
      <c r="F259" s="19"/>
      <c r="G259" s="10"/>
      <c r="H259" s="10"/>
      <c r="I259" s="10"/>
      <c r="J259" s="10"/>
      <c r="K259" s="10"/>
      <c r="L259" s="10"/>
    </row>
    <row r="260" spans="2:12">
      <c r="B260" s="10" t="s">
        <v>350</v>
      </c>
      <c r="C260" s="10" t="s">
        <v>275</v>
      </c>
      <c r="D260" s="10" t="s">
        <v>2836</v>
      </c>
      <c r="E260" s="10"/>
      <c r="F260" s="19"/>
      <c r="G260" s="10"/>
      <c r="H260" s="10"/>
      <c r="I260" s="10"/>
      <c r="J260" s="10"/>
      <c r="K260" s="10"/>
      <c r="L260" s="10"/>
    </row>
    <row r="261" spans="2:12">
      <c r="B261" s="10" t="s">
        <v>2837</v>
      </c>
      <c r="C261" s="10" t="s">
        <v>275</v>
      </c>
      <c r="D261" s="10" t="s">
        <v>2838</v>
      </c>
      <c r="E261" s="10"/>
      <c r="F261" s="19"/>
      <c r="G261" s="10"/>
      <c r="H261" s="10"/>
      <c r="I261" s="10"/>
      <c r="J261" s="10"/>
      <c r="K261" s="10"/>
      <c r="L261" s="10"/>
    </row>
    <row r="262" spans="2:12">
      <c r="B262" s="10" t="s">
        <v>2839</v>
      </c>
      <c r="C262" s="10" t="s">
        <v>275</v>
      </c>
      <c r="D262" s="10" t="s">
        <v>2840</v>
      </c>
      <c r="E262" s="10"/>
      <c r="F262" s="19"/>
      <c r="G262" s="10"/>
      <c r="H262" s="10"/>
      <c r="I262" s="10"/>
      <c r="J262" s="10"/>
      <c r="K262" s="10"/>
      <c r="L262" s="10"/>
    </row>
    <row r="263" spans="2:12">
      <c r="B263" s="10" t="s">
        <v>2841</v>
      </c>
      <c r="C263" s="10" t="s">
        <v>275</v>
      </c>
      <c r="D263" s="10" t="s">
        <v>2842</v>
      </c>
      <c r="E263" s="10"/>
      <c r="F263" s="19"/>
      <c r="G263" s="10"/>
      <c r="H263" s="10"/>
      <c r="I263" s="10"/>
      <c r="J263" s="10"/>
      <c r="K263" s="10"/>
      <c r="L263" s="10"/>
    </row>
    <row r="264" spans="2:12">
      <c r="B264" s="10" t="s">
        <v>2843</v>
      </c>
      <c r="C264" s="10" t="s">
        <v>275</v>
      </c>
      <c r="D264" s="10" t="s">
        <v>2844</v>
      </c>
      <c r="E264" s="10"/>
      <c r="F264" s="19"/>
      <c r="G264" s="10"/>
      <c r="H264" s="10"/>
      <c r="I264" s="10"/>
      <c r="J264" s="10"/>
      <c r="K264" s="10"/>
      <c r="L264" s="10"/>
    </row>
    <row r="265" spans="2:12">
      <c r="B265" s="10" t="s">
        <v>2845</v>
      </c>
      <c r="C265" s="10" t="s">
        <v>275</v>
      </c>
      <c r="D265" s="10" t="s">
        <v>2846</v>
      </c>
      <c r="E265" s="10"/>
      <c r="F265" s="19"/>
      <c r="G265" s="10"/>
      <c r="H265" s="10"/>
      <c r="I265" s="10"/>
      <c r="J265" s="10"/>
      <c r="K265" s="10"/>
      <c r="L265" s="10"/>
    </row>
    <row r="266" spans="2:12">
      <c r="B266" s="10" t="s">
        <v>2847</v>
      </c>
      <c r="C266" s="10" t="s">
        <v>275</v>
      </c>
      <c r="D266" s="10" t="s">
        <v>2848</v>
      </c>
      <c r="E266" s="10"/>
      <c r="F266" s="19"/>
      <c r="G266" s="10"/>
      <c r="H266" s="10"/>
      <c r="I266" s="10"/>
      <c r="J266" s="10"/>
      <c r="K266" s="10"/>
      <c r="L266" s="10"/>
    </row>
    <row r="267" spans="2:12">
      <c r="B267" s="10" t="s">
        <v>2849</v>
      </c>
      <c r="C267" s="10" t="s">
        <v>275</v>
      </c>
      <c r="D267" s="10" t="s">
        <v>2850</v>
      </c>
      <c r="E267" s="10"/>
      <c r="F267" s="19"/>
      <c r="G267" s="10"/>
      <c r="H267" s="10"/>
      <c r="I267" s="10"/>
      <c r="J267" s="10"/>
      <c r="K267" s="10"/>
      <c r="L267" s="10"/>
    </row>
    <row r="268" spans="2:12">
      <c r="B268" s="10" t="s">
        <v>2917</v>
      </c>
      <c r="C268" s="10" t="s">
        <v>240</v>
      </c>
      <c r="D268" s="10" t="s">
        <v>2918</v>
      </c>
      <c r="E268" s="10"/>
      <c r="F268" s="19"/>
      <c r="G268" s="10"/>
      <c r="H268" s="10"/>
      <c r="I268" s="10"/>
      <c r="J268" s="10"/>
      <c r="K268" s="10"/>
      <c r="L268" s="10"/>
    </row>
    <row r="269" spans="2:12">
      <c r="B269" s="10" t="s">
        <v>2919</v>
      </c>
      <c r="C269" s="10" t="s">
        <v>240</v>
      </c>
      <c r="D269" s="10" t="s">
        <v>2920</v>
      </c>
      <c r="E269" s="10"/>
      <c r="F269" s="19"/>
      <c r="G269" s="10"/>
      <c r="H269" s="10"/>
      <c r="I269" s="10"/>
      <c r="J269" s="10"/>
      <c r="K269" s="10"/>
      <c r="L269" s="10"/>
    </row>
    <row r="270" spans="2:12">
      <c r="B270" s="10" t="s">
        <v>2921</v>
      </c>
      <c r="C270" s="10" t="s">
        <v>240</v>
      </c>
      <c r="D270" s="10" t="s">
        <v>2922</v>
      </c>
      <c r="E270" s="10"/>
      <c r="F270" s="19"/>
      <c r="G270" s="10"/>
      <c r="H270" s="10"/>
      <c r="I270" s="10"/>
      <c r="J270" s="10"/>
      <c r="K270" s="10"/>
      <c r="L270" s="10"/>
    </row>
    <row r="271" spans="2:12">
      <c r="B271" s="10" t="s">
        <v>2923</v>
      </c>
      <c r="C271" s="10" t="s">
        <v>240</v>
      </c>
      <c r="D271" s="10" t="s">
        <v>2924</v>
      </c>
      <c r="E271" s="10"/>
      <c r="F271" s="19"/>
      <c r="G271" s="10"/>
      <c r="H271" s="10"/>
      <c r="I271" s="10"/>
      <c r="J271" s="10"/>
      <c r="K271" s="10"/>
      <c r="L271" s="10"/>
    </row>
    <row r="272" spans="2:12">
      <c r="B272" s="10" t="s">
        <v>2925</v>
      </c>
      <c r="C272" s="10" t="s">
        <v>240</v>
      </c>
      <c r="D272" s="10" t="s">
        <v>2926</v>
      </c>
      <c r="E272" s="10"/>
      <c r="F272" s="19"/>
      <c r="G272" s="10"/>
      <c r="H272" s="10"/>
      <c r="I272" s="10"/>
      <c r="J272" s="10"/>
      <c r="K272" s="10"/>
      <c r="L272" s="10"/>
    </row>
    <row r="273" spans="2:12">
      <c r="B273" s="10" t="s">
        <v>2927</v>
      </c>
      <c r="C273" s="10" t="s">
        <v>240</v>
      </c>
      <c r="D273" s="10" t="s">
        <v>2928</v>
      </c>
      <c r="E273" s="10"/>
      <c r="F273" s="19"/>
      <c r="G273" s="10"/>
      <c r="H273" s="10"/>
      <c r="I273" s="10"/>
      <c r="J273" s="10"/>
      <c r="K273" s="10"/>
      <c r="L273" s="10"/>
    </row>
    <row r="274" spans="2:12">
      <c r="B274" s="10" t="s">
        <v>2929</v>
      </c>
      <c r="C274" s="10" t="s">
        <v>275</v>
      </c>
      <c r="D274" s="10" t="s">
        <v>2930</v>
      </c>
      <c r="E274" s="10"/>
      <c r="F274" s="19"/>
      <c r="G274" s="10"/>
      <c r="H274" s="10"/>
      <c r="I274" s="10"/>
      <c r="J274" s="10"/>
      <c r="K274" s="10"/>
      <c r="L274" s="10"/>
    </row>
    <row r="275" spans="2:12">
      <c r="B275" s="10" t="s">
        <v>2931</v>
      </c>
      <c r="C275" s="10" t="s">
        <v>275</v>
      </c>
      <c r="D275" s="10" t="s">
        <v>2932</v>
      </c>
      <c r="E275" s="10"/>
      <c r="F275" s="19"/>
      <c r="G275" s="10"/>
      <c r="H275" s="10"/>
      <c r="I275" s="10"/>
      <c r="J275" s="10"/>
      <c r="K275" s="10"/>
      <c r="L275" s="10"/>
    </row>
    <row r="276" spans="2:12">
      <c r="B276" s="10" t="s">
        <v>2933</v>
      </c>
      <c r="C276" s="10" t="s">
        <v>275</v>
      </c>
      <c r="D276" s="10" t="s">
        <v>2934</v>
      </c>
      <c r="E276" s="10"/>
      <c r="F276" s="19"/>
      <c r="G276" s="10"/>
      <c r="H276" s="10"/>
      <c r="I276" s="10"/>
      <c r="J276" s="10"/>
      <c r="K276" s="10"/>
      <c r="L276" s="10"/>
    </row>
    <row r="277" spans="2:12">
      <c r="B277" s="10" t="s">
        <v>2935</v>
      </c>
      <c r="C277" s="10" t="s">
        <v>275</v>
      </c>
      <c r="D277" s="10" t="s">
        <v>2936</v>
      </c>
      <c r="E277" s="10"/>
      <c r="F277" s="19"/>
      <c r="G277" s="10"/>
      <c r="H277" s="10"/>
      <c r="I277" s="10"/>
      <c r="J277" s="10"/>
      <c r="K277" s="10"/>
      <c r="L277" s="10"/>
    </row>
    <row r="278" spans="2:12">
      <c r="B278" s="10" t="s">
        <v>2937</v>
      </c>
      <c r="C278" s="10" t="s">
        <v>275</v>
      </c>
      <c r="D278" s="10" t="s">
        <v>2938</v>
      </c>
      <c r="E278" s="10"/>
      <c r="F278" s="19"/>
      <c r="G278" s="10"/>
      <c r="H278" s="10"/>
      <c r="I278" s="10"/>
      <c r="J278" s="10"/>
      <c r="K278" s="10"/>
      <c r="L278" s="10"/>
    </row>
    <row r="279" spans="2:12">
      <c r="B279" s="10" t="s">
        <v>2939</v>
      </c>
      <c r="C279" s="10" t="s">
        <v>275</v>
      </c>
      <c r="D279" s="10" t="s">
        <v>2940</v>
      </c>
      <c r="E279" s="10"/>
      <c r="F279" s="19"/>
      <c r="G279" s="10"/>
      <c r="H279" s="10"/>
      <c r="I279" s="10"/>
      <c r="J279" s="10"/>
      <c r="K279" s="10"/>
      <c r="L279" s="10"/>
    </row>
    <row r="280" spans="2:12">
      <c r="B280" s="10" t="s">
        <v>2941</v>
      </c>
      <c r="C280" s="10" t="s">
        <v>275</v>
      </c>
      <c r="D280" s="10" t="s">
        <v>2942</v>
      </c>
      <c r="E280" s="10"/>
      <c r="F280" s="19"/>
      <c r="G280" s="10"/>
      <c r="H280" s="10"/>
      <c r="I280" s="10"/>
      <c r="J280" s="10"/>
      <c r="K280" s="10"/>
      <c r="L280" s="10"/>
    </row>
    <row r="281" spans="2:12">
      <c r="B281" s="10" t="s">
        <v>2943</v>
      </c>
      <c r="C281" s="10" t="s">
        <v>275</v>
      </c>
      <c r="D281" s="10" t="s">
        <v>2944</v>
      </c>
      <c r="E281" s="10"/>
      <c r="F281" s="19"/>
      <c r="G281" s="10"/>
      <c r="H281" s="10"/>
      <c r="I281" s="10"/>
      <c r="J281" s="10"/>
      <c r="K281" s="10"/>
      <c r="L281" s="10"/>
    </row>
    <row r="282" spans="2:12">
      <c r="B282" s="10" t="s">
        <v>2945</v>
      </c>
      <c r="C282" s="10" t="s">
        <v>275</v>
      </c>
      <c r="D282" s="10" t="s">
        <v>2946</v>
      </c>
      <c r="E282" s="10"/>
      <c r="F282" s="19"/>
      <c r="G282" s="10"/>
      <c r="H282" s="10"/>
      <c r="I282" s="10"/>
      <c r="J282" s="10"/>
      <c r="K282" s="10"/>
      <c r="L282" s="10"/>
    </row>
    <row r="283" spans="2:12">
      <c r="B283" s="10" t="s">
        <v>2947</v>
      </c>
      <c r="C283" s="10" t="s">
        <v>275</v>
      </c>
      <c r="D283" s="10" t="s">
        <v>2948</v>
      </c>
      <c r="E283" s="10"/>
      <c r="F283" s="19"/>
      <c r="G283" s="10"/>
      <c r="H283" s="10"/>
      <c r="I283" s="10"/>
      <c r="J283" s="10"/>
      <c r="K283" s="10"/>
      <c r="L283" s="10"/>
    </row>
    <row r="284" spans="2:12">
      <c r="B284" s="10" t="s">
        <v>2949</v>
      </c>
      <c r="C284" s="10" t="s">
        <v>275</v>
      </c>
      <c r="D284" s="10" t="s">
        <v>2949</v>
      </c>
      <c r="E284" s="10"/>
      <c r="F284" s="19"/>
      <c r="G284" s="10"/>
      <c r="H284" s="10"/>
      <c r="I284" s="10"/>
      <c r="J284" s="10"/>
      <c r="K284" s="10"/>
      <c r="L284" s="10"/>
    </row>
    <row r="285" spans="2:12">
      <c r="B285" s="10" t="s">
        <v>2950</v>
      </c>
      <c r="C285" s="10" t="s">
        <v>275</v>
      </c>
      <c r="D285" s="10" t="s">
        <v>2950</v>
      </c>
      <c r="E285" s="10"/>
      <c r="F285" s="19"/>
      <c r="G285" s="10"/>
      <c r="H285" s="10"/>
      <c r="I285" s="10"/>
      <c r="J285" s="10"/>
      <c r="K285" s="10"/>
      <c r="L285" s="10"/>
    </row>
    <row r="286" spans="2:12">
      <c r="B286" s="10" t="s">
        <v>2951</v>
      </c>
      <c r="C286" s="10" t="s">
        <v>275</v>
      </c>
      <c r="D286" s="10" t="s">
        <v>2951</v>
      </c>
      <c r="E286" s="10"/>
      <c r="F286" s="19"/>
      <c r="G286" s="10"/>
      <c r="H286" s="10"/>
      <c r="I286" s="10"/>
      <c r="J286" s="10"/>
      <c r="K286" s="10"/>
      <c r="L286" s="10"/>
    </row>
    <row r="287" spans="2:12">
      <c r="B287" s="10" t="s">
        <v>2952</v>
      </c>
      <c r="C287" s="10" t="s">
        <v>275</v>
      </c>
      <c r="D287" s="10" t="s">
        <v>2952</v>
      </c>
      <c r="E287" s="10"/>
      <c r="F287" s="19"/>
      <c r="G287" s="10"/>
      <c r="H287" s="10"/>
      <c r="I287" s="10"/>
      <c r="J287" s="10"/>
      <c r="K287" s="10"/>
      <c r="L287" s="10"/>
    </row>
    <row r="288" spans="2:12">
      <c r="B288" s="10" t="s">
        <v>2953</v>
      </c>
      <c r="C288" s="10" t="s">
        <v>275</v>
      </c>
      <c r="D288" s="10" t="s">
        <v>2953</v>
      </c>
      <c r="E288" s="10"/>
      <c r="F288" s="19"/>
      <c r="G288" s="10"/>
      <c r="H288" s="10"/>
      <c r="I288" s="10"/>
      <c r="J288" s="10"/>
      <c r="K288" s="10"/>
      <c r="L288" s="10"/>
    </row>
    <row r="289" spans="2:12">
      <c r="B289" s="10" t="s">
        <v>2954</v>
      </c>
      <c r="C289" s="10" t="s">
        <v>275</v>
      </c>
      <c r="D289" s="10" t="s">
        <v>2954</v>
      </c>
      <c r="E289" s="10"/>
      <c r="F289" s="19"/>
      <c r="G289" s="10"/>
      <c r="H289" s="10"/>
      <c r="I289" s="10"/>
      <c r="J289" s="10"/>
      <c r="K289" s="10"/>
      <c r="L289" s="10"/>
    </row>
    <row r="290" spans="2:12">
      <c r="B290" s="10" t="s">
        <v>2955</v>
      </c>
      <c r="C290" s="10" t="s">
        <v>275</v>
      </c>
      <c r="D290" s="10" t="s">
        <v>2955</v>
      </c>
      <c r="E290" s="10"/>
      <c r="F290" s="19"/>
      <c r="G290" s="10"/>
      <c r="H290" s="10"/>
      <c r="I290" s="10"/>
      <c r="J290" s="10"/>
      <c r="K290" s="10"/>
      <c r="L290" s="10"/>
    </row>
    <row r="291" spans="2:12">
      <c r="B291" s="10" t="s">
        <v>2956</v>
      </c>
      <c r="C291" s="10" t="s">
        <v>275</v>
      </c>
      <c r="D291" s="10" t="s">
        <v>2956</v>
      </c>
      <c r="E291" s="10"/>
      <c r="F291" s="19"/>
      <c r="G291" s="10"/>
      <c r="H291" s="10"/>
      <c r="I291" s="10"/>
      <c r="J291" s="10"/>
      <c r="K291" s="10"/>
      <c r="L291" s="10"/>
    </row>
    <row r="292" spans="2:12">
      <c r="B292" s="10" t="s">
        <v>2957</v>
      </c>
      <c r="C292" s="10" t="s">
        <v>275</v>
      </c>
      <c r="D292" s="10" t="s">
        <v>2957</v>
      </c>
      <c r="E292" s="10"/>
      <c r="F292" s="19"/>
      <c r="G292" s="10"/>
      <c r="H292" s="10"/>
      <c r="I292" s="10"/>
      <c r="J292" s="10"/>
      <c r="K292" s="10"/>
      <c r="L292" s="10"/>
    </row>
    <row r="293" spans="2:12">
      <c r="B293" s="10" t="s">
        <v>2958</v>
      </c>
      <c r="C293" s="10" t="s">
        <v>275</v>
      </c>
      <c r="D293" s="10" t="s">
        <v>2958</v>
      </c>
      <c r="E293" s="10"/>
      <c r="F293" s="19"/>
      <c r="G293" s="10"/>
      <c r="H293" s="10"/>
      <c r="I293" s="10"/>
      <c r="J293" s="10"/>
      <c r="K293" s="10"/>
      <c r="L293" s="10"/>
    </row>
    <row r="294" spans="2:12">
      <c r="B294" s="10" t="s">
        <v>1691</v>
      </c>
      <c r="C294" s="10" t="s">
        <v>275</v>
      </c>
      <c r="D294" s="10" t="s">
        <v>1692</v>
      </c>
      <c r="E294" s="10"/>
      <c r="F294" s="19"/>
      <c r="G294" s="10"/>
      <c r="H294" s="10"/>
      <c r="I294" s="10"/>
      <c r="J294" s="10"/>
      <c r="K294" s="10"/>
      <c r="L294" s="10"/>
    </row>
    <row r="295" spans="2:12">
      <c r="B295" s="10" t="s">
        <v>1693</v>
      </c>
      <c r="C295" s="10" t="s">
        <v>275</v>
      </c>
      <c r="D295" s="10" t="s">
        <v>1694</v>
      </c>
      <c r="E295" s="10"/>
      <c r="F295" s="19"/>
      <c r="G295" s="10"/>
      <c r="H295" s="10"/>
      <c r="I295" s="10"/>
      <c r="J295" s="10"/>
      <c r="K295" s="10"/>
      <c r="L295" s="10"/>
    </row>
    <row r="296" spans="2:12">
      <c r="B296" s="10" t="s">
        <v>1695</v>
      </c>
      <c r="C296" s="10" t="s">
        <v>275</v>
      </c>
      <c r="D296" s="10" t="s">
        <v>1696</v>
      </c>
      <c r="E296" s="10"/>
      <c r="F296" s="19"/>
      <c r="G296" s="10"/>
      <c r="H296" s="10"/>
      <c r="I296" s="10"/>
      <c r="J296" s="10"/>
      <c r="K296" s="10"/>
      <c r="L296" s="10"/>
    </row>
    <row r="297" spans="2:12">
      <c r="B297" s="10" t="s">
        <v>1697</v>
      </c>
      <c r="C297" s="10" t="s">
        <v>275</v>
      </c>
      <c r="D297" s="10" t="s">
        <v>1698</v>
      </c>
      <c r="E297" s="10"/>
      <c r="F297" s="19"/>
      <c r="G297" s="10"/>
      <c r="H297" s="10"/>
      <c r="I297" s="10"/>
      <c r="J297" s="10"/>
      <c r="K297" s="10"/>
      <c r="L297" s="10"/>
    </row>
    <row r="298" spans="2:12">
      <c r="B298" s="10" t="s">
        <v>1699</v>
      </c>
      <c r="C298" s="10" t="s">
        <v>275</v>
      </c>
      <c r="D298" s="10" t="s">
        <v>1700</v>
      </c>
      <c r="E298" s="10"/>
      <c r="F298" s="19"/>
      <c r="G298" s="10"/>
      <c r="H298" s="10"/>
      <c r="I298" s="10"/>
      <c r="J298" s="10"/>
      <c r="K298" s="10"/>
      <c r="L298" s="10"/>
    </row>
    <row r="299" spans="2:12">
      <c r="B299" s="10" t="s">
        <v>1701</v>
      </c>
      <c r="C299" s="10" t="s">
        <v>275</v>
      </c>
      <c r="D299" s="10" t="s">
        <v>1702</v>
      </c>
      <c r="E299" s="10"/>
      <c r="F299" s="19"/>
      <c r="G299" s="10"/>
      <c r="H299" s="10"/>
      <c r="I299" s="10"/>
      <c r="J299" s="10"/>
      <c r="K299" s="10"/>
      <c r="L299" s="10"/>
    </row>
    <row r="300" spans="2:12">
      <c r="B300" s="10" t="s">
        <v>1703</v>
      </c>
      <c r="C300" s="10" t="s">
        <v>275</v>
      </c>
      <c r="D300" s="10" t="s">
        <v>1704</v>
      </c>
      <c r="E300" s="10"/>
      <c r="F300" s="19"/>
      <c r="G300" s="10"/>
      <c r="H300" s="10"/>
      <c r="I300" s="10"/>
      <c r="J300" s="10"/>
      <c r="K300" s="10"/>
      <c r="L300" s="10"/>
    </row>
    <row r="301" spans="2:12">
      <c r="B301" s="10" t="s">
        <v>1705</v>
      </c>
      <c r="C301" s="10" t="s">
        <v>275</v>
      </c>
      <c r="D301" s="10" t="s">
        <v>1706</v>
      </c>
      <c r="E301" s="10"/>
      <c r="F301" s="19"/>
      <c r="G301" s="10"/>
      <c r="H301" s="10"/>
      <c r="I301" s="10"/>
      <c r="J301" s="10"/>
      <c r="K301" s="10"/>
      <c r="L301" s="10"/>
    </row>
    <row r="302" spans="2:12">
      <c r="B302" s="10" t="s">
        <v>1707</v>
      </c>
      <c r="C302" s="10" t="s">
        <v>275</v>
      </c>
      <c r="D302" s="10" t="s">
        <v>1708</v>
      </c>
      <c r="E302" s="10"/>
      <c r="F302" s="19"/>
      <c r="G302" s="10"/>
      <c r="H302" s="10"/>
      <c r="I302" s="10"/>
      <c r="J302" s="10"/>
      <c r="K302" s="10"/>
      <c r="L302" s="10"/>
    </row>
    <row r="303" spans="2:12">
      <c r="B303" s="10" t="s">
        <v>1709</v>
      </c>
      <c r="C303" s="10" t="s">
        <v>275</v>
      </c>
      <c r="D303" s="10" t="s">
        <v>1710</v>
      </c>
      <c r="E303" s="10"/>
      <c r="F303" s="19"/>
      <c r="G303" s="10"/>
      <c r="H303" s="10"/>
      <c r="I303" s="10"/>
      <c r="J303" s="10"/>
      <c r="K303" s="10"/>
      <c r="L303" s="10"/>
    </row>
    <row r="304" spans="2:12">
      <c r="B304" s="10" t="s">
        <v>1711</v>
      </c>
      <c r="C304" s="10" t="s">
        <v>275</v>
      </c>
      <c r="D304" s="10" t="s">
        <v>1712</v>
      </c>
      <c r="E304" s="10"/>
      <c r="F304" s="19"/>
      <c r="G304" s="10"/>
      <c r="H304" s="10"/>
      <c r="I304" s="10"/>
      <c r="J304" s="10"/>
      <c r="K304" s="10"/>
      <c r="L304" s="10"/>
    </row>
    <row r="305" spans="2:12">
      <c r="B305" s="10" t="s">
        <v>1713</v>
      </c>
      <c r="C305" s="10" t="s">
        <v>275</v>
      </c>
      <c r="D305" s="10" t="s">
        <v>1714</v>
      </c>
      <c r="E305" s="10"/>
      <c r="F305" s="19"/>
      <c r="G305" s="10"/>
      <c r="H305" s="10"/>
      <c r="I305" s="10"/>
      <c r="J305" s="10"/>
      <c r="K305" s="10"/>
      <c r="L305" s="10"/>
    </row>
    <row r="306" spans="2:12">
      <c r="B306" s="10" t="s">
        <v>1715</v>
      </c>
      <c r="C306" s="10" t="s">
        <v>275</v>
      </c>
      <c r="D306" s="10" t="s">
        <v>1716</v>
      </c>
      <c r="E306" s="10"/>
      <c r="F306" s="19"/>
      <c r="G306" s="10"/>
      <c r="H306" s="10"/>
      <c r="I306" s="10"/>
      <c r="J306" s="10"/>
      <c r="K306" s="10"/>
      <c r="L306" s="10"/>
    </row>
    <row r="307" spans="2:12">
      <c r="B307" s="10" t="s">
        <v>1717</v>
      </c>
      <c r="C307" s="10" t="s">
        <v>275</v>
      </c>
      <c r="D307" s="10" t="s">
        <v>1718</v>
      </c>
      <c r="E307" s="10"/>
      <c r="F307" s="19"/>
      <c r="G307" s="10"/>
      <c r="H307" s="10"/>
      <c r="I307" s="10"/>
      <c r="J307" s="10"/>
      <c r="K307" s="10"/>
      <c r="L307" s="10"/>
    </row>
    <row r="308" spans="2:12">
      <c r="B308" s="10" t="s">
        <v>1719</v>
      </c>
      <c r="C308" s="10" t="s">
        <v>275</v>
      </c>
      <c r="D308" s="10" t="s">
        <v>1720</v>
      </c>
      <c r="E308" s="10"/>
      <c r="F308" s="19"/>
      <c r="G308" s="10"/>
      <c r="H308" s="10"/>
      <c r="I308" s="10"/>
      <c r="J308" s="10"/>
      <c r="K308" s="10"/>
      <c r="L308" s="10"/>
    </row>
    <row r="309" spans="2:12">
      <c r="B309" s="10" t="s">
        <v>1721</v>
      </c>
      <c r="C309" s="10" t="s">
        <v>275</v>
      </c>
      <c r="D309" s="10" t="s">
        <v>1722</v>
      </c>
      <c r="E309" s="10"/>
      <c r="F309" s="19"/>
      <c r="G309" s="10"/>
      <c r="H309" s="10"/>
      <c r="I309" s="10"/>
      <c r="J309" s="10"/>
      <c r="K309" s="10"/>
      <c r="L309" s="10"/>
    </row>
    <row r="310" spans="2:12">
      <c r="B310" s="10" t="s">
        <v>1723</v>
      </c>
      <c r="C310" s="10" t="s">
        <v>275</v>
      </c>
      <c r="D310" s="10" t="s">
        <v>1724</v>
      </c>
      <c r="E310" s="10"/>
      <c r="F310" s="19"/>
      <c r="G310" s="10"/>
      <c r="H310" s="10"/>
      <c r="I310" s="10"/>
      <c r="J310" s="10"/>
      <c r="K310" s="10"/>
      <c r="L310" s="10"/>
    </row>
    <row r="311" spans="2:12">
      <c r="B311" s="10" t="s">
        <v>1725</v>
      </c>
      <c r="C311" s="10" t="s">
        <v>275</v>
      </c>
      <c r="D311" s="10" t="s">
        <v>1726</v>
      </c>
      <c r="E311" s="10"/>
      <c r="F311" s="19"/>
      <c r="G311" s="10"/>
      <c r="H311" s="10"/>
      <c r="I311" s="10"/>
      <c r="J311" s="10"/>
      <c r="K311" s="10"/>
      <c r="L311" s="10"/>
    </row>
    <row r="312" spans="2:12">
      <c r="B312" s="10" t="s">
        <v>1727</v>
      </c>
      <c r="C312" s="10" t="s">
        <v>275</v>
      </c>
      <c r="D312" s="10" t="s">
        <v>1728</v>
      </c>
      <c r="E312" s="10"/>
      <c r="F312" s="19"/>
      <c r="G312" s="10"/>
      <c r="H312" s="10"/>
      <c r="I312" s="10"/>
      <c r="J312" s="10"/>
      <c r="K312" s="10"/>
      <c r="L312" s="10"/>
    </row>
    <row r="313" spans="2:12">
      <c r="B313" s="10" t="s">
        <v>1729</v>
      </c>
      <c r="C313" s="10" t="s">
        <v>275</v>
      </c>
      <c r="D313" s="10" t="s">
        <v>1730</v>
      </c>
      <c r="E313" s="10"/>
      <c r="F313" s="19"/>
      <c r="G313" s="10"/>
      <c r="H313" s="10"/>
      <c r="I313" s="10"/>
      <c r="J313" s="10"/>
      <c r="K313" s="10"/>
      <c r="L313" s="10"/>
    </row>
    <row r="314" spans="2:12">
      <c r="B314" s="10" t="s">
        <v>1731</v>
      </c>
      <c r="C314" s="10" t="s">
        <v>275</v>
      </c>
      <c r="D314" s="10" t="s">
        <v>1732</v>
      </c>
      <c r="E314" s="10"/>
      <c r="F314" s="19"/>
      <c r="G314" s="10"/>
      <c r="H314" s="10"/>
      <c r="I314" s="10"/>
      <c r="J314" s="10"/>
      <c r="K314" s="10"/>
      <c r="L314" s="10"/>
    </row>
    <row r="315" spans="2:12">
      <c r="B315" s="10" t="s">
        <v>1733</v>
      </c>
      <c r="C315" s="10" t="s">
        <v>275</v>
      </c>
      <c r="D315" s="10" t="s">
        <v>1734</v>
      </c>
      <c r="E315" s="10"/>
      <c r="F315" s="19"/>
      <c r="G315" s="10"/>
      <c r="H315" s="10"/>
      <c r="I315" s="10"/>
      <c r="J315" s="10"/>
      <c r="K315" s="10"/>
      <c r="L315" s="10"/>
    </row>
    <row r="316" spans="2:12">
      <c r="B316" s="10" t="s">
        <v>1735</v>
      </c>
      <c r="C316" s="10" t="s">
        <v>275</v>
      </c>
      <c r="D316" s="10" t="s">
        <v>1736</v>
      </c>
      <c r="E316" s="10"/>
      <c r="F316" s="19"/>
      <c r="G316" s="10"/>
      <c r="H316" s="10"/>
      <c r="I316" s="10"/>
      <c r="J316" s="10"/>
      <c r="K316" s="10"/>
      <c r="L316" s="10"/>
    </row>
    <row r="317" spans="2:12">
      <c r="B317" s="10" t="s">
        <v>1737</v>
      </c>
      <c r="C317" s="10" t="s">
        <v>275</v>
      </c>
      <c r="D317" s="10" t="s">
        <v>1738</v>
      </c>
      <c r="E317" s="10"/>
      <c r="F317" s="19"/>
      <c r="G317" s="10"/>
      <c r="H317" s="10"/>
      <c r="I317" s="10"/>
      <c r="J317" s="10"/>
      <c r="K317" s="10"/>
      <c r="L317" s="10"/>
    </row>
    <row r="318" spans="2:12">
      <c r="B318" s="10" t="s">
        <v>1739</v>
      </c>
      <c r="C318" s="10" t="s">
        <v>275</v>
      </c>
      <c r="D318" s="10" t="s">
        <v>1740</v>
      </c>
      <c r="E318" s="10"/>
      <c r="F318" s="19"/>
      <c r="G318" s="10"/>
      <c r="H318" s="10"/>
      <c r="I318" s="10"/>
      <c r="J318" s="10"/>
      <c r="K318" s="10"/>
      <c r="L318" s="10"/>
    </row>
    <row r="319" spans="2:12">
      <c r="B319" s="10" t="s">
        <v>1741</v>
      </c>
      <c r="C319" s="10" t="s">
        <v>275</v>
      </c>
      <c r="D319" s="10" t="s">
        <v>1742</v>
      </c>
      <c r="E319" s="10"/>
      <c r="F319" s="19"/>
      <c r="G319" s="10"/>
      <c r="H319" s="10"/>
      <c r="I319" s="10"/>
      <c r="J319" s="10"/>
      <c r="K319" s="10"/>
      <c r="L319" s="10"/>
    </row>
    <row r="320" spans="2:12">
      <c r="B320" s="10" t="s">
        <v>1743</v>
      </c>
      <c r="C320" s="10" t="s">
        <v>275</v>
      </c>
      <c r="D320" s="10" t="s">
        <v>1744</v>
      </c>
      <c r="E320" s="10"/>
      <c r="F320" s="19"/>
      <c r="G320" s="10"/>
      <c r="H320" s="10"/>
      <c r="I320" s="10"/>
      <c r="J320" s="10"/>
      <c r="K320" s="10"/>
      <c r="L320" s="10"/>
    </row>
    <row r="321" spans="2:12">
      <c r="B321" s="10" t="s">
        <v>1745</v>
      </c>
      <c r="C321" s="10" t="s">
        <v>275</v>
      </c>
      <c r="D321" s="10" t="s">
        <v>1746</v>
      </c>
      <c r="E321" s="10"/>
      <c r="F321" s="19"/>
      <c r="G321" s="10"/>
      <c r="H321" s="10"/>
      <c r="I321" s="10"/>
      <c r="J321" s="10"/>
      <c r="K321" s="10"/>
      <c r="L321" s="10"/>
    </row>
    <row r="322" spans="2:12">
      <c r="B322" s="10" t="s">
        <v>1747</v>
      </c>
      <c r="C322" s="10" t="s">
        <v>275</v>
      </c>
      <c r="D322" s="10" t="s">
        <v>1748</v>
      </c>
      <c r="E322" s="10"/>
      <c r="F322" s="19"/>
      <c r="G322" s="10"/>
      <c r="H322" s="10"/>
      <c r="I322" s="10"/>
      <c r="J322" s="10"/>
      <c r="K322" s="10"/>
      <c r="L322" s="10"/>
    </row>
    <row r="323" spans="2:12">
      <c r="B323" s="10" t="s">
        <v>1749</v>
      </c>
      <c r="C323" s="10" t="s">
        <v>275</v>
      </c>
      <c r="D323" s="10" t="s">
        <v>1750</v>
      </c>
      <c r="E323" s="10"/>
      <c r="F323" s="19"/>
      <c r="G323" s="10"/>
      <c r="H323" s="10"/>
      <c r="I323" s="10"/>
      <c r="J323" s="10"/>
      <c r="K323" s="10"/>
      <c r="L323" s="10"/>
    </row>
    <row r="324" spans="2:12">
      <c r="B324" s="10" t="s">
        <v>1258</v>
      </c>
      <c r="C324" s="10" t="s">
        <v>240</v>
      </c>
      <c r="D324" s="10" t="s">
        <v>2963</v>
      </c>
      <c r="E324" s="10"/>
      <c r="F324" s="19"/>
      <c r="G324" s="10"/>
      <c r="H324" s="10"/>
      <c r="I324" s="10"/>
      <c r="J324" s="10"/>
      <c r="K324" s="10"/>
      <c r="L324" s="10"/>
    </row>
    <row r="325" spans="2:12">
      <c r="B325" s="10" t="s">
        <v>1260</v>
      </c>
      <c r="C325" s="10" t="s">
        <v>240</v>
      </c>
      <c r="D325" s="10" t="s">
        <v>2964</v>
      </c>
      <c r="E325" s="10"/>
      <c r="F325" s="19"/>
      <c r="G325" s="10"/>
      <c r="H325" s="10"/>
      <c r="I325" s="10"/>
      <c r="J325" s="10"/>
      <c r="K325" s="10"/>
      <c r="L325" s="10"/>
    </row>
    <row r="326" spans="2:12">
      <c r="B326" s="10" t="s">
        <v>1751</v>
      </c>
      <c r="C326" s="10" t="s">
        <v>275</v>
      </c>
      <c r="D326" s="10" t="s">
        <v>1752</v>
      </c>
      <c r="E326" s="10"/>
      <c r="F326" s="19"/>
      <c r="G326" s="10"/>
      <c r="H326" s="10"/>
      <c r="I326" s="10"/>
      <c r="J326" s="10"/>
      <c r="K326" s="10"/>
      <c r="L326" s="10"/>
    </row>
    <row r="327" spans="2:12">
      <c r="B327" s="10" t="s">
        <v>1753</v>
      </c>
      <c r="C327" s="10" t="s">
        <v>240</v>
      </c>
      <c r="D327" s="10" t="s">
        <v>1754</v>
      </c>
      <c r="E327" s="10"/>
      <c r="F327" s="19"/>
      <c r="G327" s="10"/>
      <c r="H327" s="10"/>
      <c r="I327" s="10"/>
      <c r="J327" s="10"/>
      <c r="K327" s="10"/>
      <c r="L327" s="10"/>
    </row>
    <row r="328" spans="2:12">
      <c r="B328" s="10" t="s">
        <v>1755</v>
      </c>
      <c r="C328" s="10" t="s">
        <v>240</v>
      </c>
      <c r="D328" s="10" t="s">
        <v>1420</v>
      </c>
      <c r="E328" s="10"/>
      <c r="F328" s="19"/>
      <c r="G328" s="10"/>
      <c r="H328" s="10"/>
      <c r="I328" s="10"/>
      <c r="J328" s="10"/>
      <c r="K328" s="10"/>
      <c r="L328" s="10"/>
    </row>
    <row r="329" spans="2:12">
      <c r="B329" s="10" t="s">
        <v>1756</v>
      </c>
      <c r="C329" s="10" t="s">
        <v>275</v>
      </c>
      <c r="D329" s="10" t="s">
        <v>1757</v>
      </c>
      <c r="E329" s="10"/>
      <c r="F329" s="19"/>
      <c r="G329" s="10"/>
      <c r="H329" s="10"/>
      <c r="I329" s="10"/>
      <c r="J329" s="10"/>
      <c r="K329" s="10"/>
      <c r="L329" s="10"/>
    </row>
    <row r="330" spans="2:12">
      <c r="B330" s="10" t="s">
        <v>1758</v>
      </c>
      <c r="C330" s="10" t="s">
        <v>275</v>
      </c>
      <c r="D330" s="10" t="s">
        <v>1759</v>
      </c>
      <c r="E330" s="10"/>
      <c r="F330" s="19"/>
      <c r="G330" s="10"/>
      <c r="H330" s="10"/>
      <c r="I330" s="10"/>
      <c r="J330" s="10"/>
      <c r="K330" s="10"/>
      <c r="L330" s="10"/>
    </row>
    <row r="331" spans="2:12">
      <c r="B331" s="10" t="s">
        <v>1760</v>
      </c>
      <c r="C331" s="10" t="s">
        <v>240</v>
      </c>
      <c r="D331" s="10" t="s">
        <v>1761</v>
      </c>
      <c r="E331" s="10"/>
      <c r="F331" s="19"/>
      <c r="G331" s="10"/>
      <c r="H331" s="10"/>
      <c r="I331" s="10"/>
      <c r="J331" s="10"/>
      <c r="K331" s="10"/>
      <c r="L331" s="10"/>
    </row>
    <row r="332" spans="2:12">
      <c r="B332" s="10" t="s">
        <v>1762</v>
      </c>
      <c r="C332" s="10" t="s">
        <v>275</v>
      </c>
      <c r="D332" s="10" t="s">
        <v>1763</v>
      </c>
      <c r="E332" s="10"/>
      <c r="F332" s="19"/>
      <c r="G332" s="10"/>
      <c r="H332" s="10"/>
      <c r="I332" s="10"/>
      <c r="J332" s="10"/>
      <c r="K332" s="10"/>
      <c r="L332" s="10"/>
    </row>
    <row r="333" spans="2:12">
      <c r="B333" s="10" t="s">
        <v>1764</v>
      </c>
      <c r="C333" s="10" t="s">
        <v>240</v>
      </c>
      <c r="D333" s="10" t="s">
        <v>1765</v>
      </c>
      <c r="E333" s="10"/>
      <c r="F333" s="19"/>
      <c r="G333" s="10"/>
      <c r="H333" s="10"/>
      <c r="I333" s="10"/>
      <c r="J333" s="10"/>
      <c r="K333" s="10"/>
      <c r="L333" s="10"/>
    </row>
    <row r="334" spans="2:12">
      <c r="B334" s="10" t="s">
        <v>1766</v>
      </c>
      <c r="C334" s="10" t="s">
        <v>240</v>
      </c>
      <c r="D334" s="10" t="s">
        <v>1767</v>
      </c>
      <c r="E334" s="10"/>
      <c r="F334" s="19"/>
      <c r="G334" s="10"/>
      <c r="H334" s="10"/>
      <c r="I334" s="10"/>
      <c r="J334" s="10"/>
      <c r="K334" s="10"/>
      <c r="L334" s="10"/>
    </row>
    <row r="335" spans="2:12">
      <c r="B335" s="10" t="s">
        <v>2965</v>
      </c>
      <c r="C335" s="10" t="s">
        <v>275</v>
      </c>
      <c r="D335" s="10" t="s">
        <v>1769</v>
      </c>
      <c r="E335" s="10"/>
      <c r="F335" s="19"/>
      <c r="G335" s="10"/>
      <c r="H335" s="10"/>
      <c r="I335" s="10"/>
      <c r="J335" s="10"/>
      <c r="K335" s="10"/>
      <c r="L335" s="10"/>
    </row>
    <row r="336" spans="2:12">
      <c r="B336" s="10" t="s">
        <v>2966</v>
      </c>
      <c r="C336" s="10" t="s">
        <v>275</v>
      </c>
      <c r="D336" s="10" t="s">
        <v>1771</v>
      </c>
      <c r="E336" s="10"/>
      <c r="F336" s="19"/>
      <c r="G336" s="10"/>
      <c r="H336" s="10"/>
      <c r="I336" s="10"/>
      <c r="J336" s="10"/>
      <c r="K336" s="10"/>
      <c r="L336" s="10"/>
    </row>
    <row r="337" spans="2:12">
      <c r="B337" s="10" t="s">
        <v>2967</v>
      </c>
      <c r="C337" s="10" t="s">
        <v>275</v>
      </c>
      <c r="D337" s="10" t="s">
        <v>1774</v>
      </c>
      <c r="E337" s="10"/>
      <c r="F337" s="19"/>
      <c r="G337" s="10"/>
      <c r="H337" s="10"/>
      <c r="I337" s="10"/>
      <c r="J337" s="10"/>
      <c r="K337" s="10"/>
      <c r="L337" s="10"/>
    </row>
    <row r="338" spans="2:12">
      <c r="B338" s="10" t="s">
        <v>2968</v>
      </c>
      <c r="C338" s="10" t="s">
        <v>275</v>
      </c>
      <c r="D338" s="10" t="s">
        <v>1776</v>
      </c>
      <c r="E338" s="10"/>
      <c r="F338" s="19"/>
      <c r="G338" s="10"/>
      <c r="H338" s="10"/>
      <c r="I338" s="10"/>
      <c r="J338" s="10"/>
      <c r="K338" s="10"/>
      <c r="L338" s="10"/>
    </row>
    <row r="339" spans="2:12">
      <c r="B339" s="10" t="s">
        <v>2969</v>
      </c>
      <c r="C339" s="10" t="s">
        <v>275</v>
      </c>
      <c r="D339" s="10" t="s">
        <v>1778</v>
      </c>
      <c r="E339" s="10"/>
      <c r="F339" s="19"/>
      <c r="G339" s="10"/>
      <c r="H339" s="10"/>
      <c r="I339" s="10"/>
      <c r="J339" s="10"/>
      <c r="K339" s="10"/>
      <c r="L339" s="10"/>
    </row>
    <row r="340" spans="2:12">
      <c r="B340" s="10" t="s">
        <v>2970</v>
      </c>
      <c r="C340" s="10" t="s">
        <v>275</v>
      </c>
      <c r="D340" s="10" t="s">
        <v>1780</v>
      </c>
      <c r="E340" s="10"/>
      <c r="F340" s="19"/>
      <c r="G340" s="10"/>
      <c r="H340" s="10"/>
      <c r="I340" s="10"/>
      <c r="J340" s="10"/>
      <c r="K340" s="10"/>
      <c r="L340" s="10"/>
    </row>
    <row r="341" spans="2:12">
      <c r="B341" s="10" t="s">
        <v>1782</v>
      </c>
      <c r="C341" s="10" t="s">
        <v>275</v>
      </c>
      <c r="D341" s="10" t="s">
        <v>1783</v>
      </c>
      <c r="E341" s="10"/>
      <c r="F341" s="19"/>
      <c r="G341" s="10"/>
      <c r="H341" s="10"/>
      <c r="I341" s="10"/>
      <c r="J341" s="10"/>
      <c r="K341" s="10"/>
      <c r="L341" s="10"/>
    </row>
    <row r="342" spans="2:12">
      <c r="B342" s="10" t="s">
        <v>1784</v>
      </c>
      <c r="C342" s="10" t="s">
        <v>275</v>
      </c>
      <c r="D342" s="10" t="s">
        <v>1785</v>
      </c>
      <c r="E342" s="10"/>
      <c r="F342" s="19"/>
      <c r="G342" s="10"/>
      <c r="H342" s="10"/>
      <c r="I342" s="10"/>
      <c r="J342" s="10"/>
      <c r="K342" s="10"/>
      <c r="L342" s="10"/>
    </row>
    <row r="343" spans="2:12">
      <c r="B343" s="10" t="s">
        <v>1786</v>
      </c>
      <c r="C343" s="10" t="s">
        <v>275</v>
      </c>
      <c r="D343" s="10" t="s">
        <v>1787</v>
      </c>
      <c r="E343" s="10"/>
      <c r="F343" s="19"/>
      <c r="G343" s="10"/>
      <c r="H343" s="10"/>
      <c r="I343" s="10"/>
      <c r="J343" s="10"/>
      <c r="K343" s="10"/>
      <c r="L343" s="10"/>
    </row>
    <row r="344" spans="2:12">
      <c r="B344" s="10" t="s">
        <v>1788</v>
      </c>
      <c r="C344" s="10" t="s">
        <v>275</v>
      </c>
      <c r="D344" s="10" t="s">
        <v>1789</v>
      </c>
      <c r="E344" s="10"/>
      <c r="F344" s="19"/>
      <c r="G344" s="10"/>
      <c r="H344" s="10"/>
      <c r="I344" s="10"/>
      <c r="J344" s="10"/>
      <c r="K344" s="10"/>
      <c r="L344" s="10"/>
    </row>
    <row r="345" spans="2:12">
      <c r="B345" s="10" t="s">
        <v>1343</v>
      </c>
      <c r="C345" s="10" t="s">
        <v>275</v>
      </c>
      <c r="D345" s="10" t="s">
        <v>2137</v>
      </c>
      <c r="E345" s="10"/>
      <c r="F345" s="19"/>
      <c r="G345" s="10"/>
      <c r="H345" s="10"/>
      <c r="I345" s="10"/>
      <c r="J345" s="10"/>
      <c r="K345" s="10"/>
      <c r="L345" s="10"/>
    </row>
    <row r="346" spans="2:12">
      <c r="B346" s="10" t="s">
        <v>1344</v>
      </c>
      <c r="C346" s="10" t="s">
        <v>275</v>
      </c>
      <c r="D346" s="10" t="s">
        <v>2138</v>
      </c>
      <c r="E346" s="10"/>
      <c r="F346" s="19"/>
      <c r="G346" s="10"/>
      <c r="H346" s="10"/>
      <c r="I346" s="10"/>
      <c r="J346" s="10"/>
      <c r="K346" s="10"/>
      <c r="L346" s="10"/>
    </row>
    <row r="347" spans="2:12">
      <c r="B347" s="10" t="s">
        <v>1345</v>
      </c>
      <c r="C347" s="10" t="s">
        <v>275</v>
      </c>
      <c r="D347" s="10" t="s">
        <v>2139</v>
      </c>
      <c r="E347" s="10"/>
      <c r="F347" s="19"/>
      <c r="G347" s="10"/>
      <c r="H347" s="10"/>
      <c r="I347" s="10"/>
      <c r="J347" s="10"/>
      <c r="K347" s="10"/>
      <c r="L347" s="10"/>
    </row>
    <row r="348" spans="2:12">
      <c r="B348" s="10" t="s">
        <v>2971</v>
      </c>
      <c r="C348" s="10" t="s">
        <v>275</v>
      </c>
      <c r="D348" s="10" t="s">
        <v>1791</v>
      </c>
      <c r="E348" s="10"/>
      <c r="F348" s="10"/>
      <c r="G348" s="10"/>
      <c r="H348" s="10"/>
      <c r="I348" s="10"/>
      <c r="J348" s="10"/>
      <c r="K348" s="10"/>
      <c r="L348" s="10"/>
    </row>
    <row r="349" spans="2:12">
      <c r="B349" s="10" t="s">
        <v>2972</v>
      </c>
      <c r="C349" s="10" t="s">
        <v>275</v>
      </c>
      <c r="D349" s="10" t="s">
        <v>1793</v>
      </c>
      <c r="E349" s="10"/>
      <c r="F349" s="10"/>
      <c r="G349" s="10"/>
      <c r="H349" s="10"/>
      <c r="I349" s="10"/>
      <c r="J349" s="10"/>
      <c r="K349" s="10"/>
      <c r="L349" s="10"/>
    </row>
    <row r="350" spans="2:12">
      <c r="B350" s="10" t="s">
        <v>2973</v>
      </c>
      <c r="C350" s="10" t="s">
        <v>275</v>
      </c>
      <c r="D350" s="10" t="s">
        <v>2695</v>
      </c>
      <c r="E350" s="10"/>
      <c r="F350" s="10"/>
      <c r="G350" s="10"/>
      <c r="H350" s="10"/>
      <c r="I350" s="10"/>
      <c r="J350" s="10"/>
      <c r="K350" s="10"/>
      <c r="L350" s="10"/>
    </row>
    <row r="351" spans="2:12">
      <c r="B351" s="10" t="s">
        <v>2974</v>
      </c>
      <c r="C351" s="10" t="s">
        <v>275</v>
      </c>
      <c r="D351" s="10" t="s">
        <v>2697</v>
      </c>
      <c r="E351" s="10"/>
      <c r="F351" s="10"/>
      <c r="G351" s="10"/>
      <c r="H351" s="10"/>
      <c r="I351" s="10"/>
      <c r="J351" s="10"/>
      <c r="K351" s="10"/>
      <c r="L351" s="10"/>
    </row>
    <row r="352" spans="2:12">
      <c r="B352" s="10" t="s">
        <v>1347</v>
      </c>
      <c r="C352" s="10" t="s">
        <v>275</v>
      </c>
      <c r="D352" s="10" t="s">
        <v>2140</v>
      </c>
      <c r="E352" s="10"/>
      <c r="F352" s="10"/>
      <c r="G352" s="10"/>
      <c r="H352" s="10"/>
      <c r="I352" s="10"/>
      <c r="J352" s="10"/>
      <c r="K352" s="10"/>
      <c r="L352" s="10"/>
    </row>
    <row r="353" spans="2:12">
      <c r="B353" s="10" t="s">
        <v>1794</v>
      </c>
      <c r="C353" s="10" t="s">
        <v>275</v>
      </c>
      <c r="D353" s="10" t="s">
        <v>2762</v>
      </c>
      <c r="E353" s="10"/>
      <c r="F353" s="10"/>
      <c r="G353" s="10"/>
      <c r="H353" s="10"/>
      <c r="I353" s="10"/>
      <c r="J353" s="10"/>
      <c r="K353" s="10"/>
      <c r="L353" s="10"/>
    </row>
    <row r="354" spans="2:12">
      <c r="B354" s="10" t="s">
        <v>1349</v>
      </c>
      <c r="C354" s="10" t="s">
        <v>275</v>
      </c>
      <c r="D354" s="10" t="s">
        <v>2141</v>
      </c>
      <c r="E354" s="10"/>
      <c r="F354" s="10"/>
      <c r="G354" s="10"/>
      <c r="H354" s="10"/>
      <c r="I354" s="10"/>
      <c r="J354" s="10"/>
      <c r="K354" s="10"/>
      <c r="L354" s="10"/>
    </row>
    <row r="355" spans="2:12">
      <c r="B355" s="10" t="s">
        <v>1796</v>
      </c>
      <c r="C355" s="10" t="s">
        <v>275</v>
      </c>
      <c r="D355" s="10" t="s">
        <v>2764</v>
      </c>
      <c r="E355" s="10"/>
      <c r="F355" s="10"/>
      <c r="G355" s="10"/>
      <c r="H355" s="10"/>
      <c r="I355" s="10"/>
      <c r="J355" s="10"/>
      <c r="K355" s="10"/>
      <c r="L355" s="10"/>
    </row>
    <row r="356" spans="2:12">
      <c r="B356" s="10" t="s">
        <v>2100</v>
      </c>
      <c r="C356" s="10" t="s">
        <v>275</v>
      </c>
      <c r="D356" s="10" t="s">
        <v>2575</v>
      </c>
      <c r="E356" s="10"/>
      <c r="F356" s="10"/>
      <c r="G356" s="10"/>
      <c r="H356" s="10"/>
      <c r="I356" s="10"/>
      <c r="J356" s="10"/>
      <c r="K356" s="10"/>
      <c r="L356" s="10"/>
    </row>
    <row r="357" spans="2:12">
      <c r="B357" s="10" t="s">
        <v>2698</v>
      </c>
      <c r="C357" s="10" t="s">
        <v>275</v>
      </c>
      <c r="D357" s="10" t="s">
        <v>2699</v>
      </c>
      <c r="E357" s="10"/>
      <c r="F357" s="10"/>
      <c r="G357" s="10"/>
      <c r="H357" s="10"/>
      <c r="I357" s="10"/>
      <c r="J357" s="10"/>
      <c r="K357" s="10"/>
      <c r="L357" s="10"/>
    </row>
    <row r="358" spans="2:12">
      <c r="B358" s="10" t="s">
        <v>1798</v>
      </c>
      <c r="C358" s="10" t="s">
        <v>275</v>
      </c>
      <c r="D358" s="10" t="s">
        <v>1799</v>
      </c>
      <c r="E358" s="10"/>
      <c r="F358" s="10"/>
      <c r="G358" s="10"/>
      <c r="H358" s="10"/>
      <c r="I358" s="10"/>
      <c r="J358" s="10"/>
      <c r="K358" s="10"/>
      <c r="L358" s="10"/>
    </row>
    <row r="359" spans="2:12">
      <c r="B359" s="10" t="s">
        <v>2700</v>
      </c>
      <c r="C359" s="10" t="s">
        <v>275</v>
      </c>
      <c r="D359" s="10" t="s">
        <v>2701</v>
      </c>
      <c r="E359" s="10"/>
      <c r="F359" s="10"/>
      <c r="G359" s="10"/>
      <c r="H359" s="10"/>
      <c r="I359" s="10"/>
      <c r="J359" s="10"/>
      <c r="K359" s="10"/>
      <c r="L359" s="10"/>
    </row>
    <row r="360" spans="2:12">
      <c r="B360" s="10" t="s">
        <v>2975</v>
      </c>
      <c r="C360" s="10" t="s">
        <v>275</v>
      </c>
      <c r="D360" s="10" t="s">
        <v>1801</v>
      </c>
      <c r="E360" s="10"/>
      <c r="F360" s="10"/>
      <c r="G360" s="10"/>
      <c r="H360" s="10"/>
      <c r="I360" s="10"/>
      <c r="J360" s="10"/>
      <c r="K360" s="10"/>
      <c r="L360" s="10"/>
    </row>
    <row r="361" spans="2:12">
      <c r="B361" s="10" t="s">
        <v>1802</v>
      </c>
      <c r="C361" s="10" t="s">
        <v>275</v>
      </c>
      <c r="D361" s="10" t="s">
        <v>1803</v>
      </c>
      <c r="E361" s="10"/>
      <c r="F361" s="10"/>
      <c r="G361" s="10"/>
      <c r="H361" s="10"/>
      <c r="I361" s="10"/>
      <c r="J361" s="10"/>
      <c r="K361" s="10"/>
      <c r="L361" s="10"/>
    </row>
    <row r="362" spans="2:12">
      <c r="B362" s="10" t="s">
        <v>2976</v>
      </c>
      <c r="C362" s="10" t="s">
        <v>240</v>
      </c>
      <c r="D362" s="10" t="s">
        <v>1805</v>
      </c>
      <c r="E362" s="10"/>
      <c r="F362" s="10"/>
      <c r="G362" s="10"/>
      <c r="H362" s="10"/>
      <c r="I362" s="10"/>
      <c r="J362" s="10"/>
      <c r="K362" s="10"/>
      <c r="L362" s="10"/>
    </row>
    <row r="363" spans="2:12">
      <c r="B363" s="10" t="s">
        <v>2468</v>
      </c>
      <c r="C363" s="10" t="s">
        <v>275</v>
      </c>
      <c r="D363" s="10" t="s">
        <v>1807</v>
      </c>
      <c r="E363" s="10"/>
      <c r="F363" s="10"/>
      <c r="G363" s="10"/>
      <c r="H363" s="10"/>
      <c r="I363" s="10"/>
      <c r="J363" s="10"/>
      <c r="K363" s="10"/>
      <c r="L363" s="10"/>
    </row>
    <row r="364" spans="2:12">
      <c r="B364" s="10" t="s">
        <v>2594</v>
      </c>
      <c r="C364" s="10" t="s">
        <v>216</v>
      </c>
      <c r="D364" s="10" t="s">
        <v>2595</v>
      </c>
      <c r="E364" s="10"/>
      <c r="F364" s="10"/>
      <c r="G364" s="10"/>
      <c r="H364" s="10"/>
      <c r="I364" s="10"/>
      <c r="J364" s="10"/>
      <c r="K364" s="10"/>
      <c r="L364" s="10"/>
    </row>
    <row r="365" spans="2:12">
      <c r="B365" s="10" t="s">
        <v>2605</v>
      </c>
      <c r="C365" s="10" t="s">
        <v>216</v>
      </c>
      <c r="D365" s="10" t="s">
        <v>2606</v>
      </c>
      <c r="E365" s="10"/>
      <c r="F365" s="10"/>
      <c r="G365" s="10"/>
      <c r="H365" s="10"/>
      <c r="I365" s="10"/>
      <c r="J365" s="10"/>
      <c r="K365" s="10"/>
      <c r="L365" s="10"/>
    </row>
    <row r="366" spans="2:12">
      <c r="B366" s="10" t="s">
        <v>2715</v>
      </c>
      <c r="C366" s="10" t="s">
        <v>216</v>
      </c>
      <c r="D366" s="10" t="s">
        <v>2740</v>
      </c>
      <c r="E366" s="10"/>
      <c r="F366" s="10"/>
      <c r="G366" s="10"/>
      <c r="H366" s="10"/>
      <c r="I366" s="10"/>
      <c r="J366" s="10"/>
      <c r="K366" s="10"/>
      <c r="L366" s="10"/>
    </row>
    <row r="367" spans="2:12">
      <c r="B367" s="10" t="s">
        <v>1812</v>
      </c>
      <c r="C367" s="10" t="s">
        <v>220</v>
      </c>
      <c r="D367" s="10" t="s">
        <v>2741</v>
      </c>
      <c r="E367" s="10"/>
      <c r="F367" s="10"/>
      <c r="G367" s="10"/>
      <c r="H367" s="10"/>
      <c r="I367" s="10"/>
      <c r="J367" s="10"/>
      <c r="K367" s="10"/>
      <c r="L367" s="10"/>
    </row>
    <row r="368" spans="2:12">
      <c r="B368" s="10" t="s">
        <v>2591</v>
      </c>
      <c r="C368" s="10" t="s">
        <v>216</v>
      </c>
      <c r="D368" s="10" t="s">
        <v>2098</v>
      </c>
      <c r="E368" s="10"/>
      <c r="F368" s="10"/>
      <c r="G368" s="10"/>
      <c r="H368" s="10"/>
      <c r="I368" s="10"/>
      <c r="J368" s="10"/>
      <c r="K368" s="10"/>
      <c r="L368" s="10"/>
    </row>
    <row r="369" spans="2:12">
      <c r="B369" s="10" t="s">
        <v>2589</v>
      </c>
      <c r="C369" s="10" t="s">
        <v>216</v>
      </c>
      <c r="D369" s="10" t="s">
        <v>2590</v>
      </c>
      <c r="E369" s="10"/>
      <c r="F369" s="10"/>
      <c r="G369" s="10"/>
      <c r="H369" s="10"/>
      <c r="I369" s="10"/>
      <c r="J369" s="10"/>
      <c r="K369" s="10"/>
      <c r="L369" s="10"/>
    </row>
    <row r="370" spans="2:12">
      <c r="B370" s="10" t="s">
        <v>1289</v>
      </c>
      <c r="C370" s="10" t="s">
        <v>216</v>
      </c>
      <c r="D370" s="10" t="s">
        <v>1813</v>
      </c>
      <c r="E370" s="10"/>
      <c r="F370" s="10"/>
      <c r="G370" s="10"/>
      <c r="H370" s="10"/>
      <c r="I370" s="10"/>
      <c r="J370" s="10"/>
      <c r="K370" s="10"/>
      <c r="L370" s="10"/>
    </row>
    <row r="371" s="36" customFormat="1" spans="1:12">
      <c r="A371" s="41"/>
      <c r="B371" s="29" t="s">
        <v>1814</v>
      </c>
      <c r="C371" s="29" t="s">
        <v>275</v>
      </c>
      <c r="D371" s="29" t="s">
        <v>1815</v>
      </c>
      <c r="E371" s="29"/>
      <c r="F371" s="29"/>
      <c r="G371" s="29" t="s">
        <v>1852</v>
      </c>
      <c r="H371" s="29"/>
      <c r="I371" s="29" t="s">
        <v>1211</v>
      </c>
      <c r="J371" s="29" t="s">
        <v>345</v>
      </c>
      <c r="K371" s="29" t="s">
        <v>323</v>
      </c>
      <c r="L371" s="29" t="s">
        <v>339</v>
      </c>
    </row>
    <row r="372" s="36" customFormat="1" spans="1:12">
      <c r="A372" s="41"/>
      <c r="B372" s="29" t="s">
        <v>1817</v>
      </c>
      <c r="C372" s="29" t="s">
        <v>216</v>
      </c>
      <c r="D372" s="29" t="s">
        <v>1818</v>
      </c>
      <c r="E372" s="29"/>
      <c r="F372" s="29"/>
      <c r="G372" s="29" t="s">
        <v>1846</v>
      </c>
      <c r="H372" s="29"/>
      <c r="I372" s="29" t="s">
        <v>1211</v>
      </c>
      <c r="J372" s="29" t="s">
        <v>345</v>
      </c>
      <c r="K372" s="29" t="s">
        <v>323</v>
      </c>
      <c r="L372" s="29" t="s">
        <v>323</v>
      </c>
    </row>
    <row r="373" s="36" customFormat="1" spans="1:12">
      <c r="A373" s="41"/>
      <c r="B373" s="29" t="s">
        <v>1820</v>
      </c>
      <c r="C373" s="29" t="s">
        <v>216</v>
      </c>
      <c r="D373" s="29" t="s">
        <v>1821</v>
      </c>
      <c r="E373" s="29"/>
      <c r="F373" s="29"/>
      <c r="G373" s="29" t="s">
        <v>1847</v>
      </c>
      <c r="H373" s="29"/>
      <c r="I373" s="29" t="s">
        <v>1211</v>
      </c>
      <c r="J373" s="29" t="s">
        <v>345</v>
      </c>
      <c r="K373" s="29" t="s">
        <v>323</v>
      </c>
      <c r="L373" s="29" t="s">
        <v>323</v>
      </c>
    </row>
    <row r="374" s="37" customFormat="1" spans="1:12">
      <c r="A374" s="42"/>
      <c r="B374" s="43" t="s">
        <v>252</v>
      </c>
      <c r="C374" s="43" t="s">
        <v>220</v>
      </c>
      <c r="D374" s="44" t="s">
        <v>254</v>
      </c>
      <c r="E374" s="45"/>
      <c r="F374" s="46"/>
      <c r="G374" s="46"/>
      <c r="H374" s="47"/>
      <c r="I374" s="48"/>
      <c r="J374" s="49"/>
      <c r="K374" s="49"/>
      <c r="L374" s="49"/>
    </row>
    <row r="375" s="37" customFormat="1" spans="1:12">
      <c r="A375" s="42"/>
      <c r="B375" s="43" t="s">
        <v>255</v>
      </c>
      <c r="C375" s="43" t="s">
        <v>216</v>
      </c>
      <c r="D375" s="44" t="s">
        <v>256</v>
      </c>
      <c r="E375" s="45"/>
      <c r="F375" s="46"/>
      <c r="G375" s="46"/>
      <c r="H375" s="47"/>
      <c r="I375" s="48"/>
      <c r="J375" s="49"/>
      <c r="K375" s="49"/>
      <c r="L375" s="49"/>
    </row>
    <row r="376" s="37" customFormat="1" spans="1:12">
      <c r="A376" s="42"/>
      <c r="B376" s="43" t="s">
        <v>257</v>
      </c>
      <c r="C376" s="43" t="s">
        <v>220</v>
      </c>
      <c r="D376" s="44" t="s">
        <v>258</v>
      </c>
      <c r="E376" s="45"/>
      <c r="F376" s="46"/>
      <c r="G376" s="46"/>
      <c r="H376" s="47"/>
      <c r="I376" s="48"/>
      <c r="J376" s="49"/>
      <c r="K376" s="49"/>
      <c r="L376" s="49"/>
    </row>
    <row r="377" s="37" customFormat="1" spans="1:12">
      <c r="A377" s="42"/>
      <c r="B377" s="43" t="s">
        <v>262</v>
      </c>
      <c r="C377" s="43" t="s">
        <v>220</v>
      </c>
      <c r="D377" s="44" t="s">
        <v>263</v>
      </c>
      <c r="E377" s="45"/>
      <c r="F377" s="46"/>
      <c r="G377" s="46"/>
      <c r="H377" s="47"/>
      <c r="I377" s="48"/>
      <c r="J377" s="49"/>
      <c r="K377" s="49"/>
      <c r="L377" s="49"/>
    </row>
  </sheetData>
  <autoFilter xmlns:etc="http://www.wps.cn/officeDocument/2017/etCustomData" ref="A15:N377"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zoomScale="85" zoomScaleNormal="85" workbookViewId="0">
      <pane ySplit="5" topLeftCell="A6" activePane="bottomLeft" state="frozen"/>
      <selection/>
      <selection pane="bottomLeft" activeCell="N16" sqref="N1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125</v>
      </c>
      <c r="D5" s="10" t="s">
        <v>126</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123</v>
      </c>
      <c r="D9" s="35" t="s">
        <v>124</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c r="J16" s="23" t="s">
        <v>322</v>
      </c>
      <c r="K16" s="23" t="s">
        <v>323</v>
      </c>
      <c r="L16" s="23" t="s">
        <v>323</v>
      </c>
      <c r="M16" s="1" t="str">
        <f>_xlfn.CONCAT(F16," as ",B16)</f>
        <v>p_date as day</v>
      </c>
      <c r="N16" s="16" t="str">
        <f>_xlfn.CONCAT("`",B16,"` ",C16,",")</f>
        <v>`day` string,</v>
      </c>
    </row>
    <row r="17" s="1" customFormat="1" spans="2:14">
      <c r="B17" s="19" t="s">
        <v>1026</v>
      </c>
      <c r="C17" s="19" t="s">
        <v>220</v>
      </c>
      <c r="D17" s="10" t="s">
        <v>66</v>
      </c>
      <c r="E17" s="20" t="s">
        <v>199</v>
      </c>
      <c r="F17" s="19" t="s">
        <v>257</v>
      </c>
      <c r="G17" s="19" t="s">
        <v>218</v>
      </c>
      <c r="H17" s="20"/>
      <c r="I17" s="23"/>
      <c r="J17" s="23" t="s">
        <v>322</v>
      </c>
      <c r="K17" s="23" t="s">
        <v>323</v>
      </c>
      <c r="L17" s="23" t="s">
        <v>323</v>
      </c>
      <c r="M17" s="1" t="str">
        <f t="shared" ref="M17:M35" si="0">_xlfn.CONCAT(F17," as ",B17)</f>
        <v>p_hour as hour</v>
      </c>
      <c r="N17" s="16" t="str">
        <f t="shared" ref="N17:N35" si="1">_xlfn.CONCAT("`",B17,"` ",C17,",")</f>
        <v>`hour` int,</v>
      </c>
    </row>
    <row r="18" s="1" customFormat="1" spans="2:14">
      <c r="B18" s="19" t="s">
        <v>1302</v>
      </c>
      <c r="C18" s="19" t="s">
        <v>220</v>
      </c>
      <c r="D18" s="10" t="s">
        <v>2977</v>
      </c>
      <c r="E18" s="20" t="s">
        <v>199</v>
      </c>
      <c r="F18" s="19" t="s">
        <v>1302</v>
      </c>
      <c r="G18" s="19" t="s">
        <v>218</v>
      </c>
      <c r="H18" s="20"/>
      <c r="I18" s="23"/>
      <c r="J18" s="23" t="s">
        <v>322</v>
      </c>
      <c r="K18" s="23" t="s">
        <v>323</v>
      </c>
      <c r="L18" s="23" t="s">
        <v>323</v>
      </c>
      <c r="M18" s="1" t="str">
        <f t="shared" si="0"/>
        <v>interface as interface</v>
      </c>
      <c r="N18" s="16" t="str">
        <f t="shared" si="1"/>
        <v>`interface` int,</v>
      </c>
    </row>
    <row r="19" s="1" customFormat="1" spans="2:14">
      <c r="B19" s="19" t="s">
        <v>1830</v>
      </c>
      <c r="C19" s="19" t="s">
        <v>220</v>
      </c>
      <c r="D19" s="10" t="s">
        <v>1831</v>
      </c>
      <c r="E19" s="20" t="s">
        <v>199</v>
      </c>
      <c r="F19" s="19" t="s">
        <v>252</v>
      </c>
      <c r="G19" s="19" t="s">
        <v>218</v>
      </c>
      <c r="H19" s="20"/>
      <c r="I19" s="23"/>
      <c r="J19" s="23" t="s">
        <v>322</v>
      </c>
      <c r="K19" s="23" t="s">
        <v>323</v>
      </c>
      <c r="L19" s="23" t="s">
        <v>323</v>
      </c>
      <c r="M19" s="1" t="str">
        <f t="shared" si="0"/>
        <v>p_provincecode as provincecode</v>
      </c>
      <c r="N19" s="16" t="str">
        <f t="shared" si="1"/>
        <v>`provincecode` int,</v>
      </c>
    </row>
    <row r="20" s="1" customFormat="1" spans="2:14">
      <c r="B20" s="19" t="s">
        <v>1832</v>
      </c>
      <c r="C20" s="19" t="s">
        <v>220</v>
      </c>
      <c r="D20" s="10" t="s">
        <v>1833</v>
      </c>
      <c r="E20" s="20" t="s">
        <v>199</v>
      </c>
      <c r="F20" s="19" t="s">
        <v>1318</v>
      </c>
      <c r="G20" s="19" t="s">
        <v>218</v>
      </c>
      <c r="H20" s="20"/>
      <c r="I20" s="23"/>
      <c r="J20" s="23" t="s">
        <v>322</v>
      </c>
      <c r="K20" s="23" t="s">
        <v>323</v>
      </c>
      <c r="L20" s="23" t="s">
        <v>323</v>
      </c>
      <c r="M20" s="1" t="str">
        <f t="shared" si="0"/>
        <v>city as citycode</v>
      </c>
      <c r="N20" s="16" t="str">
        <f t="shared" si="1"/>
        <v>`citycode` int,</v>
      </c>
    </row>
    <row r="21" s="1" customFormat="1" spans="2:14">
      <c r="B21" s="19" t="s">
        <v>1834</v>
      </c>
      <c r="C21" s="19" t="s">
        <v>220</v>
      </c>
      <c r="D21" s="10" t="s">
        <v>1835</v>
      </c>
      <c r="E21" s="20" t="s">
        <v>199</v>
      </c>
      <c r="F21" s="19" t="s">
        <v>1064</v>
      </c>
      <c r="G21" s="19" t="s">
        <v>218</v>
      </c>
      <c r="H21" s="20"/>
      <c r="I21" s="23"/>
      <c r="J21" s="23" t="s">
        <v>322</v>
      </c>
      <c r="K21" s="23" t="s">
        <v>323</v>
      </c>
      <c r="L21" s="23" t="s">
        <v>323</v>
      </c>
      <c r="M21" s="1" t="str">
        <f t="shared" si="0"/>
        <v>area as districtcode</v>
      </c>
      <c r="N21" s="16" t="str">
        <f t="shared" si="1"/>
        <v>`districtcode` int,</v>
      </c>
    </row>
    <row r="22" s="1" customFormat="1" spans="2:14">
      <c r="B22" s="19" t="s">
        <v>1836</v>
      </c>
      <c r="C22" s="19" t="s">
        <v>216</v>
      </c>
      <c r="D22" s="10" t="s">
        <v>1837</v>
      </c>
      <c r="E22" s="20" t="s">
        <v>199</v>
      </c>
      <c r="F22" s="10" t="s">
        <v>1838</v>
      </c>
      <c r="G22" s="10" t="s">
        <v>1838</v>
      </c>
      <c r="H22" s="20"/>
      <c r="I22" s="23"/>
      <c r="J22" s="23" t="s">
        <v>322</v>
      </c>
      <c r="K22" s="23" t="s">
        <v>323</v>
      </c>
      <c r="L22" s="23" t="s">
        <v>323</v>
      </c>
      <c r="M22" s="1" t="str">
        <f t="shared" si="0"/>
        <v>concat_ws("_",nodebid,cellid) as cellkey</v>
      </c>
      <c r="N22" s="16" t="str">
        <f t="shared" si="1"/>
        <v>`cellkey` string,</v>
      </c>
    </row>
    <row r="23" s="1" customFormat="1" spans="2:14">
      <c r="B23" s="19" t="s">
        <v>224</v>
      </c>
      <c r="C23" s="19" t="s">
        <v>216</v>
      </c>
      <c r="D23" s="10" t="s">
        <v>292</v>
      </c>
      <c r="E23" s="20" t="s">
        <v>199</v>
      </c>
      <c r="F23" s="19" t="s">
        <v>1310</v>
      </c>
      <c r="G23" s="19" t="s">
        <v>218</v>
      </c>
      <c r="H23" s="20"/>
      <c r="I23" s="23"/>
      <c r="J23" s="23" t="s">
        <v>322</v>
      </c>
      <c r="K23" s="23" t="s">
        <v>323</v>
      </c>
      <c r="L23" s="23" t="s">
        <v>323</v>
      </c>
      <c r="M23" s="1" t="str">
        <f t="shared" si="0"/>
        <v>imsi_supi as imsi</v>
      </c>
      <c r="N23" s="16" t="str">
        <f t="shared" si="1"/>
        <v>`imsi` string,</v>
      </c>
    </row>
    <row r="24" s="1" customFormat="1" spans="2:14">
      <c r="B24" s="19" t="s">
        <v>267</v>
      </c>
      <c r="C24" s="19" t="s">
        <v>216</v>
      </c>
      <c r="D24" s="10" t="s">
        <v>294</v>
      </c>
      <c r="E24" s="20" t="s">
        <v>199</v>
      </c>
      <c r="F24" s="19" t="s">
        <v>267</v>
      </c>
      <c r="G24" s="19" t="s">
        <v>218</v>
      </c>
      <c r="H24" s="20"/>
      <c r="I24" s="23"/>
      <c r="J24" s="23" t="s">
        <v>322</v>
      </c>
      <c r="K24" s="23" t="s">
        <v>323</v>
      </c>
      <c r="L24" s="23" t="s">
        <v>323</v>
      </c>
      <c r="M24" s="1" t="str">
        <f t="shared" si="0"/>
        <v>msisdn as msisdn</v>
      </c>
      <c r="N24" s="16" t="str">
        <f t="shared" si="1"/>
        <v>`msisdn` string,</v>
      </c>
    </row>
    <row r="25" s="1" customFormat="1" spans="2:14">
      <c r="B25" s="19" t="s">
        <v>1053</v>
      </c>
      <c r="C25" s="19" t="s">
        <v>216</v>
      </c>
      <c r="D25" s="10" t="s">
        <v>1839</v>
      </c>
      <c r="E25" s="20" t="s">
        <v>199</v>
      </c>
      <c r="F25" s="19" t="s">
        <v>2589</v>
      </c>
      <c r="G25" s="19" t="s">
        <v>218</v>
      </c>
      <c r="H25" s="20"/>
      <c r="I25" s="23"/>
      <c r="J25" s="23" t="s">
        <v>322</v>
      </c>
      <c r="K25" s="23" t="s">
        <v>323</v>
      </c>
      <c r="L25" s="23" t="s">
        <v>323</v>
      </c>
      <c r="M25" s="1" t="str">
        <f t="shared" si="0"/>
        <v>pei as imei</v>
      </c>
      <c r="N25" s="16" t="str">
        <f t="shared" si="1"/>
        <v>`imei` string,</v>
      </c>
    </row>
    <row r="26" s="1" customFormat="1" spans="2:14">
      <c r="B26" s="19" t="s">
        <v>1313</v>
      </c>
      <c r="C26" s="19" t="s">
        <v>216</v>
      </c>
      <c r="D26" s="10" t="s">
        <v>1314</v>
      </c>
      <c r="E26" s="20" t="s">
        <v>199</v>
      </c>
      <c r="F26" s="19" t="s">
        <v>1313</v>
      </c>
      <c r="G26" s="19" t="s">
        <v>218</v>
      </c>
      <c r="H26" s="20"/>
      <c r="I26" s="23"/>
      <c r="J26" s="23" t="s">
        <v>322</v>
      </c>
      <c r="K26" s="23" t="s">
        <v>323</v>
      </c>
      <c r="L26" s="23" t="s">
        <v>323</v>
      </c>
      <c r="M26" s="1" t="str">
        <f t="shared" si="0"/>
        <v>servicetype as servicetype</v>
      </c>
      <c r="N26" s="16" t="str">
        <f t="shared" si="1"/>
        <v>`servicetype` string,</v>
      </c>
    </row>
    <row r="27" s="1" customFormat="1" spans="2:14">
      <c r="B27" s="19" t="s">
        <v>1840</v>
      </c>
      <c r="C27" s="19" t="s">
        <v>216</v>
      </c>
      <c r="D27" s="10" t="s">
        <v>1841</v>
      </c>
      <c r="E27" s="20" t="s">
        <v>199</v>
      </c>
      <c r="F27" s="19" t="s">
        <v>1842</v>
      </c>
      <c r="G27" s="19" t="s">
        <v>1842</v>
      </c>
      <c r="H27" s="20"/>
      <c r="I27" s="23"/>
      <c r="J27" s="23" t="s">
        <v>322</v>
      </c>
      <c r="K27" s="23" t="s">
        <v>323</v>
      </c>
      <c r="L27" s="23" t="s">
        <v>323</v>
      </c>
      <c r="M27" s="1" t="str">
        <f t="shared" si="0"/>
        <v>substr(servicetype,1,2) as app_type</v>
      </c>
      <c r="N27" s="16" t="str">
        <f t="shared" si="1"/>
        <v>`app_type` string,</v>
      </c>
    </row>
    <row r="28" s="1" customFormat="1" spans="2:14">
      <c r="B28" s="19" t="s">
        <v>1843</v>
      </c>
      <c r="C28" s="19" t="s">
        <v>216</v>
      </c>
      <c r="D28" s="10" t="s">
        <v>1844</v>
      </c>
      <c r="E28" s="20" t="s">
        <v>202</v>
      </c>
      <c r="F28" s="19" t="s">
        <v>1845</v>
      </c>
      <c r="G28" s="19" t="s">
        <v>218</v>
      </c>
      <c r="H28" s="20"/>
      <c r="I28" s="23"/>
      <c r="J28" s="23" t="s">
        <v>322</v>
      </c>
      <c r="K28" s="23" t="s">
        <v>323</v>
      </c>
      <c r="L28" s="23" t="s">
        <v>323</v>
      </c>
      <c r="M28" s="1" t="str">
        <f t="shared" si="0"/>
        <v>servicetype_name as app_name</v>
      </c>
      <c r="N28" s="16" t="str">
        <f t="shared" si="1"/>
        <v>`app_name` string,</v>
      </c>
    </row>
    <row r="29" s="1" customFormat="1" spans="2:14">
      <c r="B29" s="19" t="s">
        <v>1817</v>
      </c>
      <c r="C29" s="19" t="s">
        <v>216</v>
      </c>
      <c r="D29" s="10" t="s">
        <v>1818</v>
      </c>
      <c r="E29" s="20" t="s">
        <v>199</v>
      </c>
      <c r="F29" s="19" t="s">
        <v>1846</v>
      </c>
      <c r="G29" s="19" t="s">
        <v>1846</v>
      </c>
      <c r="H29" s="20"/>
      <c r="I29" s="23"/>
      <c r="J29" s="23" t="s">
        <v>345</v>
      </c>
      <c r="K29" s="23" t="s">
        <v>323</v>
      </c>
      <c r="L29" s="23" t="s">
        <v>323</v>
      </c>
      <c r="M29" s="1" t="str">
        <f t="shared" si="0"/>
        <v>min(min_starttime) as min_starttime</v>
      </c>
      <c r="N29" s="16" t="str">
        <f t="shared" si="1"/>
        <v>`min_starttime` string,</v>
      </c>
    </row>
    <row r="30" s="1" customFormat="1" spans="2:14">
      <c r="B30" s="19" t="s">
        <v>1820</v>
      </c>
      <c r="C30" s="19" t="s">
        <v>216</v>
      </c>
      <c r="D30" s="10" t="s">
        <v>1821</v>
      </c>
      <c r="E30" s="20" t="s">
        <v>199</v>
      </c>
      <c r="F30" s="19" t="s">
        <v>1847</v>
      </c>
      <c r="G30" s="19" t="s">
        <v>1847</v>
      </c>
      <c r="H30" s="20"/>
      <c r="I30" s="23"/>
      <c r="J30" s="23" t="s">
        <v>345</v>
      </c>
      <c r="K30" s="23" t="s">
        <v>323</v>
      </c>
      <c r="L30" s="23" t="s">
        <v>323</v>
      </c>
      <c r="M30" s="1" t="str">
        <f t="shared" si="0"/>
        <v>max(max_endtime) as max_endtime</v>
      </c>
      <c r="N30" s="16" t="str">
        <f t="shared" si="1"/>
        <v>`max_endtime` string,</v>
      </c>
    </row>
    <row r="31" s="1" customFormat="1" spans="2:14">
      <c r="B31" s="19" t="s">
        <v>1848</v>
      </c>
      <c r="C31" s="19" t="s">
        <v>275</v>
      </c>
      <c r="D31" s="10" t="s">
        <v>1849</v>
      </c>
      <c r="E31" s="20" t="s">
        <v>199</v>
      </c>
      <c r="F31" s="19" t="s">
        <v>1850</v>
      </c>
      <c r="G31" s="19" t="s">
        <v>1850</v>
      </c>
      <c r="H31" s="20"/>
      <c r="I31" s="23"/>
      <c r="J31" s="23" t="s">
        <v>345</v>
      </c>
      <c r="K31" s="23" t="s">
        <v>323</v>
      </c>
      <c r="L31" s="23" t="s">
        <v>339</v>
      </c>
      <c r="M31" s="1" t="str">
        <f t="shared" si="0"/>
        <v>sum(videoplayrequestcount) as total_cnt</v>
      </c>
      <c r="N31" s="16" t="str">
        <f t="shared" si="1"/>
        <v>`total_cnt` bigint,</v>
      </c>
    </row>
    <row r="32" s="1" customFormat="1" spans="2:14">
      <c r="B32" s="19" t="s">
        <v>1814</v>
      </c>
      <c r="C32" s="19" t="s">
        <v>275</v>
      </c>
      <c r="D32" s="10" t="s">
        <v>1851</v>
      </c>
      <c r="E32" s="20" t="s">
        <v>199</v>
      </c>
      <c r="F32" s="19" t="s">
        <v>1852</v>
      </c>
      <c r="G32" s="19" t="s">
        <v>1852</v>
      </c>
      <c r="H32" s="20"/>
      <c r="I32" s="23"/>
      <c r="J32" s="23" t="s">
        <v>345</v>
      </c>
      <c r="K32" s="23" t="s">
        <v>323</v>
      </c>
      <c r="L32" s="23" t="s">
        <v>339</v>
      </c>
      <c r="M32" s="1" t="str">
        <f t="shared" si="0"/>
        <v>sum(abnormal_cnt) as abnormal_cnt</v>
      </c>
      <c r="N32" s="16" t="str">
        <f t="shared" si="1"/>
        <v>`abnormal_cnt` bigint,</v>
      </c>
    </row>
    <row r="33" s="1" customFormat="1" ht="26.4" spans="2:14">
      <c r="B33" s="19" t="s">
        <v>1853</v>
      </c>
      <c r="C33" s="19" t="s">
        <v>240</v>
      </c>
      <c r="D33" s="10" t="s">
        <v>1854</v>
      </c>
      <c r="E33" s="20" t="s">
        <v>199</v>
      </c>
      <c r="F33" s="19" t="s">
        <v>1855</v>
      </c>
      <c r="G33" s="19" t="s">
        <v>1855</v>
      </c>
      <c r="H33" s="20"/>
      <c r="I33" s="23"/>
      <c r="J33" s="23" t="s">
        <v>345</v>
      </c>
      <c r="K33" s="23" t="s">
        <v>323</v>
      </c>
      <c r="L33" s="23" t="s">
        <v>1856</v>
      </c>
      <c r="M33" s="1" t="str">
        <f t="shared" si="0"/>
        <v>sum(abnormal_cnt)/sum(videoplayrequestcount) as abnormal_rate</v>
      </c>
      <c r="N33" s="16" t="str">
        <f t="shared" si="1"/>
        <v>`abnormal_rate` double,</v>
      </c>
    </row>
    <row r="34" s="1" customFormat="1" spans="2:14">
      <c r="B34" s="19" t="s">
        <v>1170</v>
      </c>
      <c r="C34" s="19" t="s">
        <v>275</v>
      </c>
      <c r="D34" s="10" t="s">
        <v>1857</v>
      </c>
      <c r="E34" s="20" t="s">
        <v>199</v>
      </c>
      <c r="F34" s="19" t="s">
        <v>1858</v>
      </c>
      <c r="G34" s="19" t="s">
        <v>1858</v>
      </c>
      <c r="H34" s="20"/>
      <c r="I34" s="23"/>
      <c r="J34" s="23" t="s">
        <v>345</v>
      </c>
      <c r="K34" s="23" t="s">
        <v>1859</v>
      </c>
      <c r="L34" s="23" t="s">
        <v>339</v>
      </c>
      <c r="M34" s="1" t="str">
        <f t="shared" si="0"/>
        <v>sum(duration_sum) as duration</v>
      </c>
      <c r="N34" s="16" t="str">
        <f t="shared" si="1"/>
        <v>`duration` bigint,</v>
      </c>
    </row>
    <row r="35" s="1" customFormat="1" ht="26.4" spans="2:14">
      <c r="B35" s="19" t="s">
        <v>1860</v>
      </c>
      <c r="C35" s="19" t="s">
        <v>275</v>
      </c>
      <c r="D35" s="10" t="s">
        <v>1861</v>
      </c>
      <c r="E35" s="20" t="s">
        <v>199</v>
      </c>
      <c r="F35" s="19" t="s">
        <v>1862</v>
      </c>
      <c r="G35" s="19" t="s">
        <v>1862</v>
      </c>
      <c r="H35" s="20"/>
      <c r="I35" s="23"/>
      <c r="J35" s="23" t="s">
        <v>345</v>
      </c>
      <c r="K35" s="23" t="s">
        <v>1863</v>
      </c>
      <c r="L35" s="23" t="s">
        <v>339</v>
      </c>
      <c r="M35" s="1" t="str">
        <f t="shared" si="0"/>
        <v>sum(outputoctets_sum+inputoctets_sum) as flux</v>
      </c>
      <c r="N35" s="16" t="str">
        <f t="shared" si="1"/>
        <v>`flux` bigint,</v>
      </c>
    </row>
    <row r="36" s="2" customFormat="1" spans="1:12">
      <c r="A36" s="21"/>
      <c r="B36" s="22" t="s">
        <v>252</v>
      </c>
      <c r="C36" s="22" t="s">
        <v>220</v>
      </c>
      <c r="D36" s="22" t="s">
        <v>254</v>
      </c>
      <c r="E36" s="22"/>
      <c r="F36" s="22"/>
      <c r="G36" s="22"/>
      <c r="H36" s="22"/>
      <c r="I36" s="22"/>
      <c r="J36" s="22"/>
      <c r="K36" s="22"/>
      <c r="L36" s="22"/>
    </row>
    <row r="37" s="2" customFormat="1" spans="1:12">
      <c r="A37" s="21"/>
      <c r="B37" s="22" t="s">
        <v>255</v>
      </c>
      <c r="C37" s="22" t="s">
        <v>216</v>
      </c>
      <c r="D37" s="22" t="s">
        <v>256</v>
      </c>
      <c r="E37" s="22"/>
      <c r="F37" s="22"/>
      <c r="G37" s="22"/>
      <c r="H37" s="22"/>
      <c r="I37" s="22"/>
      <c r="J37" s="22"/>
      <c r="K37" s="22"/>
      <c r="L37" s="22"/>
    </row>
    <row r="38" s="2" customFormat="1" spans="1:12">
      <c r="A38" s="21"/>
      <c r="B38" s="22" t="s">
        <v>257</v>
      </c>
      <c r="C38" s="22" t="s">
        <v>220</v>
      </c>
      <c r="D38" s="22" t="s">
        <v>258</v>
      </c>
      <c r="E38" s="22"/>
      <c r="F38" s="22"/>
      <c r="G38" s="22"/>
      <c r="H38" s="22"/>
      <c r="I38" s="22"/>
      <c r="J38" s="22"/>
      <c r="K38" s="22"/>
      <c r="L38" s="22"/>
    </row>
  </sheetData>
  <autoFilter xmlns:etc="http://www.wps.cn/officeDocument/2017/etCustomData" ref="A15:N38"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9"/>
  <sheetViews>
    <sheetView zoomScale="85" zoomScaleNormal="85" workbookViewId="0">
      <pane ySplit="5" topLeftCell="A93" activePane="bottomLeft" state="frozen"/>
      <selection/>
      <selection pane="bottomLeft" activeCell="F114" sqref="F114:G114"/>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43.1111111111111" style="3" customWidth="1"/>
    <col min="8" max="8" width="14.4444444444444" style="3" customWidth="1"/>
    <col min="9" max="9" width="7.44444444444444" style="3" customWidth="1"/>
    <col min="10" max="10" width="8.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127</v>
      </c>
      <c r="D5" s="35" t="s">
        <v>128</v>
      </c>
      <c r="E5" s="11" t="s">
        <v>1864</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2978</v>
      </c>
      <c r="D9" s="35" t="s">
        <v>2979</v>
      </c>
      <c r="E9" s="11" t="s">
        <v>199</v>
      </c>
      <c r="F9" s="11"/>
      <c r="G9" s="13"/>
      <c r="H9" s="15"/>
    </row>
    <row r="10" spans="2:8">
      <c r="B10" s="11"/>
      <c r="C10" s="10" t="s">
        <v>2810</v>
      </c>
      <c r="D10" s="10" t="s">
        <v>2811</v>
      </c>
      <c r="E10" s="11" t="s">
        <v>202</v>
      </c>
      <c r="F10" s="11"/>
      <c r="G10" s="13" t="s">
        <v>2980</v>
      </c>
      <c r="H10" s="15"/>
    </row>
    <row r="11" spans="2:8">
      <c r="B11" s="11"/>
      <c r="C11" s="10" t="s">
        <v>1029</v>
      </c>
      <c r="D11" s="10" t="s">
        <v>1030</v>
      </c>
      <c r="E11" s="11" t="s">
        <v>287</v>
      </c>
      <c r="F11" s="11"/>
      <c r="G11" s="52" t="s">
        <v>2981</v>
      </c>
      <c r="H11" s="15"/>
    </row>
    <row r="12" spans="2:8">
      <c r="B12" s="11"/>
      <c r="C12" s="10" t="s">
        <v>1032</v>
      </c>
      <c r="D12" s="10" t="s">
        <v>1033</v>
      </c>
      <c r="E12" s="11" t="s">
        <v>2814</v>
      </c>
      <c r="F12" s="38"/>
      <c r="G12" s="53"/>
      <c r="H12" s="11"/>
    </row>
    <row r="13" spans="7:7">
      <c r="G13" s="17"/>
    </row>
    <row r="14" spans="2:2">
      <c r="B14" s="3" t="s">
        <v>204</v>
      </c>
    </row>
    <row r="15" spans="2:12">
      <c r="B15" s="7" t="s">
        <v>204</v>
      </c>
      <c r="C15" s="7"/>
      <c r="D15" s="7"/>
      <c r="E15" s="7"/>
      <c r="F15" s="7"/>
      <c r="G15" s="7"/>
      <c r="H15" s="7"/>
      <c r="I15" s="7"/>
      <c r="J15" s="7"/>
      <c r="K15" s="7"/>
      <c r="L15" s="7"/>
    </row>
    <row r="16" spans="2:12">
      <c r="B16" s="8" t="s">
        <v>205</v>
      </c>
      <c r="C16" s="8" t="s">
        <v>206</v>
      </c>
      <c r="D16" s="8" t="s">
        <v>207</v>
      </c>
      <c r="E16" s="8" t="s">
        <v>208</v>
      </c>
      <c r="F16" s="8" t="s">
        <v>209</v>
      </c>
      <c r="G16" s="8" t="s">
        <v>210</v>
      </c>
      <c r="H16" s="8" t="s">
        <v>211</v>
      </c>
      <c r="I16" s="8" t="s">
        <v>17</v>
      </c>
      <c r="J16" s="8" t="s">
        <v>212</v>
      </c>
      <c r="K16" s="8" t="s">
        <v>213</v>
      </c>
      <c r="L16" s="8" t="s">
        <v>214</v>
      </c>
    </row>
    <row r="17" s="1" customFormat="1" spans="2:12">
      <c r="B17" s="32" t="s">
        <v>1302</v>
      </c>
      <c r="C17" s="32" t="s">
        <v>220</v>
      </c>
      <c r="D17" s="10" t="s">
        <v>2587</v>
      </c>
      <c r="E17" s="54"/>
      <c r="F17" s="39"/>
      <c r="G17" s="39"/>
      <c r="H17" s="55"/>
      <c r="I17" s="56"/>
      <c r="J17" s="56"/>
      <c r="K17" s="56"/>
      <c r="L17" s="56"/>
    </row>
    <row r="18" s="1" customFormat="1" spans="2:12">
      <c r="B18" s="32" t="s">
        <v>2588</v>
      </c>
      <c r="C18" s="32" t="s">
        <v>216</v>
      </c>
      <c r="D18" s="10" t="s">
        <v>2569</v>
      </c>
      <c r="E18" s="54"/>
      <c r="F18" s="39"/>
      <c r="G18" s="39"/>
      <c r="H18" s="55"/>
      <c r="I18" s="56"/>
      <c r="J18" s="56"/>
      <c r="K18" s="56"/>
      <c r="L18" s="56"/>
    </row>
    <row r="19" s="1" customFormat="1" spans="2:12">
      <c r="B19" s="32" t="s">
        <v>267</v>
      </c>
      <c r="C19" s="32" t="s">
        <v>216</v>
      </c>
      <c r="D19" s="10" t="s">
        <v>294</v>
      </c>
      <c r="E19" s="54"/>
      <c r="F19" s="39"/>
      <c r="G19" s="39"/>
      <c r="H19" s="55"/>
      <c r="I19" s="56"/>
      <c r="J19" s="56"/>
      <c r="K19" s="56"/>
      <c r="L19" s="56"/>
    </row>
    <row r="20" s="1" customFormat="1" spans="2:12">
      <c r="B20" s="32" t="s">
        <v>2589</v>
      </c>
      <c r="C20" s="32" t="s">
        <v>216</v>
      </c>
      <c r="D20" s="10" t="s">
        <v>2590</v>
      </c>
      <c r="E20" s="54"/>
      <c r="F20" s="39"/>
      <c r="G20" s="39"/>
      <c r="H20" s="55"/>
      <c r="I20" s="56"/>
      <c r="J20" s="56"/>
      <c r="K20" s="56"/>
      <c r="L20" s="56"/>
    </row>
    <row r="21" s="1" customFormat="1" spans="2:12">
      <c r="B21" s="32" t="s">
        <v>2591</v>
      </c>
      <c r="C21" s="32" t="s">
        <v>216</v>
      </c>
      <c r="D21" s="10" t="s">
        <v>2098</v>
      </c>
      <c r="E21" s="54"/>
      <c r="F21" s="39"/>
      <c r="G21" s="39"/>
      <c r="H21" s="55"/>
      <c r="I21" s="56"/>
      <c r="J21" s="56"/>
      <c r="K21" s="56"/>
      <c r="L21" s="56"/>
    </row>
    <row r="22" s="1" customFormat="1" spans="2:12">
      <c r="B22" s="32" t="s">
        <v>1878</v>
      </c>
      <c r="C22" s="32" t="s">
        <v>216</v>
      </c>
      <c r="D22" s="10" t="s">
        <v>2571</v>
      </c>
      <c r="E22" s="54"/>
      <c r="F22" s="39"/>
      <c r="G22" s="39"/>
      <c r="H22" s="55"/>
      <c r="I22" s="56"/>
      <c r="J22" s="56"/>
      <c r="K22" s="56"/>
      <c r="L22" s="56"/>
    </row>
    <row r="23" s="1" customFormat="1" spans="2:12">
      <c r="B23" s="32" t="s">
        <v>2482</v>
      </c>
      <c r="C23" s="32" t="s">
        <v>220</v>
      </c>
      <c r="D23" s="10" t="s">
        <v>2592</v>
      </c>
      <c r="E23" s="54"/>
      <c r="F23" s="39"/>
      <c r="G23" s="39"/>
      <c r="H23" s="55"/>
      <c r="I23" s="56"/>
      <c r="J23" s="56"/>
      <c r="K23" s="56"/>
      <c r="L23" s="56"/>
    </row>
    <row r="24" s="1" customFormat="1" spans="2:12">
      <c r="B24" s="32" t="s">
        <v>1287</v>
      </c>
      <c r="C24" s="32" t="s">
        <v>216</v>
      </c>
      <c r="D24" s="10" t="s">
        <v>1288</v>
      </c>
      <c r="E24" s="54"/>
      <c r="F24" s="39"/>
      <c r="G24" s="39"/>
      <c r="H24" s="55"/>
      <c r="I24" s="56"/>
      <c r="J24" s="56"/>
      <c r="K24" s="56"/>
      <c r="L24" s="56"/>
    </row>
    <row r="25" s="1" customFormat="1" spans="2:12">
      <c r="B25" s="32" t="s">
        <v>2485</v>
      </c>
      <c r="C25" s="32" t="s">
        <v>220</v>
      </c>
      <c r="D25" s="10" t="s">
        <v>2593</v>
      </c>
      <c r="E25" s="54"/>
      <c r="F25" s="39"/>
      <c r="G25" s="39"/>
      <c r="H25" s="55"/>
      <c r="I25" s="56"/>
      <c r="J25" s="56"/>
      <c r="K25" s="56"/>
      <c r="L25" s="56"/>
    </row>
    <row r="26" s="1" customFormat="1" spans="2:12">
      <c r="B26" s="32" t="s">
        <v>2594</v>
      </c>
      <c r="C26" s="32" t="s">
        <v>216</v>
      </c>
      <c r="D26" s="10" t="s">
        <v>2595</v>
      </c>
      <c r="E26" s="54"/>
      <c r="F26" s="39"/>
      <c r="G26" s="39"/>
      <c r="H26" s="55"/>
      <c r="I26" s="56"/>
      <c r="J26" s="56"/>
      <c r="K26" s="56"/>
      <c r="L26" s="56"/>
    </row>
    <row r="27" s="1" customFormat="1" spans="2:12">
      <c r="B27" s="32" t="s">
        <v>2596</v>
      </c>
      <c r="C27" s="32" t="s">
        <v>216</v>
      </c>
      <c r="D27" s="10" t="s">
        <v>2597</v>
      </c>
      <c r="E27" s="54"/>
      <c r="F27" s="39"/>
      <c r="G27" s="39"/>
      <c r="H27" s="55"/>
      <c r="I27" s="56"/>
      <c r="J27" s="56"/>
      <c r="K27" s="56"/>
      <c r="L27" s="56"/>
    </row>
    <row r="28" s="1" customFormat="1" spans="2:12">
      <c r="B28" s="32" t="s">
        <v>1306</v>
      </c>
      <c r="C28" s="32" t="s">
        <v>216</v>
      </c>
      <c r="D28" s="10" t="s">
        <v>1307</v>
      </c>
      <c r="E28" s="54"/>
      <c r="F28" s="39"/>
      <c r="G28" s="39"/>
      <c r="H28" s="55"/>
      <c r="I28" s="56"/>
      <c r="J28" s="56"/>
      <c r="K28" s="56"/>
      <c r="L28" s="56"/>
    </row>
    <row r="29" s="1" customFormat="1" spans="2:12">
      <c r="B29" s="32" t="s">
        <v>1304</v>
      </c>
      <c r="C29" s="32" t="s">
        <v>216</v>
      </c>
      <c r="D29" s="10" t="s">
        <v>1305</v>
      </c>
      <c r="E29" s="54"/>
      <c r="F29" s="39"/>
      <c r="G29" s="39"/>
      <c r="H29" s="55"/>
      <c r="I29" s="56"/>
      <c r="J29" s="56"/>
      <c r="K29" s="56"/>
      <c r="L29" s="56"/>
    </row>
    <row r="30" s="1" customFormat="1" spans="2:12">
      <c r="B30" s="32" t="s">
        <v>302</v>
      </c>
      <c r="C30" s="32" t="s">
        <v>220</v>
      </c>
      <c r="D30" s="10" t="s">
        <v>2598</v>
      </c>
      <c r="E30" s="54"/>
      <c r="F30" s="39"/>
      <c r="G30" s="39"/>
      <c r="H30" s="55"/>
      <c r="I30" s="56"/>
      <c r="J30" s="56"/>
      <c r="K30" s="56"/>
      <c r="L30" s="56"/>
    </row>
    <row r="31" s="1" customFormat="1" spans="2:12">
      <c r="B31" s="32" t="s">
        <v>1889</v>
      </c>
      <c r="C31" s="32" t="s">
        <v>220</v>
      </c>
      <c r="D31" s="10" t="s">
        <v>2599</v>
      </c>
      <c r="E31" s="54"/>
      <c r="F31" s="39"/>
      <c r="G31" s="39"/>
      <c r="H31" s="55"/>
      <c r="I31" s="56"/>
      <c r="J31" s="56"/>
      <c r="K31" s="56"/>
      <c r="L31" s="56"/>
    </row>
    <row r="32" s="1" customFormat="1" spans="2:12">
      <c r="B32" s="32" t="s">
        <v>1313</v>
      </c>
      <c r="C32" s="32" t="s">
        <v>216</v>
      </c>
      <c r="D32" s="10" t="s">
        <v>1893</v>
      </c>
      <c r="E32" s="54"/>
      <c r="F32" s="39"/>
      <c r="G32" s="39"/>
      <c r="H32" s="55"/>
      <c r="I32" s="56"/>
      <c r="J32" s="56"/>
      <c r="K32" s="56"/>
      <c r="L32" s="56"/>
    </row>
    <row r="33" s="1" customFormat="1" spans="2:12">
      <c r="B33" s="32" t="s">
        <v>1897</v>
      </c>
      <c r="C33" s="32" t="s">
        <v>216</v>
      </c>
      <c r="D33" s="10" t="s">
        <v>2600</v>
      </c>
      <c r="E33" s="54"/>
      <c r="F33" s="39"/>
      <c r="G33" s="39"/>
      <c r="H33" s="55"/>
      <c r="I33" s="56"/>
      <c r="J33" s="56"/>
      <c r="K33" s="56"/>
      <c r="L33" s="56"/>
    </row>
    <row r="34" s="1" customFormat="1" spans="2:12">
      <c r="B34" s="32" t="s">
        <v>1899</v>
      </c>
      <c r="C34" s="32" t="s">
        <v>216</v>
      </c>
      <c r="D34" s="10" t="s">
        <v>2601</v>
      </c>
      <c r="E34" s="54"/>
      <c r="F34" s="39"/>
      <c r="G34" s="39"/>
      <c r="H34" s="55"/>
      <c r="I34" s="56"/>
      <c r="J34" s="56"/>
      <c r="K34" s="56"/>
      <c r="L34" s="56"/>
    </row>
    <row r="35" s="1" customFormat="1" spans="2:12">
      <c r="B35" s="32" t="s">
        <v>1170</v>
      </c>
      <c r="C35" s="32" t="s">
        <v>275</v>
      </c>
      <c r="D35" s="10" t="s">
        <v>2602</v>
      </c>
      <c r="E35" s="54"/>
      <c r="F35" s="39"/>
      <c r="G35" s="39"/>
      <c r="H35" s="55"/>
      <c r="I35" s="56"/>
      <c r="J35" s="56"/>
      <c r="K35" s="56"/>
      <c r="L35" s="56"/>
    </row>
    <row r="36" s="1" customFormat="1" spans="2:12">
      <c r="B36" s="32" t="s">
        <v>1902</v>
      </c>
      <c r="C36" s="32" t="s">
        <v>275</v>
      </c>
      <c r="D36" s="10" t="s">
        <v>1903</v>
      </c>
      <c r="E36" s="54"/>
      <c r="F36" s="39"/>
      <c r="G36" s="39"/>
      <c r="H36" s="55"/>
      <c r="I36" s="56"/>
      <c r="J36" s="56"/>
      <c r="K36" s="56"/>
      <c r="L36" s="56"/>
    </row>
    <row r="37" s="1" customFormat="1" spans="2:12">
      <c r="B37" s="32" t="s">
        <v>1904</v>
      </c>
      <c r="C37" s="32" t="s">
        <v>275</v>
      </c>
      <c r="D37" s="10" t="s">
        <v>1905</v>
      </c>
      <c r="E37" s="54"/>
      <c r="F37" s="39"/>
      <c r="G37" s="39"/>
      <c r="H37" s="55"/>
      <c r="I37" s="56"/>
      <c r="J37" s="56"/>
      <c r="K37" s="56"/>
      <c r="L37" s="56"/>
    </row>
    <row r="38" s="1" customFormat="1" spans="2:12">
      <c r="B38" s="32" t="s">
        <v>1906</v>
      </c>
      <c r="C38" s="32" t="s">
        <v>275</v>
      </c>
      <c r="D38" s="10" t="s">
        <v>1330</v>
      </c>
      <c r="E38" s="54"/>
      <c r="F38" s="39"/>
      <c r="G38" s="39"/>
      <c r="H38" s="55"/>
      <c r="I38" s="56"/>
      <c r="J38" s="56"/>
      <c r="K38" s="56"/>
      <c r="L38" s="56"/>
    </row>
    <row r="39" s="1" customFormat="1" spans="2:12">
      <c r="B39" s="32" t="s">
        <v>1907</v>
      </c>
      <c r="C39" s="32" t="s">
        <v>275</v>
      </c>
      <c r="D39" s="10" t="s">
        <v>1332</v>
      </c>
      <c r="E39" s="54"/>
      <c r="F39" s="39"/>
      <c r="G39" s="39"/>
      <c r="H39" s="55"/>
      <c r="I39" s="56"/>
      <c r="J39" s="56"/>
      <c r="K39" s="56"/>
      <c r="L39" s="56"/>
    </row>
    <row r="40" s="1" customFormat="1" spans="2:12">
      <c r="B40" s="32" t="s">
        <v>2603</v>
      </c>
      <c r="C40" s="32" t="s">
        <v>216</v>
      </c>
      <c r="D40" s="10" t="s">
        <v>2604</v>
      </c>
      <c r="E40" s="54"/>
      <c r="F40" s="39"/>
      <c r="G40" s="39"/>
      <c r="H40" s="55"/>
      <c r="I40" s="56"/>
      <c r="J40" s="56"/>
      <c r="K40" s="56"/>
      <c r="L40" s="56"/>
    </row>
    <row r="41" s="1" customFormat="1" spans="2:12">
      <c r="B41" s="32" t="s">
        <v>1939</v>
      </c>
      <c r="C41" s="32" t="s">
        <v>220</v>
      </c>
      <c r="D41" s="10" t="s">
        <v>1940</v>
      </c>
      <c r="E41" s="54"/>
      <c r="F41" s="39"/>
      <c r="G41" s="39"/>
      <c r="H41" s="55"/>
      <c r="I41" s="56"/>
      <c r="J41" s="56"/>
      <c r="K41" s="56"/>
      <c r="L41" s="56"/>
    </row>
    <row r="42" s="1" customFormat="1" spans="2:12">
      <c r="B42" s="32" t="s">
        <v>2605</v>
      </c>
      <c r="C42" s="32" t="s">
        <v>216</v>
      </c>
      <c r="D42" s="10" t="s">
        <v>2606</v>
      </c>
      <c r="E42" s="54"/>
      <c r="F42" s="39"/>
      <c r="G42" s="39"/>
      <c r="H42" s="55"/>
      <c r="I42" s="56"/>
      <c r="J42" s="56"/>
      <c r="K42" s="56"/>
      <c r="L42" s="56"/>
    </row>
    <row r="43" s="1" customFormat="1" spans="2:12">
      <c r="B43" s="32" t="s">
        <v>2607</v>
      </c>
      <c r="C43" s="32" t="s">
        <v>275</v>
      </c>
      <c r="D43" s="10" t="s">
        <v>2608</v>
      </c>
      <c r="E43" s="54"/>
      <c r="F43" s="39"/>
      <c r="G43" s="39"/>
      <c r="H43" s="55"/>
      <c r="I43" s="56"/>
      <c r="J43" s="56"/>
      <c r="K43" s="56"/>
      <c r="L43" s="56"/>
    </row>
    <row r="44" s="1" customFormat="1" spans="2:12">
      <c r="B44" s="32" t="s">
        <v>2609</v>
      </c>
      <c r="C44" s="32" t="s">
        <v>275</v>
      </c>
      <c r="D44" s="10" t="s">
        <v>2610</v>
      </c>
      <c r="E44" s="54"/>
      <c r="F44" s="39"/>
      <c r="G44" s="39"/>
      <c r="H44" s="55"/>
      <c r="I44" s="56"/>
      <c r="J44" s="56"/>
      <c r="K44" s="56"/>
      <c r="L44" s="56"/>
    </row>
    <row r="45" s="1" customFormat="1" spans="2:12">
      <c r="B45" s="32" t="s">
        <v>1808</v>
      </c>
      <c r="C45" s="32" t="s">
        <v>216</v>
      </c>
      <c r="D45" s="10" t="s">
        <v>2572</v>
      </c>
      <c r="E45" s="54"/>
      <c r="F45" s="39"/>
      <c r="G45" s="39"/>
      <c r="H45" s="55"/>
      <c r="I45" s="56"/>
      <c r="J45" s="56"/>
      <c r="K45" s="56"/>
      <c r="L45" s="56"/>
    </row>
    <row r="46" s="1" customFormat="1" spans="2:12">
      <c r="B46" s="32" t="s">
        <v>1895</v>
      </c>
      <c r="C46" s="32" t="s">
        <v>220</v>
      </c>
      <c r="D46" s="10" t="s">
        <v>2611</v>
      </c>
      <c r="E46" s="54"/>
      <c r="F46" s="39"/>
      <c r="G46" s="39"/>
      <c r="H46" s="55"/>
      <c r="I46" s="56"/>
      <c r="J46" s="56"/>
      <c r="K46" s="56"/>
      <c r="L46" s="56"/>
    </row>
    <row r="47" s="1" customFormat="1" spans="2:12">
      <c r="B47" s="32" t="s">
        <v>1908</v>
      </c>
      <c r="C47" s="32" t="s">
        <v>275</v>
      </c>
      <c r="D47" s="10" t="s">
        <v>1909</v>
      </c>
      <c r="E47" s="54"/>
      <c r="F47" s="39"/>
      <c r="G47" s="39"/>
      <c r="H47" s="55"/>
      <c r="I47" s="56"/>
      <c r="J47" s="56"/>
      <c r="K47" s="56"/>
      <c r="L47" s="56"/>
    </row>
    <row r="48" s="1" customFormat="1" spans="2:12">
      <c r="B48" s="32" t="s">
        <v>1910</v>
      </c>
      <c r="C48" s="32" t="s">
        <v>275</v>
      </c>
      <c r="D48" s="10" t="s">
        <v>1911</v>
      </c>
      <c r="E48" s="54"/>
      <c r="F48" s="39"/>
      <c r="G48" s="39"/>
      <c r="H48" s="55"/>
      <c r="I48" s="56"/>
      <c r="J48" s="56"/>
      <c r="K48" s="56"/>
      <c r="L48" s="56"/>
    </row>
    <row r="49" s="1" customFormat="1" spans="2:12">
      <c r="B49" s="32" t="s">
        <v>1912</v>
      </c>
      <c r="C49" s="32" t="s">
        <v>275</v>
      </c>
      <c r="D49" s="10" t="s">
        <v>1913</v>
      </c>
      <c r="E49" s="54"/>
      <c r="F49" s="39"/>
      <c r="G49" s="39"/>
      <c r="H49" s="55"/>
      <c r="I49" s="56"/>
      <c r="J49" s="56"/>
      <c r="K49" s="56"/>
      <c r="L49" s="56"/>
    </row>
    <row r="50" s="1" customFormat="1" spans="2:12">
      <c r="B50" s="32" t="s">
        <v>1914</v>
      </c>
      <c r="C50" s="32" t="s">
        <v>275</v>
      </c>
      <c r="D50" s="10" t="s">
        <v>1915</v>
      </c>
      <c r="E50" s="54"/>
      <c r="F50" s="39"/>
      <c r="G50" s="39"/>
      <c r="H50" s="55"/>
      <c r="I50" s="56"/>
      <c r="J50" s="56"/>
      <c r="K50" s="56"/>
      <c r="L50" s="56"/>
    </row>
    <row r="51" s="1" customFormat="1" spans="2:12">
      <c r="B51" s="32" t="s">
        <v>1276</v>
      </c>
      <c r="C51" s="32" t="s">
        <v>275</v>
      </c>
      <c r="D51" s="10" t="s">
        <v>1277</v>
      </c>
      <c r="E51" s="54"/>
      <c r="F51" s="39"/>
      <c r="G51" s="39"/>
      <c r="H51" s="55"/>
      <c r="I51" s="56"/>
      <c r="J51" s="56"/>
      <c r="K51" s="56"/>
      <c r="L51" s="56"/>
    </row>
    <row r="52" s="1" customFormat="1" spans="2:12">
      <c r="B52" s="32" t="s">
        <v>1278</v>
      </c>
      <c r="C52" s="32" t="s">
        <v>275</v>
      </c>
      <c r="D52" s="10" t="s">
        <v>1279</v>
      </c>
      <c r="E52" s="54"/>
      <c r="F52" s="39"/>
      <c r="G52" s="39"/>
      <c r="H52" s="55"/>
      <c r="I52" s="56"/>
      <c r="J52" s="56"/>
      <c r="K52" s="56"/>
      <c r="L52" s="56"/>
    </row>
    <row r="53" s="1" customFormat="1" spans="2:12">
      <c r="B53" s="32" t="s">
        <v>1291</v>
      </c>
      <c r="C53" s="32" t="s">
        <v>275</v>
      </c>
      <c r="D53" s="10" t="s">
        <v>1356</v>
      </c>
      <c r="E53" s="54"/>
      <c r="F53" s="39"/>
      <c r="G53" s="39"/>
      <c r="H53" s="55"/>
      <c r="I53" s="56"/>
      <c r="J53" s="56"/>
      <c r="K53" s="56"/>
      <c r="L53" s="56"/>
    </row>
    <row r="54" s="1" customFormat="1" spans="2:12">
      <c r="B54" s="32" t="s">
        <v>1293</v>
      </c>
      <c r="C54" s="32" t="s">
        <v>275</v>
      </c>
      <c r="D54" s="10" t="s">
        <v>1358</v>
      </c>
      <c r="E54" s="54"/>
      <c r="F54" s="39"/>
      <c r="G54" s="39"/>
      <c r="H54" s="55"/>
      <c r="I54" s="56"/>
      <c r="J54" s="56"/>
      <c r="K54" s="56"/>
      <c r="L54" s="56"/>
    </row>
    <row r="55" s="1" customFormat="1" spans="2:12">
      <c r="B55" s="32" t="s">
        <v>2051</v>
      </c>
      <c r="C55" s="32" t="s">
        <v>275</v>
      </c>
      <c r="D55" s="10" t="s">
        <v>1348</v>
      </c>
      <c r="E55" s="54"/>
      <c r="F55" s="39"/>
      <c r="G55" s="39"/>
      <c r="H55" s="55"/>
      <c r="I55" s="56"/>
      <c r="J55" s="56"/>
      <c r="K55" s="56"/>
      <c r="L55" s="56"/>
    </row>
    <row r="56" s="1" customFormat="1" ht="26.4" spans="2:12">
      <c r="B56" s="32" t="s">
        <v>2052</v>
      </c>
      <c r="C56" s="32" t="s">
        <v>275</v>
      </c>
      <c r="D56" s="10" t="s">
        <v>1350</v>
      </c>
      <c r="E56" s="54"/>
      <c r="F56" s="39"/>
      <c r="G56" s="39"/>
      <c r="H56" s="55"/>
      <c r="I56" s="56"/>
      <c r="J56" s="56"/>
      <c r="K56" s="56"/>
      <c r="L56" s="56"/>
    </row>
    <row r="57" s="1" customFormat="1" spans="2:12">
      <c r="B57" s="32" t="s">
        <v>1928</v>
      </c>
      <c r="C57" s="32" t="s">
        <v>275</v>
      </c>
      <c r="D57" s="10" t="s">
        <v>1929</v>
      </c>
      <c r="E57" s="54"/>
      <c r="F57" s="39"/>
      <c r="G57" s="39"/>
      <c r="H57" s="55"/>
      <c r="I57" s="56"/>
      <c r="J57" s="56"/>
      <c r="K57" s="56"/>
      <c r="L57" s="56"/>
    </row>
    <row r="58" s="1" customFormat="1" spans="2:12">
      <c r="B58" s="32" t="s">
        <v>1930</v>
      </c>
      <c r="C58" s="32" t="s">
        <v>220</v>
      </c>
      <c r="D58" s="10" t="s">
        <v>1352</v>
      </c>
      <c r="E58" s="54"/>
      <c r="F58" s="39"/>
      <c r="G58" s="39"/>
      <c r="H58" s="55"/>
      <c r="I58" s="56"/>
      <c r="J58" s="56"/>
      <c r="K58" s="56"/>
      <c r="L58" s="56"/>
    </row>
    <row r="59" s="1" customFormat="1" spans="2:12">
      <c r="B59" s="32" t="s">
        <v>1931</v>
      </c>
      <c r="C59" s="32" t="s">
        <v>220</v>
      </c>
      <c r="D59" s="10" t="s">
        <v>1932</v>
      </c>
      <c r="E59" s="54"/>
      <c r="F59" s="39"/>
      <c r="G59" s="39"/>
      <c r="H59" s="55"/>
      <c r="I59" s="56"/>
      <c r="J59" s="56"/>
      <c r="K59" s="56"/>
      <c r="L59" s="56"/>
    </row>
    <row r="60" s="1" customFormat="1" spans="2:12">
      <c r="B60" s="32" t="s">
        <v>1933</v>
      </c>
      <c r="C60" s="32" t="s">
        <v>220</v>
      </c>
      <c r="D60" s="10" t="s">
        <v>1934</v>
      </c>
      <c r="E60" s="54"/>
      <c r="F60" s="39"/>
      <c r="G60" s="39"/>
      <c r="H60" s="55"/>
      <c r="I60" s="56"/>
      <c r="J60" s="56"/>
      <c r="K60" s="56"/>
      <c r="L60" s="56"/>
    </row>
    <row r="61" s="1" customFormat="1" spans="2:12">
      <c r="B61" s="32" t="s">
        <v>2612</v>
      </c>
      <c r="C61" s="32" t="s">
        <v>220</v>
      </c>
      <c r="D61" s="10" t="s">
        <v>2613</v>
      </c>
      <c r="E61" s="54"/>
      <c r="F61" s="39"/>
      <c r="G61" s="39"/>
      <c r="H61" s="55"/>
      <c r="I61" s="56"/>
      <c r="J61" s="56"/>
      <c r="K61" s="56"/>
      <c r="L61" s="56"/>
    </row>
    <row r="62" s="1" customFormat="1" spans="2:12">
      <c r="B62" s="32" t="s">
        <v>2614</v>
      </c>
      <c r="C62" s="32" t="s">
        <v>275</v>
      </c>
      <c r="D62" s="10" t="s">
        <v>2615</v>
      </c>
      <c r="E62" s="54"/>
      <c r="F62" s="39"/>
      <c r="G62" s="39"/>
      <c r="H62" s="55"/>
      <c r="I62" s="56"/>
      <c r="J62" s="56"/>
      <c r="K62" s="56"/>
      <c r="L62" s="56"/>
    </row>
    <row r="63" s="1" customFormat="1" spans="2:12">
      <c r="B63" s="32" t="s">
        <v>2616</v>
      </c>
      <c r="C63" s="32" t="s">
        <v>275</v>
      </c>
      <c r="D63" s="10" t="s">
        <v>2616</v>
      </c>
      <c r="E63" s="54"/>
      <c r="F63" s="39"/>
      <c r="G63" s="39"/>
      <c r="H63" s="55"/>
      <c r="I63" s="56"/>
      <c r="J63" s="56"/>
      <c r="K63" s="56"/>
      <c r="L63" s="56"/>
    </row>
    <row r="64" s="1" customFormat="1" spans="2:12">
      <c r="B64" s="32" t="s">
        <v>2617</v>
      </c>
      <c r="C64" s="32" t="s">
        <v>275</v>
      </c>
      <c r="D64" s="10" t="s">
        <v>2617</v>
      </c>
      <c r="E64" s="54"/>
      <c r="F64" s="39"/>
      <c r="G64" s="39"/>
      <c r="H64" s="55"/>
      <c r="I64" s="56"/>
      <c r="J64" s="56"/>
      <c r="K64" s="56"/>
      <c r="L64" s="56"/>
    </row>
    <row r="65" s="1" customFormat="1" spans="2:12">
      <c r="B65" s="32" t="s">
        <v>2618</v>
      </c>
      <c r="C65" s="32" t="s">
        <v>220</v>
      </c>
      <c r="D65" s="10" t="s">
        <v>2618</v>
      </c>
      <c r="E65" s="54"/>
      <c r="F65" s="39"/>
      <c r="G65" s="39"/>
      <c r="H65" s="55"/>
      <c r="I65" s="56"/>
      <c r="J65" s="56"/>
      <c r="K65" s="56"/>
      <c r="L65" s="56"/>
    </row>
    <row r="66" s="1" customFormat="1" spans="2:12">
      <c r="B66" s="32" t="s">
        <v>2619</v>
      </c>
      <c r="C66" s="32" t="s">
        <v>275</v>
      </c>
      <c r="D66" s="10" t="s">
        <v>2620</v>
      </c>
      <c r="E66" s="54"/>
      <c r="F66" s="39"/>
      <c r="G66" s="39"/>
      <c r="H66" s="55"/>
      <c r="I66" s="56"/>
      <c r="J66" s="56"/>
      <c r="K66" s="56"/>
      <c r="L66" s="56"/>
    </row>
    <row r="67" s="1" customFormat="1" spans="2:12">
      <c r="B67" s="32" t="s">
        <v>2621</v>
      </c>
      <c r="C67" s="32" t="s">
        <v>275</v>
      </c>
      <c r="D67" s="10" t="s">
        <v>2622</v>
      </c>
      <c r="E67" s="54"/>
      <c r="F67" s="39"/>
      <c r="G67" s="39"/>
      <c r="H67" s="55"/>
      <c r="I67" s="56"/>
      <c r="J67" s="56"/>
      <c r="K67" s="56"/>
      <c r="L67" s="56"/>
    </row>
    <row r="68" s="1" customFormat="1" spans="2:12">
      <c r="B68" s="32" t="s">
        <v>2623</v>
      </c>
      <c r="C68" s="32" t="s">
        <v>275</v>
      </c>
      <c r="D68" s="10" t="s">
        <v>2624</v>
      </c>
      <c r="E68" s="54"/>
      <c r="F68" s="39"/>
      <c r="G68" s="39"/>
      <c r="H68" s="55"/>
      <c r="I68" s="56"/>
      <c r="J68" s="56"/>
      <c r="K68" s="56"/>
      <c r="L68" s="56"/>
    </row>
    <row r="69" s="1" customFormat="1" spans="2:12">
      <c r="B69" s="32" t="s">
        <v>2625</v>
      </c>
      <c r="C69" s="32" t="s">
        <v>275</v>
      </c>
      <c r="D69" s="10" t="s">
        <v>2626</v>
      </c>
      <c r="E69" s="54"/>
      <c r="F69" s="39"/>
      <c r="G69" s="39"/>
      <c r="H69" s="55"/>
      <c r="I69" s="56"/>
      <c r="J69" s="56"/>
      <c r="K69" s="56"/>
      <c r="L69" s="56"/>
    </row>
    <row r="70" s="1" customFormat="1" spans="2:12">
      <c r="B70" s="32" t="s">
        <v>2627</v>
      </c>
      <c r="C70" s="32" t="s">
        <v>275</v>
      </c>
      <c r="D70" s="10" t="s">
        <v>2628</v>
      </c>
      <c r="E70" s="54"/>
      <c r="F70" s="39"/>
      <c r="G70" s="39"/>
      <c r="H70" s="55"/>
      <c r="I70" s="56"/>
      <c r="J70" s="56"/>
      <c r="K70" s="56"/>
      <c r="L70" s="56"/>
    </row>
    <row r="71" s="1" customFormat="1" spans="2:12">
      <c r="B71" s="32" t="s">
        <v>2629</v>
      </c>
      <c r="C71" s="32" t="s">
        <v>275</v>
      </c>
      <c r="D71" s="10" t="s">
        <v>2630</v>
      </c>
      <c r="E71" s="54"/>
      <c r="F71" s="39"/>
      <c r="G71" s="39"/>
      <c r="H71" s="55"/>
      <c r="I71" s="56"/>
      <c r="J71" s="56"/>
      <c r="K71" s="56"/>
      <c r="L71" s="56"/>
    </row>
    <row r="72" s="1" customFormat="1" spans="2:12">
      <c r="B72" s="32" t="s">
        <v>2631</v>
      </c>
      <c r="C72" s="32" t="s">
        <v>275</v>
      </c>
      <c r="D72" s="10" t="s">
        <v>2632</v>
      </c>
      <c r="E72" s="54"/>
      <c r="F72" s="39"/>
      <c r="G72" s="39"/>
      <c r="H72" s="55"/>
      <c r="I72" s="56"/>
      <c r="J72" s="56"/>
      <c r="K72" s="56"/>
      <c r="L72" s="56"/>
    </row>
    <row r="73" s="1" customFormat="1" spans="2:12">
      <c r="B73" s="32" t="s">
        <v>2633</v>
      </c>
      <c r="C73" s="32" t="s">
        <v>275</v>
      </c>
      <c r="D73" s="10" t="s">
        <v>2634</v>
      </c>
      <c r="E73" s="54"/>
      <c r="F73" s="39"/>
      <c r="G73" s="39"/>
      <c r="H73" s="55"/>
      <c r="I73" s="56"/>
      <c r="J73" s="56"/>
      <c r="K73" s="56"/>
      <c r="L73" s="56"/>
    </row>
    <row r="74" s="1" customFormat="1" spans="2:12">
      <c r="B74" s="32" t="s">
        <v>2635</v>
      </c>
      <c r="C74" s="32" t="s">
        <v>275</v>
      </c>
      <c r="D74" s="10" t="s">
        <v>1360</v>
      </c>
      <c r="E74" s="54"/>
      <c r="F74" s="39"/>
      <c r="G74" s="39"/>
      <c r="H74" s="55"/>
      <c r="I74" s="56"/>
      <c r="J74" s="56"/>
      <c r="K74" s="56"/>
      <c r="L74" s="56"/>
    </row>
    <row r="75" s="1" customFormat="1" spans="2:12">
      <c r="B75" s="32" t="s">
        <v>2789</v>
      </c>
      <c r="C75" s="32" t="s">
        <v>275</v>
      </c>
      <c r="D75" s="10" t="s">
        <v>1362</v>
      </c>
      <c r="E75" s="54"/>
      <c r="F75" s="39"/>
      <c r="G75" s="39"/>
      <c r="H75" s="55"/>
      <c r="I75" s="56"/>
      <c r="J75" s="56"/>
      <c r="K75" s="56"/>
      <c r="L75" s="56"/>
    </row>
    <row r="76" s="1" customFormat="1" spans="2:12">
      <c r="B76" s="32" t="s">
        <v>2637</v>
      </c>
      <c r="C76" s="32" t="s">
        <v>275</v>
      </c>
      <c r="D76" s="10" t="s">
        <v>1364</v>
      </c>
      <c r="E76" s="54"/>
      <c r="F76" s="39"/>
      <c r="G76" s="39"/>
      <c r="H76" s="55"/>
      <c r="I76" s="56"/>
      <c r="J76" s="56"/>
      <c r="K76" s="56"/>
      <c r="L76" s="56"/>
    </row>
    <row r="77" s="1" customFormat="1" spans="2:12">
      <c r="B77" s="32" t="s">
        <v>2638</v>
      </c>
      <c r="C77" s="32" t="s">
        <v>275</v>
      </c>
      <c r="D77" s="10" t="s">
        <v>1366</v>
      </c>
      <c r="E77" s="54"/>
      <c r="F77" s="39"/>
      <c r="G77" s="39"/>
      <c r="H77" s="55"/>
      <c r="I77" s="56"/>
      <c r="J77" s="56"/>
      <c r="K77" s="56"/>
      <c r="L77" s="56"/>
    </row>
    <row r="78" s="1" customFormat="1" spans="2:12">
      <c r="B78" s="32" t="s">
        <v>2639</v>
      </c>
      <c r="C78" s="32" t="s">
        <v>275</v>
      </c>
      <c r="D78" s="10" t="s">
        <v>1368</v>
      </c>
      <c r="E78" s="54"/>
      <c r="F78" s="39"/>
      <c r="G78" s="39"/>
      <c r="H78" s="55"/>
      <c r="I78" s="56"/>
      <c r="J78" s="56"/>
      <c r="K78" s="56"/>
      <c r="L78" s="56"/>
    </row>
    <row r="79" s="1" customFormat="1" spans="2:12">
      <c r="B79" s="32" t="s">
        <v>2640</v>
      </c>
      <c r="C79" s="32" t="s">
        <v>275</v>
      </c>
      <c r="D79" s="10" t="s">
        <v>1370</v>
      </c>
      <c r="E79" s="54"/>
      <c r="F79" s="39"/>
      <c r="G79" s="39"/>
      <c r="H79" s="55"/>
      <c r="I79" s="56"/>
      <c r="J79" s="56"/>
      <c r="K79" s="56"/>
      <c r="L79" s="56"/>
    </row>
    <row r="80" s="1" customFormat="1" spans="2:12">
      <c r="B80" s="32" t="s">
        <v>2641</v>
      </c>
      <c r="C80" s="32" t="s">
        <v>275</v>
      </c>
      <c r="D80" s="10" t="s">
        <v>1372</v>
      </c>
      <c r="E80" s="54"/>
      <c r="F80" s="39"/>
      <c r="G80" s="39"/>
      <c r="H80" s="55"/>
      <c r="I80" s="56"/>
      <c r="J80" s="56"/>
      <c r="K80" s="56"/>
      <c r="L80" s="56"/>
    </row>
    <row r="81" s="1" customFormat="1" spans="2:12">
      <c r="B81" s="32" t="s">
        <v>2642</v>
      </c>
      <c r="C81" s="32" t="s">
        <v>275</v>
      </c>
      <c r="D81" s="10" t="s">
        <v>1374</v>
      </c>
      <c r="E81" s="54"/>
      <c r="F81" s="39"/>
      <c r="G81" s="39"/>
      <c r="H81" s="55"/>
      <c r="I81" s="56"/>
      <c r="J81" s="56"/>
      <c r="K81" s="56"/>
      <c r="L81" s="56"/>
    </row>
    <row r="82" s="1" customFormat="1" spans="2:12">
      <c r="B82" s="32" t="s">
        <v>2643</v>
      </c>
      <c r="C82" s="32" t="s">
        <v>275</v>
      </c>
      <c r="D82" s="10" t="s">
        <v>1376</v>
      </c>
      <c r="E82" s="54"/>
      <c r="F82" s="39"/>
      <c r="G82" s="39"/>
      <c r="H82" s="55"/>
      <c r="I82" s="56"/>
      <c r="J82" s="56"/>
      <c r="K82" s="56"/>
      <c r="L82" s="56"/>
    </row>
    <row r="83" s="1" customFormat="1" spans="2:12">
      <c r="B83" s="32" t="s">
        <v>2644</v>
      </c>
      <c r="C83" s="32" t="s">
        <v>275</v>
      </c>
      <c r="D83" s="10" t="s">
        <v>1378</v>
      </c>
      <c r="E83" s="54"/>
      <c r="F83" s="39"/>
      <c r="G83" s="39"/>
      <c r="H83" s="55"/>
      <c r="I83" s="56"/>
      <c r="J83" s="56"/>
      <c r="K83" s="56"/>
      <c r="L83" s="56"/>
    </row>
    <row r="84" s="1" customFormat="1" spans="2:12">
      <c r="B84" s="32" t="s">
        <v>2645</v>
      </c>
      <c r="C84" s="32" t="s">
        <v>275</v>
      </c>
      <c r="D84" s="10" t="s">
        <v>1380</v>
      </c>
      <c r="E84" s="54"/>
      <c r="F84" s="39"/>
      <c r="G84" s="39"/>
      <c r="H84" s="55"/>
      <c r="I84" s="56"/>
      <c r="J84" s="56"/>
      <c r="K84" s="56"/>
      <c r="L84" s="56"/>
    </row>
    <row r="85" s="1" customFormat="1" spans="2:12">
      <c r="B85" s="32" t="s">
        <v>2646</v>
      </c>
      <c r="C85" s="32" t="s">
        <v>275</v>
      </c>
      <c r="D85" s="10" t="s">
        <v>1382</v>
      </c>
      <c r="E85" s="54"/>
      <c r="F85" s="39"/>
      <c r="G85" s="39"/>
      <c r="H85" s="55"/>
      <c r="I85" s="56"/>
      <c r="J85" s="56"/>
      <c r="K85" s="56"/>
      <c r="L85" s="56"/>
    </row>
    <row r="86" s="1" customFormat="1" spans="2:12">
      <c r="B86" s="32" t="s">
        <v>2647</v>
      </c>
      <c r="C86" s="32" t="s">
        <v>275</v>
      </c>
      <c r="D86" s="10" t="s">
        <v>1384</v>
      </c>
      <c r="E86" s="54"/>
      <c r="F86" s="39"/>
      <c r="G86" s="39"/>
      <c r="H86" s="55"/>
      <c r="I86" s="56"/>
      <c r="J86" s="56"/>
      <c r="K86" s="56"/>
      <c r="L86" s="56"/>
    </row>
    <row r="87" s="1" customFormat="1" spans="2:12">
      <c r="B87" s="32" t="s">
        <v>2648</v>
      </c>
      <c r="C87" s="32" t="s">
        <v>275</v>
      </c>
      <c r="D87" s="10" t="s">
        <v>1386</v>
      </c>
      <c r="E87" s="54"/>
      <c r="F87" s="39"/>
      <c r="G87" s="39"/>
      <c r="H87" s="55"/>
      <c r="I87" s="56"/>
      <c r="J87" s="56"/>
      <c r="K87" s="56"/>
      <c r="L87" s="56"/>
    </row>
    <row r="88" s="1" customFormat="1" spans="2:12">
      <c r="B88" s="32" t="s">
        <v>2649</v>
      </c>
      <c r="C88" s="32" t="s">
        <v>275</v>
      </c>
      <c r="D88" s="10" t="s">
        <v>1388</v>
      </c>
      <c r="E88" s="54"/>
      <c r="F88" s="39"/>
      <c r="G88" s="39"/>
      <c r="H88" s="55"/>
      <c r="I88" s="56"/>
      <c r="J88" s="56"/>
      <c r="K88" s="56"/>
      <c r="L88" s="56"/>
    </row>
    <row r="89" s="1" customFormat="1" spans="2:12">
      <c r="B89" s="32" t="s">
        <v>2650</v>
      </c>
      <c r="C89" s="32" t="s">
        <v>275</v>
      </c>
      <c r="D89" s="10" t="s">
        <v>1390</v>
      </c>
      <c r="E89" s="54"/>
      <c r="F89" s="39"/>
      <c r="G89" s="39"/>
      <c r="H89" s="55"/>
      <c r="I89" s="56"/>
      <c r="J89" s="56"/>
      <c r="K89" s="56"/>
      <c r="L89" s="56"/>
    </row>
    <row r="90" s="1" customFormat="1" spans="2:12">
      <c r="B90" s="32" t="s">
        <v>2653</v>
      </c>
      <c r="C90" s="32" t="s">
        <v>216</v>
      </c>
      <c r="D90" s="10" t="s">
        <v>2544</v>
      </c>
      <c r="E90" s="54"/>
      <c r="F90" s="39"/>
      <c r="G90" s="39"/>
      <c r="H90" s="55"/>
      <c r="I90" s="56"/>
      <c r="J90" s="56"/>
      <c r="K90" s="56"/>
      <c r="L90" s="56"/>
    </row>
    <row r="91" s="1" customFormat="1" spans="2:12">
      <c r="B91" s="32" t="s">
        <v>2654</v>
      </c>
      <c r="C91" s="32" t="s">
        <v>216</v>
      </c>
      <c r="D91" s="10" t="s">
        <v>1954</v>
      </c>
      <c r="E91" s="54"/>
      <c r="F91" s="39"/>
      <c r="G91" s="39"/>
      <c r="H91" s="55"/>
      <c r="I91" s="56"/>
      <c r="J91" s="56"/>
      <c r="K91" s="56"/>
      <c r="L91" s="56"/>
    </row>
    <row r="92" s="1" customFormat="1" spans="2:12">
      <c r="B92" s="32" t="s">
        <v>1286</v>
      </c>
      <c r="C92" s="32" t="s">
        <v>216</v>
      </c>
      <c r="D92" s="10" t="s">
        <v>1955</v>
      </c>
      <c r="E92" s="54"/>
      <c r="F92" s="39"/>
      <c r="G92" s="39"/>
      <c r="H92" s="55"/>
      <c r="I92" s="56"/>
      <c r="J92" s="56"/>
      <c r="K92" s="56"/>
      <c r="L92" s="56"/>
    </row>
    <row r="93" s="1" customFormat="1" spans="2:12">
      <c r="B93" s="32" t="s">
        <v>1972</v>
      </c>
      <c r="C93" s="32" t="s">
        <v>275</v>
      </c>
      <c r="D93" s="10" t="s">
        <v>1973</v>
      </c>
      <c r="E93" s="54"/>
      <c r="F93" s="39"/>
      <c r="G93" s="39"/>
      <c r="H93" s="55"/>
      <c r="I93" s="56"/>
      <c r="J93" s="56"/>
      <c r="K93" s="56"/>
      <c r="L93" s="56"/>
    </row>
    <row r="94" s="1" customFormat="1" spans="2:12">
      <c r="B94" s="32" t="s">
        <v>1974</v>
      </c>
      <c r="C94" s="32" t="s">
        <v>275</v>
      </c>
      <c r="D94" s="10" t="s">
        <v>1975</v>
      </c>
      <c r="E94" s="54"/>
      <c r="F94" s="39"/>
      <c r="G94" s="39"/>
      <c r="H94" s="55"/>
      <c r="I94" s="56"/>
      <c r="J94" s="56"/>
      <c r="K94" s="56"/>
      <c r="L94" s="56"/>
    </row>
    <row r="95" s="1" customFormat="1" spans="2:12">
      <c r="B95" s="32" t="s">
        <v>1976</v>
      </c>
      <c r="C95" s="32" t="s">
        <v>275</v>
      </c>
      <c r="D95" s="10" t="s">
        <v>1977</v>
      </c>
      <c r="E95" s="54"/>
      <c r="F95" s="39"/>
      <c r="G95" s="39"/>
      <c r="H95" s="55"/>
      <c r="I95" s="56"/>
      <c r="J95" s="56"/>
      <c r="K95" s="56"/>
      <c r="L95" s="56"/>
    </row>
    <row r="96" s="1" customFormat="1" spans="2:12">
      <c r="B96" s="32" t="s">
        <v>2662</v>
      </c>
      <c r="C96" s="32" t="s">
        <v>275</v>
      </c>
      <c r="D96" s="10" t="s">
        <v>1979</v>
      </c>
      <c r="E96" s="54"/>
      <c r="F96" s="39"/>
      <c r="G96" s="39"/>
      <c r="H96" s="55"/>
      <c r="I96" s="56"/>
      <c r="J96" s="56"/>
      <c r="K96" s="56"/>
      <c r="L96" s="56"/>
    </row>
    <row r="97" s="1" customFormat="1" spans="2:12">
      <c r="B97" s="32" t="s">
        <v>2665</v>
      </c>
      <c r="C97" s="32" t="s">
        <v>275</v>
      </c>
      <c r="D97" s="10" t="s">
        <v>1981</v>
      </c>
      <c r="E97" s="54"/>
      <c r="F97" s="39"/>
      <c r="G97" s="39"/>
      <c r="H97" s="55"/>
      <c r="I97" s="56"/>
      <c r="J97" s="56"/>
      <c r="K97" s="56"/>
      <c r="L97" s="56"/>
    </row>
    <row r="98" s="1" customFormat="1" spans="2:12">
      <c r="B98" s="32" t="s">
        <v>1984</v>
      </c>
      <c r="C98" s="32" t="s">
        <v>275</v>
      </c>
      <c r="D98" s="10" t="s">
        <v>1985</v>
      </c>
      <c r="E98" s="54"/>
      <c r="F98" s="39"/>
      <c r="G98" s="39"/>
      <c r="H98" s="55"/>
      <c r="I98" s="56"/>
      <c r="J98" s="56"/>
      <c r="K98" s="56"/>
      <c r="L98" s="56"/>
    </row>
    <row r="99" s="1" customFormat="1" spans="2:12">
      <c r="B99" s="32" t="s">
        <v>2666</v>
      </c>
      <c r="C99" s="32" t="s">
        <v>275</v>
      </c>
      <c r="D99" s="10" t="s">
        <v>1993</v>
      </c>
      <c r="E99" s="54"/>
      <c r="F99" s="39"/>
      <c r="G99" s="39"/>
      <c r="H99" s="55"/>
      <c r="I99" s="56"/>
      <c r="J99" s="56"/>
      <c r="K99" s="56"/>
      <c r="L99" s="56"/>
    </row>
    <row r="100" s="1" customFormat="1" spans="2:12">
      <c r="B100" s="32" t="s">
        <v>2673</v>
      </c>
      <c r="C100" s="32" t="s">
        <v>275</v>
      </c>
      <c r="D100" s="10" t="s">
        <v>2545</v>
      </c>
      <c r="E100" s="54"/>
      <c r="F100" s="39"/>
      <c r="G100" s="39"/>
      <c r="H100" s="55"/>
      <c r="I100" s="56"/>
      <c r="J100" s="56"/>
      <c r="K100" s="56"/>
      <c r="L100" s="56"/>
    </row>
    <row r="101" s="1" customFormat="1" spans="2:12">
      <c r="B101" s="32" t="s">
        <v>2674</v>
      </c>
      <c r="C101" s="32" t="s">
        <v>275</v>
      </c>
      <c r="D101" s="10" t="s">
        <v>2546</v>
      </c>
      <c r="E101" s="54"/>
      <c r="F101" s="39"/>
      <c r="G101" s="39"/>
      <c r="H101" s="55"/>
      <c r="I101" s="56"/>
      <c r="J101" s="56"/>
      <c r="K101" s="56"/>
      <c r="L101" s="56"/>
    </row>
    <row r="102" s="1" customFormat="1" spans="2:12">
      <c r="B102" s="32" t="s">
        <v>2675</v>
      </c>
      <c r="C102" s="32" t="s">
        <v>275</v>
      </c>
      <c r="D102" s="10" t="s">
        <v>2547</v>
      </c>
      <c r="E102" s="54"/>
      <c r="F102" s="39"/>
      <c r="G102" s="39"/>
      <c r="H102" s="55"/>
      <c r="I102" s="56"/>
      <c r="J102" s="56"/>
      <c r="K102" s="56"/>
      <c r="L102" s="56"/>
    </row>
    <row r="103" s="1" customFormat="1" spans="2:12">
      <c r="B103" s="32" t="s">
        <v>2676</v>
      </c>
      <c r="C103" s="32" t="s">
        <v>275</v>
      </c>
      <c r="D103" s="10" t="s">
        <v>2548</v>
      </c>
      <c r="E103" s="54"/>
      <c r="F103" s="39"/>
      <c r="G103" s="39"/>
      <c r="H103" s="55"/>
      <c r="I103" s="56"/>
      <c r="J103" s="56"/>
      <c r="K103" s="56"/>
      <c r="L103" s="56"/>
    </row>
    <row r="104" s="1" customFormat="1" spans="2:12">
      <c r="B104" s="32" t="s">
        <v>2677</v>
      </c>
      <c r="C104" s="32" t="s">
        <v>275</v>
      </c>
      <c r="D104" s="10" t="s">
        <v>2549</v>
      </c>
      <c r="E104" s="54"/>
      <c r="F104" s="39"/>
      <c r="G104" s="39"/>
      <c r="H104" s="55"/>
      <c r="I104" s="56"/>
      <c r="J104" s="56"/>
      <c r="K104" s="56"/>
      <c r="L104" s="56"/>
    </row>
    <row r="105" s="1" customFormat="1" spans="2:12">
      <c r="B105" s="32" t="s">
        <v>2790</v>
      </c>
      <c r="C105" s="32" t="s">
        <v>275</v>
      </c>
      <c r="D105" s="10" t="s">
        <v>2551</v>
      </c>
      <c r="E105" s="54"/>
      <c r="F105" s="39"/>
      <c r="G105" s="39"/>
      <c r="H105" s="55"/>
      <c r="I105" s="56"/>
      <c r="J105" s="56"/>
      <c r="K105" s="56"/>
      <c r="L105" s="56"/>
    </row>
    <row r="106" s="1" customFormat="1" spans="2:12">
      <c r="B106" s="32" t="s">
        <v>2791</v>
      </c>
      <c r="C106" s="32" t="s">
        <v>275</v>
      </c>
      <c r="D106" s="10" t="s">
        <v>2553</v>
      </c>
      <c r="E106" s="54"/>
      <c r="F106" s="39"/>
      <c r="G106" s="39"/>
      <c r="H106" s="55"/>
      <c r="I106" s="56"/>
      <c r="J106" s="56"/>
      <c r="K106" s="56"/>
      <c r="L106" s="56"/>
    </row>
    <row r="107" s="1" customFormat="1" spans="2:12">
      <c r="B107" s="32" t="s">
        <v>2792</v>
      </c>
      <c r="C107" s="32" t="s">
        <v>275</v>
      </c>
      <c r="D107" s="10" t="s">
        <v>2793</v>
      </c>
      <c r="E107" s="54"/>
      <c r="F107" s="39"/>
      <c r="G107" s="39"/>
      <c r="H107" s="55"/>
      <c r="I107" s="56"/>
      <c r="J107" s="56"/>
      <c r="K107" s="56"/>
      <c r="L107" s="56"/>
    </row>
    <row r="108" s="1" customFormat="1" spans="2:12">
      <c r="B108" s="32" t="s">
        <v>2794</v>
      </c>
      <c r="C108" s="32" t="s">
        <v>275</v>
      </c>
      <c r="D108" s="10" t="s">
        <v>2795</v>
      </c>
      <c r="E108" s="54"/>
      <c r="F108" s="39"/>
      <c r="G108" s="39"/>
      <c r="H108" s="55"/>
      <c r="I108" s="56"/>
      <c r="J108" s="56"/>
      <c r="K108" s="56"/>
      <c r="L108" s="56"/>
    </row>
    <row r="109" s="1" customFormat="1" spans="2:12">
      <c r="B109" s="32" t="s">
        <v>1308</v>
      </c>
      <c r="C109" s="32" t="s">
        <v>275</v>
      </c>
      <c r="D109" s="10" t="s">
        <v>1309</v>
      </c>
      <c r="E109" s="54"/>
      <c r="F109" s="39"/>
      <c r="G109" s="39"/>
      <c r="H109" s="55"/>
      <c r="I109" s="56"/>
      <c r="J109" s="56"/>
      <c r="K109" s="56"/>
      <c r="L109" s="56"/>
    </row>
    <row r="110" s="1" customFormat="1" spans="2:12">
      <c r="B110" s="32" t="s">
        <v>222</v>
      </c>
      <c r="C110" s="32" t="s">
        <v>275</v>
      </c>
      <c r="D110" s="10" t="s">
        <v>298</v>
      </c>
      <c r="E110" s="54"/>
      <c r="F110" s="39"/>
      <c r="G110" s="39"/>
      <c r="H110" s="55"/>
      <c r="I110" s="56"/>
      <c r="J110" s="56"/>
      <c r="K110" s="56"/>
      <c r="L110" s="56"/>
    </row>
    <row r="111" s="1" customFormat="1" spans="2:12">
      <c r="B111" s="32" t="s">
        <v>1176</v>
      </c>
      <c r="C111" s="32" t="s">
        <v>275</v>
      </c>
      <c r="D111" s="10" t="s">
        <v>2681</v>
      </c>
      <c r="E111" s="54"/>
      <c r="F111" s="39"/>
      <c r="G111" s="39"/>
      <c r="H111" s="55"/>
      <c r="I111" s="56"/>
      <c r="J111" s="56"/>
      <c r="K111" s="56"/>
      <c r="L111" s="56"/>
    </row>
    <row r="112" s="50" customFormat="1" spans="2:12">
      <c r="B112" s="57" t="s">
        <v>1316</v>
      </c>
      <c r="C112" s="57" t="s">
        <v>220</v>
      </c>
      <c r="D112" s="58" t="s">
        <v>2092</v>
      </c>
      <c r="E112" s="59"/>
      <c r="F112" s="60" t="s">
        <v>199</v>
      </c>
      <c r="G112" s="60" t="s">
        <v>252</v>
      </c>
      <c r="H112" s="61"/>
      <c r="I112" s="62" t="s">
        <v>1039</v>
      </c>
      <c r="J112" s="62"/>
      <c r="K112" s="62"/>
      <c r="L112" s="62"/>
    </row>
    <row r="113" s="50" customFormat="1" ht="39.6" spans="2:12">
      <c r="B113" s="57" t="s">
        <v>1318</v>
      </c>
      <c r="C113" s="57" t="s">
        <v>220</v>
      </c>
      <c r="D113" s="58" t="s">
        <v>2093</v>
      </c>
      <c r="E113" s="59"/>
      <c r="F113" s="60" t="s">
        <v>2821</v>
      </c>
      <c r="G113" s="60" t="s">
        <v>2822</v>
      </c>
      <c r="H113" s="61"/>
      <c r="I113" s="62" t="s">
        <v>1039</v>
      </c>
      <c r="J113" s="62"/>
      <c r="K113" s="62"/>
      <c r="L113" s="62"/>
    </row>
    <row r="114" s="50" customFormat="1" ht="39.6" spans="2:12">
      <c r="B114" s="57" t="s">
        <v>1064</v>
      </c>
      <c r="C114" s="57" t="s">
        <v>220</v>
      </c>
      <c r="D114" s="58" t="s">
        <v>1320</v>
      </c>
      <c r="E114" s="59"/>
      <c r="F114" s="60" t="s">
        <v>2821</v>
      </c>
      <c r="G114" s="60" t="s">
        <v>2823</v>
      </c>
      <c r="H114" s="61"/>
      <c r="I114" s="62" t="s">
        <v>1039</v>
      </c>
      <c r="J114" s="62"/>
      <c r="K114" s="62"/>
      <c r="L114" s="62"/>
    </row>
    <row r="115" s="1" customFormat="1" spans="2:12">
      <c r="B115" s="32" t="s">
        <v>2046</v>
      </c>
      <c r="C115" s="32" t="s">
        <v>275</v>
      </c>
      <c r="D115" s="10" t="s">
        <v>1167</v>
      </c>
      <c r="E115" s="54"/>
      <c r="F115" s="39"/>
      <c r="G115" s="39"/>
      <c r="H115" s="55"/>
      <c r="I115" s="56"/>
      <c r="J115" s="56"/>
      <c r="K115" s="56"/>
      <c r="L115" s="56"/>
    </row>
    <row r="116" s="1" customFormat="1" ht="26.4" spans="2:12">
      <c r="B116" s="32" t="s">
        <v>2047</v>
      </c>
      <c r="C116" s="32" t="s">
        <v>275</v>
      </c>
      <c r="D116" s="10" t="s">
        <v>2048</v>
      </c>
      <c r="E116" s="54"/>
      <c r="F116" s="39"/>
      <c r="G116" s="39"/>
      <c r="H116" s="55"/>
      <c r="I116" s="56"/>
      <c r="J116" s="56"/>
      <c r="K116" s="56"/>
      <c r="L116" s="56"/>
    </row>
    <row r="117" s="1" customFormat="1" spans="2:12">
      <c r="B117" s="32" t="s">
        <v>2049</v>
      </c>
      <c r="C117" s="32" t="s">
        <v>275</v>
      </c>
      <c r="D117" s="10" t="s">
        <v>2050</v>
      </c>
      <c r="E117" s="54"/>
      <c r="F117" s="39"/>
      <c r="G117" s="39"/>
      <c r="H117" s="55"/>
      <c r="I117" s="56"/>
      <c r="J117" s="56"/>
      <c r="K117" s="56"/>
      <c r="L117" s="56"/>
    </row>
    <row r="118" s="1" customFormat="1" spans="2:12">
      <c r="B118" s="32" t="s">
        <v>2053</v>
      </c>
      <c r="C118" s="32" t="s">
        <v>275</v>
      </c>
      <c r="D118" s="10" t="s">
        <v>2054</v>
      </c>
      <c r="E118" s="54"/>
      <c r="F118" s="39"/>
      <c r="G118" s="39"/>
      <c r="H118" s="55"/>
      <c r="I118" s="56"/>
      <c r="J118" s="56"/>
      <c r="K118" s="56"/>
      <c r="L118" s="56"/>
    </row>
    <row r="119" s="1" customFormat="1" spans="2:12">
      <c r="B119" s="32" t="s">
        <v>2055</v>
      </c>
      <c r="C119" s="32" t="s">
        <v>275</v>
      </c>
      <c r="D119" s="10" t="s">
        <v>2056</v>
      </c>
      <c r="E119" s="54"/>
      <c r="F119" s="39"/>
      <c r="G119" s="39"/>
      <c r="H119" s="55"/>
      <c r="I119" s="56"/>
      <c r="J119" s="56"/>
      <c r="K119" s="56"/>
      <c r="L119" s="56"/>
    </row>
    <row r="120" s="1" customFormat="1" spans="2:12">
      <c r="B120" s="32" t="s">
        <v>2057</v>
      </c>
      <c r="C120" s="32" t="s">
        <v>275</v>
      </c>
      <c r="D120" s="10" t="s">
        <v>2058</v>
      </c>
      <c r="E120" s="54"/>
      <c r="F120" s="39"/>
      <c r="G120" s="39"/>
      <c r="H120" s="55"/>
      <c r="I120" s="56"/>
      <c r="J120" s="56"/>
      <c r="K120" s="56"/>
      <c r="L120" s="56"/>
    </row>
    <row r="121" s="1" customFormat="1" spans="2:12">
      <c r="B121" s="32" t="s">
        <v>2061</v>
      </c>
      <c r="C121" s="32" t="s">
        <v>275</v>
      </c>
      <c r="D121" s="10" t="s">
        <v>2062</v>
      </c>
      <c r="E121" s="54"/>
      <c r="F121" s="39"/>
      <c r="G121" s="39"/>
      <c r="H121" s="55"/>
      <c r="I121" s="56"/>
      <c r="J121" s="56"/>
      <c r="K121" s="56"/>
      <c r="L121" s="56"/>
    </row>
    <row r="122" s="1" customFormat="1" ht="26.4" spans="2:12">
      <c r="B122" s="32" t="s">
        <v>2065</v>
      </c>
      <c r="C122" s="32" t="s">
        <v>275</v>
      </c>
      <c r="D122" s="10" t="s">
        <v>2066</v>
      </c>
      <c r="E122" s="54"/>
      <c r="F122" s="39"/>
      <c r="G122" s="39"/>
      <c r="H122" s="55"/>
      <c r="I122" s="56"/>
      <c r="J122" s="56"/>
      <c r="K122" s="56"/>
      <c r="L122" s="56"/>
    </row>
    <row r="123" s="1" customFormat="1" ht="26.4" spans="2:12">
      <c r="B123" s="32" t="s">
        <v>2067</v>
      </c>
      <c r="C123" s="32" t="s">
        <v>275</v>
      </c>
      <c r="D123" s="10" t="s">
        <v>2068</v>
      </c>
      <c r="E123" s="54"/>
      <c r="F123" s="39"/>
      <c r="G123" s="39"/>
      <c r="H123" s="55"/>
      <c r="I123" s="56"/>
      <c r="J123" s="56"/>
      <c r="K123" s="56"/>
      <c r="L123" s="56"/>
    </row>
    <row r="124" s="1" customFormat="1" ht="26.4" spans="2:12">
      <c r="B124" s="32" t="s">
        <v>2069</v>
      </c>
      <c r="C124" s="32" t="s">
        <v>275</v>
      </c>
      <c r="D124" s="10" t="s">
        <v>2070</v>
      </c>
      <c r="E124" s="54"/>
      <c r="F124" s="39"/>
      <c r="G124" s="39"/>
      <c r="H124" s="55"/>
      <c r="I124" s="56"/>
      <c r="J124" s="56"/>
      <c r="K124" s="56"/>
      <c r="L124" s="56"/>
    </row>
    <row r="125" s="1" customFormat="1" ht="26.4" spans="2:12">
      <c r="B125" s="32" t="s">
        <v>2075</v>
      </c>
      <c r="C125" s="32" t="s">
        <v>275</v>
      </c>
      <c r="D125" s="10" t="s">
        <v>2076</v>
      </c>
      <c r="E125" s="54"/>
      <c r="F125" s="39"/>
      <c r="G125" s="39"/>
      <c r="H125" s="55"/>
      <c r="I125" s="56"/>
      <c r="J125" s="56"/>
      <c r="K125" s="56"/>
      <c r="L125" s="56"/>
    </row>
    <row r="126" s="1" customFormat="1" ht="26.4" spans="2:12">
      <c r="B126" s="32" t="s">
        <v>2077</v>
      </c>
      <c r="C126" s="32" t="s">
        <v>275</v>
      </c>
      <c r="D126" s="10" t="s">
        <v>2078</v>
      </c>
      <c r="E126" s="54"/>
      <c r="F126" s="39"/>
      <c r="G126" s="39"/>
      <c r="H126" s="55"/>
      <c r="I126" s="56"/>
      <c r="J126" s="56"/>
      <c r="K126" s="56"/>
      <c r="L126" s="56"/>
    </row>
    <row r="127" s="1" customFormat="1" spans="2:12">
      <c r="B127" s="32" t="s">
        <v>2083</v>
      </c>
      <c r="C127" s="32" t="s">
        <v>275</v>
      </c>
      <c r="D127" s="10" t="s">
        <v>2084</v>
      </c>
      <c r="E127" s="54"/>
      <c r="F127" s="39"/>
      <c r="G127" s="39"/>
      <c r="H127" s="55"/>
      <c r="I127" s="56"/>
      <c r="J127" s="56"/>
      <c r="K127" s="56"/>
      <c r="L127" s="56"/>
    </row>
    <row r="128" s="1" customFormat="1" spans="2:12">
      <c r="B128" s="32" t="s">
        <v>2562</v>
      </c>
      <c r="C128" s="32" t="s">
        <v>275</v>
      </c>
      <c r="D128" s="10" t="s">
        <v>2563</v>
      </c>
      <c r="E128" s="54"/>
      <c r="F128" s="39"/>
      <c r="G128" s="39"/>
      <c r="H128" s="55"/>
      <c r="I128" s="56"/>
      <c r="J128" s="56"/>
      <c r="K128" s="56"/>
      <c r="L128" s="56"/>
    </row>
    <row r="129" s="1" customFormat="1" spans="2:12">
      <c r="B129" s="32" t="s">
        <v>2085</v>
      </c>
      <c r="C129" s="32" t="s">
        <v>220</v>
      </c>
      <c r="D129" s="10" t="s">
        <v>2086</v>
      </c>
      <c r="E129" s="54"/>
      <c r="F129" s="39"/>
      <c r="G129" s="39"/>
      <c r="H129" s="55"/>
      <c r="I129" s="56"/>
      <c r="J129" s="56"/>
      <c r="K129" s="56"/>
      <c r="L129" s="56"/>
    </row>
    <row r="130" s="1" customFormat="1" ht="26.4" spans="2:12">
      <c r="B130" s="32" t="s">
        <v>2982</v>
      </c>
      <c r="C130" s="32" t="s">
        <v>275</v>
      </c>
      <c r="D130" s="10" t="s">
        <v>2983</v>
      </c>
      <c r="E130" s="54"/>
      <c r="F130" s="39"/>
      <c r="G130" s="39"/>
      <c r="H130" s="55"/>
      <c r="I130" s="56"/>
      <c r="J130" s="56"/>
      <c r="K130" s="56"/>
      <c r="L130" s="56"/>
    </row>
    <row r="131" s="1" customFormat="1" spans="2:12">
      <c r="B131" s="32" t="s">
        <v>2564</v>
      </c>
      <c r="C131" s="32" t="s">
        <v>275</v>
      </c>
      <c r="D131" s="10" t="s">
        <v>2565</v>
      </c>
      <c r="E131" s="54"/>
      <c r="F131" s="39"/>
      <c r="G131" s="39"/>
      <c r="H131" s="55"/>
      <c r="I131" s="56"/>
      <c r="J131" s="56"/>
      <c r="K131" s="56"/>
      <c r="L131" s="56"/>
    </row>
    <row r="132" s="1" customFormat="1" spans="2:12">
      <c r="B132" s="32" t="s">
        <v>2566</v>
      </c>
      <c r="C132" s="32" t="s">
        <v>275</v>
      </c>
      <c r="D132" s="10" t="s">
        <v>2567</v>
      </c>
      <c r="E132" s="54"/>
      <c r="F132" s="39"/>
      <c r="G132" s="39"/>
      <c r="H132" s="55"/>
      <c r="I132" s="56"/>
      <c r="J132" s="56"/>
      <c r="K132" s="56"/>
      <c r="L132" s="56"/>
    </row>
    <row r="133" s="1" customFormat="1" spans="2:12">
      <c r="B133" s="32" t="s">
        <v>2798</v>
      </c>
      <c r="C133" s="32" t="s">
        <v>240</v>
      </c>
      <c r="D133" s="10" t="s">
        <v>2080</v>
      </c>
      <c r="E133" s="54"/>
      <c r="F133" s="39"/>
      <c r="G133" s="39"/>
      <c r="H133" s="55"/>
      <c r="I133" s="56"/>
      <c r="J133" s="56"/>
      <c r="K133" s="56"/>
      <c r="L133" s="56"/>
    </row>
    <row r="134" s="1" customFormat="1" spans="2:12">
      <c r="B134" s="32" t="s">
        <v>2799</v>
      </c>
      <c r="C134" s="32" t="s">
        <v>240</v>
      </c>
      <c r="D134" s="10" t="s">
        <v>2082</v>
      </c>
      <c r="E134" s="54"/>
      <c r="F134" s="39"/>
      <c r="G134" s="39"/>
      <c r="H134" s="55"/>
      <c r="I134" s="56"/>
      <c r="J134" s="56"/>
      <c r="K134" s="56"/>
      <c r="L134" s="56"/>
    </row>
    <row r="135" s="51" customFormat="1" ht="92.4" spans="1:12">
      <c r="A135" s="63"/>
      <c r="B135" s="64" t="s">
        <v>1295</v>
      </c>
      <c r="C135" s="64" t="s">
        <v>220</v>
      </c>
      <c r="D135" s="29" t="s">
        <v>1296</v>
      </c>
      <c r="E135" s="65" t="s">
        <v>199</v>
      </c>
      <c r="F135" s="66"/>
      <c r="G135" s="66" t="s">
        <v>1297</v>
      </c>
      <c r="H135" s="67"/>
      <c r="I135" s="68" t="s">
        <v>1211</v>
      </c>
      <c r="J135" s="69" t="s">
        <v>345</v>
      </c>
      <c r="K135" s="69" t="s">
        <v>323</v>
      </c>
      <c r="L135" s="69" t="s">
        <v>394</v>
      </c>
    </row>
    <row r="136" s="37" customFormat="1" spans="1:12">
      <c r="A136" s="42"/>
      <c r="B136" s="43" t="s">
        <v>252</v>
      </c>
      <c r="C136" s="43" t="s">
        <v>220</v>
      </c>
      <c r="D136" s="44" t="s">
        <v>254</v>
      </c>
      <c r="E136" s="45"/>
      <c r="F136" s="46"/>
      <c r="G136" s="46"/>
      <c r="H136" s="47"/>
      <c r="I136" s="48"/>
      <c r="J136" s="49"/>
      <c r="K136" s="49"/>
      <c r="L136" s="49"/>
    </row>
    <row r="137" s="37" customFormat="1" spans="1:12">
      <c r="A137" s="42"/>
      <c r="B137" s="43" t="s">
        <v>255</v>
      </c>
      <c r="C137" s="43" t="s">
        <v>216</v>
      </c>
      <c r="D137" s="44" t="s">
        <v>256</v>
      </c>
      <c r="E137" s="45"/>
      <c r="F137" s="46"/>
      <c r="G137" s="46"/>
      <c r="H137" s="47"/>
      <c r="I137" s="48"/>
      <c r="J137" s="49"/>
      <c r="K137" s="49"/>
      <c r="L137" s="49"/>
    </row>
    <row r="138" s="37" customFormat="1" spans="1:12">
      <c r="A138" s="42"/>
      <c r="B138" s="43" t="s">
        <v>257</v>
      </c>
      <c r="C138" s="43" t="s">
        <v>220</v>
      </c>
      <c r="D138" s="44" t="s">
        <v>258</v>
      </c>
      <c r="E138" s="45"/>
      <c r="F138" s="46"/>
      <c r="G138" s="46"/>
      <c r="H138" s="47"/>
      <c r="I138" s="48"/>
      <c r="J138" s="49"/>
      <c r="K138" s="49"/>
      <c r="L138" s="49"/>
    </row>
    <row r="139" s="37" customFormat="1" spans="1:12">
      <c r="A139" s="42"/>
      <c r="B139" s="43" t="s">
        <v>262</v>
      </c>
      <c r="C139" s="43" t="s">
        <v>220</v>
      </c>
      <c r="D139" s="44" t="s">
        <v>263</v>
      </c>
      <c r="E139" s="45"/>
      <c r="F139" s="46"/>
      <c r="G139" s="46"/>
      <c r="H139" s="47"/>
      <c r="I139" s="48"/>
      <c r="J139" s="49"/>
      <c r="K139" s="49"/>
      <c r="L139" s="49"/>
    </row>
  </sheetData>
  <autoFilter xmlns:etc="http://www.wps.cn/officeDocument/2017/etCustomData" ref="A16:N139" etc:filterBottomFollowUsedRange="0">
    <extLst/>
  </autoFilter>
  <mergeCells count="5">
    <mergeCell ref="B2:H2"/>
    <mergeCell ref="B3:H3"/>
    <mergeCell ref="B7:H7"/>
    <mergeCell ref="B15:L15"/>
    <mergeCell ref="G11:G12"/>
  </mergeCells>
  <pageMargins left="0.7" right="0.7" top="0.75" bottom="0.75" header="0.3" footer="0.3"/>
  <pageSetup paperSize="9" orientation="portrait"/>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8"/>
  <sheetViews>
    <sheetView zoomScale="85" zoomScaleNormal="85" workbookViewId="0">
      <pane ySplit="5" topLeftCell="A124" activePane="bottomLeft" state="frozen"/>
      <selection/>
      <selection pane="bottomLeft" activeCell="A1" sqref="A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16.2222222222222"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130</v>
      </c>
      <c r="D5" s="35" t="s">
        <v>131</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127</v>
      </c>
      <c r="D9" s="35" t="s">
        <v>128</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2">
      <c r="B16" s="19" t="s">
        <v>1300</v>
      </c>
      <c r="C16" s="19" t="s">
        <v>216</v>
      </c>
      <c r="D16" s="10" t="s">
        <v>2089</v>
      </c>
      <c r="E16" s="20"/>
      <c r="F16" s="19"/>
      <c r="G16" s="19"/>
      <c r="H16" s="20"/>
      <c r="I16" s="23"/>
      <c r="J16" s="23"/>
      <c r="K16" s="23"/>
      <c r="L16" s="23"/>
    </row>
    <row r="17" s="1" customFormat="1" spans="2:12">
      <c r="B17" s="19" t="s">
        <v>1026</v>
      </c>
      <c r="C17" s="19" t="s">
        <v>220</v>
      </c>
      <c r="D17" s="10" t="s">
        <v>66</v>
      </c>
      <c r="E17" s="20"/>
      <c r="F17" s="19"/>
      <c r="G17" s="19"/>
      <c r="H17" s="20"/>
      <c r="I17" s="23"/>
      <c r="J17" s="23"/>
      <c r="K17" s="23"/>
      <c r="L17" s="23"/>
    </row>
    <row r="18" s="1" customFormat="1" spans="2:12">
      <c r="B18" s="19" t="s">
        <v>1316</v>
      </c>
      <c r="C18" s="19" t="s">
        <v>220</v>
      </c>
      <c r="D18" s="10" t="s">
        <v>2092</v>
      </c>
      <c r="E18" s="20"/>
      <c r="F18" s="19"/>
      <c r="G18" s="19"/>
      <c r="H18" s="20"/>
      <c r="I18" s="23"/>
      <c r="J18" s="23"/>
      <c r="K18" s="23"/>
      <c r="L18" s="23"/>
    </row>
    <row r="19" s="1" customFormat="1" spans="1:12">
      <c r="A19" s="40"/>
      <c r="B19" s="19" t="s">
        <v>1302</v>
      </c>
      <c r="C19" s="19" t="s">
        <v>220</v>
      </c>
      <c r="D19" s="10" t="s">
        <v>1303</v>
      </c>
      <c r="E19" s="20"/>
      <c r="F19" s="19"/>
      <c r="G19" s="19"/>
      <c r="H19" s="20"/>
      <c r="I19" s="23"/>
      <c r="J19" s="23"/>
      <c r="K19" s="23"/>
      <c r="L19" s="23"/>
    </row>
    <row r="20" s="1" customFormat="1" spans="1:12">
      <c r="A20" s="40"/>
      <c r="B20" s="19" t="s">
        <v>1304</v>
      </c>
      <c r="C20" s="19" t="s">
        <v>216</v>
      </c>
      <c r="D20" s="10" t="s">
        <v>1305</v>
      </c>
      <c r="E20" s="20"/>
      <c r="F20" s="19"/>
      <c r="G20" s="19"/>
      <c r="H20" s="20"/>
      <c r="I20" s="23"/>
      <c r="J20" s="23"/>
      <c r="K20" s="23"/>
      <c r="L20" s="23"/>
    </row>
    <row r="21" s="1" customFormat="1" spans="1:12">
      <c r="A21" s="40"/>
      <c r="B21" s="19" t="s">
        <v>1306</v>
      </c>
      <c r="C21" s="19" t="s">
        <v>216</v>
      </c>
      <c r="D21" s="10" t="s">
        <v>1307</v>
      </c>
      <c r="E21" s="20"/>
      <c r="F21" s="19"/>
      <c r="G21" s="19"/>
      <c r="H21" s="20"/>
      <c r="I21" s="23"/>
      <c r="J21" s="23"/>
      <c r="K21" s="23"/>
      <c r="L21" s="23"/>
    </row>
    <row r="22" s="1" customFormat="1" spans="1:12">
      <c r="A22" s="40"/>
      <c r="B22" s="10" t="s">
        <v>302</v>
      </c>
      <c r="C22" s="10" t="s">
        <v>220</v>
      </c>
      <c r="D22" s="10" t="s">
        <v>1051</v>
      </c>
      <c r="E22" s="20"/>
      <c r="F22" s="10"/>
      <c r="G22" s="19"/>
      <c r="H22" s="20"/>
      <c r="I22" s="23"/>
      <c r="J22" s="23"/>
      <c r="K22" s="23"/>
      <c r="L22" s="23"/>
    </row>
    <row r="23" s="1" customFormat="1" spans="1:12">
      <c r="A23" s="40"/>
      <c r="B23" s="10" t="s">
        <v>2612</v>
      </c>
      <c r="C23" s="10" t="s">
        <v>216</v>
      </c>
      <c r="D23" s="10" t="s">
        <v>2738</v>
      </c>
      <c r="E23" s="20"/>
      <c r="F23" s="10"/>
      <c r="G23" s="19"/>
      <c r="H23" s="20"/>
      <c r="I23" s="23"/>
      <c r="J23" s="23"/>
      <c r="K23" s="23"/>
      <c r="L23" s="23"/>
    </row>
    <row r="24" s="1" customFormat="1" spans="1:12">
      <c r="A24" s="40"/>
      <c r="B24" s="10" t="s">
        <v>2614</v>
      </c>
      <c r="C24" s="10" t="s">
        <v>216</v>
      </c>
      <c r="D24" s="10" t="s">
        <v>2739</v>
      </c>
      <c r="E24" s="20"/>
      <c r="F24" s="10"/>
      <c r="G24" s="19"/>
      <c r="H24" s="20"/>
      <c r="I24" s="23"/>
      <c r="J24" s="23"/>
      <c r="K24" s="23"/>
      <c r="L24" s="23"/>
    </row>
    <row r="25" s="1" customFormat="1" spans="1:12">
      <c r="A25" s="40"/>
      <c r="B25" s="10" t="s">
        <v>1308</v>
      </c>
      <c r="C25" s="10" t="s">
        <v>275</v>
      </c>
      <c r="D25" s="10" t="s">
        <v>1309</v>
      </c>
      <c r="E25" s="20"/>
      <c r="F25" s="10"/>
      <c r="G25" s="19"/>
      <c r="H25" s="20"/>
      <c r="I25" s="23"/>
      <c r="J25" s="23"/>
      <c r="K25" s="23"/>
      <c r="L25" s="23"/>
    </row>
    <row r="26" s="1" customFormat="1" spans="1:12">
      <c r="A26" s="40"/>
      <c r="B26" s="10" t="s">
        <v>222</v>
      </c>
      <c r="C26" s="10" t="s">
        <v>275</v>
      </c>
      <c r="D26" s="10" t="s">
        <v>298</v>
      </c>
      <c r="E26" s="20"/>
      <c r="F26" s="10"/>
      <c r="G26" s="19"/>
      <c r="H26" s="20"/>
      <c r="I26" s="23"/>
      <c r="J26" s="23"/>
      <c r="K26" s="23"/>
      <c r="L26" s="23"/>
    </row>
    <row r="27" s="1" customFormat="1" spans="1:12">
      <c r="A27" s="40"/>
      <c r="B27" s="10" t="s">
        <v>1836</v>
      </c>
      <c r="C27" s="10" t="s">
        <v>216</v>
      </c>
      <c r="D27" s="10" t="s">
        <v>1836</v>
      </c>
      <c r="E27" s="20"/>
      <c r="F27" s="10"/>
      <c r="G27" s="19"/>
      <c r="H27" s="20"/>
      <c r="I27" s="23"/>
      <c r="J27" s="23"/>
      <c r="K27" s="23"/>
      <c r="L27" s="23"/>
    </row>
    <row r="28" s="1" customFormat="1" spans="1:12">
      <c r="A28" s="40"/>
      <c r="B28" s="10" t="s">
        <v>1310</v>
      </c>
      <c r="C28" s="10" t="s">
        <v>216</v>
      </c>
      <c r="D28" s="10" t="s">
        <v>1311</v>
      </c>
      <c r="E28" s="20"/>
      <c r="F28" s="10"/>
      <c r="G28" s="19"/>
      <c r="H28" s="20"/>
      <c r="I28" s="23"/>
      <c r="J28" s="23"/>
      <c r="K28" s="23"/>
      <c r="L28" s="23"/>
    </row>
    <row r="29" s="1" customFormat="1" spans="1:12">
      <c r="A29" s="40"/>
      <c r="B29" s="10" t="s">
        <v>267</v>
      </c>
      <c r="C29" s="10" t="s">
        <v>216</v>
      </c>
      <c r="D29" s="10" t="s">
        <v>2094</v>
      </c>
      <c r="E29" s="20"/>
      <c r="F29" s="10"/>
      <c r="G29" s="19"/>
      <c r="H29" s="20"/>
      <c r="I29" s="23"/>
      <c r="J29" s="23"/>
      <c r="K29" s="23"/>
      <c r="L29" s="23"/>
    </row>
    <row r="30" s="1" customFormat="1" spans="1:12">
      <c r="A30" s="40"/>
      <c r="B30" s="10" t="s">
        <v>1176</v>
      </c>
      <c r="C30" s="10" t="s">
        <v>220</v>
      </c>
      <c r="D30" s="10" t="s">
        <v>1312</v>
      </c>
      <c r="E30" s="20"/>
      <c r="F30" s="10"/>
      <c r="G30" s="19"/>
      <c r="H30" s="20"/>
      <c r="I30" s="23"/>
      <c r="J30" s="23"/>
      <c r="K30" s="23"/>
      <c r="L30" s="23"/>
    </row>
    <row r="31" s="1" customFormat="1" spans="1:12">
      <c r="A31" s="40"/>
      <c r="B31" s="10" t="s">
        <v>1878</v>
      </c>
      <c r="C31" s="10" t="s">
        <v>216</v>
      </c>
      <c r="D31" s="10" t="s">
        <v>2571</v>
      </c>
      <c r="E31" s="20"/>
      <c r="F31" s="10"/>
      <c r="G31" s="19"/>
      <c r="H31" s="20"/>
      <c r="I31" s="23"/>
      <c r="J31" s="23"/>
      <c r="K31" s="23"/>
      <c r="L31" s="23"/>
    </row>
    <row r="32" s="1" customFormat="1" spans="1:12">
      <c r="A32" s="40"/>
      <c r="B32" s="10" t="s">
        <v>1808</v>
      </c>
      <c r="C32" s="10" t="s">
        <v>216</v>
      </c>
      <c r="D32" s="10" t="s">
        <v>2572</v>
      </c>
      <c r="E32" s="20"/>
      <c r="F32" s="10"/>
      <c r="G32" s="19"/>
      <c r="H32" s="20"/>
      <c r="I32" s="23"/>
      <c r="J32" s="23"/>
      <c r="K32" s="23"/>
      <c r="L32" s="23"/>
    </row>
    <row r="33" s="1" customFormat="1" spans="1:12">
      <c r="A33" s="40"/>
      <c r="B33" s="10" t="s">
        <v>1891</v>
      </c>
      <c r="C33" s="10" t="s">
        <v>220</v>
      </c>
      <c r="D33" s="10" t="s">
        <v>2961</v>
      </c>
      <c r="E33" s="20"/>
      <c r="F33" s="10"/>
      <c r="G33" s="19"/>
      <c r="H33" s="20"/>
      <c r="I33" s="23"/>
      <c r="J33" s="23"/>
      <c r="K33" s="23"/>
      <c r="L33" s="23"/>
    </row>
    <row r="34" s="1" customFormat="1" spans="1:12">
      <c r="A34" s="40"/>
      <c r="B34" s="10" t="s">
        <v>1313</v>
      </c>
      <c r="C34" s="10" t="s">
        <v>216</v>
      </c>
      <c r="D34" s="10" t="s">
        <v>1893</v>
      </c>
      <c r="E34" s="20"/>
      <c r="F34" s="10"/>
      <c r="G34" s="19"/>
      <c r="H34" s="20"/>
      <c r="I34" s="23"/>
      <c r="J34" s="23"/>
      <c r="K34" s="23"/>
      <c r="L34" s="23"/>
    </row>
    <row r="35" s="1" customFormat="1" spans="1:12">
      <c r="A35" s="40"/>
      <c r="B35" s="10" t="s">
        <v>1323</v>
      </c>
      <c r="C35" s="10" t="s">
        <v>275</v>
      </c>
      <c r="D35" s="10" t="s">
        <v>1324</v>
      </c>
      <c r="E35" s="20"/>
      <c r="F35" s="10"/>
      <c r="G35" s="19"/>
      <c r="H35" s="20"/>
      <c r="I35" s="23"/>
      <c r="J35" s="23"/>
      <c r="K35" s="23"/>
      <c r="L35" s="23"/>
    </row>
    <row r="36" s="1" customFormat="1" spans="1:12">
      <c r="A36" s="40"/>
      <c r="B36" s="10" t="s">
        <v>2573</v>
      </c>
      <c r="C36" s="10" t="s">
        <v>275</v>
      </c>
      <c r="D36" s="10" t="s">
        <v>2574</v>
      </c>
      <c r="E36" s="20"/>
      <c r="F36" s="10"/>
      <c r="G36" s="19"/>
      <c r="H36" s="20"/>
      <c r="I36" s="23"/>
      <c r="J36" s="23"/>
      <c r="K36" s="23"/>
      <c r="L36" s="23"/>
    </row>
    <row r="37" s="1" customFormat="1" spans="1:12">
      <c r="A37" s="40"/>
      <c r="B37" s="10" t="s">
        <v>1343</v>
      </c>
      <c r="C37" s="10" t="s">
        <v>275</v>
      </c>
      <c r="D37" s="10" t="s">
        <v>2137</v>
      </c>
      <c r="E37" s="20"/>
      <c r="F37" s="10"/>
      <c r="G37" s="19"/>
      <c r="H37" s="20"/>
      <c r="I37" s="23"/>
      <c r="J37" s="23"/>
      <c r="K37" s="23"/>
      <c r="L37" s="23"/>
    </row>
    <row r="38" s="1" customFormat="1" spans="1:12">
      <c r="A38" s="40"/>
      <c r="B38" s="10" t="s">
        <v>1344</v>
      </c>
      <c r="C38" s="10" t="s">
        <v>275</v>
      </c>
      <c r="D38" s="10" t="s">
        <v>2138</v>
      </c>
      <c r="E38" s="20"/>
      <c r="F38" s="10"/>
      <c r="G38" s="19"/>
      <c r="H38" s="20"/>
      <c r="I38" s="23"/>
      <c r="J38" s="23"/>
      <c r="K38" s="23"/>
      <c r="L38" s="23"/>
    </row>
    <row r="39" s="1" customFormat="1" spans="1:12">
      <c r="A39" s="40"/>
      <c r="B39" s="10" t="s">
        <v>1325</v>
      </c>
      <c r="C39" s="10" t="s">
        <v>275</v>
      </c>
      <c r="D39" s="10" t="s">
        <v>1326</v>
      </c>
      <c r="E39" s="20"/>
      <c r="F39" s="10"/>
      <c r="G39" s="19"/>
      <c r="H39" s="20"/>
      <c r="I39" s="23"/>
      <c r="J39" s="23"/>
      <c r="K39" s="23"/>
      <c r="L39" s="23"/>
    </row>
    <row r="40" s="1" customFormat="1" spans="1:12">
      <c r="A40" s="40"/>
      <c r="B40" s="10" t="s">
        <v>1327</v>
      </c>
      <c r="C40" s="10" t="s">
        <v>275</v>
      </c>
      <c r="D40" s="10" t="s">
        <v>1328</v>
      </c>
      <c r="E40" s="20"/>
      <c r="F40" s="10"/>
      <c r="G40" s="19"/>
      <c r="H40" s="20"/>
      <c r="I40" s="23"/>
      <c r="J40" s="23"/>
      <c r="K40" s="23"/>
      <c r="L40" s="23"/>
    </row>
    <row r="41" s="1" customFormat="1" spans="1:12">
      <c r="A41" s="40"/>
      <c r="B41" s="10" t="s">
        <v>1329</v>
      </c>
      <c r="C41" s="10" t="s">
        <v>275</v>
      </c>
      <c r="D41" s="10" t="s">
        <v>1330</v>
      </c>
      <c r="E41" s="20"/>
      <c r="F41" s="10"/>
      <c r="G41" s="19"/>
      <c r="H41" s="20"/>
      <c r="I41" s="23"/>
      <c r="J41" s="23"/>
      <c r="K41" s="23"/>
      <c r="L41" s="23"/>
    </row>
    <row r="42" s="1" customFormat="1" spans="1:12">
      <c r="A42" s="40"/>
      <c r="B42" s="10" t="s">
        <v>1331</v>
      </c>
      <c r="C42" s="10" t="s">
        <v>275</v>
      </c>
      <c r="D42" s="10" t="s">
        <v>1332</v>
      </c>
      <c r="E42" s="20"/>
      <c r="F42" s="10"/>
      <c r="G42" s="19"/>
      <c r="H42" s="20"/>
      <c r="I42" s="23"/>
      <c r="J42" s="23"/>
      <c r="K42" s="23"/>
      <c r="L42" s="23"/>
    </row>
    <row r="43" s="1" customFormat="1" spans="1:12">
      <c r="A43" s="40"/>
      <c r="B43" s="10" t="s">
        <v>1333</v>
      </c>
      <c r="C43" s="10" t="s">
        <v>275</v>
      </c>
      <c r="D43" s="10" t="s">
        <v>1334</v>
      </c>
      <c r="E43" s="20"/>
      <c r="F43" s="10"/>
      <c r="G43" s="19"/>
      <c r="H43" s="20"/>
      <c r="I43" s="23"/>
      <c r="J43" s="23"/>
      <c r="K43" s="23"/>
      <c r="L43" s="23"/>
    </row>
    <row r="44" s="1" customFormat="1" spans="1:12">
      <c r="A44" s="40"/>
      <c r="B44" s="10" t="s">
        <v>1335</v>
      </c>
      <c r="C44" s="10" t="s">
        <v>275</v>
      </c>
      <c r="D44" s="10" t="s">
        <v>1336</v>
      </c>
      <c r="E44" s="20"/>
      <c r="F44" s="10"/>
      <c r="G44" s="19"/>
      <c r="H44" s="20"/>
      <c r="I44" s="23"/>
      <c r="J44" s="23"/>
      <c r="K44" s="23"/>
      <c r="L44" s="23"/>
    </row>
    <row r="45" s="1" customFormat="1" spans="1:12">
      <c r="A45" s="40"/>
      <c r="B45" s="10" t="s">
        <v>1337</v>
      </c>
      <c r="C45" s="10" t="s">
        <v>275</v>
      </c>
      <c r="D45" s="10" t="s">
        <v>1338</v>
      </c>
      <c r="E45" s="20"/>
      <c r="F45" s="10"/>
      <c r="G45" s="19"/>
      <c r="H45" s="20"/>
      <c r="I45" s="23"/>
      <c r="J45" s="23"/>
      <c r="K45" s="23"/>
      <c r="L45" s="23"/>
    </row>
    <row r="46" s="1" customFormat="1" spans="1:12">
      <c r="A46" s="40"/>
      <c r="B46" s="10" t="s">
        <v>2111</v>
      </c>
      <c r="C46" s="10" t="s">
        <v>275</v>
      </c>
      <c r="D46" s="10" t="s">
        <v>1340</v>
      </c>
      <c r="E46" s="20"/>
      <c r="F46" s="10"/>
      <c r="G46" s="19"/>
      <c r="H46" s="20"/>
      <c r="I46" s="23"/>
      <c r="J46" s="23"/>
      <c r="K46" s="23"/>
      <c r="L46" s="23"/>
    </row>
    <row r="47" s="1" customFormat="1" spans="1:12">
      <c r="A47" s="40"/>
      <c r="B47" s="10" t="s">
        <v>2112</v>
      </c>
      <c r="C47" s="10" t="s">
        <v>275</v>
      </c>
      <c r="D47" s="10" t="s">
        <v>1342</v>
      </c>
      <c r="E47" s="20"/>
      <c r="F47" s="10"/>
      <c r="G47" s="19"/>
      <c r="H47" s="20"/>
      <c r="I47" s="23"/>
      <c r="J47" s="23"/>
      <c r="K47" s="23"/>
      <c r="L47" s="23"/>
    </row>
    <row r="48" s="1" customFormat="1" spans="1:12">
      <c r="A48" s="40"/>
      <c r="B48" s="10" t="s">
        <v>1351</v>
      </c>
      <c r="C48" s="10" t="s">
        <v>275</v>
      </c>
      <c r="D48" s="10" t="s">
        <v>1352</v>
      </c>
      <c r="E48" s="20"/>
      <c r="F48" s="10"/>
      <c r="G48" s="19"/>
      <c r="H48" s="20"/>
      <c r="I48" s="23"/>
      <c r="J48" s="23"/>
      <c r="K48" s="23"/>
      <c r="L48" s="23"/>
    </row>
    <row r="49" s="1" customFormat="1" spans="1:12">
      <c r="A49" s="40"/>
      <c r="B49" s="10" t="s">
        <v>1353</v>
      </c>
      <c r="C49" s="10" t="s">
        <v>275</v>
      </c>
      <c r="D49" s="10" t="s">
        <v>1354</v>
      </c>
      <c r="E49" s="20"/>
      <c r="F49" s="10"/>
      <c r="G49" s="19"/>
      <c r="H49" s="20"/>
      <c r="I49" s="23"/>
      <c r="J49" s="23"/>
      <c r="K49" s="23"/>
      <c r="L49" s="23"/>
    </row>
    <row r="50" s="1" customFormat="1" spans="1:12">
      <c r="A50" s="40"/>
      <c r="B50" s="10" t="s">
        <v>1355</v>
      </c>
      <c r="C50" s="10" t="s">
        <v>275</v>
      </c>
      <c r="D50" s="10" t="s">
        <v>1356</v>
      </c>
      <c r="E50" s="20"/>
      <c r="F50" s="10"/>
      <c r="G50" s="19"/>
      <c r="H50" s="20"/>
      <c r="I50" s="23"/>
      <c r="J50" s="23"/>
      <c r="K50" s="23"/>
      <c r="L50" s="23"/>
    </row>
    <row r="51" s="1" customFormat="1" spans="1:12">
      <c r="A51" s="40"/>
      <c r="B51" s="10" t="s">
        <v>1357</v>
      </c>
      <c r="C51" s="10" t="s">
        <v>275</v>
      </c>
      <c r="D51" s="10" t="s">
        <v>1358</v>
      </c>
      <c r="E51" s="20"/>
      <c r="F51" s="10"/>
      <c r="G51" s="19"/>
      <c r="H51" s="20"/>
      <c r="I51" s="23"/>
      <c r="J51" s="23"/>
      <c r="K51" s="23"/>
      <c r="L51" s="23"/>
    </row>
    <row r="52" s="1" customFormat="1" spans="1:12">
      <c r="A52" s="40"/>
      <c r="B52" s="10" t="s">
        <v>1359</v>
      </c>
      <c r="C52" s="10" t="s">
        <v>275</v>
      </c>
      <c r="D52" s="10" t="s">
        <v>1360</v>
      </c>
      <c r="E52" s="20"/>
      <c r="F52" s="10"/>
      <c r="G52" s="19"/>
      <c r="H52" s="20"/>
      <c r="I52" s="23"/>
      <c r="J52" s="23"/>
      <c r="K52" s="23"/>
      <c r="L52" s="23"/>
    </row>
    <row r="53" s="1" customFormat="1" spans="1:12">
      <c r="A53" s="40"/>
      <c r="B53" s="10" t="s">
        <v>2802</v>
      </c>
      <c r="C53" s="10" t="s">
        <v>275</v>
      </c>
      <c r="D53" s="10" t="s">
        <v>1362</v>
      </c>
      <c r="E53" s="20"/>
      <c r="F53" s="10"/>
      <c r="G53" s="19"/>
      <c r="H53" s="20"/>
      <c r="I53" s="23"/>
      <c r="J53" s="23"/>
      <c r="K53" s="23"/>
      <c r="L53" s="23"/>
    </row>
    <row r="54" s="1" customFormat="1" spans="1:12">
      <c r="A54" s="40"/>
      <c r="B54" s="10" t="s">
        <v>1363</v>
      </c>
      <c r="C54" s="10" t="s">
        <v>275</v>
      </c>
      <c r="D54" s="10" t="s">
        <v>1364</v>
      </c>
      <c r="E54" s="20"/>
      <c r="F54" s="10"/>
      <c r="G54" s="19"/>
      <c r="H54" s="20"/>
      <c r="I54" s="23"/>
      <c r="J54" s="23"/>
      <c r="K54" s="23"/>
      <c r="L54" s="23"/>
    </row>
    <row r="55" s="1" customFormat="1" spans="1:12">
      <c r="A55" s="40"/>
      <c r="B55" s="10" t="s">
        <v>1365</v>
      </c>
      <c r="C55" s="10" t="s">
        <v>275</v>
      </c>
      <c r="D55" s="10" t="s">
        <v>1366</v>
      </c>
      <c r="E55" s="20"/>
      <c r="F55" s="10"/>
      <c r="G55" s="19"/>
      <c r="H55" s="20"/>
      <c r="I55" s="23"/>
      <c r="J55" s="23"/>
      <c r="K55" s="23"/>
      <c r="L55" s="23"/>
    </row>
    <row r="56" s="1" customFormat="1" spans="1:12">
      <c r="A56" s="40"/>
      <c r="B56" s="10" t="s">
        <v>1367</v>
      </c>
      <c r="C56" s="10" t="s">
        <v>275</v>
      </c>
      <c r="D56" s="10" t="s">
        <v>1368</v>
      </c>
      <c r="E56" s="20"/>
      <c r="F56" s="10"/>
      <c r="G56" s="19"/>
      <c r="H56" s="20"/>
      <c r="I56" s="23"/>
      <c r="J56" s="23"/>
      <c r="K56" s="23"/>
      <c r="L56" s="23"/>
    </row>
    <row r="57" s="1" customFormat="1" spans="1:12">
      <c r="A57" s="40"/>
      <c r="B57" s="10" t="s">
        <v>1369</v>
      </c>
      <c r="C57" s="10" t="s">
        <v>275</v>
      </c>
      <c r="D57" s="10" t="s">
        <v>1370</v>
      </c>
      <c r="E57" s="20"/>
      <c r="F57" s="10"/>
      <c r="G57" s="19"/>
      <c r="H57" s="20"/>
      <c r="I57" s="23"/>
      <c r="J57" s="23"/>
      <c r="K57" s="23"/>
      <c r="L57" s="23"/>
    </row>
    <row r="58" s="1" customFormat="1" spans="1:12">
      <c r="A58" s="40"/>
      <c r="B58" s="10" t="s">
        <v>1371</v>
      </c>
      <c r="C58" s="10" t="s">
        <v>275</v>
      </c>
      <c r="D58" s="10" t="s">
        <v>1372</v>
      </c>
      <c r="E58" s="20"/>
      <c r="F58" s="10"/>
      <c r="G58" s="19"/>
      <c r="H58" s="20"/>
      <c r="I58" s="23"/>
      <c r="J58" s="23"/>
      <c r="K58" s="23"/>
      <c r="L58" s="23"/>
    </row>
    <row r="59" s="1" customFormat="1" spans="1:12">
      <c r="A59" s="40"/>
      <c r="B59" s="10" t="s">
        <v>1373</v>
      </c>
      <c r="C59" s="10" t="s">
        <v>275</v>
      </c>
      <c r="D59" s="10" t="s">
        <v>1374</v>
      </c>
      <c r="E59" s="20"/>
      <c r="F59" s="10"/>
      <c r="G59" s="19"/>
      <c r="H59" s="20"/>
      <c r="I59" s="23"/>
      <c r="J59" s="23"/>
      <c r="K59" s="23"/>
      <c r="L59" s="23"/>
    </row>
    <row r="60" s="1" customFormat="1" spans="1:12">
      <c r="A60" s="40"/>
      <c r="B60" s="10" t="s">
        <v>1375</v>
      </c>
      <c r="C60" s="10" t="s">
        <v>275</v>
      </c>
      <c r="D60" s="10" t="s">
        <v>1376</v>
      </c>
      <c r="E60" s="20"/>
      <c r="F60" s="10"/>
      <c r="G60" s="19"/>
      <c r="H60" s="20"/>
      <c r="I60" s="23"/>
      <c r="J60" s="23"/>
      <c r="K60" s="23"/>
      <c r="L60" s="23"/>
    </row>
    <row r="61" s="1" customFormat="1" spans="1:12">
      <c r="A61" s="40"/>
      <c r="B61" s="10" t="s">
        <v>1377</v>
      </c>
      <c r="C61" s="10" t="s">
        <v>275</v>
      </c>
      <c r="D61" s="10" t="s">
        <v>1378</v>
      </c>
      <c r="E61" s="20"/>
      <c r="F61" s="10"/>
      <c r="G61" s="19"/>
      <c r="H61" s="20"/>
      <c r="I61" s="23"/>
      <c r="J61" s="23"/>
      <c r="K61" s="23"/>
      <c r="L61" s="23"/>
    </row>
    <row r="62" s="1" customFormat="1" spans="1:12">
      <c r="A62" s="40"/>
      <c r="B62" s="10" t="s">
        <v>2702</v>
      </c>
      <c r="C62" s="10" t="s">
        <v>275</v>
      </c>
      <c r="D62" s="10" t="s">
        <v>1380</v>
      </c>
      <c r="E62" s="20"/>
      <c r="F62" s="10"/>
      <c r="G62" s="19"/>
      <c r="H62" s="20"/>
      <c r="I62" s="23"/>
      <c r="J62" s="23"/>
      <c r="K62" s="23"/>
      <c r="L62" s="23"/>
    </row>
    <row r="63" s="1" customFormat="1" spans="1:12">
      <c r="A63" s="40"/>
      <c r="B63" s="10" t="s">
        <v>2703</v>
      </c>
      <c r="C63" s="10" t="s">
        <v>275</v>
      </c>
      <c r="D63" s="10" t="s">
        <v>1382</v>
      </c>
      <c r="E63" s="20"/>
      <c r="F63" s="10"/>
      <c r="G63" s="19"/>
      <c r="H63" s="20"/>
      <c r="I63" s="23"/>
      <c r="J63" s="23"/>
      <c r="K63" s="23"/>
      <c r="L63" s="23"/>
    </row>
    <row r="64" s="1" customFormat="1" spans="1:12">
      <c r="A64" s="40"/>
      <c r="B64" s="10" t="s">
        <v>1391</v>
      </c>
      <c r="C64" s="10" t="s">
        <v>275</v>
      </c>
      <c r="D64" s="10" t="s">
        <v>1392</v>
      </c>
      <c r="E64" s="20"/>
      <c r="F64" s="10"/>
      <c r="G64" s="19"/>
      <c r="H64" s="20"/>
      <c r="I64" s="23"/>
      <c r="J64" s="23"/>
      <c r="K64" s="23"/>
      <c r="L64" s="23"/>
    </row>
    <row r="65" s="1" customFormat="1" spans="1:12">
      <c r="A65" s="40"/>
      <c r="B65" s="10" t="s">
        <v>1393</v>
      </c>
      <c r="C65" s="10" t="s">
        <v>275</v>
      </c>
      <c r="D65" s="10" t="s">
        <v>1394</v>
      </c>
      <c r="E65" s="20"/>
      <c r="F65" s="10"/>
      <c r="G65" s="19"/>
      <c r="H65" s="20"/>
      <c r="I65" s="23"/>
      <c r="J65" s="23"/>
      <c r="K65" s="23"/>
      <c r="L65" s="23"/>
    </row>
    <row r="66" s="1" customFormat="1" spans="1:12">
      <c r="A66" s="40"/>
      <c r="B66" s="10" t="s">
        <v>1395</v>
      </c>
      <c r="C66" s="10" t="s">
        <v>275</v>
      </c>
      <c r="D66" s="10" t="s">
        <v>1396</v>
      </c>
      <c r="E66" s="20"/>
      <c r="F66" s="10"/>
      <c r="G66" s="19"/>
      <c r="H66" s="20"/>
      <c r="I66" s="23"/>
      <c r="J66" s="23"/>
      <c r="K66" s="23"/>
      <c r="L66" s="23"/>
    </row>
    <row r="67" s="1" customFormat="1" spans="1:12">
      <c r="A67" s="40"/>
      <c r="B67" s="10" t="s">
        <v>1397</v>
      </c>
      <c r="C67" s="10" t="s">
        <v>275</v>
      </c>
      <c r="D67" s="10" t="s">
        <v>1398</v>
      </c>
      <c r="E67" s="20"/>
      <c r="F67" s="10"/>
      <c r="G67" s="19"/>
      <c r="H67" s="20"/>
      <c r="I67" s="23"/>
      <c r="J67" s="23"/>
      <c r="K67" s="23"/>
      <c r="L67" s="23"/>
    </row>
    <row r="68" s="1" customFormat="1" spans="1:12">
      <c r="A68" s="40"/>
      <c r="B68" s="10" t="s">
        <v>1399</v>
      </c>
      <c r="C68" s="10" t="s">
        <v>275</v>
      </c>
      <c r="D68" s="10" t="s">
        <v>1400</v>
      </c>
      <c r="E68" s="20"/>
      <c r="F68" s="10"/>
      <c r="G68" s="19"/>
      <c r="H68" s="20"/>
      <c r="I68" s="23"/>
      <c r="J68" s="23"/>
      <c r="K68" s="23"/>
      <c r="L68" s="23"/>
    </row>
    <row r="69" s="1" customFormat="1" spans="1:12">
      <c r="A69" s="40"/>
      <c r="B69" s="10" t="s">
        <v>2113</v>
      </c>
      <c r="C69" s="10" t="s">
        <v>275</v>
      </c>
      <c r="D69" s="10" t="s">
        <v>2114</v>
      </c>
      <c r="E69" s="20"/>
      <c r="F69" s="10"/>
      <c r="G69" s="19"/>
      <c r="H69" s="20"/>
      <c r="I69" s="23"/>
      <c r="J69" s="23"/>
      <c r="K69" s="23"/>
      <c r="L69" s="23"/>
    </row>
    <row r="70" s="1" customFormat="1" spans="1:12">
      <c r="A70" s="40"/>
      <c r="B70" s="10" t="s">
        <v>2115</v>
      </c>
      <c r="C70" s="10" t="s">
        <v>275</v>
      </c>
      <c r="D70" s="10" t="s">
        <v>2116</v>
      </c>
      <c r="E70" s="20"/>
      <c r="F70" s="10"/>
      <c r="G70" s="19"/>
      <c r="H70" s="20"/>
      <c r="I70" s="23"/>
      <c r="J70" s="23"/>
      <c r="K70" s="23"/>
      <c r="L70" s="23"/>
    </row>
    <row r="71" s="1" customFormat="1" spans="1:12">
      <c r="A71" s="40"/>
      <c r="B71" s="10" t="s">
        <v>1463</v>
      </c>
      <c r="C71" s="10" t="s">
        <v>275</v>
      </c>
      <c r="D71" s="10" t="s">
        <v>1464</v>
      </c>
      <c r="E71" s="20"/>
      <c r="F71" s="10"/>
      <c r="G71" s="19"/>
      <c r="H71" s="20"/>
      <c r="I71" s="23"/>
      <c r="J71" s="23"/>
      <c r="K71" s="23"/>
      <c r="L71" s="23"/>
    </row>
    <row r="72" s="1" customFormat="1" spans="1:12">
      <c r="A72" s="40"/>
      <c r="B72" s="10" t="s">
        <v>1475</v>
      </c>
      <c r="C72" s="10" t="s">
        <v>275</v>
      </c>
      <c r="D72" s="10" t="s">
        <v>1476</v>
      </c>
      <c r="E72" s="20"/>
      <c r="F72" s="10"/>
      <c r="G72" s="19"/>
      <c r="H72" s="20"/>
      <c r="I72" s="23"/>
      <c r="J72" s="23"/>
      <c r="K72" s="23"/>
      <c r="L72" s="23"/>
    </row>
    <row r="73" s="1" customFormat="1" spans="1:12">
      <c r="A73" s="40"/>
      <c r="B73" s="10" t="s">
        <v>1487</v>
      </c>
      <c r="C73" s="10" t="s">
        <v>275</v>
      </c>
      <c r="D73" s="10" t="s">
        <v>1488</v>
      </c>
      <c r="E73" s="20"/>
      <c r="F73" s="10"/>
      <c r="G73" s="19"/>
      <c r="H73" s="20"/>
      <c r="I73" s="23"/>
      <c r="J73" s="23"/>
      <c r="K73" s="23"/>
      <c r="L73" s="23"/>
    </row>
    <row r="74" s="1" customFormat="1" spans="1:12">
      <c r="A74" s="40"/>
      <c r="B74" s="10" t="s">
        <v>1499</v>
      </c>
      <c r="C74" s="10" t="s">
        <v>275</v>
      </c>
      <c r="D74" s="10" t="s">
        <v>1500</v>
      </c>
      <c r="E74" s="20"/>
      <c r="F74" s="10"/>
      <c r="G74" s="19"/>
      <c r="H74" s="20"/>
      <c r="I74" s="23"/>
      <c r="J74" s="23"/>
      <c r="K74" s="23"/>
      <c r="L74" s="23"/>
    </row>
    <row r="75" s="1" customFormat="1" spans="1:12">
      <c r="A75" s="40"/>
      <c r="B75" s="10" t="s">
        <v>1511</v>
      </c>
      <c r="C75" s="10" t="s">
        <v>275</v>
      </c>
      <c r="D75" s="10" t="s">
        <v>1512</v>
      </c>
      <c r="E75" s="20"/>
      <c r="F75" s="10"/>
      <c r="G75" s="19"/>
      <c r="H75" s="20"/>
      <c r="I75" s="23"/>
      <c r="J75" s="23"/>
      <c r="K75" s="23"/>
      <c r="L75" s="23"/>
    </row>
    <row r="76" s="1" customFormat="1" spans="1:12">
      <c r="A76" s="40"/>
      <c r="B76" s="10" t="s">
        <v>1523</v>
      </c>
      <c r="C76" s="10" t="s">
        <v>275</v>
      </c>
      <c r="D76" s="10" t="s">
        <v>1524</v>
      </c>
      <c r="E76" s="20"/>
      <c r="F76" s="10"/>
      <c r="G76" s="19"/>
      <c r="H76" s="20"/>
      <c r="I76" s="23"/>
      <c r="J76" s="23"/>
      <c r="K76" s="23"/>
      <c r="L76" s="23"/>
    </row>
    <row r="77" s="1" customFormat="1" spans="1:12">
      <c r="A77" s="40"/>
      <c r="B77" s="10" t="s">
        <v>1535</v>
      </c>
      <c r="C77" s="10" t="s">
        <v>275</v>
      </c>
      <c r="D77" s="10" t="s">
        <v>1536</v>
      </c>
      <c r="E77" s="20"/>
      <c r="F77" s="10"/>
      <c r="G77" s="19"/>
      <c r="H77" s="20"/>
      <c r="I77" s="23"/>
      <c r="J77" s="23"/>
      <c r="K77" s="23"/>
      <c r="L77" s="23"/>
    </row>
    <row r="78" s="1" customFormat="1" spans="1:12">
      <c r="A78" s="40"/>
      <c r="B78" s="10" t="s">
        <v>1547</v>
      </c>
      <c r="C78" s="10" t="s">
        <v>275</v>
      </c>
      <c r="D78" s="10" t="s">
        <v>1548</v>
      </c>
      <c r="E78" s="20"/>
      <c r="F78" s="10"/>
      <c r="G78" s="19"/>
      <c r="H78" s="20"/>
      <c r="I78" s="23"/>
      <c r="J78" s="23"/>
      <c r="K78" s="23"/>
      <c r="L78" s="23"/>
    </row>
    <row r="79" s="1" customFormat="1" spans="1:12">
      <c r="A79" s="40"/>
      <c r="B79" s="10" t="s">
        <v>1559</v>
      </c>
      <c r="C79" s="10" t="s">
        <v>275</v>
      </c>
      <c r="D79" s="10" t="s">
        <v>1560</v>
      </c>
      <c r="E79" s="20"/>
      <c r="F79" s="10"/>
      <c r="G79" s="19"/>
      <c r="H79" s="20"/>
      <c r="I79" s="23"/>
      <c r="J79" s="23"/>
      <c r="K79" s="23"/>
      <c r="L79" s="23"/>
    </row>
    <row r="80" s="1" customFormat="1" spans="1:12">
      <c r="A80" s="40"/>
      <c r="B80" s="10" t="s">
        <v>1571</v>
      </c>
      <c r="C80" s="10" t="s">
        <v>275</v>
      </c>
      <c r="D80" s="10" t="s">
        <v>1572</v>
      </c>
      <c r="E80" s="20"/>
      <c r="F80" s="10"/>
      <c r="G80" s="19"/>
      <c r="H80" s="20"/>
      <c r="I80" s="23"/>
      <c r="J80" s="23"/>
      <c r="K80" s="23"/>
      <c r="L80" s="23"/>
    </row>
    <row r="81" s="1" customFormat="1" spans="1:12">
      <c r="A81" s="40"/>
      <c r="B81" s="10" t="s">
        <v>2144</v>
      </c>
      <c r="C81" s="10" t="s">
        <v>275</v>
      </c>
      <c r="D81" s="10" t="s">
        <v>2145</v>
      </c>
      <c r="E81" s="20"/>
      <c r="F81" s="10"/>
      <c r="G81" s="19"/>
      <c r="H81" s="20"/>
      <c r="I81" s="23"/>
      <c r="J81" s="23"/>
      <c r="K81" s="23"/>
      <c r="L81" s="23"/>
    </row>
    <row r="82" s="1" customFormat="1" spans="1:12">
      <c r="A82" s="40"/>
      <c r="B82" s="10" t="s">
        <v>2158</v>
      </c>
      <c r="C82" s="10" t="s">
        <v>275</v>
      </c>
      <c r="D82" s="10" t="s">
        <v>2159</v>
      </c>
      <c r="E82" s="20"/>
      <c r="F82" s="10"/>
      <c r="G82" s="19"/>
      <c r="H82" s="20"/>
      <c r="I82" s="23"/>
      <c r="J82" s="23"/>
      <c r="K82" s="23"/>
      <c r="L82" s="23"/>
    </row>
    <row r="83" s="1" customFormat="1" spans="1:12">
      <c r="A83" s="40"/>
      <c r="B83" s="10" t="s">
        <v>2172</v>
      </c>
      <c r="C83" s="10" t="s">
        <v>275</v>
      </c>
      <c r="D83" s="10" t="s">
        <v>2173</v>
      </c>
      <c r="E83" s="20"/>
      <c r="F83" s="10"/>
      <c r="G83" s="19"/>
      <c r="H83" s="20"/>
      <c r="I83" s="23"/>
      <c r="J83" s="23"/>
      <c r="K83" s="23"/>
      <c r="L83" s="23"/>
    </row>
    <row r="84" s="1" customFormat="1" spans="1:12">
      <c r="A84" s="40"/>
      <c r="B84" s="10" t="s">
        <v>2200</v>
      </c>
      <c r="C84" s="10" t="s">
        <v>275</v>
      </c>
      <c r="D84" s="10" t="s">
        <v>2201</v>
      </c>
      <c r="E84" s="20"/>
      <c r="F84" s="10"/>
      <c r="G84" s="19"/>
      <c r="H84" s="20"/>
      <c r="I84" s="23"/>
      <c r="J84" s="23"/>
      <c r="K84" s="23"/>
      <c r="L84" s="23"/>
    </row>
    <row r="85" s="1" customFormat="1" spans="1:12">
      <c r="A85" s="40"/>
      <c r="B85" s="10" t="s">
        <v>2216</v>
      </c>
      <c r="C85" s="10" t="s">
        <v>275</v>
      </c>
      <c r="D85" s="10" t="s">
        <v>2217</v>
      </c>
      <c r="E85" s="20"/>
      <c r="F85" s="10"/>
      <c r="G85" s="19"/>
      <c r="H85" s="20"/>
      <c r="I85" s="23"/>
      <c r="J85" s="23"/>
      <c r="K85" s="23"/>
      <c r="L85" s="23"/>
    </row>
    <row r="86" s="1" customFormat="1" spans="1:12">
      <c r="A86" s="40"/>
      <c r="B86" s="10" t="s">
        <v>2230</v>
      </c>
      <c r="C86" s="10" t="s">
        <v>275</v>
      </c>
      <c r="D86" s="10" t="s">
        <v>2231</v>
      </c>
      <c r="E86" s="20"/>
      <c r="F86" s="10"/>
      <c r="G86" s="19"/>
      <c r="H86" s="20"/>
      <c r="I86" s="23"/>
      <c r="J86" s="23"/>
      <c r="K86" s="23"/>
      <c r="L86" s="23"/>
    </row>
    <row r="87" s="1" customFormat="1" spans="1:12">
      <c r="A87" s="40"/>
      <c r="B87" s="10" t="s">
        <v>2258</v>
      </c>
      <c r="C87" s="10" t="s">
        <v>275</v>
      </c>
      <c r="D87" s="10" t="s">
        <v>2259</v>
      </c>
      <c r="E87" s="20"/>
      <c r="F87" s="10"/>
      <c r="G87" s="19"/>
      <c r="H87" s="20"/>
      <c r="I87" s="23"/>
      <c r="J87" s="23"/>
      <c r="K87" s="23"/>
      <c r="L87" s="23"/>
    </row>
    <row r="88" s="1" customFormat="1" spans="1:12">
      <c r="A88" s="40"/>
      <c r="B88" s="10" t="s">
        <v>2272</v>
      </c>
      <c r="C88" s="10" t="s">
        <v>275</v>
      </c>
      <c r="D88" s="10" t="s">
        <v>2273</v>
      </c>
      <c r="E88" s="20"/>
      <c r="F88" s="10"/>
      <c r="G88" s="19"/>
      <c r="H88" s="20"/>
      <c r="I88" s="23"/>
      <c r="J88" s="23"/>
      <c r="K88" s="23"/>
      <c r="L88" s="23"/>
    </row>
    <row r="89" s="1" customFormat="1" spans="1:12">
      <c r="A89" s="40"/>
      <c r="B89" s="10" t="s">
        <v>2286</v>
      </c>
      <c r="C89" s="10" t="s">
        <v>275</v>
      </c>
      <c r="D89" s="10" t="s">
        <v>2287</v>
      </c>
      <c r="E89" s="20"/>
      <c r="F89" s="10"/>
      <c r="G89" s="19"/>
      <c r="H89" s="20"/>
      <c r="I89" s="23"/>
      <c r="J89" s="23"/>
      <c r="K89" s="23"/>
      <c r="L89" s="23"/>
    </row>
    <row r="90" s="1" customFormat="1" spans="1:12">
      <c r="A90" s="40"/>
      <c r="B90" s="10" t="s">
        <v>2328</v>
      </c>
      <c r="C90" s="10" t="s">
        <v>275</v>
      </c>
      <c r="D90" s="10" t="s">
        <v>2329</v>
      </c>
      <c r="E90" s="20"/>
      <c r="F90" s="10"/>
      <c r="G90" s="19"/>
      <c r="H90" s="20"/>
      <c r="I90" s="23"/>
      <c r="J90" s="23"/>
      <c r="K90" s="23"/>
      <c r="L90" s="23"/>
    </row>
    <row r="91" s="1" customFormat="1" spans="1:12">
      <c r="A91" s="40"/>
      <c r="B91" s="10" t="s">
        <v>2342</v>
      </c>
      <c r="C91" s="10" t="s">
        <v>275</v>
      </c>
      <c r="D91" s="10" t="s">
        <v>2343</v>
      </c>
      <c r="E91" s="20"/>
      <c r="F91" s="10"/>
      <c r="G91" s="19"/>
      <c r="H91" s="20"/>
      <c r="I91" s="23"/>
      <c r="J91" s="23"/>
      <c r="K91" s="23"/>
      <c r="L91" s="23"/>
    </row>
    <row r="92" s="1" customFormat="1" spans="1:12">
      <c r="A92" s="40"/>
      <c r="B92" s="10" t="s">
        <v>2356</v>
      </c>
      <c r="C92" s="10" t="s">
        <v>275</v>
      </c>
      <c r="D92" s="10" t="s">
        <v>2357</v>
      </c>
      <c r="E92" s="20"/>
      <c r="F92" s="10"/>
      <c r="G92" s="19"/>
      <c r="H92" s="20"/>
      <c r="I92" s="23"/>
      <c r="J92" s="23"/>
      <c r="K92" s="23"/>
      <c r="L92" s="23"/>
    </row>
    <row r="93" s="1" customFormat="1" spans="1:12">
      <c r="A93" s="40"/>
      <c r="B93" s="10" t="s">
        <v>2368</v>
      </c>
      <c r="C93" s="10" t="s">
        <v>275</v>
      </c>
      <c r="D93" s="10" t="s">
        <v>2369</v>
      </c>
      <c r="E93" s="20"/>
      <c r="F93" s="10"/>
      <c r="G93" s="19"/>
      <c r="H93" s="20"/>
      <c r="I93" s="23"/>
      <c r="J93" s="23"/>
      <c r="K93" s="23"/>
      <c r="L93" s="23"/>
    </row>
    <row r="94" s="1" customFormat="1" spans="1:12">
      <c r="A94" s="40"/>
      <c r="B94" s="10" t="s">
        <v>2380</v>
      </c>
      <c r="C94" s="10" t="s">
        <v>275</v>
      </c>
      <c r="D94" s="10" t="s">
        <v>2381</v>
      </c>
      <c r="E94" s="20"/>
      <c r="F94" s="10"/>
      <c r="G94" s="19"/>
      <c r="H94" s="20"/>
      <c r="I94" s="23"/>
      <c r="J94" s="23"/>
      <c r="K94" s="23"/>
      <c r="L94" s="23"/>
    </row>
    <row r="95" s="1" customFormat="1" spans="1:12">
      <c r="A95" s="40"/>
      <c r="B95" s="10" t="s">
        <v>2392</v>
      </c>
      <c r="C95" s="10" t="s">
        <v>275</v>
      </c>
      <c r="D95" s="10" t="s">
        <v>2393</v>
      </c>
      <c r="E95" s="20"/>
      <c r="F95" s="10"/>
      <c r="G95" s="19"/>
      <c r="H95" s="20"/>
      <c r="I95" s="23"/>
      <c r="J95" s="23"/>
      <c r="K95" s="23"/>
      <c r="L95" s="23"/>
    </row>
    <row r="96" s="1" customFormat="1" spans="1:12">
      <c r="A96" s="40"/>
      <c r="B96" s="10" t="s">
        <v>2404</v>
      </c>
      <c r="C96" s="10" t="s">
        <v>275</v>
      </c>
      <c r="D96" s="10" t="s">
        <v>2405</v>
      </c>
      <c r="E96" s="20"/>
      <c r="F96" s="10"/>
      <c r="G96" s="19"/>
      <c r="H96" s="20"/>
      <c r="I96" s="23"/>
      <c r="J96" s="23"/>
      <c r="K96" s="23"/>
      <c r="L96" s="23"/>
    </row>
    <row r="97" s="1" customFormat="1" spans="1:12">
      <c r="A97" s="40"/>
      <c r="B97" s="10" t="s">
        <v>2416</v>
      </c>
      <c r="C97" s="10" t="s">
        <v>275</v>
      </c>
      <c r="D97" s="10" t="s">
        <v>2417</v>
      </c>
      <c r="E97" s="20"/>
      <c r="F97" s="10"/>
      <c r="G97" s="19"/>
      <c r="H97" s="20"/>
      <c r="I97" s="23"/>
      <c r="J97" s="23"/>
      <c r="K97" s="23"/>
      <c r="L97" s="23"/>
    </row>
    <row r="98" s="1" customFormat="1" spans="1:12">
      <c r="A98" s="40"/>
      <c r="B98" s="10" t="s">
        <v>2428</v>
      </c>
      <c r="C98" s="10" t="s">
        <v>275</v>
      </c>
      <c r="D98" s="10" t="s">
        <v>2429</v>
      </c>
      <c r="E98" s="20"/>
      <c r="F98" s="10"/>
      <c r="G98" s="19"/>
      <c r="H98" s="20"/>
      <c r="I98" s="23"/>
      <c r="J98" s="23"/>
      <c r="K98" s="23"/>
      <c r="L98" s="23"/>
    </row>
    <row r="99" s="1" customFormat="1" spans="1:12">
      <c r="A99" s="40"/>
      <c r="B99" s="10" t="s">
        <v>1782</v>
      </c>
      <c r="C99" s="10" t="s">
        <v>275</v>
      </c>
      <c r="D99" s="10" t="s">
        <v>1783</v>
      </c>
      <c r="E99" s="20"/>
      <c r="F99" s="10"/>
      <c r="G99" s="19"/>
      <c r="H99" s="20"/>
      <c r="I99" s="23"/>
      <c r="J99" s="23"/>
      <c r="K99" s="23"/>
      <c r="L99" s="23"/>
    </row>
    <row r="100" s="1" customFormat="1" spans="1:12">
      <c r="A100" s="40"/>
      <c r="B100" s="10" t="s">
        <v>1784</v>
      </c>
      <c r="C100" s="10" t="s">
        <v>275</v>
      </c>
      <c r="D100" s="10" t="s">
        <v>1785</v>
      </c>
      <c r="E100" s="20"/>
      <c r="F100" s="10"/>
      <c r="G100" s="19"/>
      <c r="H100" s="20"/>
      <c r="I100" s="23"/>
      <c r="J100" s="23"/>
      <c r="K100" s="23"/>
      <c r="L100" s="23"/>
    </row>
    <row r="101" s="1" customFormat="1" spans="1:12">
      <c r="A101" s="40"/>
      <c r="B101" s="10" t="s">
        <v>1786</v>
      </c>
      <c r="C101" s="10" t="s">
        <v>275</v>
      </c>
      <c r="D101" s="10" t="s">
        <v>1787</v>
      </c>
      <c r="E101" s="20"/>
      <c r="F101" s="10"/>
      <c r="G101" s="19"/>
      <c r="H101" s="20"/>
      <c r="I101" s="23"/>
      <c r="J101" s="23"/>
      <c r="K101" s="23"/>
      <c r="L101" s="23"/>
    </row>
    <row r="102" s="1" customFormat="1" spans="1:12">
      <c r="A102" s="40"/>
      <c r="B102" s="10" t="s">
        <v>1788</v>
      </c>
      <c r="C102" s="10" t="s">
        <v>275</v>
      </c>
      <c r="D102" s="10" t="s">
        <v>1789</v>
      </c>
      <c r="E102" s="20"/>
      <c r="F102" s="10"/>
      <c r="G102" s="19"/>
      <c r="H102" s="20"/>
      <c r="I102" s="23"/>
      <c r="J102" s="23"/>
      <c r="K102" s="23"/>
      <c r="L102" s="23"/>
    </row>
    <row r="103" s="1" customFormat="1" spans="1:12">
      <c r="A103" s="40"/>
      <c r="B103" s="10" t="s">
        <v>1345</v>
      </c>
      <c r="C103" s="10" t="s">
        <v>275</v>
      </c>
      <c r="D103" s="10" t="s">
        <v>2139</v>
      </c>
      <c r="E103" s="20"/>
      <c r="F103" s="10"/>
      <c r="G103" s="19"/>
      <c r="H103" s="20"/>
      <c r="I103" s="23"/>
      <c r="J103" s="23"/>
      <c r="K103" s="23"/>
      <c r="L103" s="23"/>
    </row>
    <row r="104" s="1" customFormat="1" spans="1:12">
      <c r="A104" s="40"/>
      <c r="B104" s="10" t="s">
        <v>1790</v>
      </c>
      <c r="C104" s="10" t="s">
        <v>275</v>
      </c>
      <c r="D104" s="10" t="s">
        <v>1791</v>
      </c>
      <c r="E104" s="20"/>
      <c r="F104" s="10"/>
      <c r="G104" s="19"/>
      <c r="H104" s="20"/>
      <c r="I104" s="23"/>
      <c r="J104" s="23"/>
      <c r="K104" s="23"/>
      <c r="L104" s="23"/>
    </row>
    <row r="105" s="1" customFormat="1" spans="1:12">
      <c r="A105" s="40"/>
      <c r="B105" s="19" t="s">
        <v>1792</v>
      </c>
      <c r="C105" s="19" t="s">
        <v>275</v>
      </c>
      <c r="D105" s="10" t="s">
        <v>1793</v>
      </c>
      <c r="E105" s="20"/>
      <c r="F105" s="19"/>
      <c r="G105" s="19"/>
      <c r="H105" s="20"/>
      <c r="I105" s="23"/>
      <c r="J105" s="23"/>
      <c r="K105" s="23"/>
      <c r="L105" s="23"/>
    </row>
    <row r="106" s="1" customFormat="1" spans="1:12">
      <c r="A106" s="40"/>
      <c r="B106" s="10" t="s">
        <v>1465</v>
      </c>
      <c r="C106" s="10" t="s">
        <v>275</v>
      </c>
      <c r="D106" s="10" t="s">
        <v>1466</v>
      </c>
      <c r="E106" s="20"/>
      <c r="F106" s="19"/>
      <c r="G106" s="10"/>
      <c r="H106" s="20"/>
      <c r="I106" s="23"/>
      <c r="J106" s="23"/>
      <c r="K106" s="23"/>
      <c r="L106" s="23"/>
    </row>
    <row r="107" s="1" customFormat="1" spans="1:12">
      <c r="A107" s="40"/>
      <c r="B107" s="10" t="s">
        <v>1467</v>
      </c>
      <c r="C107" s="10" t="s">
        <v>275</v>
      </c>
      <c r="D107" s="10" t="s">
        <v>1468</v>
      </c>
      <c r="E107" s="20"/>
      <c r="F107" s="19"/>
      <c r="G107" s="10"/>
      <c r="H107" s="20"/>
      <c r="I107" s="23"/>
      <c r="J107" s="23"/>
      <c r="K107" s="23"/>
      <c r="L107" s="23"/>
    </row>
    <row r="108" s="1" customFormat="1" spans="1:12">
      <c r="A108" s="40"/>
      <c r="B108" s="10" t="s">
        <v>1469</v>
      </c>
      <c r="C108" s="10" t="s">
        <v>275</v>
      </c>
      <c r="D108" s="10" t="s">
        <v>1470</v>
      </c>
      <c r="E108" s="20"/>
      <c r="F108" s="19"/>
      <c r="G108" s="10"/>
      <c r="H108" s="20"/>
      <c r="I108" s="23"/>
      <c r="J108" s="23"/>
      <c r="K108" s="23"/>
      <c r="L108" s="23"/>
    </row>
    <row r="109" s="1" customFormat="1" spans="1:12">
      <c r="A109" s="40"/>
      <c r="B109" s="10" t="s">
        <v>1471</v>
      </c>
      <c r="C109" s="10" t="s">
        <v>275</v>
      </c>
      <c r="D109" s="10" t="s">
        <v>1472</v>
      </c>
      <c r="E109" s="20"/>
      <c r="F109" s="19"/>
      <c r="G109" s="10"/>
      <c r="H109" s="20"/>
      <c r="I109" s="23"/>
      <c r="J109" s="23"/>
      <c r="K109" s="23"/>
      <c r="L109" s="23"/>
    </row>
    <row r="110" s="1" customFormat="1" ht="26.4" spans="1:12">
      <c r="A110" s="40"/>
      <c r="B110" s="19" t="s">
        <v>1473</v>
      </c>
      <c r="C110" s="19" t="s">
        <v>275</v>
      </c>
      <c r="D110" s="10" t="s">
        <v>1474</v>
      </c>
      <c r="E110" s="20"/>
      <c r="F110" s="19"/>
      <c r="G110" s="19"/>
      <c r="H110" s="20"/>
      <c r="I110" s="23"/>
      <c r="J110" s="23"/>
      <c r="K110" s="23"/>
      <c r="L110" s="23"/>
    </row>
    <row r="111" s="1" customFormat="1" spans="2:12">
      <c r="B111" s="19" t="s">
        <v>1477</v>
      </c>
      <c r="C111" s="19" t="s">
        <v>275</v>
      </c>
      <c r="D111" s="10" t="s">
        <v>1478</v>
      </c>
      <c r="E111" s="20"/>
      <c r="F111" s="19"/>
      <c r="G111" s="19"/>
      <c r="H111" s="20"/>
      <c r="I111" s="23"/>
      <c r="J111" s="23"/>
      <c r="K111" s="23"/>
      <c r="L111" s="23"/>
    </row>
    <row r="112" s="1" customFormat="1" spans="2:12">
      <c r="B112" s="19" t="s">
        <v>1479</v>
      </c>
      <c r="C112" s="19" t="s">
        <v>275</v>
      </c>
      <c r="D112" s="10" t="s">
        <v>1480</v>
      </c>
      <c r="E112" s="20"/>
      <c r="F112" s="19"/>
      <c r="G112" s="19"/>
      <c r="H112" s="20"/>
      <c r="I112" s="23"/>
      <c r="J112" s="23"/>
      <c r="K112" s="23"/>
      <c r="L112" s="23"/>
    </row>
    <row r="113" s="40" customFormat="1" spans="2:12">
      <c r="B113" s="19" t="s">
        <v>1481</v>
      </c>
      <c r="C113" s="19" t="s">
        <v>275</v>
      </c>
      <c r="D113" s="10" t="s">
        <v>1482</v>
      </c>
      <c r="E113" s="20"/>
      <c r="F113" s="19"/>
      <c r="G113" s="19"/>
      <c r="H113" s="20"/>
      <c r="I113" s="23"/>
      <c r="J113" s="23"/>
      <c r="K113" s="23"/>
      <c r="L113" s="23"/>
    </row>
    <row r="114" s="40" customFormat="1" spans="2:12">
      <c r="B114" s="19" t="s">
        <v>1483</v>
      </c>
      <c r="C114" s="19" t="s">
        <v>275</v>
      </c>
      <c r="D114" s="10" t="s">
        <v>1484</v>
      </c>
      <c r="E114" s="20"/>
      <c r="F114" s="19"/>
      <c r="G114" s="19"/>
      <c r="H114" s="20"/>
      <c r="I114" s="23"/>
      <c r="J114" s="23"/>
      <c r="K114" s="23"/>
      <c r="L114" s="23"/>
    </row>
    <row r="115" s="70" customFormat="1" spans="1:12">
      <c r="A115" s="75"/>
      <c r="B115" s="76" t="s">
        <v>1485</v>
      </c>
      <c r="C115" s="76" t="s">
        <v>275</v>
      </c>
      <c r="D115" s="10" t="s">
        <v>1486</v>
      </c>
      <c r="E115" s="20"/>
      <c r="F115" s="19"/>
      <c r="G115" s="19"/>
      <c r="H115" s="20"/>
      <c r="I115" s="77"/>
      <c r="J115" s="23"/>
      <c r="K115" s="23"/>
      <c r="L115" s="23"/>
    </row>
    <row r="116" s="1" customFormat="1" spans="1:12">
      <c r="A116" s="40"/>
      <c r="B116" s="10" t="s">
        <v>2694</v>
      </c>
      <c r="C116" s="10" t="s">
        <v>275</v>
      </c>
      <c r="D116" s="10" t="s">
        <v>2695</v>
      </c>
      <c r="E116" s="20"/>
      <c r="F116" s="19"/>
      <c r="G116" s="10"/>
      <c r="H116" s="20"/>
      <c r="I116" s="23"/>
      <c r="J116" s="23"/>
      <c r="K116" s="23"/>
      <c r="L116" s="23"/>
    </row>
    <row r="117" s="40" customFormat="1" spans="2:12">
      <c r="B117" s="19" t="s">
        <v>2696</v>
      </c>
      <c r="C117" s="19" t="s">
        <v>275</v>
      </c>
      <c r="D117" s="10" t="s">
        <v>2697</v>
      </c>
      <c r="E117" s="20"/>
      <c r="F117" s="19"/>
      <c r="G117" s="19"/>
      <c r="H117" s="20"/>
      <c r="I117" s="23"/>
      <c r="J117" s="23"/>
      <c r="K117" s="23"/>
      <c r="L117" s="23"/>
    </row>
    <row r="118" s="40" customFormat="1" ht="26.4" spans="2:12">
      <c r="B118" s="19" t="s">
        <v>1347</v>
      </c>
      <c r="C118" s="19" t="s">
        <v>275</v>
      </c>
      <c r="D118" s="10" t="s">
        <v>2140</v>
      </c>
      <c r="E118" s="20"/>
      <c r="F118" s="19"/>
      <c r="G118" s="19"/>
      <c r="H118" s="20"/>
      <c r="I118" s="23"/>
      <c r="J118" s="23"/>
      <c r="K118" s="23"/>
      <c r="L118" s="23"/>
    </row>
    <row r="119" s="40" customFormat="1" ht="26.4" spans="2:12">
      <c r="B119" s="19" t="s">
        <v>2761</v>
      </c>
      <c r="C119" s="19" t="s">
        <v>275</v>
      </c>
      <c r="D119" s="10" t="s">
        <v>2762</v>
      </c>
      <c r="E119" s="20"/>
      <c r="F119" s="19"/>
      <c r="G119" s="19"/>
      <c r="H119" s="20"/>
      <c r="I119" s="23"/>
      <c r="J119" s="23"/>
      <c r="K119" s="23"/>
      <c r="L119" s="23"/>
    </row>
    <row r="120" s="40" customFormat="1" ht="26.4" spans="2:12">
      <c r="B120" s="19" t="s">
        <v>1349</v>
      </c>
      <c r="C120" s="19" t="s">
        <v>275</v>
      </c>
      <c r="D120" s="10" t="s">
        <v>2141</v>
      </c>
      <c r="E120" s="20"/>
      <c r="F120" s="19"/>
      <c r="G120" s="19"/>
      <c r="H120" s="20"/>
      <c r="I120" s="23"/>
      <c r="J120" s="23"/>
      <c r="K120" s="23"/>
      <c r="L120" s="23"/>
    </row>
    <row r="121" s="3" customFormat="1" ht="26.4" spans="2:12">
      <c r="B121" s="19" t="s">
        <v>2763</v>
      </c>
      <c r="C121" s="19" t="s">
        <v>275</v>
      </c>
      <c r="D121" s="10" t="s">
        <v>2764</v>
      </c>
      <c r="E121" s="20"/>
      <c r="F121" s="19"/>
      <c r="G121" s="19"/>
      <c r="H121" s="20"/>
      <c r="I121" s="23"/>
      <c r="J121" s="23"/>
      <c r="K121" s="23"/>
      <c r="L121" s="23"/>
    </row>
    <row r="122" s="3" customFormat="1" ht="26.4" spans="2:12">
      <c r="B122" s="19" t="s">
        <v>2100</v>
      </c>
      <c r="C122" s="19" t="s">
        <v>275</v>
      </c>
      <c r="D122" s="10" t="s">
        <v>2575</v>
      </c>
      <c r="E122" s="20"/>
      <c r="F122" s="19"/>
      <c r="G122" s="19"/>
      <c r="H122" s="20"/>
      <c r="I122" s="23"/>
      <c r="J122" s="23"/>
      <c r="K122" s="23"/>
      <c r="L122" s="23"/>
    </row>
    <row r="123" s="1" customFormat="1" ht="26.4" spans="1:12">
      <c r="A123" s="40"/>
      <c r="B123" s="19" t="s">
        <v>2698</v>
      </c>
      <c r="C123" s="19" t="s">
        <v>275</v>
      </c>
      <c r="D123" s="10" t="s">
        <v>2699</v>
      </c>
      <c r="E123" s="20"/>
      <c r="F123" s="19"/>
      <c r="G123" s="19"/>
      <c r="H123" s="19"/>
      <c r="I123" s="23"/>
      <c r="J123" s="23"/>
      <c r="K123" s="23"/>
      <c r="L123" s="23"/>
    </row>
    <row r="124" s="3" customFormat="1" spans="2:12">
      <c r="B124" s="19" t="s">
        <v>1798</v>
      </c>
      <c r="C124" s="19" t="s">
        <v>275</v>
      </c>
      <c r="D124" s="10" t="s">
        <v>1799</v>
      </c>
      <c r="E124" s="20"/>
      <c r="F124" s="19"/>
      <c r="G124" s="19"/>
      <c r="H124" s="20"/>
      <c r="I124" s="23"/>
      <c r="J124" s="23"/>
      <c r="K124" s="23"/>
      <c r="L124" s="23"/>
    </row>
    <row r="125" s="3" customFormat="1" ht="26.4" spans="2:12">
      <c r="B125" s="19" t="s">
        <v>2700</v>
      </c>
      <c r="C125" s="19" t="s">
        <v>275</v>
      </c>
      <c r="D125" s="10" t="s">
        <v>2701</v>
      </c>
      <c r="E125" s="20"/>
      <c r="F125" s="19"/>
      <c r="G125" s="19"/>
      <c r="H125" s="20"/>
      <c r="I125" s="23"/>
      <c r="J125" s="23"/>
      <c r="K125" s="23"/>
      <c r="L125" s="23"/>
    </row>
    <row r="126" s="3" customFormat="1" spans="2:12">
      <c r="B126" s="19" t="s">
        <v>2803</v>
      </c>
      <c r="C126" s="19" t="s">
        <v>275</v>
      </c>
      <c r="D126" s="10" t="s">
        <v>2103</v>
      </c>
      <c r="E126" s="20"/>
      <c r="F126" s="19"/>
      <c r="G126" s="19"/>
      <c r="H126" s="20"/>
      <c r="I126" s="23"/>
      <c r="J126" s="23"/>
      <c r="K126" s="23"/>
      <c r="L126" s="23"/>
    </row>
    <row r="127" s="3" customFormat="1" ht="26.4" spans="2:12">
      <c r="B127" s="76" t="s">
        <v>2688</v>
      </c>
      <c r="C127" s="76" t="s">
        <v>275</v>
      </c>
      <c r="D127" s="10" t="s">
        <v>2689</v>
      </c>
      <c r="E127" s="20"/>
      <c r="F127" s="19"/>
      <c r="G127" s="19"/>
      <c r="H127" s="20"/>
      <c r="I127" s="77"/>
      <c r="J127" s="23"/>
      <c r="K127" s="23"/>
      <c r="L127" s="23"/>
    </row>
    <row r="128" s="70" customFormat="1" spans="1:12">
      <c r="A128" s="75"/>
      <c r="B128" s="76" t="s">
        <v>2804</v>
      </c>
      <c r="C128" s="76" t="s">
        <v>275</v>
      </c>
      <c r="D128" s="10" t="s">
        <v>2105</v>
      </c>
      <c r="E128" s="20"/>
      <c r="F128" s="19"/>
      <c r="G128" s="19"/>
      <c r="H128" s="20"/>
      <c r="I128" s="77"/>
      <c r="J128" s="23"/>
      <c r="K128" s="23"/>
      <c r="L128" s="23"/>
    </row>
    <row r="129" s="70" customFormat="1" spans="1:12">
      <c r="A129" s="75"/>
      <c r="B129" s="76" t="s">
        <v>2805</v>
      </c>
      <c r="C129" s="76" t="s">
        <v>275</v>
      </c>
      <c r="D129" s="10" t="s">
        <v>2108</v>
      </c>
      <c r="E129" s="20"/>
      <c r="F129" s="19"/>
      <c r="G129" s="19"/>
      <c r="H129" s="20"/>
      <c r="I129" s="77"/>
      <c r="J129" s="23"/>
      <c r="K129" s="23"/>
      <c r="L129" s="23"/>
    </row>
    <row r="130" s="70" customFormat="1" ht="26.4" spans="1:12">
      <c r="A130" s="75"/>
      <c r="B130" s="76" t="s">
        <v>2690</v>
      </c>
      <c r="C130" s="76" t="s">
        <v>275</v>
      </c>
      <c r="D130" s="10" t="s">
        <v>2691</v>
      </c>
      <c r="E130" s="20"/>
      <c r="F130" s="19"/>
      <c r="G130" s="19"/>
      <c r="H130" s="20"/>
      <c r="I130" s="77"/>
      <c r="J130" s="23"/>
      <c r="K130" s="23"/>
      <c r="L130" s="23"/>
    </row>
    <row r="131" s="70" customFormat="1" spans="1:12">
      <c r="A131" s="75"/>
      <c r="B131" s="76" t="s">
        <v>2806</v>
      </c>
      <c r="C131" s="76" t="s">
        <v>275</v>
      </c>
      <c r="D131" s="10" t="s">
        <v>2110</v>
      </c>
      <c r="E131" s="20"/>
      <c r="F131" s="19"/>
      <c r="G131" s="19"/>
      <c r="H131" s="20"/>
      <c r="I131" s="77"/>
      <c r="J131" s="23"/>
      <c r="K131" s="23"/>
      <c r="L131" s="23"/>
    </row>
    <row r="132" s="70" customFormat="1" ht="26.4" spans="1:12">
      <c r="A132" s="75"/>
      <c r="B132" s="76" t="s">
        <v>2692</v>
      </c>
      <c r="C132" s="76" t="s">
        <v>275</v>
      </c>
      <c r="D132" s="10" t="s">
        <v>2693</v>
      </c>
      <c r="E132" s="20"/>
      <c r="F132" s="19"/>
      <c r="G132" s="19"/>
      <c r="H132" s="20"/>
      <c r="I132" s="77"/>
      <c r="J132" s="23"/>
      <c r="K132" s="23"/>
      <c r="L132" s="23"/>
    </row>
    <row r="133" s="70" customFormat="1" spans="1:12">
      <c r="A133" s="75"/>
      <c r="B133" s="76" t="s">
        <v>2807</v>
      </c>
      <c r="C133" s="76" t="s">
        <v>275</v>
      </c>
      <c r="D133" s="10" t="s">
        <v>2579</v>
      </c>
      <c r="E133" s="20"/>
      <c r="F133" s="19"/>
      <c r="G133" s="19"/>
      <c r="H133" s="20"/>
      <c r="I133" s="77"/>
      <c r="J133" s="23"/>
      <c r="K133" s="23"/>
      <c r="L133" s="23"/>
    </row>
    <row r="134" s="70" customFormat="1" spans="1:12">
      <c r="A134" s="75"/>
      <c r="B134" s="76" t="s">
        <v>2580</v>
      </c>
      <c r="C134" s="76" t="s">
        <v>275</v>
      </c>
      <c r="D134" s="10" t="s">
        <v>2581</v>
      </c>
      <c r="E134" s="20"/>
      <c r="F134" s="19"/>
      <c r="G134" s="19"/>
      <c r="H134" s="20"/>
      <c r="I134" s="77"/>
      <c r="J134" s="23"/>
      <c r="K134" s="23"/>
      <c r="L134" s="23"/>
    </row>
    <row r="135" s="70" customFormat="1" spans="1:12">
      <c r="A135" s="75"/>
      <c r="B135" s="76" t="s">
        <v>2468</v>
      </c>
      <c r="C135" s="76" t="s">
        <v>275</v>
      </c>
      <c r="D135" s="10" t="s">
        <v>1807</v>
      </c>
      <c r="E135" s="20"/>
      <c r="F135" s="19"/>
      <c r="G135" s="19"/>
      <c r="H135" s="20"/>
      <c r="I135" s="77"/>
      <c r="J135" s="23"/>
      <c r="K135" s="23"/>
      <c r="L135" s="23"/>
    </row>
    <row r="136" s="70" customFormat="1" spans="1:12">
      <c r="A136" s="75"/>
      <c r="B136" s="76" t="s">
        <v>1318</v>
      </c>
      <c r="C136" s="76" t="s">
        <v>220</v>
      </c>
      <c r="D136" s="10" t="s">
        <v>2800</v>
      </c>
      <c r="E136" s="20"/>
      <c r="F136" s="19"/>
      <c r="G136" s="19"/>
      <c r="H136" s="20"/>
      <c r="I136" s="77"/>
      <c r="J136" s="23"/>
      <c r="K136" s="23"/>
      <c r="L136" s="23"/>
    </row>
    <row r="137" s="70" customFormat="1" spans="1:12">
      <c r="A137" s="75"/>
      <c r="B137" s="76" t="s">
        <v>1834</v>
      </c>
      <c r="C137" s="76" t="s">
        <v>220</v>
      </c>
      <c r="D137" s="10" t="s">
        <v>2801</v>
      </c>
      <c r="E137" s="20"/>
      <c r="F137" s="19"/>
      <c r="G137" s="19"/>
      <c r="H137" s="20"/>
      <c r="I137" s="77"/>
      <c r="J137" s="23"/>
      <c r="K137" s="23"/>
      <c r="L137" s="23"/>
    </row>
    <row r="138" s="70" customFormat="1" spans="1:12">
      <c r="A138" s="75"/>
      <c r="B138" s="76" t="s">
        <v>2594</v>
      </c>
      <c r="C138" s="76" t="s">
        <v>216</v>
      </c>
      <c r="D138" s="10" t="s">
        <v>2595</v>
      </c>
      <c r="E138" s="20"/>
      <c r="F138" s="19"/>
      <c r="G138" s="19"/>
      <c r="H138" s="20"/>
      <c r="I138" s="77"/>
      <c r="J138" s="23"/>
      <c r="K138" s="23"/>
      <c r="L138" s="23"/>
    </row>
    <row r="139" s="3" customFormat="1" spans="2:12">
      <c r="B139" s="19" t="s">
        <v>2605</v>
      </c>
      <c r="C139" s="19" t="s">
        <v>216</v>
      </c>
      <c r="D139" s="10" t="s">
        <v>2606</v>
      </c>
      <c r="E139" s="20"/>
      <c r="F139" s="19"/>
      <c r="G139" s="19"/>
      <c r="H139" s="20"/>
      <c r="I139" s="23"/>
      <c r="J139" s="23"/>
      <c r="K139" s="23"/>
      <c r="L139" s="23"/>
    </row>
    <row r="140" spans="1:12">
      <c r="A140" s="4"/>
      <c r="B140" s="19" t="s">
        <v>2591</v>
      </c>
      <c r="C140" s="19" t="s">
        <v>216</v>
      </c>
      <c r="D140" s="10" t="s">
        <v>2098</v>
      </c>
      <c r="E140" s="20"/>
      <c r="F140" s="19"/>
      <c r="G140" s="19"/>
      <c r="H140" s="20"/>
      <c r="I140" s="23"/>
      <c r="J140" s="23"/>
      <c r="K140" s="23"/>
      <c r="L140" s="23"/>
    </row>
    <row r="141" spans="1:12">
      <c r="A141" s="4"/>
      <c r="B141" s="19" t="s">
        <v>2589</v>
      </c>
      <c r="C141" s="19" t="s">
        <v>216</v>
      </c>
      <c r="D141" s="10" t="s">
        <v>2590</v>
      </c>
      <c r="E141" s="20"/>
      <c r="F141" s="19"/>
      <c r="G141" s="19"/>
      <c r="H141" s="20"/>
      <c r="I141" s="23"/>
      <c r="J141" s="23"/>
      <c r="K141" s="23"/>
      <c r="L141" s="23"/>
    </row>
    <row r="142" spans="1:12">
      <c r="A142" s="4"/>
      <c r="B142" s="19" t="s">
        <v>1289</v>
      </c>
      <c r="C142" s="19" t="s">
        <v>216</v>
      </c>
      <c r="D142" s="10" t="s">
        <v>1813</v>
      </c>
      <c r="E142" s="20"/>
      <c r="F142" s="19"/>
      <c r="G142" s="19"/>
      <c r="H142" s="20"/>
      <c r="I142" s="23"/>
      <c r="J142" s="23"/>
      <c r="K142" s="23"/>
      <c r="L142" s="23"/>
    </row>
    <row r="143" s="36" customFormat="1" spans="1:12">
      <c r="A143" s="41"/>
      <c r="B143" s="29" t="s">
        <v>1814</v>
      </c>
      <c r="C143" s="29" t="s">
        <v>275</v>
      </c>
      <c r="D143" s="29" t="s">
        <v>1815</v>
      </c>
      <c r="E143" s="29"/>
      <c r="F143" s="29"/>
      <c r="G143" s="29" t="s">
        <v>1816</v>
      </c>
      <c r="H143" s="29"/>
      <c r="I143" s="29" t="s">
        <v>1211</v>
      </c>
      <c r="J143" s="29" t="s">
        <v>345</v>
      </c>
      <c r="K143" s="29" t="s">
        <v>323</v>
      </c>
      <c r="L143" s="29" t="s">
        <v>339</v>
      </c>
    </row>
    <row r="144" s="36" customFormat="1" spans="1:12">
      <c r="A144" s="41"/>
      <c r="B144" s="29" t="s">
        <v>1817</v>
      </c>
      <c r="C144" s="29" t="s">
        <v>216</v>
      </c>
      <c r="D144" s="29" t="s">
        <v>1818</v>
      </c>
      <c r="E144" s="29"/>
      <c r="F144" s="29"/>
      <c r="G144" s="29" t="s">
        <v>2469</v>
      </c>
      <c r="H144" s="29"/>
      <c r="I144" s="29" t="s">
        <v>1211</v>
      </c>
      <c r="J144" s="29" t="s">
        <v>345</v>
      </c>
      <c r="K144" s="29" t="s">
        <v>323</v>
      </c>
      <c r="L144" s="29" t="s">
        <v>323</v>
      </c>
    </row>
    <row r="145" s="36" customFormat="1" spans="1:12">
      <c r="A145" s="41"/>
      <c r="B145" s="29" t="s">
        <v>1820</v>
      </c>
      <c r="C145" s="29" t="s">
        <v>216</v>
      </c>
      <c r="D145" s="29" t="s">
        <v>1821</v>
      </c>
      <c r="E145" s="29"/>
      <c r="F145" s="29"/>
      <c r="G145" s="29" t="s">
        <v>2470</v>
      </c>
      <c r="H145" s="29"/>
      <c r="I145" s="29" t="s">
        <v>1211</v>
      </c>
      <c r="J145" s="29" t="s">
        <v>345</v>
      </c>
      <c r="K145" s="29" t="s">
        <v>323</v>
      </c>
      <c r="L145" s="29" t="s">
        <v>323</v>
      </c>
    </row>
    <row r="146" s="37" customFormat="1" spans="1:12">
      <c r="A146" s="42"/>
      <c r="B146" s="43" t="s">
        <v>252</v>
      </c>
      <c r="C146" s="43" t="s">
        <v>220</v>
      </c>
      <c r="D146" s="44" t="s">
        <v>254</v>
      </c>
      <c r="E146" s="45"/>
      <c r="F146" s="46"/>
      <c r="G146" s="46"/>
      <c r="H146" s="47"/>
      <c r="I146" s="48"/>
      <c r="J146" s="49"/>
      <c r="K146" s="49"/>
      <c r="L146" s="49"/>
    </row>
    <row r="147" s="37" customFormat="1" spans="1:12">
      <c r="A147" s="42"/>
      <c r="B147" s="43" t="s">
        <v>255</v>
      </c>
      <c r="C147" s="43" t="s">
        <v>216</v>
      </c>
      <c r="D147" s="44" t="s">
        <v>256</v>
      </c>
      <c r="E147" s="45"/>
      <c r="F147" s="46"/>
      <c r="G147" s="46"/>
      <c r="H147" s="47"/>
      <c r="I147" s="48"/>
      <c r="J147" s="49"/>
      <c r="K147" s="49"/>
      <c r="L147" s="49"/>
    </row>
    <row r="148" s="37" customFormat="1" spans="1:12">
      <c r="A148" s="42"/>
      <c r="B148" s="43" t="s">
        <v>257</v>
      </c>
      <c r="C148" s="43" t="s">
        <v>220</v>
      </c>
      <c r="D148" s="44" t="s">
        <v>258</v>
      </c>
      <c r="E148" s="45"/>
      <c r="F148" s="46"/>
      <c r="G148" s="46"/>
      <c r="H148" s="47"/>
      <c r="I148" s="48"/>
      <c r="J148" s="49"/>
      <c r="K148" s="49"/>
      <c r="L148" s="49"/>
    </row>
  </sheetData>
  <autoFilter xmlns:etc="http://www.wps.cn/officeDocument/2017/etCustomData" ref="A15:N148"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zoomScale="85" zoomScaleNormal="85" workbookViewId="0">
      <pane ySplit="5" topLeftCell="A6" activePane="bottomLeft" state="frozen"/>
      <selection/>
      <selection pane="bottomLeft" activeCell="N16" sqref="N1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132</v>
      </c>
      <c r="D5" s="10" t="s">
        <v>133</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2984</v>
      </c>
      <c r="D9" s="35" t="s">
        <v>131</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c r="J16" s="23" t="s">
        <v>322</v>
      </c>
      <c r="K16" s="23" t="s">
        <v>323</v>
      </c>
      <c r="L16" s="23" t="s">
        <v>323</v>
      </c>
      <c r="M16" s="1" t="str">
        <f>_xlfn.CONCAT(F16," as ",B16)</f>
        <v>p_date as day</v>
      </c>
      <c r="N16" s="16" t="str">
        <f>_xlfn.CONCAT("`",B16,"` ",C16,",")</f>
        <v>`day` string,</v>
      </c>
    </row>
    <row r="17" s="1" customFormat="1" spans="2:14">
      <c r="B17" s="19" t="s">
        <v>1026</v>
      </c>
      <c r="C17" s="19" t="s">
        <v>220</v>
      </c>
      <c r="D17" s="10" t="s">
        <v>66</v>
      </c>
      <c r="E17" s="20" t="s">
        <v>199</v>
      </c>
      <c r="F17" s="19" t="s">
        <v>257</v>
      </c>
      <c r="G17" s="19" t="s">
        <v>218</v>
      </c>
      <c r="H17" s="20"/>
      <c r="I17" s="23"/>
      <c r="J17" s="23" t="s">
        <v>322</v>
      </c>
      <c r="K17" s="23" t="s">
        <v>323</v>
      </c>
      <c r="L17" s="23" t="s">
        <v>323</v>
      </c>
      <c r="M17" s="1" t="str">
        <f t="shared" ref="M17:M35" si="0">_xlfn.CONCAT(F17," as ",B17)</f>
        <v>p_hour as hour</v>
      </c>
      <c r="N17" s="16" t="str">
        <f t="shared" ref="N17:N38" si="1">_xlfn.CONCAT("`",B17,"` ",C17,",")</f>
        <v>`hour` int,</v>
      </c>
    </row>
    <row r="18" s="1" customFormat="1" spans="2:14">
      <c r="B18" s="19" t="s">
        <v>1302</v>
      </c>
      <c r="C18" s="19" t="s">
        <v>220</v>
      </c>
      <c r="D18" s="10" t="s">
        <v>2977</v>
      </c>
      <c r="E18" s="20" t="s">
        <v>199</v>
      </c>
      <c r="F18" s="19" t="s">
        <v>1302</v>
      </c>
      <c r="G18" s="19" t="s">
        <v>218</v>
      </c>
      <c r="H18" s="20"/>
      <c r="I18" s="23"/>
      <c r="J18" s="23" t="s">
        <v>322</v>
      </c>
      <c r="K18" s="23" t="s">
        <v>323</v>
      </c>
      <c r="L18" s="23" t="s">
        <v>323</v>
      </c>
      <c r="M18" s="1" t="str">
        <f t="shared" si="0"/>
        <v>interface as interface</v>
      </c>
      <c r="N18" s="16" t="str">
        <f t="shared" si="1"/>
        <v>`interface` int,</v>
      </c>
    </row>
    <row r="19" s="1" customFormat="1" spans="2:14">
      <c r="B19" s="19" t="s">
        <v>1830</v>
      </c>
      <c r="C19" s="19" t="s">
        <v>220</v>
      </c>
      <c r="D19" s="10" t="s">
        <v>1831</v>
      </c>
      <c r="E19" s="20" t="s">
        <v>199</v>
      </c>
      <c r="F19" s="19" t="s">
        <v>252</v>
      </c>
      <c r="G19" s="19" t="s">
        <v>218</v>
      </c>
      <c r="H19" s="20"/>
      <c r="I19" s="23"/>
      <c r="J19" s="23" t="s">
        <v>322</v>
      </c>
      <c r="K19" s="23" t="s">
        <v>323</v>
      </c>
      <c r="L19" s="23" t="s">
        <v>323</v>
      </c>
      <c r="M19" s="1" t="str">
        <f t="shared" si="0"/>
        <v>p_provincecode as provincecode</v>
      </c>
      <c r="N19" s="16" t="str">
        <f t="shared" si="1"/>
        <v>`provincecode` int,</v>
      </c>
    </row>
    <row r="20" s="1" customFormat="1" spans="2:14">
      <c r="B20" s="19" t="s">
        <v>1832</v>
      </c>
      <c r="C20" s="19" t="s">
        <v>220</v>
      </c>
      <c r="D20" s="10" t="s">
        <v>1833</v>
      </c>
      <c r="E20" s="20" t="s">
        <v>199</v>
      </c>
      <c r="F20" s="19" t="s">
        <v>1318</v>
      </c>
      <c r="G20" s="19" t="s">
        <v>218</v>
      </c>
      <c r="H20" s="20"/>
      <c r="I20" s="23"/>
      <c r="J20" s="23" t="s">
        <v>322</v>
      </c>
      <c r="K20" s="23" t="s">
        <v>323</v>
      </c>
      <c r="L20" s="23" t="s">
        <v>323</v>
      </c>
      <c r="M20" s="1" t="str">
        <f t="shared" si="0"/>
        <v>city as citycode</v>
      </c>
      <c r="N20" s="16" t="str">
        <f t="shared" si="1"/>
        <v>`citycode` int,</v>
      </c>
    </row>
    <row r="21" s="1" customFormat="1" spans="2:14">
      <c r="B21" s="19" t="s">
        <v>1834</v>
      </c>
      <c r="C21" s="19" t="s">
        <v>220</v>
      </c>
      <c r="D21" s="10" t="s">
        <v>1835</v>
      </c>
      <c r="E21" s="20" t="s">
        <v>199</v>
      </c>
      <c r="F21" s="19" t="s">
        <v>1834</v>
      </c>
      <c r="G21" s="19" t="s">
        <v>218</v>
      </c>
      <c r="H21" s="20"/>
      <c r="I21" s="23"/>
      <c r="J21" s="23" t="s">
        <v>322</v>
      </c>
      <c r="K21" s="23" t="s">
        <v>323</v>
      </c>
      <c r="L21" s="23" t="s">
        <v>323</v>
      </c>
      <c r="M21" s="1" t="str">
        <f t="shared" si="0"/>
        <v>districtcode as districtcode</v>
      </c>
      <c r="N21" s="16" t="str">
        <f t="shared" si="1"/>
        <v>`districtcode` int,</v>
      </c>
    </row>
    <row r="22" s="1" customFormat="1" spans="2:14">
      <c r="B22" s="19" t="s">
        <v>1836</v>
      </c>
      <c r="C22" s="19" t="s">
        <v>216</v>
      </c>
      <c r="D22" s="10" t="s">
        <v>1837</v>
      </c>
      <c r="E22" s="20" t="s">
        <v>199</v>
      </c>
      <c r="F22" s="19" t="s">
        <v>1836</v>
      </c>
      <c r="G22" s="19" t="s">
        <v>218</v>
      </c>
      <c r="H22" s="20"/>
      <c r="I22" s="23"/>
      <c r="J22" s="23" t="s">
        <v>322</v>
      </c>
      <c r="K22" s="23" t="s">
        <v>323</v>
      </c>
      <c r="L22" s="23" t="s">
        <v>323</v>
      </c>
      <c r="M22" s="1" t="str">
        <f t="shared" si="0"/>
        <v>cellkey as cellkey</v>
      </c>
      <c r="N22" s="16" t="str">
        <f t="shared" si="1"/>
        <v>`cellkey` string,</v>
      </c>
    </row>
    <row r="23" s="1" customFormat="1" spans="2:14">
      <c r="B23" s="19" t="s">
        <v>224</v>
      </c>
      <c r="C23" s="19" t="s">
        <v>216</v>
      </c>
      <c r="D23" s="10" t="s">
        <v>292</v>
      </c>
      <c r="E23" s="20" t="s">
        <v>199</v>
      </c>
      <c r="F23" s="19" t="s">
        <v>1310</v>
      </c>
      <c r="G23" s="19" t="s">
        <v>218</v>
      </c>
      <c r="H23" s="20"/>
      <c r="I23" s="23"/>
      <c r="J23" s="23" t="s">
        <v>322</v>
      </c>
      <c r="K23" s="23" t="s">
        <v>323</v>
      </c>
      <c r="L23" s="23" t="s">
        <v>323</v>
      </c>
      <c r="M23" s="1" t="str">
        <f t="shared" si="0"/>
        <v>imsi_supi as imsi</v>
      </c>
      <c r="N23" s="16" t="str">
        <f t="shared" si="1"/>
        <v>`imsi` string,</v>
      </c>
    </row>
    <row r="24" s="1" customFormat="1" spans="2:14">
      <c r="B24" s="19" t="s">
        <v>267</v>
      </c>
      <c r="C24" s="19" t="s">
        <v>216</v>
      </c>
      <c r="D24" s="10" t="s">
        <v>294</v>
      </c>
      <c r="E24" s="20" t="s">
        <v>199</v>
      </c>
      <c r="F24" s="19" t="s">
        <v>267</v>
      </c>
      <c r="G24" s="19" t="s">
        <v>218</v>
      </c>
      <c r="H24" s="20"/>
      <c r="I24" s="23"/>
      <c r="J24" s="23" t="s">
        <v>322</v>
      </c>
      <c r="K24" s="23" t="s">
        <v>323</v>
      </c>
      <c r="L24" s="23" t="s">
        <v>323</v>
      </c>
      <c r="M24" s="1" t="str">
        <f t="shared" si="0"/>
        <v>msisdn as msisdn</v>
      </c>
      <c r="N24" s="16" t="str">
        <f t="shared" si="1"/>
        <v>`msisdn` string,</v>
      </c>
    </row>
    <row r="25" s="1" customFormat="1" spans="2:14">
      <c r="B25" s="19" t="s">
        <v>1053</v>
      </c>
      <c r="C25" s="19" t="s">
        <v>216</v>
      </c>
      <c r="D25" s="10" t="s">
        <v>1839</v>
      </c>
      <c r="E25" s="20" t="s">
        <v>199</v>
      </c>
      <c r="F25" s="19" t="s">
        <v>2589</v>
      </c>
      <c r="G25" s="19" t="s">
        <v>218</v>
      </c>
      <c r="H25" s="20"/>
      <c r="I25" s="23"/>
      <c r="J25" s="23" t="s">
        <v>322</v>
      </c>
      <c r="K25" s="23" t="s">
        <v>323</v>
      </c>
      <c r="L25" s="23" t="s">
        <v>323</v>
      </c>
      <c r="M25" s="1" t="str">
        <f t="shared" si="0"/>
        <v>pei as imei</v>
      </c>
      <c r="N25" s="16" t="str">
        <f t="shared" si="1"/>
        <v>`imei` string,</v>
      </c>
    </row>
    <row r="26" s="1" customFormat="1" spans="2:14">
      <c r="B26" s="19" t="s">
        <v>1313</v>
      </c>
      <c r="C26" s="19" t="s">
        <v>216</v>
      </c>
      <c r="D26" s="10" t="s">
        <v>1314</v>
      </c>
      <c r="E26" s="20" t="s">
        <v>199</v>
      </c>
      <c r="F26" s="19" t="s">
        <v>1313</v>
      </c>
      <c r="G26" s="19" t="s">
        <v>218</v>
      </c>
      <c r="H26" s="20"/>
      <c r="I26" s="23"/>
      <c r="J26" s="23" t="s">
        <v>322</v>
      </c>
      <c r="K26" s="23" t="s">
        <v>323</v>
      </c>
      <c r="L26" s="23" t="s">
        <v>323</v>
      </c>
      <c r="M26" s="1" t="str">
        <f t="shared" si="0"/>
        <v>servicetype as servicetype</v>
      </c>
      <c r="N26" s="16" t="str">
        <f t="shared" si="1"/>
        <v>`servicetype` string,</v>
      </c>
    </row>
    <row r="27" s="1" customFormat="1" spans="2:14">
      <c r="B27" s="19" t="s">
        <v>1840</v>
      </c>
      <c r="C27" s="19" t="s">
        <v>216</v>
      </c>
      <c r="D27" s="10" t="s">
        <v>1841</v>
      </c>
      <c r="E27" s="20" t="s">
        <v>199</v>
      </c>
      <c r="F27" s="19" t="s">
        <v>1842</v>
      </c>
      <c r="G27" s="19" t="s">
        <v>1842</v>
      </c>
      <c r="H27" s="20"/>
      <c r="I27" s="23"/>
      <c r="J27" s="23" t="s">
        <v>322</v>
      </c>
      <c r="K27" s="23" t="s">
        <v>323</v>
      </c>
      <c r="L27" s="23" t="s">
        <v>323</v>
      </c>
      <c r="M27" s="1" t="str">
        <f t="shared" si="0"/>
        <v>substr(servicetype,1,2) as app_type</v>
      </c>
      <c r="N27" s="16" t="str">
        <f t="shared" si="1"/>
        <v>`app_type` string,</v>
      </c>
    </row>
    <row r="28" s="1" customFormat="1" spans="2:14">
      <c r="B28" s="19" t="s">
        <v>1843</v>
      </c>
      <c r="C28" s="19" t="s">
        <v>216</v>
      </c>
      <c r="D28" s="10" t="s">
        <v>1844</v>
      </c>
      <c r="E28" s="20" t="s">
        <v>202</v>
      </c>
      <c r="F28" s="19" t="s">
        <v>1845</v>
      </c>
      <c r="G28" s="19" t="s">
        <v>218</v>
      </c>
      <c r="H28" s="20"/>
      <c r="I28" s="23"/>
      <c r="J28" s="23" t="s">
        <v>322</v>
      </c>
      <c r="K28" s="23" t="s">
        <v>323</v>
      </c>
      <c r="L28" s="23" t="s">
        <v>323</v>
      </c>
      <c r="M28" s="1" t="str">
        <f t="shared" si="0"/>
        <v>servicetype_name as app_name</v>
      </c>
      <c r="N28" s="16" t="str">
        <f t="shared" si="1"/>
        <v>`app_name` string,</v>
      </c>
    </row>
    <row r="29" s="1" customFormat="1" spans="2:14">
      <c r="B29" s="19" t="s">
        <v>1817</v>
      </c>
      <c r="C29" s="19" t="s">
        <v>216</v>
      </c>
      <c r="D29" s="10" t="s">
        <v>1818</v>
      </c>
      <c r="E29" s="20" t="s">
        <v>199</v>
      </c>
      <c r="F29" s="19" t="s">
        <v>1846</v>
      </c>
      <c r="G29" s="19" t="s">
        <v>1846</v>
      </c>
      <c r="H29" s="20"/>
      <c r="I29" s="23"/>
      <c r="J29" s="23" t="s">
        <v>345</v>
      </c>
      <c r="K29" s="23" t="s">
        <v>323</v>
      </c>
      <c r="L29" s="23" t="s">
        <v>323</v>
      </c>
      <c r="M29" s="1" t="str">
        <f t="shared" si="0"/>
        <v>min(min_starttime) as min_starttime</v>
      </c>
      <c r="N29" s="16" t="str">
        <f t="shared" si="1"/>
        <v>`min_starttime` string,</v>
      </c>
    </row>
    <row r="30" s="1" customFormat="1" spans="2:14">
      <c r="B30" s="19" t="s">
        <v>1820</v>
      </c>
      <c r="C30" s="19" t="s">
        <v>216</v>
      </c>
      <c r="D30" s="10" t="s">
        <v>1821</v>
      </c>
      <c r="E30" s="20" t="s">
        <v>199</v>
      </c>
      <c r="F30" s="19" t="s">
        <v>1847</v>
      </c>
      <c r="G30" s="19" t="s">
        <v>1847</v>
      </c>
      <c r="H30" s="20"/>
      <c r="I30" s="23"/>
      <c r="J30" s="23" t="s">
        <v>345</v>
      </c>
      <c r="K30" s="23" t="s">
        <v>323</v>
      </c>
      <c r="L30" s="23" t="s">
        <v>323</v>
      </c>
      <c r="M30" s="1" t="str">
        <f t="shared" si="0"/>
        <v>max(max_endtime) as max_endtime</v>
      </c>
      <c r="N30" s="16" t="str">
        <f t="shared" si="1"/>
        <v>`max_endtime` string,</v>
      </c>
    </row>
    <row r="31" s="1" customFormat="1" spans="2:14">
      <c r="B31" s="19" t="s">
        <v>1848</v>
      </c>
      <c r="C31" s="19" t="s">
        <v>275</v>
      </c>
      <c r="D31" s="10" t="s">
        <v>1849</v>
      </c>
      <c r="E31" s="20" t="s">
        <v>199</v>
      </c>
      <c r="F31" s="19" t="s">
        <v>2583</v>
      </c>
      <c r="G31" s="19" t="s">
        <v>2583</v>
      </c>
      <c r="H31" s="20"/>
      <c r="I31" s="23"/>
      <c r="J31" s="23" t="s">
        <v>345</v>
      </c>
      <c r="K31" s="23" t="s">
        <v>323</v>
      </c>
      <c r="L31" s="23" t="s">
        <v>339</v>
      </c>
      <c r="M31" s="1" t="str">
        <f t="shared" si="0"/>
        <v>sum(process_num) as total_cnt</v>
      </c>
      <c r="N31" s="16" t="str">
        <f t="shared" si="1"/>
        <v>`total_cnt` bigint,</v>
      </c>
    </row>
    <row r="32" s="1" customFormat="1" spans="2:14">
      <c r="B32" s="19" t="s">
        <v>1814</v>
      </c>
      <c r="C32" s="19" t="s">
        <v>275</v>
      </c>
      <c r="D32" s="10" t="s">
        <v>1851</v>
      </c>
      <c r="E32" s="20" t="s">
        <v>199</v>
      </c>
      <c r="F32" s="19" t="s">
        <v>1852</v>
      </c>
      <c r="G32" s="19" t="s">
        <v>1852</v>
      </c>
      <c r="H32" s="20"/>
      <c r="I32" s="23"/>
      <c r="J32" s="23" t="s">
        <v>345</v>
      </c>
      <c r="K32" s="23" t="s">
        <v>323</v>
      </c>
      <c r="L32" s="23" t="s">
        <v>339</v>
      </c>
      <c r="M32" s="1" t="str">
        <f t="shared" si="0"/>
        <v>sum(abnormal_cnt) as abnormal_cnt</v>
      </c>
      <c r="N32" s="16" t="str">
        <f t="shared" si="1"/>
        <v>`abnormal_cnt` bigint,</v>
      </c>
    </row>
    <row r="33" s="1" customFormat="1" ht="26.4" spans="2:14">
      <c r="B33" s="19" t="s">
        <v>1853</v>
      </c>
      <c r="C33" s="19" t="s">
        <v>240</v>
      </c>
      <c r="D33" s="10" t="s">
        <v>1854</v>
      </c>
      <c r="E33" s="20" t="s">
        <v>199</v>
      </c>
      <c r="F33" s="19" t="s">
        <v>2584</v>
      </c>
      <c r="G33" s="19" t="s">
        <v>2584</v>
      </c>
      <c r="H33" s="20"/>
      <c r="I33" s="23"/>
      <c r="J33" s="23" t="s">
        <v>345</v>
      </c>
      <c r="K33" s="23" t="s">
        <v>323</v>
      </c>
      <c r="L33" s="23" t="s">
        <v>1856</v>
      </c>
      <c r="M33" s="1" t="str">
        <f t="shared" si="0"/>
        <v>sum(abnormal_cnt)/sum(process_num) as abnormal_rate</v>
      </c>
      <c r="N33" s="16" t="str">
        <f t="shared" si="1"/>
        <v>`abnormal_rate` double,</v>
      </c>
    </row>
    <row r="34" s="1" customFormat="1" spans="2:14">
      <c r="B34" s="19" t="s">
        <v>1170</v>
      </c>
      <c r="C34" s="19" t="s">
        <v>275</v>
      </c>
      <c r="D34" s="10" t="s">
        <v>1857</v>
      </c>
      <c r="E34" s="20" t="s">
        <v>199</v>
      </c>
      <c r="F34" s="19" t="s">
        <v>1858</v>
      </c>
      <c r="G34" s="19" t="s">
        <v>1858</v>
      </c>
      <c r="H34" s="20"/>
      <c r="I34" s="23"/>
      <c r="J34" s="23" t="s">
        <v>345</v>
      </c>
      <c r="K34" s="23" t="s">
        <v>1859</v>
      </c>
      <c r="L34" s="23" t="s">
        <v>339</v>
      </c>
      <c r="M34" s="1" t="str">
        <f t="shared" si="0"/>
        <v>sum(duration_sum) as duration</v>
      </c>
      <c r="N34" s="16" t="str">
        <f t="shared" si="1"/>
        <v>`duration` bigint,</v>
      </c>
    </row>
    <row r="35" s="1" customFormat="1" ht="26.4" spans="2:14">
      <c r="B35" s="19" t="s">
        <v>1860</v>
      </c>
      <c r="C35" s="19" t="s">
        <v>275</v>
      </c>
      <c r="D35" s="10" t="s">
        <v>1861</v>
      </c>
      <c r="E35" s="20" t="s">
        <v>199</v>
      </c>
      <c r="F35" s="19" t="s">
        <v>1862</v>
      </c>
      <c r="G35" s="19" t="s">
        <v>1862</v>
      </c>
      <c r="H35" s="20"/>
      <c r="I35" s="23"/>
      <c r="J35" s="23" t="s">
        <v>345</v>
      </c>
      <c r="K35" s="23" t="s">
        <v>1863</v>
      </c>
      <c r="L35" s="23" t="s">
        <v>339</v>
      </c>
      <c r="M35" s="1" t="str">
        <f t="shared" si="0"/>
        <v>sum(outputoctets_sum+inputoctets_sum) as flux</v>
      </c>
      <c r="N35" s="16" t="str">
        <f t="shared" si="1"/>
        <v>`flux` bigint,</v>
      </c>
    </row>
    <row r="36" s="2" customFormat="1" spans="1:14">
      <c r="A36" s="21"/>
      <c r="B36" s="22" t="s">
        <v>252</v>
      </c>
      <c r="C36" s="22" t="s">
        <v>220</v>
      </c>
      <c r="D36" s="22" t="s">
        <v>254</v>
      </c>
      <c r="E36" s="22"/>
      <c r="F36" s="22"/>
      <c r="G36" s="22"/>
      <c r="H36" s="22"/>
      <c r="I36" s="22"/>
      <c r="J36" s="22"/>
      <c r="K36" s="22"/>
      <c r="L36" s="22"/>
      <c r="N36" s="16" t="str">
        <f t="shared" si="1"/>
        <v>`p_provincecode` int,</v>
      </c>
    </row>
    <row r="37" s="2" customFormat="1" spans="1:14">
      <c r="A37" s="21"/>
      <c r="B37" s="22" t="s">
        <v>255</v>
      </c>
      <c r="C37" s="22" t="s">
        <v>216</v>
      </c>
      <c r="D37" s="22" t="s">
        <v>256</v>
      </c>
      <c r="E37" s="22"/>
      <c r="F37" s="22"/>
      <c r="G37" s="22"/>
      <c r="H37" s="22"/>
      <c r="I37" s="22"/>
      <c r="J37" s="22"/>
      <c r="K37" s="22"/>
      <c r="L37" s="22"/>
      <c r="N37" s="16" t="str">
        <f t="shared" si="1"/>
        <v>`p_date` string,</v>
      </c>
    </row>
    <row r="38" s="2" customFormat="1" spans="1:14">
      <c r="A38" s="21"/>
      <c r="B38" s="22" t="s">
        <v>257</v>
      </c>
      <c r="C38" s="22" t="s">
        <v>220</v>
      </c>
      <c r="D38" s="22" t="s">
        <v>258</v>
      </c>
      <c r="E38" s="22"/>
      <c r="F38" s="22"/>
      <c r="G38" s="22"/>
      <c r="H38" s="22"/>
      <c r="I38" s="22"/>
      <c r="J38" s="22"/>
      <c r="K38" s="22"/>
      <c r="L38" s="22"/>
      <c r="N38" s="16" t="str">
        <f t="shared" si="1"/>
        <v>`p_hour` int,</v>
      </c>
    </row>
  </sheetData>
  <autoFilter xmlns:etc="http://www.wps.cn/officeDocument/2017/etCustomData" ref="A15:N38"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2"/>
  <sheetViews>
    <sheetView zoomScale="85" zoomScaleNormal="85" workbookViewId="0">
      <pane ySplit="5" topLeftCell="A6" activePane="bottomLeft" state="frozen"/>
      <selection/>
      <selection pane="bottomLeft" activeCell="F19" sqref="F19:G24"/>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45.1111111111111"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134</v>
      </c>
      <c r="D5" s="35" t="s">
        <v>135</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136</v>
      </c>
      <c r="D9" s="35" t="s">
        <v>2985</v>
      </c>
      <c r="E9" s="11" t="s">
        <v>199</v>
      </c>
      <c r="F9" s="11"/>
      <c r="G9" s="13"/>
      <c r="H9" s="15"/>
    </row>
    <row r="10" spans="2:8">
      <c r="B10" s="11"/>
      <c r="C10" s="10" t="s">
        <v>2810</v>
      </c>
      <c r="D10" s="10" t="s">
        <v>2811</v>
      </c>
      <c r="E10" s="11" t="s">
        <v>202</v>
      </c>
      <c r="F10" s="11"/>
      <c r="G10" s="13" t="s">
        <v>2980</v>
      </c>
      <c r="H10" s="15"/>
    </row>
    <row r="11" spans="2:8">
      <c r="B11" s="11"/>
      <c r="C11" s="10" t="s">
        <v>1029</v>
      </c>
      <c r="D11" s="10" t="s">
        <v>1030</v>
      </c>
      <c r="E11" s="11" t="s">
        <v>287</v>
      </c>
      <c r="F11" s="11"/>
      <c r="G11" s="52" t="s">
        <v>2981</v>
      </c>
      <c r="H11" s="15"/>
    </row>
    <row r="12" spans="2:8">
      <c r="B12" s="11"/>
      <c r="C12" s="10" t="s">
        <v>1032</v>
      </c>
      <c r="D12" s="10" t="s">
        <v>1033</v>
      </c>
      <c r="E12" s="11" t="s">
        <v>2814</v>
      </c>
      <c r="F12" s="38"/>
      <c r="G12" s="53"/>
      <c r="H12" s="11"/>
    </row>
    <row r="13" spans="7:7">
      <c r="G13" s="17"/>
    </row>
    <row r="14" spans="2:2">
      <c r="B14" s="3" t="s">
        <v>204</v>
      </c>
    </row>
    <row r="15" spans="2:12">
      <c r="B15" s="7" t="s">
        <v>204</v>
      </c>
      <c r="C15" s="7"/>
      <c r="D15" s="7"/>
      <c r="E15" s="7"/>
      <c r="F15" s="7"/>
      <c r="G15" s="7"/>
      <c r="H15" s="7"/>
      <c r="I15" s="7"/>
      <c r="J15" s="7"/>
      <c r="K15" s="7"/>
      <c r="L15" s="7"/>
    </row>
    <row r="16" ht="24" spans="2:12">
      <c r="B16" s="18" t="s">
        <v>205</v>
      </c>
      <c r="C16" s="18" t="s">
        <v>206</v>
      </c>
      <c r="D16" s="18" t="s">
        <v>207</v>
      </c>
      <c r="E16" s="18" t="s">
        <v>208</v>
      </c>
      <c r="F16" s="18" t="s">
        <v>209</v>
      </c>
      <c r="G16" s="18" t="s">
        <v>210</v>
      </c>
      <c r="H16" s="18" t="s">
        <v>211</v>
      </c>
      <c r="I16" s="18" t="s">
        <v>17</v>
      </c>
      <c r="J16" s="18" t="s">
        <v>212</v>
      </c>
      <c r="K16" s="18" t="s">
        <v>213</v>
      </c>
      <c r="L16" s="18" t="s">
        <v>214</v>
      </c>
    </row>
    <row r="17" s="1" customFormat="1" spans="2:12">
      <c r="B17" s="19" t="s">
        <v>1300</v>
      </c>
      <c r="C17" s="19" t="s">
        <v>216</v>
      </c>
      <c r="D17" s="10" t="s">
        <v>2089</v>
      </c>
      <c r="E17" s="20"/>
      <c r="F17" s="19"/>
      <c r="G17" s="19"/>
      <c r="H17" s="20"/>
      <c r="I17" s="23"/>
      <c r="J17" s="23"/>
      <c r="K17" s="23"/>
      <c r="L17" s="23"/>
    </row>
    <row r="18" s="1" customFormat="1" spans="2:12">
      <c r="B18" s="19" t="s">
        <v>1026</v>
      </c>
      <c r="C18" s="19" t="s">
        <v>220</v>
      </c>
      <c r="D18" s="10" t="s">
        <v>66</v>
      </c>
      <c r="E18" s="20"/>
      <c r="F18" s="19"/>
      <c r="G18" s="19"/>
      <c r="H18" s="20"/>
      <c r="I18" s="23"/>
      <c r="J18" s="23"/>
      <c r="K18" s="23"/>
      <c r="L18" s="23"/>
    </row>
    <row r="19" s="50" customFormat="1" spans="2:12">
      <c r="B19" s="71" t="s">
        <v>1830</v>
      </c>
      <c r="C19" s="71" t="s">
        <v>220</v>
      </c>
      <c r="D19" s="58" t="s">
        <v>2555</v>
      </c>
      <c r="E19" s="72"/>
      <c r="F19" s="60" t="s">
        <v>199</v>
      </c>
      <c r="G19" s="60" t="s">
        <v>252</v>
      </c>
      <c r="H19" s="72"/>
      <c r="I19" s="74"/>
      <c r="J19" s="74"/>
      <c r="K19" s="74"/>
      <c r="L19" s="74"/>
    </row>
    <row r="20" s="50" customFormat="1" ht="39.6" spans="1:12">
      <c r="A20" s="73"/>
      <c r="B20" s="71" t="s">
        <v>1832</v>
      </c>
      <c r="C20" s="71" t="s">
        <v>220</v>
      </c>
      <c r="D20" s="58" t="s">
        <v>2017</v>
      </c>
      <c r="E20" s="72"/>
      <c r="F20" s="60" t="s">
        <v>2821</v>
      </c>
      <c r="G20" s="60" t="s">
        <v>2822</v>
      </c>
      <c r="H20" s="72"/>
      <c r="I20" s="74"/>
      <c r="J20" s="74"/>
      <c r="K20" s="74"/>
      <c r="L20" s="74"/>
    </row>
    <row r="21" s="50" customFormat="1" ht="39.6" spans="1:12">
      <c r="A21" s="73"/>
      <c r="B21" s="71" t="s">
        <v>1834</v>
      </c>
      <c r="C21" s="71" t="s">
        <v>220</v>
      </c>
      <c r="D21" s="58" t="s">
        <v>1835</v>
      </c>
      <c r="E21" s="72"/>
      <c r="F21" s="60" t="s">
        <v>2821</v>
      </c>
      <c r="G21" s="60" t="s">
        <v>2823</v>
      </c>
      <c r="H21" s="72"/>
      <c r="I21" s="74"/>
      <c r="J21" s="74"/>
      <c r="K21" s="74"/>
      <c r="L21" s="74"/>
    </row>
    <row r="22" s="50" customFormat="1" ht="39.6" spans="1:12">
      <c r="A22" s="73"/>
      <c r="B22" s="71" t="s">
        <v>1316</v>
      </c>
      <c r="C22" s="71" t="s">
        <v>216</v>
      </c>
      <c r="D22" s="58" t="s">
        <v>2019</v>
      </c>
      <c r="E22" s="72"/>
      <c r="F22" s="60" t="s">
        <v>2821</v>
      </c>
      <c r="G22" s="60" t="s">
        <v>2986</v>
      </c>
      <c r="H22" s="72"/>
      <c r="I22" s="74"/>
      <c r="J22" s="74"/>
      <c r="K22" s="74"/>
      <c r="L22" s="74"/>
    </row>
    <row r="23" s="50" customFormat="1" ht="39.6" spans="1:12">
      <c r="A23" s="73"/>
      <c r="B23" s="58" t="s">
        <v>1318</v>
      </c>
      <c r="C23" s="58" t="s">
        <v>216</v>
      </c>
      <c r="D23" s="58" t="s">
        <v>2021</v>
      </c>
      <c r="E23" s="72"/>
      <c r="F23" s="60" t="s">
        <v>2821</v>
      </c>
      <c r="G23" s="60" t="s">
        <v>2987</v>
      </c>
      <c r="H23" s="72"/>
      <c r="I23" s="74"/>
      <c r="J23" s="74"/>
      <c r="K23" s="74"/>
      <c r="L23" s="74"/>
    </row>
    <row r="24" s="50" customFormat="1" ht="39.6" spans="1:12">
      <c r="A24" s="73"/>
      <c r="B24" s="58" t="s">
        <v>2023</v>
      </c>
      <c r="C24" s="58" t="s">
        <v>216</v>
      </c>
      <c r="D24" s="58" t="s">
        <v>2024</v>
      </c>
      <c r="E24" s="72"/>
      <c r="F24" s="60" t="s">
        <v>2821</v>
      </c>
      <c r="G24" s="60" t="s">
        <v>2988</v>
      </c>
      <c r="H24" s="72"/>
      <c r="I24" s="74"/>
      <c r="J24" s="74"/>
      <c r="K24" s="74"/>
      <c r="L24" s="74"/>
    </row>
    <row r="25" s="1" customFormat="1" spans="1:12">
      <c r="A25" s="40"/>
      <c r="B25" s="10" t="s">
        <v>1302</v>
      </c>
      <c r="C25" s="10" t="s">
        <v>220</v>
      </c>
      <c r="D25" s="10" t="s">
        <v>1303</v>
      </c>
      <c r="E25" s="20"/>
      <c r="F25" s="10"/>
      <c r="G25" s="19"/>
      <c r="H25" s="20"/>
      <c r="I25" s="23"/>
      <c r="J25" s="23"/>
      <c r="K25" s="23"/>
      <c r="L25" s="23"/>
    </row>
    <row r="26" s="1" customFormat="1" spans="1:12">
      <c r="A26" s="40"/>
      <c r="B26" s="10" t="s">
        <v>1304</v>
      </c>
      <c r="C26" s="10" t="s">
        <v>216</v>
      </c>
      <c r="D26" s="10" t="s">
        <v>1305</v>
      </c>
      <c r="E26" s="20"/>
      <c r="F26" s="10"/>
      <c r="G26" s="19"/>
      <c r="H26" s="20"/>
      <c r="I26" s="23"/>
      <c r="J26" s="23"/>
      <c r="K26" s="23"/>
      <c r="L26" s="23"/>
    </row>
    <row r="27" s="1" customFormat="1" spans="1:12">
      <c r="A27" s="40"/>
      <c r="B27" s="10" t="s">
        <v>1306</v>
      </c>
      <c r="C27" s="10" t="s">
        <v>216</v>
      </c>
      <c r="D27" s="10" t="s">
        <v>1307</v>
      </c>
      <c r="E27" s="20"/>
      <c r="F27" s="10"/>
      <c r="G27" s="19"/>
      <c r="H27" s="20"/>
      <c r="I27" s="23"/>
      <c r="J27" s="23"/>
      <c r="K27" s="23"/>
      <c r="L27" s="23"/>
    </row>
    <row r="28" s="1" customFormat="1" spans="1:12">
      <c r="A28" s="40"/>
      <c r="B28" s="10" t="s">
        <v>302</v>
      </c>
      <c r="C28" s="10" t="s">
        <v>220</v>
      </c>
      <c r="D28" s="10" t="s">
        <v>1051</v>
      </c>
      <c r="E28" s="20"/>
      <c r="F28" s="10"/>
      <c r="G28" s="19"/>
      <c r="H28" s="20"/>
      <c r="I28" s="23"/>
      <c r="J28" s="23"/>
      <c r="K28" s="23"/>
      <c r="L28" s="23"/>
    </row>
    <row r="29" s="1" customFormat="1" spans="1:12">
      <c r="A29" s="40"/>
      <c r="B29" s="10" t="s">
        <v>2612</v>
      </c>
      <c r="C29" s="10" t="s">
        <v>216</v>
      </c>
      <c r="D29" s="10" t="s">
        <v>2738</v>
      </c>
      <c r="E29" s="20"/>
      <c r="F29" s="10"/>
      <c r="G29" s="19"/>
      <c r="H29" s="20"/>
      <c r="I29" s="23"/>
      <c r="J29" s="23"/>
      <c r="K29" s="23"/>
      <c r="L29" s="23"/>
    </row>
    <row r="30" s="1" customFormat="1" spans="1:12">
      <c r="A30" s="40"/>
      <c r="B30" s="10" t="s">
        <v>2614</v>
      </c>
      <c r="C30" s="10" t="s">
        <v>216</v>
      </c>
      <c r="D30" s="10" t="s">
        <v>2739</v>
      </c>
      <c r="E30" s="20"/>
      <c r="F30" s="10"/>
      <c r="G30" s="19"/>
      <c r="H30" s="20"/>
      <c r="I30" s="23"/>
      <c r="J30" s="23"/>
      <c r="K30" s="23"/>
      <c r="L30" s="23"/>
    </row>
    <row r="31" s="1" customFormat="1" spans="1:12">
      <c r="A31" s="40"/>
      <c r="B31" s="10" t="s">
        <v>1308</v>
      </c>
      <c r="C31" s="10" t="s">
        <v>275</v>
      </c>
      <c r="D31" s="10" t="s">
        <v>1309</v>
      </c>
      <c r="E31" s="20"/>
      <c r="F31" s="10"/>
      <c r="G31" s="19"/>
      <c r="H31" s="20"/>
      <c r="I31" s="23"/>
      <c r="J31" s="23"/>
      <c r="K31" s="23"/>
      <c r="L31" s="23"/>
    </row>
    <row r="32" s="1" customFormat="1" spans="1:12">
      <c r="A32" s="40"/>
      <c r="B32" s="10" t="s">
        <v>222</v>
      </c>
      <c r="C32" s="10" t="s">
        <v>275</v>
      </c>
      <c r="D32" s="10" t="s">
        <v>298</v>
      </c>
      <c r="E32" s="20"/>
      <c r="F32" s="10"/>
      <c r="G32" s="19"/>
      <c r="H32" s="20"/>
      <c r="I32" s="23"/>
      <c r="J32" s="23"/>
      <c r="K32" s="23"/>
      <c r="L32" s="23"/>
    </row>
    <row r="33" s="1" customFormat="1" spans="1:12">
      <c r="A33" s="40"/>
      <c r="B33" s="10" t="s">
        <v>1836</v>
      </c>
      <c r="C33" s="10" t="s">
        <v>216</v>
      </c>
      <c r="D33" s="10" t="s">
        <v>1836</v>
      </c>
      <c r="E33" s="20"/>
      <c r="F33" s="10"/>
      <c r="G33" s="19"/>
      <c r="H33" s="20"/>
      <c r="I33" s="23"/>
      <c r="J33" s="23"/>
      <c r="K33" s="23"/>
      <c r="L33" s="23"/>
    </row>
    <row r="34" s="1" customFormat="1" spans="1:12">
      <c r="A34" s="40"/>
      <c r="B34" s="10" t="s">
        <v>1310</v>
      </c>
      <c r="C34" s="10" t="s">
        <v>216</v>
      </c>
      <c r="D34" s="10" t="s">
        <v>1311</v>
      </c>
      <c r="E34" s="20"/>
      <c r="F34" s="10"/>
      <c r="G34" s="19"/>
      <c r="H34" s="20"/>
      <c r="I34" s="23"/>
      <c r="J34" s="23"/>
      <c r="K34" s="23"/>
      <c r="L34" s="23"/>
    </row>
    <row r="35" s="1" customFormat="1" spans="1:12">
      <c r="A35" s="40"/>
      <c r="B35" s="10" t="s">
        <v>267</v>
      </c>
      <c r="C35" s="10" t="s">
        <v>216</v>
      </c>
      <c r="D35" s="10" t="s">
        <v>2094</v>
      </c>
      <c r="E35" s="20"/>
      <c r="F35" s="10"/>
      <c r="G35" s="19"/>
      <c r="H35" s="20"/>
      <c r="I35" s="23"/>
      <c r="J35" s="23"/>
      <c r="K35" s="23"/>
      <c r="L35" s="23"/>
    </row>
    <row r="36" s="1" customFormat="1" spans="1:12">
      <c r="A36" s="40"/>
      <c r="B36" s="10" t="s">
        <v>2589</v>
      </c>
      <c r="C36" s="10" t="s">
        <v>216</v>
      </c>
      <c r="D36" s="10" t="s">
        <v>2590</v>
      </c>
      <c r="E36" s="20"/>
      <c r="F36" s="10"/>
      <c r="G36" s="19"/>
      <c r="H36" s="20"/>
      <c r="I36" s="23"/>
      <c r="J36" s="23"/>
      <c r="K36" s="23"/>
      <c r="L36" s="23"/>
    </row>
    <row r="37" s="1" customFormat="1" spans="1:12">
      <c r="A37" s="40"/>
      <c r="B37" s="10" t="s">
        <v>1176</v>
      </c>
      <c r="C37" s="10" t="s">
        <v>220</v>
      </c>
      <c r="D37" s="10" t="s">
        <v>1312</v>
      </c>
      <c r="E37" s="20"/>
      <c r="F37" s="10"/>
      <c r="G37" s="19"/>
      <c r="H37" s="20"/>
      <c r="I37" s="23"/>
      <c r="J37" s="23"/>
      <c r="K37" s="23"/>
      <c r="L37" s="23"/>
    </row>
    <row r="38" s="1" customFormat="1" spans="1:12">
      <c r="A38" s="40"/>
      <c r="B38" s="10" t="s">
        <v>2594</v>
      </c>
      <c r="C38" s="10" t="s">
        <v>216</v>
      </c>
      <c r="D38" s="10" t="s">
        <v>2595</v>
      </c>
      <c r="E38" s="20"/>
      <c r="F38" s="10"/>
      <c r="G38" s="19"/>
      <c r="H38" s="20"/>
      <c r="I38" s="23"/>
      <c r="J38" s="23"/>
      <c r="K38" s="23"/>
      <c r="L38" s="23"/>
    </row>
    <row r="39" s="1" customFormat="1" spans="1:12">
      <c r="A39" s="40"/>
      <c r="B39" s="10" t="s">
        <v>2605</v>
      </c>
      <c r="C39" s="10" t="s">
        <v>216</v>
      </c>
      <c r="D39" s="10" t="s">
        <v>2606</v>
      </c>
      <c r="E39" s="20"/>
      <c r="F39" s="10"/>
      <c r="G39" s="19"/>
      <c r="H39" s="20"/>
      <c r="I39" s="23"/>
      <c r="J39" s="23"/>
      <c r="K39" s="23"/>
      <c r="L39" s="23"/>
    </row>
    <row r="40" s="1" customFormat="1" spans="1:12">
      <c r="A40" s="40"/>
      <c r="B40" s="10" t="s">
        <v>2591</v>
      </c>
      <c r="C40" s="10" t="s">
        <v>216</v>
      </c>
      <c r="D40" s="10" t="s">
        <v>2098</v>
      </c>
      <c r="E40" s="20"/>
      <c r="F40" s="10"/>
      <c r="G40" s="19"/>
      <c r="H40" s="20"/>
      <c r="I40" s="23"/>
      <c r="J40" s="23"/>
      <c r="K40" s="23"/>
      <c r="L40" s="23"/>
    </row>
    <row r="41" s="1" customFormat="1" spans="1:12">
      <c r="A41" s="40"/>
      <c r="B41" s="10" t="s">
        <v>1289</v>
      </c>
      <c r="C41" s="10" t="s">
        <v>216</v>
      </c>
      <c r="D41" s="10" t="s">
        <v>1813</v>
      </c>
      <c r="E41" s="20"/>
      <c r="F41" s="10"/>
      <c r="G41" s="19"/>
      <c r="H41" s="20"/>
      <c r="I41" s="23"/>
      <c r="J41" s="23"/>
      <c r="K41" s="23"/>
      <c r="L41" s="23"/>
    </row>
    <row r="42" s="1" customFormat="1" spans="1:12">
      <c r="A42" s="40"/>
      <c r="B42" s="10" t="s">
        <v>1895</v>
      </c>
      <c r="C42" s="10" t="s">
        <v>220</v>
      </c>
      <c r="D42" s="10" t="s">
        <v>2611</v>
      </c>
      <c r="E42" s="20"/>
      <c r="F42" s="10"/>
      <c r="G42" s="19"/>
      <c r="H42" s="20"/>
      <c r="I42" s="23"/>
      <c r="J42" s="23"/>
      <c r="K42" s="23"/>
      <c r="L42" s="23"/>
    </row>
    <row r="43" s="1" customFormat="1" spans="1:12">
      <c r="A43" s="40"/>
      <c r="B43" s="10" t="s">
        <v>1808</v>
      </c>
      <c r="C43" s="10" t="s">
        <v>216</v>
      </c>
      <c r="D43" s="10" t="s">
        <v>2572</v>
      </c>
      <c r="E43" s="20"/>
      <c r="F43" s="10"/>
      <c r="G43" s="19"/>
      <c r="H43" s="20"/>
      <c r="I43" s="23"/>
      <c r="J43" s="23"/>
      <c r="K43" s="23"/>
      <c r="L43" s="23"/>
    </row>
    <row r="44" s="1" customFormat="1" spans="1:12">
      <c r="A44" s="40"/>
      <c r="B44" s="10" t="s">
        <v>1313</v>
      </c>
      <c r="C44" s="10" t="s">
        <v>216</v>
      </c>
      <c r="D44" s="10" t="s">
        <v>1893</v>
      </c>
      <c r="E44" s="20"/>
      <c r="F44" s="10"/>
      <c r="G44" s="19"/>
      <c r="H44" s="20"/>
      <c r="I44" s="23"/>
      <c r="J44" s="23"/>
      <c r="K44" s="23"/>
      <c r="L44" s="23"/>
    </row>
    <row r="45" s="1" customFormat="1" spans="1:12">
      <c r="A45" s="40"/>
      <c r="B45" s="10" t="s">
        <v>1323</v>
      </c>
      <c r="C45" s="10" t="s">
        <v>275</v>
      </c>
      <c r="D45" s="10" t="s">
        <v>1324</v>
      </c>
      <c r="E45" s="20"/>
      <c r="F45" s="10"/>
      <c r="G45" s="19"/>
      <c r="H45" s="20"/>
      <c r="I45" s="23"/>
      <c r="J45" s="23"/>
      <c r="K45" s="23"/>
      <c r="L45" s="23"/>
    </row>
    <row r="46" s="1" customFormat="1" spans="1:12">
      <c r="A46" s="40"/>
      <c r="B46" s="10" t="s">
        <v>2989</v>
      </c>
      <c r="C46" s="10" t="s">
        <v>275</v>
      </c>
      <c r="D46" s="10" t="s">
        <v>2574</v>
      </c>
      <c r="E46" s="20"/>
      <c r="F46" s="10"/>
      <c r="G46" s="19"/>
      <c r="H46" s="20"/>
      <c r="I46" s="23"/>
      <c r="J46" s="23"/>
      <c r="K46" s="23"/>
      <c r="L46" s="23"/>
    </row>
    <row r="47" s="1" customFormat="1" spans="1:12">
      <c r="A47" s="40"/>
      <c r="B47" s="10" t="s">
        <v>1790</v>
      </c>
      <c r="C47" s="10" t="s">
        <v>275</v>
      </c>
      <c r="D47" s="10" t="s">
        <v>1791</v>
      </c>
      <c r="E47" s="20"/>
      <c r="F47" s="10"/>
      <c r="G47" s="19"/>
      <c r="H47" s="20"/>
      <c r="I47" s="23"/>
      <c r="J47" s="23"/>
      <c r="K47" s="23"/>
      <c r="L47" s="23"/>
    </row>
    <row r="48" s="1" customFormat="1" spans="1:12">
      <c r="A48" s="40"/>
      <c r="B48" s="10" t="s">
        <v>1343</v>
      </c>
      <c r="C48" s="10" t="s">
        <v>275</v>
      </c>
      <c r="D48" s="10" t="s">
        <v>2137</v>
      </c>
      <c r="E48" s="20"/>
      <c r="F48" s="10"/>
      <c r="G48" s="19"/>
      <c r="H48" s="20"/>
      <c r="I48" s="23"/>
      <c r="J48" s="23"/>
      <c r="K48" s="23"/>
      <c r="L48" s="23"/>
    </row>
    <row r="49" s="1" customFormat="1" spans="1:12">
      <c r="A49" s="40"/>
      <c r="B49" s="10" t="s">
        <v>1463</v>
      </c>
      <c r="C49" s="10" t="s">
        <v>275</v>
      </c>
      <c r="D49" s="10" t="s">
        <v>1464</v>
      </c>
      <c r="E49" s="20"/>
      <c r="F49" s="10"/>
      <c r="G49" s="19"/>
      <c r="H49" s="20"/>
      <c r="I49" s="23"/>
      <c r="J49" s="23"/>
      <c r="K49" s="23"/>
      <c r="L49" s="23"/>
    </row>
    <row r="50" s="1" customFormat="1" spans="1:12">
      <c r="A50" s="40"/>
      <c r="B50" s="10" t="s">
        <v>1465</v>
      </c>
      <c r="C50" s="10" t="s">
        <v>275</v>
      </c>
      <c r="D50" s="10" t="s">
        <v>1466</v>
      </c>
      <c r="E50" s="20"/>
      <c r="F50" s="10"/>
      <c r="G50" s="19"/>
      <c r="H50" s="20"/>
      <c r="I50" s="23"/>
      <c r="J50" s="23"/>
      <c r="K50" s="23"/>
      <c r="L50" s="23"/>
    </row>
    <row r="51" s="1" customFormat="1" spans="1:12">
      <c r="A51" s="40"/>
      <c r="B51" s="10" t="s">
        <v>1467</v>
      </c>
      <c r="C51" s="10" t="s">
        <v>275</v>
      </c>
      <c r="D51" s="10" t="s">
        <v>1468</v>
      </c>
      <c r="E51" s="20"/>
      <c r="F51" s="10"/>
      <c r="G51" s="19"/>
      <c r="H51" s="20"/>
      <c r="I51" s="23"/>
      <c r="J51" s="23"/>
      <c r="K51" s="23"/>
      <c r="L51" s="23"/>
    </row>
    <row r="52" s="1" customFormat="1" spans="1:12">
      <c r="A52" s="40"/>
      <c r="B52" s="10" t="s">
        <v>1469</v>
      </c>
      <c r="C52" s="10" t="s">
        <v>275</v>
      </c>
      <c r="D52" s="10" t="s">
        <v>1470</v>
      </c>
      <c r="E52" s="20"/>
      <c r="F52" s="10"/>
      <c r="G52" s="19"/>
      <c r="H52" s="20"/>
      <c r="I52" s="23"/>
      <c r="J52" s="23"/>
      <c r="K52" s="23"/>
      <c r="L52" s="23"/>
    </row>
    <row r="53" s="1" customFormat="1" spans="1:12">
      <c r="A53" s="40"/>
      <c r="B53" s="10" t="s">
        <v>1471</v>
      </c>
      <c r="C53" s="10" t="s">
        <v>275</v>
      </c>
      <c r="D53" s="10" t="s">
        <v>1472</v>
      </c>
      <c r="E53" s="20"/>
      <c r="F53" s="10"/>
      <c r="G53" s="19"/>
      <c r="H53" s="20"/>
      <c r="I53" s="23"/>
      <c r="J53" s="23"/>
      <c r="K53" s="23"/>
      <c r="L53" s="23"/>
    </row>
    <row r="54" s="1" customFormat="1" spans="1:12">
      <c r="A54" s="40"/>
      <c r="B54" s="10" t="s">
        <v>1473</v>
      </c>
      <c r="C54" s="10" t="s">
        <v>275</v>
      </c>
      <c r="D54" s="10" t="s">
        <v>1474</v>
      </c>
      <c r="E54" s="20"/>
      <c r="F54" s="10"/>
      <c r="G54" s="19"/>
      <c r="H54" s="20"/>
      <c r="I54" s="23"/>
      <c r="J54" s="23"/>
      <c r="K54" s="23"/>
      <c r="L54" s="23"/>
    </row>
    <row r="55" s="1" customFormat="1" spans="1:12">
      <c r="A55" s="40"/>
      <c r="B55" s="10" t="s">
        <v>1792</v>
      </c>
      <c r="C55" s="10" t="s">
        <v>275</v>
      </c>
      <c r="D55" s="10" t="s">
        <v>1793</v>
      </c>
      <c r="E55" s="20"/>
      <c r="F55" s="10"/>
      <c r="G55" s="19"/>
      <c r="H55" s="20"/>
      <c r="I55" s="23"/>
      <c r="J55" s="23"/>
      <c r="K55" s="23"/>
      <c r="L55" s="23"/>
    </row>
    <row r="56" s="1" customFormat="1" spans="1:12">
      <c r="A56" s="40"/>
      <c r="B56" s="10" t="s">
        <v>1344</v>
      </c>
      <c r="C56" s="10" t="s">
        <v>275</v>
      </c>
      <c r="D56" s="10" t="s">
        <v>2138</v>
      </c>
      <c r="E56" s="20"/>
      <c r="F56" s="10"/>
      <c r="G56" s="19"/>
      <c r="H56" s="20"/>
      <c r="I56" s="23"/>
      <c r="J56" s="23"/>
      <c r="K56" s="23"/>
      <c r="L56" s="23"/>
    </row>
    <row r="57" s="1" customFormat="1" spans="1:12">
      <c r="A57" s="40"/>
      <c r="B57" s="10" t="s">
        <v>1475</v>
      </c>
      <c r="C57" s="10" t="s">
        <v>275</v>
      </c>
      <c r="D57" s="10" t="s">
        <v>1476</v>
      </c>
      <c r="E57" s="20"/>
      <c r="F57" s="10"/>
      <c r="G57" s="19"/>
      <c r="H57" s="20"/>
      <c r="I57" s="23"/>
      <c r="J57" s="23"/>
      <c r="K57" s="23"/>
      <c r="L57" s="23"/>
    </row>
    <row r="58" s="1" customFormat="1" spans="1:12">
      <c r="A58" s="40"/>
      <c r="B58" s="10" t="s">
        <v>1477</v>
      </c>
      <c r="C58" s="10" t="s">
        <v>275</v>
      </c>
      <c r="D58" s="10" t="s">
        <v>1478</v>
      </c>
      <c r="E58" s="20"/>
      <c r="F58" s="10"/>
      <c r="G58" s="19"/>
      <c r="H58" s="20"/>
      <c r="I58" s="23"/>
      <c r="J58" s="23"/>
      <c r="K58" s="23"/>
      <c r="L58" s="23"/>
    </row>
    <row r="59" s="1" customFormat="1" spans="1:12">
      <c r="A59" s="40"/>
      <c r="B59" s="10" t="s">
        <v>1479</v>
      </c>
      <c r="C59" s="10" t="s">
        <v>275</v>
      </c>
      <c r="D59" s="10" t="s">
        <v>1480</v>
      </c>
      <c r="E59" s="20"/>
      <c r="F59" s="10"/>
      <c r="G59" s="19"/>
      <c r="H59" s="20"/>
      <c r="I59" s="23"/>
      <c r="J59" s="23"/>
      <c r="K59" s="23"/>
      <c r="L59" s="23"/>
    </row>
    <row r="60" s="1" customFormat="1" spans="1:12">
      <c r="A60" s="40"/>
      <c r="B60" s="10" t="s">
        <v>1481</v>
      </c>
      <c r="C60" s="10" t="s">
        <v>275</v>
      </c>
      <c r="D60" s="10" t="s">
        <v>1482</v>
      </c>
      <c r="E60" s="20"/>
      <c r="F60" s="10"/>
      <c r="G60" s="19"/>
      <c r="H60" s="20"/>
      <c r="I60" s="23"/>
      <c r="J60" s="23"/>
      <c r="K60" s="23"/>
      <c r="L60" s="23"/>
    </row>
    <row r="61" s="1" customFormat="1" spans="1:12">
      <c r="A61" s="40"/>
      <c r="B61" s="10" t="s">
        <v>1483</v>
      </c>
      <c r="C61" s="10" t="s">
        <v>275</v>
      </c>
      <c r="D61" s="10" t="s">
        <v>1484</v>
      </c>
      <c r="E61" s="20"/>
      <c r="F61" s="10"/>
      <c r="G61" s="19"/>
      <c r="H61" s="20"/>
      <c r="I61" s="23"/>
      <c r="J61" s="23"/>
      <c r="K61" s="23"/>
      <c r="L61" s="23"/>
    </row>
    <row r="62" s="1" customFormat="1" spans="1:12">
      <c r="A62" s="40"/>
      <c r="B62" s="10" t="s">
        <v>1485</v>
      </c>
      <c r="C62" s="10" t="s">
        <v>275</v>
      </c>
      <c r="D62" s="10" t="s">
        <v>1486</v>
      </c>
      <c r="E62" s="20"/>
      <c r="F62" s="10"/>
      <c r="G62" s="19"/>
      <c r="H62" s="20"/>
      <c r="I62" s="23"/>
      <c r="J62" s="23"/>
      <c r="K62" s="23"/>
      <c r="L62" s="23"/>
    </row>
    <row r="63" s="1" customFormat="1" spans="1:12">
      <c r="A63" s="40"/>
      <c r="B63" s="10" t="s">
        <v>1345</v>
      </c>
      <c r="C63" s="10" t="s">
        <v>275</v>
      </c>
      <c r="D63" s="10" t="s">
        <v>2139</v>
      </c>
      <c r="E63" s="20"/>
      <c r="F63" s="10"/>
      <c r="G63" s="19"/>
      <c r="H63" s="20"/>
      <c r="I63" s="23"/>
      <c r="J63" s="23"/>
      <c r="K63" s="23"/>
      <c r="L63" s="23"/>
    </row>
    <row r="64" s="1" customFormat="1" spans="1:12">
      <c r="A64" s="40"/>
      <c r="B64" s="10" t="s">
        <v>1487</v>
      </c>
      <c r="C64" s="10" t="s">
        <v>240</v>
      </c>
      <c r="D64" s="10" t="s">
        <v>1488</v>
      </c>
      <c r="E64" s="20"/>
      <c r="F64" s="10"/>
      <c r="G64" s="19"/>
      <c r="H64" s="20"/>
      <c r="I64" s="23"/>
      <c r="J64" s="23"/>
      <c r="K64" s="23"/>
      <c r="L64" s="23"/>
    </row>
    <row r="65" s="1" customFormat="1" spans="1:12">
      <c r="A65" s="40"/>
      <c r="B65" s="10" t="s">
        <v>1325</v>
      </c>
      <c r="C65" s="10" t="s">
        <v>275</v>
      </c>
      <c r="D65" s="10" t="s">
        <v>1326</v>
      </c>
      <c r="E65" s="20"/>
      <c r="F65" s="10"/>
      <c r="G65" s="19"/>
      <c r="H65" s="20"/>
      <c r="I65" s="23"/>
      <c r="J65" s="23"/>
      <c r="K65" s="23"/>
      <c r="L65" s="23"/>
    </row>
    <row r="66" s="1" customFormat="1" spans="1:12">
      <c r="A66" s="40"/>
      <c r="B66" s="10" t="s">
        <v>1327</v>
      </c>
      <c r="C66" s="10" t="s">
        <v>275</v>
      </c>
      <c r="D66" s="10" t="s">
        <v>1328</v>
      </c>
      <c r="E66" s="20"/>
      <c r="F66" s="10"/>
      <c r="G66" s="19"/>
      <c r="H66" s="20"/>
      <c r="I66" s="23"/>
      <c r="J66" s="23"/>
      <c r="K66" s="23"/>
      <c r="L66" s="23"/>
    </row>
    <row r="67" s="1" customFormat="1" spans="1:12">
      <c r="A67" s="40"/>
      <c r="B67" s="10" t="s">
        <v>1329</v>
      </c>
      <c r="C67" s="10" t="s">
        <v>275</v>
      </c>
      <c r="D67" s="10" t="s">
        <v>1330</v>
      </c>
      <c r="E67" s="20"/>
      <c r="F67" s="10"/>
      <c r="G67" s="19"/>
      <c r="H67" s="20"/>
      <c r="I67" s="23"/>
      <c r="J67" s="23"/>
      <c r="K67" s="23"/>
      <c r="L67" s="23"/>
    </row>
    <row r="68" s="1" customFormat="1" spans="1:12">
      <c r="A68" s="40"/>
      <c r="B68" s="10" t="s">
        <v>1331</v>
      </c>
      <c r="C68" s="10" t="s">
        <v>275</v>
      </c>
      <c r="D68" s="10" t="s">
        <v>1332</v>
      </c>
      <c r="E68" s="20"/>
      <c r="F68" s="10"/>
      <c r="G68" s="19"/>
      <c r="H68" s="20"/>
      <c r="I68" s="23"/>
      <c r="J68" s="23"/>
      <c r="K68" s="23"/>
      <c r="L68" s="23"/>
    </row>
    <row r="69" s="1" customFormat="1" spans="1:12">
      <c r="A69" s="40"/>
      <c r="B69" s="10" t="s">
        <v>1335</v>
      </c>
      <c r="C69" s="10" t="s">
        <v>275</v>
      </c>
      <c r="D69" s="10" t="s">
        <v>1336</v>
      </c>
      <c r="E69" s="20"/>
      <c r="F69" s="10"/>
      <c r="G69" s="19"/>
      <c r="H69" s="20"/>
      <c r="I69" s="23"/>
      <c r="J69" s="23"/>
      <c r="K69" s="23"/>
      <c r="L69" s="23"/>
    </row>
    <row r="70" s="1" customFormat="1" spans="1:12">
      <c r="A70" s="40"/>
      <c r="B70" s="10" t="s">
        <v>1337</v>
      </c>
      <c r="C70" s="10" t="s">
        <v>275</v>
      </c>
      <c r="D70" s="10" t="s">
        <v>1338</v>
      </c>
      <c r="E70" s="20"/>
      <c r="F70" s="10"/>
      <c r="G70" s="19"/>
      <c r="H70" s="20"/>
      <c r="I70" s="23"/>
      <c r="J70" s="23"/>
      <c r="K70" s="23"/>
      <c r="L70" s="23"/>
    </row>
    <row r="71" s="1" customFormat="1" spans="1:12">
      <c r="A71" s="40"/>
      <c r="B71" s="10" t="s">
        <v>2111</v>
      </c>
      <c r="C71" s="10" t="s">
        <v>275</v>
      </c>
      <c r="D71" s="10" t="s">
        <v>1340</v>
      </c>
      <c r="E71" s="20"/>
      <c r="F71" s="10"/>
      <c r="G71" s="19"/>
      <c r="H71" s="20"/>
      <c r="I71" s="23"/>
      <c r="J71" s="23"/>
      <c r="K71" s="23"/>
      <c r="L71" s="23"/>
    </row>
    <row r="72" s="1" customFormat="1" spans="1:12">
      <c r="A72" s="40"/>
      <c r="B72" s="10" t="s">
        <v>2112</v>
      </c>
      <c r="C72" s="10" t="s">
        <v>275</v>
      </c>
      <c r="D72" s="10" t="s">
        <v>1342</v>
      </c>
      <c r="E72" s="20"/>
      <c r="F72" s="10"/>
      <c r="G72" s="19"/>
      <c r="H72" s="20"/>
      <c r="I72" s="23"/>
      <c r="J72" s="23"/>
      <c r="K72" s="23"/>
      <c r="L72" s="23"/>
    </row>
    <row r="73" s="1" customFormat="1" spans="1:12">
      <c r="A73" s="40"/>
      <c r="B73" s="10" t="s">
        <v>1355</v>
      </c>
      <c r="C73" s="10" t="s">
        <v>275</v>
      </c>
      <c r="D73" s="10" t="s">
        <v>1356</v>
      </c>
      <c r="E73" s="20"/>
      <c r="F73" s="10"/>
      <c r="G73" s="19"/>
      <c r="H73" s="20"/>
      <c r="I73" s="23"/>
      <c r="J73" s="23"/>
      <c r="K73" s="23"/>
      <c r="L73" s="23"/>
    </row>
    <row r="74" s="1" customFormat="1" spans="1:12">
      <c r="A74" s="40"/>
      <c r="B74" s="10" t="s">
        <v>1357</v>
      </c>
      <c r="C74" s="10" t="s">
        <v>275</v>
      </c>
      <c r="D74" s="10" t="s">
        <v>1358</v>
      </c>
      <c r="E74" s="20"/>
      <c r="F74" s="10"/>
      <c r="G74" s="19"/>
      <c r="H74" s="20"/>
      <c r="I74" s="23"/>
      <c r="J74" s="23"/>
      <c r="K74" s="23"/>
      <c r="L74" s="23"/>
    </row>
    <row r="75" s="1" customFormat="1" spans="1:12">
      <c r="A75" s="40"/>
      <c r="B75" s="10" t="s">
        <v>1359</v>
      </c>
      <c r="C75" s="10" t="s">
        <v>275</v>
      </c>
      <c r="D75" s="10" t="s">
        <v>1360</v>
      </c>
      <c r="E75" s="20"/>
      <c r="F75" s="10"/>
      <c r="G75" s="19"/>
      <c r="H75" s="20"/>
      <c r="I75" s="23"/>
      <c r="J75" s="23"/>
      <c r="K75" s="23"/>
      <c r="L75" s="23"/>
    </row>
    <row r="76" s="1" customFormat="1" spans="1:12">
      <c r="A76" s="40"/>
      <c r="B76" s="10" t="s">
        <v>2802</v>
      </c>
      <c r="C76" s="10" t="s">
        <v>275</v>
      </c>
      <c r="D76" s="10" t="s">
        <v>1362</v>
      </c>
      <c r="E76" s="20"/>
      <c r="F76" s="10"/>
      <c r="G76" s="19"/>
      <c r="H76" s="20"/>
      <c r="I76" s="23"/>
      <c r="J76" s="23"/>
      <c r="K76" s="23"/>
      <c r="L76" s="23"/>
    </row>
    <row r="77" s="1" customFormat="1" spans="1:12">
      <c r="A77" s="40"/>
      <c r="B77" s="10" t="s">
        <v>1363</v>
      </c>
      <c r="C77" s="10" t="s">
        <v>275</v>
      </c>
      <c r="D77" s="10" t="s">
        <v>1364</v>
      </c>
      <c r="E77" s="20"/>
      <c r="F77" s="10"/>
      <c r="G77" s="19"/>
      <c r="H77" s="20"/>
      <c r="I77" s="23"/>
      <c r="J77" s="23"/>
      <c r="K77" s="23"/>
      <c r="L77" s="23"/>
    </row>
    <row r="78" s="1" customFormat="1" spans="1:12">
      <c r="A78" s="40"/>
      <c r="B78" s="10" t="s">
        <v>1365</v>
      </c>
      <c r="C78" s="10" t="s">
        <v>275</v>
      </c>
      <c r="D78" s="10" t="s">
        <v>1366</v>
      </c>
      <c r="E78" s="20"/>
      <c r="F78" s="10"/>
      <c r="G78" s="19"/>
      <c r="H78" s="20"/>
      <c r="I78" s="23"/>
      <c r="J78" s="23"/>
      <c r="K78" s="23"/>
      <c r="L78" s="23"/>
    </row>
    <row r="79" s="1" customFormat="1" spans="1:12">
      <c r="A79" s="40"/>
      <c r="B79" s="10" t="s">
        <v>1367</v>
      </c>
      <c r="C79" s="10" t="s">
        <v>275</v>
      </c>
      <c r="D79" s="10" t="s">
        <v>1368</v>
      </c>
      <c r="E79" s="20"/>
      <c r="F79" s="10"/>
      <c r="G79" s="19"/>
      <c r="H79" s="20"/>
      <c r="I79" s="23"/>
      <c r="J79" s="23"/>
      <c r="K79" s="23"/>
      <c r="L79" s="23"/>
    </row>
    <row r="80" s="1" customFormat="1" spans="1:12">
      <c r="A80" s="40"/>
      <c r="B80" s="10" t="s">
        <v>1369</v>
      </c>
      <c r="C80" s="10" t="s">
        <v>275</v>
      </c>
      <c r="D80" s="10" t="s">
        <v>1370</v>
      </c>
      <c r="E80" s="20"/>
      <c r="F80" s="10"/>
      <c r="G80" s="19"/>
      <c r="H80" s="20"/>
      <c r="I80" s="23"/>
      <c r="J80" s="23"/>
      <c r="K80" s="23"/>
      <c r="L80" s="23"/>
    </row>
    <row r="81" s="1" customFormat="1" spans="1:12">
      <c r="A81" s="40"/>
      <c r="B81" s="10" t="s">
        <v>1371</v>
      </c>
      <c r="C81" s="10" t="s">
        <v>275</v>
      </c>
      <c r="D81" s="10" t="s">
        <v>1372</v>
      </c>
      <c r="E81" s="20"/>
      <c r="F81" s="10"/>
      <c r="G81" s="19"/>
      <c r="H81" s="20"/>
      <c r="I81" s="23"/>
      <c r="J81" s="23"/>
      <c r="K81" s="23"/>
      <c r="L81" s="23"/>
    </row>
    <row r="82" s="1" customFormat="1" spans="1:12">
      <c r="A82" s="40"/>
      <c r="B82" s="10" t="s">
        <v>1373</v>
      </c>
      <c r="C82" s="10" t="s">
        <v>275</v>
      </c>
      <c r="D82" s="10" t="s">
        <v>1374</v>
      </c>
      <c r="E82" s="20"/>
      <c r="F82" s="10"/>
      <c r="G82" s="19"/>
      <c r="H82" s="20"/>
      <c r="I82" s="23"/>
      <c r="J82" s="23"/>
      <c r="K82" s="23"/>
      <c r="L82" s="23"/>
    </row>
    <row r="83" s="1" customFormat="1" spans="1:12">
      <c r="A83" s="40"/>
      <c r="B83" s="10" t="s">
        <v>1375</v>
      </c>
      <c r="C83" s="10" t="s">
        <v>275</v>
      </c>
      <c r="D83" s="10" t="s">
        <v>1376</v>
      </c>
      <c r="E83" s="20"/>
      <c r="F83" s="10"/>
      <c r="G83" s="19"/>
      <c r="H83" s="20"/>
      <c r="I83" s="23"/>
      <c r="J83" s="23"/>
      <c r="K83" s="23"/>
      <c r="L83" s="23"/>
    </row>
    <row r="84" s="1" customFormat="1" spans="1:12">
      <c r="A84" s="40"/>
      <c r="B84" s="10" t="s">
        <v>1377</v>
      </c>
      <c r="C84" s="10" t="s">
        <v>275</v>
      </c>
      <c r="D84" s="10" t="s">
        <v>1378</v>
      </c>
      <c r="E84" s="20"/>
      <c r="F84" s="10"/>
      <c r="G84" s="19"/>
      <c r="H84" s="20"/>
      <c r="I84" s="23"/>
      <c r="J84" s="23"/>
      <c r="K84" s="23"/>
      <c r="L84" s="23"/>
    </row>
    <row r="85" s="1" customFormat="1" spans="1:12">
      <c r="A85" s="40"/>
      <c r="B85" s="10" t="s">
        <v>2702</v>
      </c>
      <c r="C85" s="10" t="s">
        <v>275</v>
      </c>
      <c r="D85" s="10" t="s">
        <v>1380</v>
      </c>
      <c r="E85" s="20"/>
      <c r="F85" s="10"/>
      <c r="G85" s="19"/>
      <c r="H85" s="20"/>
      <c r="I85" s="23"/>
      <c r="J85" s="23"/>
      <c r="K85" s="23"/>
      <c r="L85" s="23"/>
    </row>
    <row r="86" s="1" customFormat="1" spans="1:12">
      <c r="A86" s="40"/>
      <c r="B86" s="10" t="s">
        <v>2703</v>
      </c>
      <c r="C86" s="10" t="s">
        <v>275</v>
      </c>
      <c r="D86" s="10" t="s">
        <v>1382</v>
      </c>
      <c r="E86" s="20"/>
      <c r="F86" s="10"/>
      <c r="G86" s="19"/>
      <c r="H86" s="20"/>
      <c r="I86" s="23"/>
      <c r="J86" s="23"/>
      <c r="K86" s="23"/>
      <c r="L86" s="23"/>
    </row>
    <row r="87" s="1" customFormat="1" spans="1:12">
      <c r="A87" s="40"/>
      <c r="B87" s="10" t="s">
        <v>2761</v>
      </c>
      <c r="C87" s="10" t="s">
        <v>275</v>
      </c>
      <c r="D87" s="10" t="s">
        <v>2762</v>
      </c>
      <c r="E87" s="20"/>
      <c r="F87" s="10"/>
      <c r="G87" s="19"/>
      <c r="H87" s="20"/>
      <c r="I87" s="23"/>
      <c r="J87" s="23"/>
      <c r="K87" s="23"/>
      <c r="L87" s="23"/>
    </row>
    <row r="88" s="1" customFormat="1" spans="1:12">
      <c r="A88" s="40"/>
      <c r="B88" s="10" t="s">
        <v>1347</v>
      </c>
      <c r="C88" s="10" t="s">
        <v>275</v>
      </c>
      <c r="D88" s="10" t="s">
        <v>2140</v>
      </c>
      <c r="E88" s="20"/>
      <c r="F88" s="10"/>
      <c r="G88" s="19"/>
      <c r="H88" s="20"/>
      <c r="I88" s="23"/>
      <c r="J88" s="23"/>
      <c r="K88" s="23"/>
      <c r="L88" s="23"/>
    </row>
    <row r="89" s="1" customFormat="1" spans="1:12">
      <c r="A89" s="40"/>
      <c r="B89" s="10" t="s">
        <v>1499</v>
      </c>
      <c r="C89" s="10" t="s">
        <v>275</v>
      </c>
      <c r="D89" s="10" t="s">
        <v>1500</v>
      </c>
      <c r="E89" s="20"/>
      <c r="F89" s="10"/>
      <c r="G89" s="19"/>
      <c r="H89" s="20"/>
      <c r="I89" s="23"/>
      <c r="J89" s="23"/>
      <c r="K89" s="23"/>
      <c r="L89" s="23"/>
    </row>
    <row r="90" s="1" customFormat="1" spans="1:12">
      <c r="A90" s="40"/>
      <c r="B90" s="10" t="s">
        <v>1501</v>
      </c>
      <c r="C90" s="10" t="s">
        <v>275</v>
      </c>
      <c r="D90" s="10" t="s">
        <v>1502</v>
      </c>
      <c r="E90" s="20"/>
      <c r="F90" s="10"/>
      <c r="G90" s="19"/>
      <c r="H90" s="20"/>
      <c r="I90" s="23"/>
      <c r="J90" s="23"/>
      <c r="K90" s="23"/>
      <c r="L90" s="23"/>
    </row>
    <row r="91" s="1" customFormat="1" spans="1:12">
      <c r="A91" s="40"/>
      <c r="B91" s="10" t="s">
        <v>1503</v>
      </c>
      <c r="C91" s="10" t="s">
        <v>275</v>
      </c>
      <c r="D91" s="10" t="s">
        <v>1504</v>
      </c>
      <c r="E91" s="20"/>
      <c r="F91" s="10"/>
      <c r="G91" s="19"/>
      <c r="H91" s="20"/>
      <c r="I91" s="23"/>
      <c r="J91" s="23"/>
      <c r="K91" s="23"/>
      <c r="L91" s="23"/>
    </row>
    <row r="92" s="1" customFormat="1" spans="1:12">
      <c r="A92" s="40"/>
      <c r="B92" s="10" t="s">
        <v>1505</v>
      </c>
      <c r="C92" s="10" t="s">
        <v>275</v>
      </c>
      <c r="D92" s="10" t="s">
        <v>1506</v>
      </c>
      <c r="E92" s="20"/>
      <c r="F92" s="10"/>
      <c r="G92" s="19"/>
      <c r="H92" s="20"/>
      <c r="I92" s="23"/>
      <c r="J92" s="23"/>
      <c r="K92" s="23"/>
      <c r="L92" s="23"/>
    </row>
    <row r="93" s="1" customFormat="1" spans="1:12">
      <c r="A93" s="40"/>
      <c r="B93" s="10" t="s">
        <v>1507</v>
      </c>
      <c r="C93" s="10" t="s">
        <v>275</v>
      </c>
      <c r="D93" s="10" t="s">
        <v>1508</v>
      </c>
      <c r="E93" s="20"/>
      <c r="F93" s="10"/>
      <c r="G93" s="19"/>
      <c r="H93" s="20"/>
      <c r="I93" s="23"/>
      <c r="J93" s="23"/>
      <c r="K93" s="23"/>
      <c r="L93" s="23"/>
    </row>
    <row r="94" s="1" customFormat="1" spans="1:12">
      <c r="A94" s="40"/>
      <c r="B94" s="10" t="s">
        <v>1509</v>
      </c>
      <c r="C94" s="10" t="s">
        <v>275</v>
      </c>
      <c r="D94" s="10" t="s">
        <v>1510</v>
      </c>
      <c r="E94" s="20"/>
      <c r="F94" s="10"/>
      <c r="G94" s="19"/>
      <c r="H94" s="20"/>
      <c r="I94" s="23"/>
      <c r="J94" s="23"/>
      <c r="K94" s="23"/>
      <c r="L94" s="23"/>
    </row>
    <row r="95" s="1" customFormat="1" spans="1:12">
      <c r="A95" s="40"/>
      <c r="B95" s="10" t="s">
        <v>2763</v>
      </c>
      <c r="C95" s="10" t="s">
        <v>275</v>
      </c>
      <c r="D95" s="10" t="s">
        <v>2764</v>
      </c>
      <c r="E95" s="20"/>
      <c r="F95" s="10"/>
      <c r="G95" s="19"/>
      <c r="H95" s="20"/>
      <c r="I95" s="23"/>
      <c r="J95" s="23"/>
      <c r="K95" s="23"/>
      <c r="L95" s="23"/>
    </row>
    <row r="96" s="1" customFormat="1" spans="1:12">
      <c r="A96" s="40"/>
      <c r="B96" s="10" t="s">
        <v>1349</v>
      </c>
      <c r="C96" s="10" t="s">
        <v>275</v>
      </c>
      <c r="D96" s="10" t="s">
        <v>2141</v>
      </c>
      <c r="E96" s="20"/>
      <c r="F96" s="10"/>
      <c r="G96" s="19"/>
      <c r="H96" s="20"/>
      <c r="I96" s="23"/>
      <c r="J96" s="23"/>
      <c r="K96" s="23"/>
      <c r="L96" s="23"/>
    </row>
    <row r="97" s="1" customFormat="1" spans="1:12">
      <c r="A97" s="40"/>
      <c r="B97" s="10" t="s">
        <v>1511</v>
      </c>
      <c r="C97" s="10" t="s">
        <v>275</v>
      </c>
      <c r="D97" s="10" t="s">
        <v>1512</v>
      </c>
      <c r="E97" s="20"/>
      <c r="F97" s="10"/>
      <c r="G97" s="19"/>
      <c r="H97" s="20"/>
      <c r="I97" s="23"/>
      <c r="J97" s="23"/>
      <c r="K97" s="23"/>
      <c r="L97" s="23"/>
    </row>
    <row r="98" s="1" customFormat="1" spans="1:12">
      <c r="A98" s="40"/>
      <c r="B98" s="10" t="s">
        <v>1513</v>
      </c>
      <c r="C98" s="10" t="s">
        <v>275</v>
      </c>
      <c r="D98" s="10" t="s">
        <v>1514</v>
      </c>
      <c r="E98" s="20"/>
      <c r="F98" s="10"/>
      <c r="G98" s="19"/>
      <c r="H98" s="20"/>
      <c r="I98" s="23"/>
      <c r="J98" s="23"/>
      <c r="K98" s="23"/>
      <c r="L98" s="23"/>
    </row>
    <row r="99" s="1" customFormat="1" spans="1:12">
      <c r="A99" s="40"/>
      <c r="B99" s="10" t="s">
        <v>1515</v>
      </c>
      <c r="C99" s="10" t="s">
        <v>275</v>
      </c>
      <c r="D99" s="10" t="s">
        <v>1516</v>
      </c>
      <c r="E99" s="20"/>
      <c r="F99" s="10"/>
      <c r="G99" s="19"/>
      <c r="H99" s="20"/>
      <c r="I99" s="23"/>
      <c r="J99" s="23"/>
      <c r="K99" s="23"/>
      <c r="L99" s="23"/>
    </row>
    <row r="100" s="1" customFormat="1" spans="1:12">
      <c r="A100" s="40"/>
      <c r="B100" s="10" t="s">
        <v>1517</v>
      </c>
      <c r="C100" s="10" t="s">
        <v>275</v>
      </c>
      <c r="D100" s="10" t="s">
        <v>1518</v>
      </c>
      <c r="E100" s="20"/>
      <c r="F100" s="10"/>
      <c r="G100" s="19"/>
      <c r="H100" s="20"/>
      <c r="I100" s="23"/>
      <c r="J100" s="23"/>
      <c r="K100" s="23"/>
      <c r="L100" s="23"/>
    </row>
    <row r="101" s="1" customFormat="1" spans="1:12">
      <c r="A101" s="40"/>
      <c r="B101" s="10" t="s">
        <v>1519</v>
      </c>
      <c r="C101" s="10" t="s">
        <v>275</v>
      </c>
      <c r="D101" s="10" t="s">
        <v>1520</v>
      </c>
      <c r="E101" s="20"/>
      <c r="F101" s="10"/>
      <c r="G101" s="19"/>
      <c r="H101" s="20"/>
      <c r="I101" s="23"/>
      <c r="J101" s="23"/>
      <c r="K101" s="23"/>
      <c r="L101" s="23"/>
    </row>
    <row r="102" s="1" customFormat="1" spans="1:12">
      <c r="A102" s="40"/>
      <c r="B102" s="10" t="s">
        <v>1521</v>
      </c>
      <c r="C102" s="10" t="s">
        <v>275</v>
      </c>
      <c r="D102" s="10" t="s">
        <v>1522</v>
      </c>
      <c r="E102" s="20"/>
      <c r="F102" s="10"/>
      <c r="G102" s="19"/>
      <c r="H102" s="20"/>
      <c r="I102" s="23"/>
      <c r="J102" s="23"/>
      <c r="K102" s="23"/>
      <c r="L102" s="23"/>
    </row>
    <row r="103" s="1" customFormat="1" spans="1:12">
      <c r="A103" s="40"/>
      <c r="B103" s="10" t="s">
        <v>1351</v>
      </c>
      <c r="C103" s="10" t="s">
        <v>275</v>
      </c>
      <c r="D103" s="10" t="s">
        <v>2990</v>
      </c>
      <c r="E103" s="20"/>
      <c r="F103" s="10"/>
      <c r="G103" s="19"/>
      <c r="H103" s="20"/>
      <c r="I103" s="23"/>
      <c r="J103" s="23"/>
      <c r="K103" s="23"/>
      <c r="L103" s="23"/>
    </row>
    <row r="104" s="1" customFormat="1" spans="1:12">
      <c r="A104" s="40"/>
      <c r="B104" s="10" t="s">
        <v>2991</v>
      </c>
      <c r="C104" s="10" t="s">
        <v>275</v>
      </c>
      <c r="D104" s="10" t="s">
        <v>2992</v>
      </c>
      <c r="E104" s="20"/>
      <c r="F104" s="10"/>
      <c r="G104" s="19"/>
      <c r="H104" s="20"/>
      <c r="I104" s="23"/>
      <c r="J104" s="23"/>
      <c r="K104" s="23"/>
      <c r="L104" s="23"/>
    </row>
    <row r="105" s="1" customFormat="1" spans="1:12">
      <c r="A105" s="40"/>
      <c r="B105" s="10" t="s">
        <v>1535</v>
      </c>
      <c r="C105" s="10" t="s">
        <v>275</v>
      </c>
      <c r="D105" s="10" t="s">
        <v>1536</v>
      </c>
      <c r="E105" s="20"/>
      <c r="F105" s="10"/>
      <c r="G105" s="19"/>
      <c r="H105" s="20"/>
      <c r="I105" s="23"/>
      <c r="J105" s="23"/>
      <c r="K105" s="23"/>
      <c r="L105" s="23"/>
    </row>
    <row r="106" s="1" customFormat="1" spans="1:12">
      <c r="A106" s="40"/>
      <c r="B106" s="19" t="s">
        <v>1547</v>
      </c>
      <c r="C106" s="19" t="s">
        <v>275</v>
      </c>
      <c r="D106" s="10" t="s">
        <v>1548</v>
      </c>
      <c r="E106" s="20"/>
      <c r="F106" s="19"/>
      <c r="G106" s="19"/>
      <c r="H106" s="20"/>
      <c r="I106" s="23"/>
      <c r="J106" s="23"/>
      <c r="K106" s="23"/>
      <c r="L106" s="23"/>
    </row>
    <row r="107" s="1" customFormat="1" spans="1:12">
      <c r="A107" s="40"/>
      <c r="B107" s="10" t="s">
        <v>1559</v>
      </c>
      <c r="C107" s="10" t="s">
        <v>275</v>
      </c>
      <c r="D107" s="10" t="s">
        <v>1560</v>
      </c>
      <c r="E107" s="20"/>
      <c r="F107" s="19"/>
      <c r="G107" s="10"/>
      <c r="H107" s="20"/>
      <c r="I107" s="23"/>
      <c r="J107" s="23"/>
      <c r="K107" s="23"/>
      <c r="L107" s="23"/>
    </row>
    <row r="108" s="1" customFormat="1" spans="1:12">
      <c r="A108" s="40"/>
      <c r="B108" s="10" t="s">
        <v>1571</v>
      </c>
      <c r="C108" s="10" t="s">
        <v>275</v>
      </c>
      <c r="D108" s="10" t="s">
        <v>1572</v>
      </c>
      <c r="E108" s="20"/>
      <c r="F108" s="19"/>
      <c r="G108" s="10"/>
      <c r="H108" s="20"/>
      <c r="I108" s="23"/>
      <c r="J108" s="23"/>
      <c r="K108" s="23"/>
      <c r="L108" s="23"/>
    </row>
    <row r="109" s="1" customFormat="1" spans="1:12">
      <c r="A109" s="40"/>
      <c r="B109" s="10" t="s">
        <v>1782</v>
      </c>
      <c r="C109" s="10" t="s">
        <v>275</v>
      </c>
      <c r="D109" s="10" t="s">
        <v>1783</v>
      </c>
      <c r="E109" s="20"/>
      <c r="F109" s="19"/>
      <c r="G109" s="10"/>
      <c r="H109" s="20"/>
      <c r="I109" s="23"/>
      <c r="J109" s="23"/>
      <c r="K109" s="23"/>
      <c r="L109" s="23"/>
    </row>
    <row r="110" s="1" customFormat="1" spans="1:12">
      <c r="A110" s="40"/>
      <c r="B110" s="10" t="s">
        <v>1784</v>
      </c>
      <c r="C110" s="10" t="s">
        <v>275</v>
      </c>
      <c r="D110" s="10" t="s">
        <v>1785</v>
      </c>
      <c r="E110" s="20"/>
      <c r="F110" s="19"/>
      <c r="G110" s="10"/>
      <c r="H110" s="20"/>
      <c r="I110" s="23"/>
      <c r="J110" s="23"/>
      <c r="K110" s="23"/>
      <c r="L110" s="23"/>
    </row>
    <row r="111" s="1" customFormat="1" spans="1:12">
      <c r="A111" s="40"/>
      <c r="B111" s="19" t="s">
        <v>1786</v>
      </c>
      <c r="C111" s="19" t="s">
        <v>275</v>
      </c>
      <c r="D111" s="10" t="s">
        <v>1787</v>
      </c>
      <c r="E111" s="20"/>
      <c r="F111" s="19"/>
      <c r="G111" s="19"/>
      <c r="H111" s="20"/>
      <c r="I111" s="23"/>
      <c r="J111" s="23"/>
      <c r="K111" s="23"/>
      <c r="L111" s="23"/>
    </row>
    <row r="112" s="1" customFormat="1" spans="2:12">
      <c r="B112" s="19" t="s">
        <v>1788</v>
      </c>
      <c r="C112" s="19" t="s">
        <v>275</v>
      </c>
      <c r="D112" s="10" t="s">
        <v>1789</v>
      </c>
      <c r="E112" s="20"/>
      <c r="F112" s="19"/>
      <c r="G112" s="19"/>
      <c r="H112" s="20"/>
      <c r="I112" s="23"/>
      <c r="J112" s="23"/>
      <c r="K112" s="23"/>
      <c r="L112" s="23"/>
    </row>
    <row r="113" s="1" customFormat="1" spans="2:12">
      <c r="B113" s="19" t="s">
        <v>2694</v>
      </c>
      <c r="C113" s="19" t="s">
        <v>275</v>
      </c>
      <c r="D113" s="10" t="s">
        <v>2695</v>
      </c>
      <c r="E113" s="20"/>
      <c r="F113" s="19"/>
      <c r="G113" s="19"/>
      <c r="H113" s="20"/>
      <c r="I113" s="23"/>
      <c r="J113" s="23"/>
      <c r="K113" s="23"/>
      <c r="L113" s="23"/>
    </row>
    <row r="114" s="40" customFormat="1" spans="2:12">
      <c r="B114" s="19" t="s">
        <v>2696</v>
      </c>
      <c r="C114" s="19" t="s">
        <v>275</v>
      </c>
      <c r="D114" s="10" t="s">
        <v>2697</v>
      </c>
      <c r="E114" s="20"/>
      <c r="F114" s="19"/>
      <c r="G114" s="19"/>
      <c r="H114" s="20"/>
      <c r="I114" s="23"/>
      <c r="J114" s="23"/>
      <c r="K114" s="23"/>
      <c r="L114" s="23"/>
    </row>
    <row r="115" s="40" customFormat="1" ht="26.4" spans="2:12">
      <c r="B115" s="19" t="s">
        <v>2100</v>
      </c>
      <c r="C115" s="19" t="s">
        <v>275</v>
      </c>
      <c r="D115" s="10" t="s">
        <v>2575</v>
      </c>
      <c r="E115" s="20"/>
      <c r="F115" s="19"/>
      <c r="G115" s="19"/>
      <c r="H115" s="20"/>
      <c r="I115" s="23"/>
      <c r="J115" s="23"/>
      <c r="K115" s="23"/>
      <c r="L115" s="23"/>
    </row>
    <row r="116" s="70" customFormat="1" ht="26.4" spans="1:12">
      <c r="A116" s="75"/>
      <c r="B116" s="76" t="s">
        <v>2698</v>
      </c>
      <c r="C116" s="76" t="s">
        <v>275</v>
      </c>
      <c r="D116" s="10" t="s">
        <v>2699</v>
      </c>
      <c r="E116" s="20"/>
      <c r="F116" s="19"/>
      <c r="G116" s="19"/>
      <c r="H116" s="20"/>
      <c r="I116" s="77"/>
      <c r="J116" s="23"/>
      <c r="K116" s="23"/>
      <c r="L116" s="23"/>
    </row>
    <row r="117" s="1" customFormat="1" spans="1:12">
      <c r="A117" s="40"/>
      <c r="B117" s="10" t="s">
        <v>1798</v>
      </c>
      <c r="C117" s="10" t="s">
        <v>275</v>
      </c>
      <c r="D117" s="10" t="s">
        <v>1799</v>
      </c>
      <c r="E117" s="20"/>
      <c r="F117" s="19"/>
      <c r="G117" s="10"/>
      <c r="H117" s="20"/>
      <c r="I117" s="23"/>
      <c r="J117" s="23"/>
      <c r="K117" s="23"/>
      <c r="L117" s="23"/>
    </row>
    <row r="118" s="40" customFormat="1" ht="26.4" spans="2:12">
      <c r="B118" s="19" t="s">
        <v>2700</v>
      </c>
      <c r="C118" s="19" t="s">
        <v>275</v>
      </c>
      <c r="D118" s="10" t="s">
        <v>2701</v>
      </c>
      <c r="E118" s="20"/>
      <c r="F118" s="19"/>
      <c r="G118" s="19"/>
      <c r="H118" s="20"/>
      <c r="I118" s="23"/>
      <c r="J118" s="23"/>
      <c r="K118" s="23"/>
      <c r="L118" s="23"/>
    </row>
    <row r="119" s="40" customFormat="1" spans="2:12">
      <c r="B119" s="19" t="s">
        <v>2803</v>
      </c>
      <c r="C119" s="19" t="s">
        <v>275</v>
      </c>
      <c r="D119" s="10" t="s">
        <v>2103</v>
      </c>
      <c r="E119" s="20"/>
      <c r="F119" s="19"/>
      <c r="G119" s="19"/>
      <c r="H119" s="20"/>
      <c r="I119" s="23"/>
      <c r="J119" s="23"/>
      <c r="K119" s="23"/>
      <c r="L119" s="23"/>
    </row>
    <row r="120" s="40" customFormat="1" ht="26.4" spans="2:12">
      <c r="B120" s="19" t="s">
        <v>2688</v>
      </c>
      <c r="C120" s="19" t="s">
        <v>275</v>
      </c>
      <c r="D120" s="10" t="s">
        <v>2689</v>
      </c>
      <c r="E120" s="20"/>
      <c r="F120" s="19"/>
      <c r="G120" s="19"/>
      <c r="H120" s="20"/>
      <c r="I120" s="23"/>
      <c r="J120" s="23"/>
      <c r="K120" s="23"/>
      <c r="L120" s="23"/>
    </row>
    <row r="121" s="40" customFormat="1" spans="2:12">
      <c r="B121" s="19" t="s">
        <v>2804</v>
      </c>
      <c r="C121" s="19" t="s">
        <v>275</v>
      </c>
      <c r="D121" s="10" t="s">
        <v>2105</v>
      </c>
      <c r="E121" s="20"/>
      <c r="F121" s="19"/>
      <c r="G121" s="19"/>
      <c r="H121" s="20"/>
      <c r="I121" s="23"/>
      <c r="J121" s="23"/>
      <c r="K121" s="23"/>
      <c r="L121" s="23"/>
    </row>
    <row r="122" s="3" customFormat="1" spans="2:12">
      <c r="B122" s="19" t="s">
        <v>2805</v>
      </c>
      <c r="C122" s="19" t="s">
        <v>275</v>
      </c>
      <c r="D122" s="10" t="s">
        <v>2108</v>
      </c>
      <c r="E122" s="20"/>
      <c r="F122" s="19"/>
      <c r="G122" s="19"/>
      <c r="H122" s="20"/>
      <c r="I122" s="23"/>
      <c r="J122" s="23"/>
      <c r="K122" s="23"/>
      <c r="L122" s="23"/>
    </row>
    <row r="123" s="3" customFormat="1" ht="26.4" spans="2:12">
      <c r="B123" s="19" t="s">
        <v>2690</v>
      </c>
      <c r="C123" s="19" t="s">
        <v>275</v>
      </c>
      <c r="D123" s="10" t="s">
        <v>2691</v>
      </c>
      <c r="E123" s="20"/>
      <c r="F123" s="19"/>
      <c r="G123" s="19"/>
      <c r="H123" s="20"/>
      <c r="I123" s="23"/>
      <c r="J123" s="23"/>
      <c r="K123" s="23"/>
      <c r="L123" s="23"/>
    </row>
    <row r="124" s="1" customFormat="1" spans="1:12">
      <c r="A124" s="40"/>
      <c r="B124" s="19" t="s">
        <v>2806</v>
      </c>
      <c r="C124" s="19" t="s">
        <v>275</v>
      </c>
      <c r="D124" s="10" t="s">
        <v>2110</v>
      </c>
      <c r="E124" s="20"/>
      <c r="F124" s="19"/>
      <c r="G124" s="19"/>
      <c r="H124" s="19"/>
      <c r="I124" s="23"/>
      <c r="J124" s="23"/>
      <c r="K124" s="23"/>
      <c r="L124" s="23"/>
    </row>
    <row r="125" s="3" customFormat="1" ht="26.4" spans="2:12">
      <c r="B125" s="19" t="s">
        <v>2692</v>
      </c>
      <c r="C125" s="19" t="s">
        <v>275</v>
      </c>
      <c r="D125" s="10" t="s">
        <v>2693</v>
      </c>
      <c r="E125" s="20"/>
      <c r="F125" s="19"/>
      <c r="G125" s="19"/>
      <c r="H125" s="20"/>
      <c r="I125" s="23"/>
      <c r="J125" s="23"/>
      <c r="K125" s="23"/>
      <c r="L125" s="23"/>
    </row>
    <row r="126" s="3" customFormat="1" spans="2:12">
      <c r="B126" s="19" t="s">
        <v>2468</v>
      </c>
      <c r="C126" s="19" t="s">
        <v>275</v>
      </c>
      <c r="D126" s="10" t="s">
        <v>1807</v>
      </c>
      <c r="E126" s="20"/>
      <c r="F126" s="19"/>
      <c r="G126" s="19"/>
      <c r="H126" s="20"/>
      <c r="I126" s="23"/>
      <c r="J126" s="23"/>
      <c r="K126" s="23"/>
      <c r="L126" s="23"/>
    </row>
    <row r="127" s="36" customFormat="1" spans="1:12">
      <c r="A127" s="41"/>
      <c r="B127" s="29" t="s">
        <v>1814</v>
      </c>
      <c r="C127" s="29" t="s">
        <v>275</v>
      </c>
      <c r="D127" s="29" t="s">
        <v>1815</v>
      </c>
      <c r="E127" s="29"/>
      <c r="F127" s="29"/>
      <c r="G127" s="29" t="s">
        <v>2993</v>
      </c>
      <c r="H127" s="29"/>
      <c r="I127" s="29" t="s">
        <v>1211</v>
      </c>
      <c r="J127" s="29" t="s">
        <v>345</v>
      </c>
      <c r="K127" s="29" t="s">
        <v>323</v>
      </c>
      <c r="L127" s="29" t="s">
        <v>339</v>
      </c>
    </row>
    <row r="128" s="36" customFormat="1" spans="1:12">
      <c r="A128" s="41"/>
      <c r="B128" s="29" t="s">
        <v>1817</v>
      </c>
      <c r="C128" s="29" t="s">
        <v>216</v>
      </c>
      <c r="D128" s="29" t="s">
        <v>1818</v>
      </c>
      <c r="E128" s="29"/>
      <c r="F128" s="29"/>
      <c r="G128" s="29" t="s">
        <v>2469</v>
      </c>
      <c r="H128" s="29"/>
      <c r="I128" s="29" t="s">
        <v>1211</v>
      </c>
      <c r="J128" s="29" t="s">
        <v>345</v>
      </c>
      <c r="K128" s="29" t="s">
        <v>323</v>
      </c>
      <c r="L128" s="29" t="s">
        <v>323</v>
      </c>
    </row>
    <row r="129" s="36" customFormat="1" spans="1:12">
      <c r="A129" s="41"/>
      <c r="B129" s="29" t="s">
        <v>1820</v>
      </c>
      <c r="C129" s="29" t="s">
        <v>216</v>
      </c>
      <c r="D129" s="29" t="s">
        <v>1821</v>
      </c>
      <c r="E129" s="29"/>
      <c r="F129" s="29"/>
      <c r="G129" s="29" t="s">
        <v>2470</v>
      </c>
      <c r="H129" s="29"/>
      <c r="I129" s="29" t="s">
        <v>1211</v>
      </c>
      <c r="J129" s="29" t="s">
        <v>345</v>
      </c>
      <c r="K129" s="29" t="s">
        <v>323</v>
      </c>
      <c r="L129" s="29" t="s">
        <v>323</v>
      </c>
    </row>
    <row r="130" s="37" customFormat="1" spans="1:12">
      <c r="A130" s="42"/>
      <c r="B130" s="43" t="s">
        <v>252</v>
      </c>
      <c r="C130" s="43" t="s">
        <v>220</v>
      </c>
      <c r="D130" s="44" t="s">
        <v>254</v>
      </c>
      <c r="E130" s="45"/>
      <c r="F130" s="46"/>
      <c r="G130" s="46"/>
      <c r="H130" s="47"/>
      <c r="I130" s="48"/>
      <c r="J130" s="49"/>
      <c r="K130" s="49"/>
      <c r="L130" s="49"/>
    </row>
    <row r="131" s="37" customFormat="1" spans="1:12">
      <c r="A131" s="42"/>
      <c r="B131" s="43" t="s">
        <v>255</v>
      </c>
      <c r="C131" s="43" t="s">
        <v>216</v>
      </c>
      <c r="D131" s="44" t="s">
        <v>256</v>
      </c>
      <c r="E131" s="45"/>
      <c r="F131" s="46"/>
      <c r="G131" s="46"/>
      <c r="H131" s="47"/>
      <c r="I131" s="48"/>
      <c r="J131" s="49"/>
      <c r="K131" s="49"/>
      <c r="L131" s="49"/>
    </row>
    <row r="132" s="37" customFormat="1" spans="1:12">
      <c r="A132" s="42"/>
      <c r="B132" s="43" t="s">
        <v>257</v>
      </c>
      <c r="C132" s="43" t="s">
        <v>220</v>
      </c>
      <c r="D132" s="44" t="s">
        <v>258</v>
      </c>
      <c r="E132" s="45"/>
      <c r="F132" s="46"/>
      <c r="G132" s="46"/>
      <c r="H132" s="47"/>
      <c r="I132" s="48"/>
      <c r="J132" s="49"/>
      <c r="K132" s="49"/>
      <c r="L132" s="49"/>
    </row>
  </sheetData>
  <autoFilter xmlns:etc="http://www.wps.cn/officeDocument/2017/etCustomData" ref="A16:N132" etc:filterBottomFollowUsedRange="0">
    <extLst/>
  </autoFilter>
  <mergeCells count="5">
    <mergeCell ref="B2:H2"/>
    <mergeCell ref="B3:H3"/>
    <mergeCell ref="B7:H7"/>
    <mergeCell ref="B15:L15"/>
    <mergeCell ref="G11:G12"/>
  </mergeCells>
  <pageMargins left="0.7" right="0.7" top="0.75" bottom="0.75" header="0.3" footer="0.3"/>
  <pageSetup paperSize="9"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zoomScale="85" zoomScaleNormal="85" workbookViewId="0">
      <pane ySplit="5" topLeftCell="A6" activePane="bottomLeft" state="frozen"/>
      <selection/>
      <selection pane="bottomLeft" activeCell="N16" sqref="N16"/>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137</v>
      </c>
      <c r="D5" s="10" t="s">
        <v>138</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134</v>
      </c>
      <c r="D9" s="35" t="s">
        <v>135</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c r="J16" s="23" t="s">
        <v>322</v>
      </c>
      <c r="K16" s="23" t="s">
        <v>323</v>
      </c>
      <c r="L16" s="23" t="s">
        <v>323</v>
      </c>
      <c r="M16" s="1" t="str">
        <f>_xlfn.CONCAT(F16," as ",B16)</f>
        <v>p_date as day</v>
      </c>
      <c r="N16" s="16" t="str">
        <f>_xlfn.CONCAT("`",B16,"` ",C16,",")</f>
        <v>`day` string,</v>
      </c>
    </row>
    <row r="17" s="1" customFormat="1" spans="2:14">
      <c r="B17" s="19" t="s">
        <v>1026</v>
      </c>
      <c r="C17" s="19" t="s">
        <v>220</v>
      </c>
      <c r="D17" s="10" t="s">
        <v>66</v>
      </c>
      <c r="E17" s="20" t="s">
        <v>199</v>
      </c>
      <c r="F17" s="19" t="s">
        <v>257</v>
      </c>
      <c r="G17" s="19" t="s">
        <v>218</v>
      </c>
      <c r="H17" s="20"/>
      <c r="I17" s="23"/>
      <c r="J17" s="23" t="s">
        <v>322</v>
      </c>
      <c r="K17" s="23" t="s">
        <v>323</v>
      </c>
      <c r="L17" s="23" t="s">
        <v>323</v>
      </c>
      <c r="M17" s="1" t="str">
        <f t="shared" ref="M17:M35" si="0">_xlfn.CONCAT(F17," as ",B17)</f>
        <v>p_hour as hour</v>
      </c>
      <c r="N17" s="16" t="str">
        <f t="shared" ref="N17:N35" si="1">_xlfn.CONCAT("`",B17,"` ",C17,",")</f>
        <v>`hour` int,</v>
      </c>
    </row>
    <row r="18" s="1" customFormat="1" spans="2:14">
      <c r="B18" s="19" t="s">
        <v>1302</v>
      </c>
      <c r="C18" s="19" t="s">
        <v>220</v>
      </c>
      <c r="D18" s="10" t="s">
        <v>2977</v>
      </c>
      <c r="E18" s="20" t="s">
        <v>199</v>
      </c>
      <c r="F18" s="19" t="s">
        <v>1302</v>
      </c>
      <c r="G18" s="19" t="s">
        <v>218</v>
      </c>
      <c r="H18" s="20"/>
      <c r="I18" s="23"/>
      <c r="J18" s="23" t="s">
        <v>322</v>
      </c>
      <c r="K18" s="23" t="s">
        <v>323</v>
      </c>
      <c r="L18" s="23" t="s">
        <v>323</v>
      </c>
      <c r="M18" s="1" t="str">
        <f t="shared" si="0"/>
        <v>interface as interface</v>
      </c>
      <c r="N18" s="16" t="str">
        <f t="shared" si="1"/>
        <v>`interface` int,</v>
      </c>
    </row>
    <row r="19" s="1" customFormat="1" spans="2:14">
      <c r="B19" s="19" t="s">
        <v>1830</v>
      </c>
      <c r="C19" s="19" t="s">
        <v>220</v>
      </c>
      <c r="D19" s="10" t="s">
        <v>1831</v>
      </c>
      <c r="E19" s="20" t="s">
        <v>199</v>
      </c>
      <c r="F19" s="19" t="s">
        <v>252</v>
      </c>
      <c r="G19" s="19" t="s">
        <v>218</v>
      </c>
      <c r="H19" s="20"/>
      <c r="I19" s="23"/>
      <c r="J19" s="23" t="s">
        <v>322</v>
      </c>
      <c r="K19" s="23" t="s">
        <v>323</v>
      </c>
      <c r="L19" s="23" t="s">
        <v>323</v>
      </c>
      <c r="M19" s="1" t="str">
        <f t="shared" si="0"/>
        <v>p_provincecode as provincecode</v>
      </c>
      <c r="N19" s="16" t="str">
        <f t="shared" si="1"/>
        <v>`provincecode` int,</v>
      </c>
    </row>
    <row r="20" s="1" customFormat="1" spans="2:14">
      <c r="B20" s="19" t="s">
        <v>1832</v>
      </c>
      <c r="C20" s="19" t="s">
        <v>220</v>
      </c>
      <c r="D20" s="10" t="s">
        <v>1833</v>
      </c>
      <c r="E20" s="20" t="s">
        <v>199</v>
      </c>
      <c r="F20" s="19" t="s">
        <v>1318</v>
      </c>
      <c r="G20" s="19" t="s">
        <v>218</v>
      </c>
      <c r="H20" s="20"/>
      <c r="I20" s="23"/>
      <c r="J20" s="23" t="s">
        <v>322</v>
      </c>
      <c r="K20" s="23" t="s">
        <v>323</v>
      </c>
      <c r="L20" s="23" t="s">
        <v>323</v>
      </c>
      <c r="M20" s="1" t="str">
        <f t="shared" si="0"/>
        <v>city as citycode</v>
      </c>
      <c r="N20" s="16" t="str">
        <f t="shared" si="1"/>
        <v>`citycode` int,</v>
      </c>
    </row>
    <row r="21" s="1" customFormat="1" spans="2:14">
      <c r="B21" s="19" t="s">
        <v>1834</v>
      </c>
      <c r="C21" s="19" t="s">
        <v>220</v>
      </c>
      <c r="D21" s="10" t="s">
        <v>1835</v>
      </c>
      <c r="E21" s="20" t="s">
        <v>199</v>
      </c>
      <c r="F21" s="19" t="s">
        <v>1834</v>
      </c>
      <c r="G21" s="19" t="s">
        <v>218</v>
      </c>
      <c r="H21" s="20"/>
      <c r="I21" s="23"/>
      <c r="J21" s="23" t="s">
        <v>322</v>
      </c>
      <c r="K21" s="23" t="s">
        <v>323</v>
      </c>
      <c r="L21" s="23" t="s">
        <v>323</v>
      </c>
      <c r="M21" s="1" t="str">
        <f t="shared" si="0"/>
        <v>districtcode as districtcode</v>
      </c>
      <c r="N21" s="16" t="str">
        <f t="shared" si="1"/>
        <v>`districtcode` int,</v>
      </c>
    </row>
    <row r="22" s="1" customFormat="1" spans="2:14">
      <c r="B22" s="19" t="s">
        <v>1836</v>
      </c>
      <c r="C22" s="19" t="s">
        <v>216</v>
      </c>
      <c r="D22" s="10" t="s">
        <v>1837</v>
      </c>
      <c r="E22" s="20" t="s">
        <v>199</v>
      </c>
      <c r="F22" s="19" t="s">
        <v>1836</v>
      </c>
      <c r="G22" s="19" t="s">
        <v>218</v>
      </c>
      <c r="H22" s="20"/>
      <c r="I22" s="23"/>
      <c r="J22" s="23" t="s">
        <v>322</v>
      </c>
      <c r="K22" s="23" t="s">
        <v>323</v>
      </c>
      <c r="L22" s="23" t="s">
        <v>323</v>
      </c>
      <c r="M22" s="1" t="str">
        <f t="shared" si="0"/>
        <v>cellkey as cellkey</v>
      </c>
      <c r="N22" s="16" t="str">
        <f t="shared" si="1"/>
        <v>`cellkey` string,</v>
      </c>
    </row>
    <row r="23" s="1" customFormat="1" spans="2:14">
      <c r="B23" s="19" t="s">
        <v>224</v>
      </c>
      <c r="C23" s="19" t="s">
        <v>216</v>
      </c>
      <c r="D23" s="10" t="s">
        <v>292</v>
      </c>
      <c r="E23" s="20" t="s">
        <v>199</v>
      </c>
      <c r="F23" s="19" t="s">
        <v>1310</v>
      </c>
      <c r="G23" s="19" t="s">
        <v>218</v>
      </c>
      <c r="H23" s="20"/>
      <c r="I23" s="23"/>
      <c r="J23" s="23" t="s">
        <v>322</v>
      </c>
      <c r="K23" s="23" t="s">
        <v>323</v>
      </c>
      <c r="L23" s="23" t="s">
        <v>323</v>
      </c>
      <c r="M23" s="1" t="str">
        <f t="shared" si="0"/>
        <v>imsi_supi as imsi</v>
      </c>
      <c r="N23" s="16" t="str">
        <f t="shared" si="1"/>
        <v>`imsi` string,</v>
      </c>
    </row>
    <row r="24" s="1" customFormat="1" spans="2:14">
      <c r="B24" s="19" t="s">
        <v>267</v>
      </c>
      <c r="C24" s="19" t="s">
        <v>216</v>
      </c>
      <c r="D24" s="10" t="s">
        <v>294</v>
      </c>
      <c r="E24" s="20" t="s">
        <v>199</v>
      </c>
      <c r="F24" s="19" t="s">
        <v>267</v>
      </c>
      <c r="G24" s="19" t="s">
        <v>218</v>
      </c>
      <c r="H24" s="20"/>
      <c r="I24" s="23"/>
      <c r="J24" s="23" t="s">
        <v>322</v>
      </c>
      <c r="K24" s="23" t="s">
        <v>323</v>
      </c>
      <c r="L24" s="23" t="s">
        <v>323</v>
      </c>
      <c r="M24" s="1" t="str">
        <f t="shared" si="0"/>
        <v>msisdn as msisdn</v>
      </c>
      <c r="N24" s="16" t="str">
        <f t="shared" si="1"/>
        <v>`msisdn` string,</v>
      </c>
    </row>
    <row r="25" s="1" customFormat="1" spans="2:14">
      <c r="B25" s="19" t="s">
        <v>1053</v>
      </c>
      <c r="C25" s="19" t="s">
        <v>216</v>
      </c>
      <c r="D25" s="10" t="s">
        <v>1839</v>
      </c>
      <c r="E25" s="20" t="s">
        <v>199</v>
      </c>
      <c r="F25" s="19" t="s">
        <v>2589</v>
      </c>
      <c r="G25" s="19" t="s">
        <v>218</v>
      </c>
      <c r="H25" s="20"/>
      <c r="I25" s="23"/>
      <c r="J25" s="23" t="s">
        <v>322</v>
      </c>
      <c r="K25" s="23" t="s">
        <v>323</v>
      </c>
      <c r="L25" s="23" t="s">
        <v>323</v>
      </c>
      <c r="M25" s="1" t="str">
        <f t="shared" si="0"/>
        <v>pei as imei</v>
      </c>
      <c r="N25" s="16" t="str">
        <f t="shared" si="1"/>
        <v>`imei` string,</v>
      </c>
    </row>
    <row r="26" s="1" customFormat="1" spans="2:14">
      <c r="B26" s="19" t="s">
        <v>1313</v>
      </c>
      <c r="C26" s="19" t="s">
        <v>216</v>
      </c>
      <c r="D26" s="10" t="s">
        <v>1314</v>
      </c>
      <c r="E26" s="20" t="s">
        <v>199</v>
      </c>
      <c r="F26" s="19" t="s">
        <v>1313</v>
      </c>
      <c r="G26" s="19" t="s">
        <v>218</v>
      </c>
      <c r="H26" s="20"/>
      <c r="I26" s="23"/>
      <c r="J26" s="23" t="s">
        <v>322</v>
      </c>
      <c r="K26" s="23" t="s">
        <v>323</v>
      </c>
      <c r="L26" s="23" t="s">
        <v>323</v>
      </c>
      <c r="M26" s="1" t="str">
        <f t="shared" si="0"/>
        <v>servicetype as servicetype</v>
      </c>
      <c r="N26" s="16" t="str">
        <f t="shared" si="1"/>
        <v>`servicetype` string,</v>
      </c>
    </row>
    <row r="27" s="1" customFormat="1" spans="2:14">
      <c r="B27" s="19" t="s">
        <v>1840</v>
      </c>
      <c r="C27" s="19" t="s">
        <v>216</v>
      </c>
      <c r="D27" s="10" t="s">
        <v>1841</v>
      </c>
      <c r="E27" s="20" t="s">
        <v>199</v>
      </c>
      <c r="F27" s="19" t="s">
        <v>1842</v>
      </c>
      <c r="G27" s="19" t="s">
        <v>1842</v>
      </c>
      <c r="H27" s="20"/>
      <c r="I27" s="23"/>
      <c r="J27" s="23" t="s">
        <v>322</v>
      </c>
      <c r="K27" s="23" t="s">
        <v>323</v>
      </c>
      <c r="L27" s="23" t="s">
        <v>323</v>
      </c>
      <c r="M27" s="1" t="str">
        <f t="shared" si="0"/>
        <v>substr(servicetype,1,2) as app_type</v>
      </c>
      <c r="N27" s="16" t="str">
        <f t="shared" si="1"/>
        <v>`app_type` string,</v>
      </c>
    </row>
    <row r="28" s="1" customFormat="1" spans="2:14">
      <c r="B28" s="19" t="s">
        <v>1843</v>
      </c>
      <c r="C28" s="19" t="s">
        <v>216</v>
      </c>
      <c r="D28" s="10" t="s">
        <v>1844</v>
      </c>
      <c r="E28" s="20" t="s">
        <v>202</v>
      </c>
      <c r="F28" s="19" t="s">
        <v>1845</v>
      </c>
      <c r="G28" s="19" t="s">
        <v>218</v>
      </c>
      <c r="H28" s="20"/>
      <c r="I28" s="23"/>
      <c r="J28" s="23" t="s">
        <v>322</v>
      </c>
      <c r="K28" s="23" t="s">
        <v>323</v>
      </c>
      <c r="L28" s="23" t="s">
        <v>323</v>
      </c>
      <c r="M28" s="1" t="str">
        <f t="shared" si="0"/>
        <v>servicetype_name as app_name</v>
      </c>
      <c r="N28" s="16" t="str">
        <f t="shared" si="1"/>
        <v>`app_name` string,</v>
      </c>
    </row>
    <row r="29" s="1" customFormat="1" spans="2:14">
      <c r="B29" s="19" t="s">
        <v>1817</v>
      </c>
      <c r="C29" s="19" t="s">
        <v>216</v>
      </c>
      <c r="D29" s="10" t="s">
        <v>1818</v>
      </c>
      <c r="E29" s="20" t="s">
        <v>199</v>
      </c>
      <c r="F29" s="19" t="s">
        <v>1846</v>
      </c>
      <c r="G29" s="19" t="s">
        <v>1846</v>
      </c>
      <c r="H29" s="20"/>
      <c r="I29" s="23"/>
      <c r="J29" s="23" t="s">
        <v>345</v>
      </c>
      <c r="K29" s="23" t="s">
        <v>323</v>
      </c>
      <c r="L29" s="23" t="s">
        <v>323</v>
      </c>
      <c r="M29" s="1" t="str">
        <f t="shared" si="0"/>
        <v>min(min_starttime) as min_starttime</v>
      </c>
      <c r="N29" s="16" t="str">
        <f t="shared" si="1"/>
        <v>`min_starttime` string,</v>
      </c>
    </row>
    <row r="30" s="1" customFormat="1" spans="2:14">
      <c r="B30" s="19" t="s">
        <v>1820</v>
      </c>
      <c r="C30" s="19" t="s">
        <v>216</v>
      </c>
      <c r="D30" s="10" t="s">
        <v>1821</v>
      </c>
      <c r="E30" s="20" t="s">
        <v>199</v>
      </c>
      <c r="F30" s="19" t="s">
        <v>1847</v>
      </c>
      <c r="G30" s="19" t="s">
        <v>1847</v>
      </c>
      <c r="H30" s="20"/>
      <c r="I30" s="23"/>
      <c r="J30" s="23" t="s">
        <v>345</v>
      </c>
      <c r="K30" s="23" t="s">
        <v>323</v>
      </c>
      <c r="L30" s="23" t="s">
        <v>323</v>
      </c>
      <c r="M30" s="1" t="str">
        <f t="shared" si="0"/>
        <v>max(max_endtime) as max_endtime</v>
      </c>
      <c r="N30" s="16" t="str">
        <f t="shared" si="1"/>
        <v>`max_endtime` string,</v>
      </c>
    </row>
    <row r="31" s="1" customFormat="1" spans="2:14">
      <c r="B31" s="19" t="s">
        <v>1848</v>
      </c>
      <c r="C31" s="19" t="s">
        <v>275</v>
      </c>
      <c r="D31" s="10" t="s">
        <v>1849</v>
      </c>
      <c r="E31" s="20" t="s">
        <v>199</v>
      </c>
      <c r="F31" s="19" t="s">
        <v>2994</v>
      </c>
      <c r="G31" s="19" t="s">
        <v>2994</v>
      </c>
      <c r="H31" s="20"/>
      <c r="I31" s="23"/>
      <c r="J31" s="23" t="s">
        <v>345</v>
      </c>
      <c r="K31" s="23" t="s">
        <v>323</v>
      </c>
      <c r="L31" s="23" t="s">
        <v>339</v>
      </c>
      <c r="M31" s="1" t="str">
        <f t="shared" si="0"/>
        <v>sum(process_cnt) as total_cnt</v>
      </c>
      <c r="N31" s="16" t="str">
        <f t="shared" si="1"/>
        <v>`total_cnt` bigint,</v>
      </c>
    </row>
    <row r="32" s="1" customFormat="1" spans="2:14">
      <c r="B32" s="19" t="s">
        <v>1814</v>
      </c>
      <c r="C32" s="19" t="s">
        <v>275</v>
      </c>
      <c r="D32" s="10" t="s">
        <v>1851</v>
      </c>
      <c r="E32" s="20" t="s">
        <v>199</v>
      </c>
      <c r="F32" s="19" t="s">
        <v>1852</v>
      </c>
      <c r="G32" s="19" t="s">
        <v>1852</v>
      </c>
      <c r="H32" s="20"/>
      <c r="I32" s="23"/>
      <c r="J32" s="23" t="s">
        <v>345</v>
      </c>
      <c r="K32" s="23" t="s">
        <v>323</v>
      </c>
      <c r="L32" s="23" t="s">
        <v>339</v>
      </c>
      <c r="M32" s="1" t="str">
        <f t="shared" si="0"/>
        <v>sum(abnormal_cnt) as abnormal_cnt</v>
      </c>
      <c r="N32" s="16" t="str">
        <f t="shared" si="1"/>
        <v>`abnormal_cnt` bigint,</v>
      </c>
    </row>
    <row r="33" s="1" customFormat="1" ht="26.4" spans="2:14">
      <c r="B33" s="19" t="s">
        <v>1853</v>
      </c>
      <c r="C33" s="19" t="s">
        <v>240</v>
      </c>
      <c r="D33" s="10" t="s">
        <v>1854</v>
      </c>
      <c r="E33" s="20" t="s">
        <v>199</v>
      </c>
      <c r="F33" s="19" t="s">
        <v>2995</v>
      </c>
      <c r="G33" s="19" t="s">
        <v>2995</v>
      </c>
      <c r="H33" s="20"/>
      <c r="I33" s="23"/>
      <c r="J33" s="23" t="s">
        <v>345</v>
      </c>
      <c r="K33" s="23" t="s">
        <v>323</v>
      </c>
      <c r="L33" s="23" t="s">
        <v>1856</v>
      </c>
      <c r="M33" s="1" t="str">
        <f t="shared" si="0"/>
        <v>sum(abnormal_cnt)/sum(process_cnt) as abnormal_rate</v>
      </c>
      <c r="N33" s="16" t="str">
        <f t="shared" si="1"/>
        <v>`abnormal_rate` double,</v>
      </c>
    </row>
    <row r="34" s="1" customFormat="1" spans="2:14">
      <c r="B34" s="19" t="s">
        <v>1170</v>
      </c>
      <c r="C34" s="19" t="s">
        <v>275</v>
      </c>
      <c r="D34" s="10" t="s">
        <v>1857</v>
      </c>
      <c r="E34" s="20" t="s">
        <v>199</v>
      </c>
      <c r="F34" s="19" t="s">
        <v>1858</v>
      </c>
      <c r="G34" s="19" t="s">
        <v>1858</v>
      </c>
      <c r="H34" s="20"/>
      <c r="I34" s="23"/>
      <c r="J34" s="23" t="s">
        <v>345</v>
      </c>
      <c r="K34" s="23" t="s">
        <v>1859</v>
      </c>
      <c r="L34" s="23" t="s">
        <v>339</v>
      </c>
      <c r="M34" s="1" t="str">
        <f t="shared" si="0"/>
        <v>sum(duration_sum) as duration</v>
      </c>
      <c r="N34" s="16" t="str">
        <f t="shared" si="1"/>
        <v>`duration` bigint,</v>
      </c>
    </row>
    <row r="35" s="1" customFormat="1" ht="26.4" spans="2:14">
      <c r="B35" s="19" t="s">
        <v>1860</v>
      </c>
      <c r="C35" s="19" t="s">
        <v>275</v>
      </c>
      <c r="D35" s="10" t="s">
        <v>1861</v>
      </c>
      <c r="E35" s="20" t="s">
        <v>199</v>
      </c>
      <c r="F35" s="19" t="s">
        <v>1862</v>
      </c>
      <c r="G35" s="19" t="s">
        <v>1862</v>
      </c>
      <c r="H35" s="20"/>
      <c r="I35" s="23"/>
      <c r="J35" s="23" t="s">
        <v>345</v>
      </c>
      <c r="K35" s="23" t="s">
        <v>1863</v>
      </c>
      <c r="L35" s="23" t="s">
        <v>339</v>
      </c>
      <c r="M35" s="1" t="str">
        <f t="shared" si="0"/>
        <v>sum(outputoctets_sum+inputoctets_sum) as flux</v>
      </c>
      <c r="N35" s="16" t="str">
        <f t="shared" si="1"/>
        <v>`flux` bigint,</v>
      </c>
    </row>
    <row r="36" s="2" customFormat="1" spans="1:12">
      <c r="A36" s="21"/>
      <c r="B36" s="22" t="s">
        <v>252</v>
      </c>
      <c r="C36" s="22" t="s">
        <v>220</v>
      </c>
      <c r="D36" s="22" t="s">
        <v>254</v>
      </c>
      <c r="E36" s="22"/>
      <c r="F36" s="22"/>
      <c r="G36" s="22"/>
      <c r="H36" s="22"/>
      <c r="I36" s="22"/>
      <c r="J36" s="22"/>
      <c r="K36" s="22"/>
      <c r="L36" s="22"/>
    </row>
    <row r="37" s="2" customFormat="1" spans="1:12">
      <c r="A37" s="21"/>
      <c r="B37" s="22" t="s">
        <v>255</v>
      </c>
      <c r="C37" s="22" t="s">
        <v>216</v>
      </c>
      <c r="D37" s="22" t="s">
        <v>256</v>
      </c>
      <c r="E37" s="22"/>
      <c r="F37" s="22"/>
      <c r="G37" s="22"/>
      <c r="H37" s="22"/>
      <c r="I37" s="22"/>
      <c r="J37" s="22"/>
      <c r="K37" s="22"/>
      <c r="L37" s="22"/>
    </row>
    <row r="38" s="2" customFormat="1" spans="1:12">
      <c r="A38" s="21"/>
      <c r="B38" s="22" t="s">
        <v>257</v>
      </c>
      <c r="C38" s="22" t="s">
        <v>220</v>
      </c>
      <c r="D38" s="22" t="s">
        <v>258</v>
      </c>
      <c r="E38" s="22"/>
      <c r="F38" s="22"/>
      <c r="G38" s="22"/>
      <c r="H38" s="22"/>
      <c r="I38" s="22"/>
      <c r="J38" s="22"/>
      <c r="K38" s="22"/>
      <c r="L38" s="22"/>
    </row>
  </sheetData>
  <autoFilter xmlns:etc="http://www.wps.cn/officeDocument/2017/etCustomData" ref="A15:N38"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9"/>
  <sheetViews>
    <sheetView zoomScale="85" zoomScaleNormal="85" workbookViewId="0">
      <pane ySplit="5" topLeftCell="A144" activePane="bottomLeft" state="frozen"/>
      <selection/>
      <selection pane="bottomLeft" activeCell="F161" sqref="F16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43.1111111111111" style="3" customWidth="1"/>
    <col min="8" max="8" width="14.4444444444444" style="3" customWidth="1"/>
    <col min="9" max="9" width="7.44444444444444" style="3" customWidth="1"/>
    <col min="10" max="10" width="8.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139</v>
      </c>
      <c r="D5" s="35" t="s">
        <v>140</v>
      </c>
      <c r="E5" s="11" t="s">
        <v>1864</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2996</v>
      </c>
      <c r="D9" s="35" t="s">
        <v>2997</v>
      </c>
      <c r="E9" s="11" t="s">
        <v>199</v>
      </c>
      <c r="F9" s="11"/>
      <c r="G9" s="13"/>
      <c r="H9" s="15"/>
    </row>
    <row r="10" spans="2:8">
      <c r="B10" s="11"/>
      <c r="C10" s="10" t="s">
        <v>2810</v>
      </c>
      <c r="D10" s="10" t="s">
        <v>2811</v>
      </c>
      <c r="E10" s="11" t="s">
        <v>202</v>
      </c>
      <c r="F10" s="11"/>
      <c r="G10" s="13" t="s">
        <v>2980</v>
      </c>
      <c r="H10" s="15"/>
    </row>
    <row r="11" spans="2:8">
      <c r="B11" s="11"/>
      <c r="C11" s="10" t="s">
        <v>1029</v>
      </c>
      <c r="D11" s="10" t="s">
        <v>1030</v>
      </c>
      <c r="E11" s="11" t="s">
        <v>287</v>
      </c>
      <c r="F11" s="11"/>
      <c r="G11" s="52" t="s">
        <v>2981</v>
      </c>
      <c r="H11" s="15"/>
    </row>
    <row r="12" spans="2:8">
      <c r="B12" s="11"/>
      <c r="C12" s="10" t="s">
        <v>1032</v>
      </c>
      <c r="D12" s="10" t="s">
        <v>1033</v>
      </c>
      <c r="E12" s="11" t="s">
        <v>2814</v>
      </c>
      <c r="F12" s="38"/>
      <c r="G12" s="53"/>
      <c r="H12" s="11"/>
    </row>
    <row r="13" spans="7:7">
      <c r="G13" s="17"/>
    </row>
    <row r="14" spans="2:2">
      <c r="B14" s="3" t="s">
        <v>204</v>
      </c>
    </row>
    <row r="15" spans="2:12">
      <c r="B15" s="7" t="s">
        <v>204</v>
      </c>
      <c r="C15" s="7"/>
      <c r="D15" s="7"/>
      <c r="E15" s="7"/>
      <c r="F15" s="7"/>
      <c r="G15" s="7"/>
      <c r="H15" s="7"/>
      <c r="I15" s="7"/>
      <c r="J15" s="7"/>
      <c r="K15" s="7"/>
      <c r="L15" s="7"/>
    </row>
    <row r="16" spans="2:12">
      <c r="B16" s="8" t="s">
        <v>205</v>
      </c>
      <c r="C16" s="8" t="s">
        <v>206</v>
      </c>
      <c r="D16" s="8" t="s">
        <v>207</v>
      </c>
      <c r="E16" s="8" t="s">
        <v>208</v>
      </c>
      <c r="F16" s="8" t="s">
        <v>209</v>
      </c>
      <c r="G16" s="8" t="s">
        <v>210</v>
      </c>
      <c r="H16" s="8" t="s">
        <v>211</v>
      </c>
      <c r="I16" s="8" t="s">
        <v>17</v>
      </c>
      <c r="J16" s="8" t="s">
        <v>212</v>
      </c>
      <c r="K16" s="8" t="s">
        <v>213</v>
      </c>
      <c r="L16" s="8" t="s">
        <v>214</v>
      </c>
    </row>
    <row r="17" s="1" customFormat="1" spans="2:12">
      <c r="B17" s="32" t="s">
        <v>1302</v>
      </c>
      <c r="C17" s="32" t="s">
        <v>220</v>
      </c>
      <c r="D17" s="10" t="s">
        <v>2587</v>
      </c>
      <c r="E17" s="54"/>
      <c r="F17" s="39"/>
      <c r="G17" s="39"/>
      <c r="H17" s="55"/>
      <c r="I17" s="56"/>
      <c r="J17" s="56"/>
      <c r="K17" s="56"/>
      <c r="L17" s="56"/>
    </row>
    <row r="18" s="1" customFormat="1" spans="2:12">
      <c r="B18" s="32" t="s">
        <v>2588</v>
      </c>
      <c r="C18" s="32" t="s">
        <v>216</v>
      </c>
      <c r="D18" s="10" t="s">
        <v>2569</v>
      </c>
      <c r="E18" s="54"/>
      <c r="F18" s="39"/>
      <c r="G18" s="39"/>
      <c r="H18" s="55"/>
      <c r="I18" s="56"/>
      <c r="J18" s="56"/>
      <c r="K18" s="56"/>
      <c r="L18" s="56"/>
    </row>
    <row r="19" s="1" customFormat="1" spans="2:12">
      <c r="B19" s="32" t="s">
        <v>267</v>
      </c>
      <c r="C19" s="32" t="s">
        <v>216</v>
      </c>
      <c r="D19" s="10" t="s">
        <v>294</v>
      </c>
      <c r="E19" s="54"/>
      <c r="F19" s="39"/>
      <c r="G19" s="39"/>
      <c r="H19" s="55"/>
      <c r="I19" s="56"/>
      <c r="J19" s="56"/>
      <c r="K19" s="56"/>
      <c r="L19" s="56"/>
    </row>
    <row r="20" s="1" customFormat="1" spans="2:12">
      <c r="B20" s="32" t="s">
        <v>2589</v>
      </c>
      <c r="C20" s="32" t="s">
        <v>216</v>
      </c>
      <c r="D20" s="10" t="s">
        <v>2590</v>
      </c>
      <c r="E20" s="54"/>
      <c r="F20" s="39"/>
      <c r="G20" s="39"/>
      <c r="H20" s="55"/>
      <c r="I20" s="56"/>
      <c r="J20" s="56"/>
      <c r="K20" s="56"/>
      <c r="L20" s="56"/>
    </row>
    <row r="21" s="1" customFormat="1" spans="2:12">
      <c r="B21" s="32" t="s">
        <v>2591</v>
      </c>
      <c r="C21" s="32" t="s">
        <v>216</v>
      </c>
      <c r="D21" s="10" t="s">
        <v>2098</v>
      </c>
      <c r="E21" s="54"/>
      <c r="F21" s="39"/>
      <c r="G21" s="39"/>
      <c r="H21" s="55"/>
      <c r="I21" s="56"/>
      <c r="J21" s="56"/>
      <c r="K21" s="56"/>
      <c r="L21" s="56"/>
    </row>
    <row r="22" s="1" customFormat="1" spans="2:12">
      <c r="B22" s="32" t="s">
        <v>1878</v>
      </c>
      <c r="C22" s="32" t="s">
        <v>216</v>
      </c>
      <c r="D22" s="10" t="s">
        <v>2571</v>
      </c>
      <c r="E22" s="54"/>
      <c r="F22" s="39"/>
      <c r="G22" s="39"/>
      <c r="H22" s="55"/>
      <c r="I22" s="56"/>
      <c r="J22" s="56"/>
      <c r="K22" s="56"/>
      <c r="L22" s="56"/>
    </row>
    <row r="23" s="1" customFormat="1" spans="2:12">
      <c r="B23" s="32" t="s">
        <v>2482</v>
      </c>
      <c r="C23" s="32" t="s">
        <v>220</v>
      </c>
      <c r="D23" s="10" t="s">
        <v>2592</v>
      </c>
      <c r="E23" s="54"/>
      <c r="F23" s="39"/>
      <c r="G23" s="39"/>
      <c r="H23" s="55"/>
      <c r="I23" s="56"/>
      <c r="J23" s="56"/>
      <c r="K23" s="56"/>
      <c r="L23" s="56"/>
    </row>
    <row r="24" s="1" customFormat="1" spans="2:12">
      <c r="B24" s="32" t="s">
        <v>1287</v>
      </c>
      <c r="C24" s="32" t="s">
        <v>216</v>
      </c>
      <c r="D24" s="10" t="s">
        <v>1288</v>
      </c>
      <c r="E24" s="54"/>
      <c r="F24" s="39"/>
      <c r="G24" s="39"/>
      <c r="H24" s="55"/>
      <c r="I24" s="56"/>
      <c r="J24" s="56"/>
      <c r="K24" s="56"/>
      <c r="L24" s="56"/>
    </row>
    <row r="25" s="1" customFormat="1" spans="2:12">
      <c r="B25" s="32" t="s">
        <v>2485</v>
      </c>
      <c r="C25" s="32" t="s">
        <v>220</v>
      </c>
      <c r="D25" s="10" t="s">
        <v>2593</v>
      </c>
      <c r="E25" s="54"/>
      <c r="F25" s="39"/>
      <c r="G25" s="39"/>
      <c r="H25" s="55"/>
      <c r="I25" s="56"/>
      <c r="J25" s="56"/>
      <c r="K25" s="56"/>
      <c r="L25" s="56"/>
    </row>
    <row r="26" s="1" customFormat="1" spans="2:12">
      <c r="B26" s="32" t="s">
        <v>2594</v>
      </c>
      <c r="C26" s="32" t="s">
        <v>216</v>
      </c>
      <c r="D26" s="10" t="s">
        <v>2595</v>
      </c>
      <c r="E26" s="54"/>
      <c r="F26" s="39"/>
      <c r="G26" s="39"/>
      <c r="H26" s="55"/>
      <c r="I26" s="56"/>
      <c r="J26" s="56"/>
      <c r="K26" s="56"/>
      <c r="L26" s="56"/>
    </row>
    <row r="27" s="1" customFormat="1" spans="2:12">
      <c r="B27" s="32" t="s">
        <v>2596</v>
      </c>
      <c r="C27" s="32" t="s">
        <v>216</v>
      </c>
      <c r="D27" s="10" t="s">
        <v>2597</v>
      </c>
      <c r="E27" s="54"/>
      <c r="F27" s="39"/>
      <c r="G27" s="39"/>
      <c r="H27" s="55"/>
      <c r="I27" s="56"/>
      <c r="J27" s="56"/>
      <c r="K27" s="56"/>
      <c r="L27" s="56"/>
    </row>
    <row r="28" s="1" customFormat="1" spans="2:12">
      <c r="B28" s="32" t="s">
        <v>1306</v>
      </c>
      <c r="C28" s="32" t="s">
        <v>216</v>
      </c>
      <c r="D28" s="10" t="s">
        <v>1307</v>
      </c>
      <c r="E28" s="54"/>
      <c r="F28" s="39"/>
      <c r="G28" s="39"/>
      <c r="H28" s="55"/>
      <c r="I28" s="56"/>
      <c r="J28" s="56"/>
      <c r="K28" s="56"/>
      <c r="L28" s="56"/>
    </row>
    <row r="29" s="1" customFormat="1" spans="2:12">
      <c r="B29" s="32" t="s">
        <v>1304</v>
      </c>
      <c r="C29" s="32" t="s">
        <v>216</v>
      </c>
      <c r="D29" s="10" t="s">
        <v>1305</v>
      </c>
      <c r="E29" s="54"/>
      <c r="F29" s="39"/>
      <c r="G29" s="39"/>
      <c r="H29" s="55"/>
      <c r="I29" s="56"/>
      <c r="J29" s="56"/>
      <c r="K29" s="56"/>
      <c r="L29" s="56"/>
    </row>
    <row r="30" s="1" customFormat="1" spans="2:12">
      <c r="B30" s="32" t="s">
        <v>302</v>
      </c>
      <c r="C30" s="32" t="s">
        <v>220</v>
      </c>
      <c r="D30" s="10" t="s">
        <v>2598</v>
      </c>
      <c r="E30" s="54"/>
      <c r="F30" s="39"/>
      <c r="G30" s="39"/>
      <c r="H30" s="55"/>
      <c r="I30" s="56"/>
      <c r="J30" s="56"/>
      <c r="K30" s="56"/>
      <c r="L30" s="56"/>
    </row>
    <row r="31" s="1" customFormat="1" spans="2:12">
      <c r="B31" s="32" t="s">
        <v>1889</v>
      </c>
      <c r="C31" s="32" t="s">
        <v>220</v>
      </c>
      <c r="D31" s="10" t="s">
        <v>2599</v>
      </c>
      <c r="E31" s="54"/>
      <c r="F31" s="39"/>
      <c r="G31" s="39"/>
      <c r="H31" s="55"/>
      <c r="I31" s="56"/>
      <c r="J31" s="56"/>
      <c r="K31" s="56"/>
      <c r="L31" s="56"/>
    </row>
    <row r="32" s="1" customFormat="1" spans="2:12">
      <c r="B32" s="32" t="s">
        <v>1313</v>
      </c>
      <c r="C32" s="32" t="s">
        <v>216</v>
      </c>
      <c r="D32" s="10" t="s">
        <v>1893</v>
      </c>
      <c r="E32" s="54"/>
      <c r="F32" s="39"/>
      <c r="G32" s="39"/>
      <c r="H32" s="55"/>
      <c r="I32" s="56"/>
      <c r="J32" s="56"/>
      <c r="K32" s="56"/>
      <c r="L32" s="56"/>
    </row>
    <row r="33" s="1" customFormat="1" spans="2:12">
      <c r="B33" s="32" t="s">
        <v>1897</v>
      </c>
      <c r="C33" s="32" t="s">
        <v>216</v>
      </c>
      <c r="D33" s="10" t="s">
        <v>2600</v>
      </c>
      <c r="E33" s="54"/>
      <c r="F33" s="39"/>
      <c r="G33" s="39"/>
      <c r="H33" s="55"/>
      <c r="I33" s="56"/>
      <c r="J33" s="56"/>
      <c r="K33" s="56"/>
      <c r="L33" s="56"/>
    </row>
    <row r="34" s="1" customFormat="1" spans="2:12">
      <c r="B34" s="32" t="s">
        <v>1899</v>
      </c>
      <c r="C34" s="32" t="s">
        <v>216</v>
      </c>
      <c r="D34" s="10" t="s">
        <v>2601</v>
      </c>
      <c r="E34" s="54"/>
      <c r="F34" s="39"/>
      <c r="G34" s="39"/>
      <c r="H34" s="55"/>
      <c r="I34" s="56"/>
      <c r="J34" s="56"/>
      <c r="K34" s="56"/>
      <c r="L34" s="56"/>
    </row>
    <row r="35" s="1" customFormat="1" spans="2:12">
      <c r="B35" s="32" t="s">
        <v>1170</v>
      </c>
      <c r="C35" s="32" t="s">
        <v>275</v>
      </c>
      <c r="D35" s="10" t="s">
        <v>2602</v>
      </c>
      <c r="E35" s="54"/>
      <c r="F35" s="39"/>
      <c r="G35" s="39"/>
      <c r="H35" s="55"/>
      <c r="I35" s="56"/>
      <c r="J35" s="56"/>
      <c r="K35" s="56"/>
      <c r="L35" s="56"/>
    </row>
    <row r="36" s="1" customFormat="1" spans="2:12">
      <c r="B36" s="32" t="s">
        <v>1902</v>
      </c>
      <c r="C36" s="32" t="s">
        <v>275</v>
      </c>
      <c r="D36" s="10" t="s">
        <v>1903</v>
      </c>
      <c r="E36" s="54"/>
      <c r="F36" s="39"/>
      <c r="G36" s="39"/>
      <c r="H36" s="55"/>
      <c r="I36" s="56"/>
      <c r="J36" s="56"/>
      <c r="K36" s="56"/>
      <c r="L36" s="56"/>
    </row>
    <row r="37" s="1" customFormat="1" spans="2:12">
      <c r="B37" s="32" t="s">
        <v>1904</v>
      </c>
      <c r="C37" s="32" t="s">
        <v>275</v>
      </c>
      <c r="D37" s="10" t="s">
        <v>1905</v>
      </c>
      <c r="E37" s="54"/>
      <c r="F37" s="39"/>
      <c r="G37" s="39"/>
      <c r="H37" s="55"/>
      <c r="I37" s="56"/>
      <c r="J37" s="56"/>
      <c r="K37" s="56"/>
      <c r="L37" s="56"/>
    </row>
    <row r="38" s="1" customFormat="1" spans="2:12">
      <c r="B38" s="32" t="s">
        <v>1906</v>
      </c>
      <c r="C38" s="32" t="s">
        <v>275</v>
      </c>
      <c r="D38" s="10" t="s">
        <v>1330</v>
      </c>
      <c r="E38" s="54"/>
      <c r="F38" s="39"/>
      <c r="G38" s="39"/>
      <c r="H38" s="55"/>
      <c r="I38" s="56"/>
      <c r="J38" s="56"/>
      <c r="K38" s="56"/>
      <c r="L38" s="56"/>
    </row>
    <row r="39" s="1" customFormat="1" spans="2:12">
      <c r="B39" s="32" t="s">
        <v>1907</v>
      </c>
      <c r="C39" s="32" t="s">
        <v>275</v>
      </c>
      <c r="D39" s="10" t="s">
        <v>1332</v>
      </c>
      <c r="E39" s="54"/>
      <c r="F39" s="39"/>
      <c r="G39" s="39"/>
      <c r="H39" s="55"/>
      <c r="I39" s="56"/>
      <c r="J39" s="56"/>
      <c r="K39" s="56"/>
      <c r="L39" s="56"/>
    </row>
    <row r="40" s="1" customFormat="1" spans="2:12">
      <c r="B40" s="32" t="s">
        <v>2603</v>
      </c>
      <c r="C40" s="32" t="s">
        <v>216</v>
      </c>
      <c r="D40" s="10" t="s">
        <v>2604</v>
      </c>
      <c r="E40" s="54"/>
      <c r="F40" s="39"/>
      <c r="G40" s="39"/>
      <c r="H40" s="55"/>
      <c r="I40" s="56"/>
      <c r="J40" s="56"/>
      <c r="K40" s="56"/>
      <c r="L40" s="56"/>
    </row>
    <row r="41" s="1" customFormat="1" spans="2:12">
      <c r="B41" s="32" t="s">
        <v>1939</v>
      </c>
      <c r="C41" s="32" t="s">
        <v>220</v>
      </c>
      <c r="D41" s="10" t="s">
        <v>1940</v>
      </c>
      <c r="E41" s="54"/>
      <c r="F41" s="39"/>
      <c r="G41" s="39"/>
      <c r="H41" s="55"/>
      <c r="I41" s="56"/>
      <c r="J41" s="56"/>
      <c r="K41" s="56"/>
      <c r="L41" s="56"/>
    </row>
    <row r="42" s="1" customFormat="1" spans="2:12">
      <c r="B42" s="32" t="s">
        <v>2605</v>
      </c>
      <c r="C42" s="32" t="s">
        <v>216</v>
      </c>
      <c r="D42" s="10" t="s">
        <v>2606</v>
      </c>
      <c r="E42" s="54"/>
      <c r="F42" s="39"/>
      <c r="G42" s="39"/>
      <c r="H42" s="55"/>
      <c r="I42" s="56"/>
      <c r="J42" s="56"/>
      <c r="K42" s="56"/>
      <c r="L42" s="56"/>
    </row>
    <row r="43" s="1" customFormat="1" spans="2:12">
      <c r="B43" s="32" t="s">
        <v>2607</v>
      </c>
      <c r="C43" s="32" t="s">
        <v>220</v>
      </c>
      <c r="D43" s="10" t="s">
        <v>2608</v>
      </c>
      <c r="E43" s="54"/>
      <c r="F43" s="39"/>
      <c r="G43" s="39"/>
      <c r="H43" s="55"/>
      <c r="I43" s="56"/>
      <c r="J43" s="56"/>
      <c r="K43" s="56"/>
      <c r="L43" s="56"/>
    </row>
    <row r="44" s="1" customFormat="1" spans="2:12">
      <c r="B44" s="32" t="s">
        <v>2609</v>
      </c>
      <c r="C44" s="32" t="s">
        <v>220</v>
      </c>
      <c r="D44" s="10" t="s">
        <v>2610</v>
      </c>
      <c r="E44" s="54"/>
      <c r="F44" s="39"/>
      <c r="G44" s="39"/>
      <c r="H44" s="55"/>
      <c r="I44" s="56"/>
      <c r="J44" s="56"/>
      <c r="K44" s="56"/>
      <c r="L44" s="56"/>
    </row>
    <row r="45" s="1" customFormat="1" spans="2:12">
      <c r="B45" s="32" t="s">
        <v>1808</v>
      </c>
      <c r="C45" s="32" t="s">
        <v>216</v>
      </c>
      <c r="D45" s="10" t="s">
        <v>2572</v>
      </c>
      <c r="E45" s="54"/>
      <c r="F45" s="39"/>
      <c r="G45" s="39"/>
      <c r="H45" s="55"/>
      <c r="I45" s="56"/>
      <c r="J45" s="56"/>
      <c r="K45" s="56"/>
      <c r="L45" s="56"/>
    </row>
    <row r="46" s="1" customFormat="1" spans="2:12">
      <c r="B46" s="32" t="s">
        <v>1895</v>
      </c>
      <c r="C46" s="32" t="s">
        <v>220</v>
      </c>
      <c r="D46" s="10" t="s">
        <v>2611</v>
      </c>
      <c r="E46" s="54"/>
      <c r="F46" s="39"/>
      <c r="G46" s="39"/>
      <c r="H46" s="55"/>
      <c r="I46" s="56"/>
      <c r="J46" s="56"/>
      <c r="K46" s="56"/>
      <c r="L46" s="56"/>
    </row>
    <row r="47" s="1" customFormat="1" spans="2:12">
      <c r="B47" s="32" t="s">
        <v>1908</v>
      </c>
      <c r="C47" s="32" t="s">
        <v>275</v>
      </c>
      <c r="D47" s="10" t="s">
        <v>1909</v>
      </c>
      <c r="E47" s="54"/>
      <c r="F47" s="39"/>
      <c r="G47" s="39"/>
      <c r="H47" s="55"/>
      <c r="I47" s="56"/>
      <c r="J47" s="56"/>
      <c r="K47" s="56"/>
      <c r="L47" s="56"/>
    </row>
    <row r="48" s="1" customFormat="1" spans="2:12">
      <c r="B48" s="32" t="s">
        <v>1910</v>
      </c>
      <c r="C48" s="32" t="s">
        <v>275</v>
      </c>
      <c r="D48" s="10" t="s">
        <v>1911</v>
      </c>
      <c r="E48" s="54"/>
      <c r="F48" s="39"/>
      <c r="G48" s="39"/>
      <c r="H48" s="55"/>
      <c r="I48" s="56"/>
      <c r="J48" s="56"/>
      <c r="K48" s="56"/>
      <c r="L48" s="56"/>
    </row>
    <row r="49" s="1" customFormat="1" spans="2:12">
      <c r="B49" s="32" t="s">
        <v>1912</v>
      </c>
      <c r="C49" s="32" t="s">
        <v>275</v>
      </c>
      <c r="D49" s="10" t="s">
        <v>1913</v>
      </c>
      <c r="E49" s="54"/>
      <c r="F49" s="39"/>
      <c r="G49" s="39"/>
      <c r="H49" s="55"/>
      <c r="I49" s="56"/>
      <c r="J49" s="56"/>
      <c r="K49" s="56"/>
      <c r="L49" s="56"/>
    </row>
    <row r="50" s="1" customFormat="1" spans="2:12">
      <c r="B50" s="32" t="s">
        <v>1914</v>
      </c>
      <c r="C50" s="32" t="s">
        <v>275</v>
      </c>
      <c r="D50" s="10" t="s">
        <v>1915</v>
      </c>
      <c r="E50" s="54"/>
      <c r="F50" s="39"/>
      <c r="G50" s="39"/>
      <c r="H50" s="55"/>
      <c r="I50" s="56"/>
      <c r="J50" s="56"/>
      <c r="K50" s="56"/>
      <c r="L50" s="56"/>
    </row>
    <row r="51" s="1" customFormat="1" spans="2:12">
      <c r="B51" s="32" t="s">
        <v>1276</v>
      </c>
      <c r="C51" s="32" t="s">
        <v>275</v>
      </c>
      <c r="D51" s="10" t="s">
        <v>1277</v>
      </c>
      <c r="E51" s="54"/>
      <c r="F51" s="39"/>
      <c r="G51" s="39"/>
      <c r="H51" s="55"/>
      <c r="I51" s="56"/>
      <c r="J51" s="56"/>
      <c r="K51" s="56"/>
      <c r="L51" s="56"/>
    </row>
    <row r="52" s="1" customFormat="1" spans="2:12">
      <c r="B52" s="32" t="s">
        <v>1278</v>
      </c>
      <c r="C52" s="32" t="s">
        <v>275</v>
      </c>
      <c r="D52" s="10" t="s">
        <v>1279</v>
      </c>
      <c r="E52" s="54"/>
      <c r="F52" s="39"/>
      <c r="G52" s="39"/>
      <c r="H52" s="55"/>
      <c r="I52" s="56"/>
      <c r="J52" s="56"/>
      <c r="K52" s="56"/>
      <c r="L52" s="56"/>
    </row>
    <row r="53" s="1" customFormat="1" spans="2:12">
      <c r="B53" s="32" t="s">
        <v>1291</v>
      </c>
      <c r="C53" s="32" t="s">
        <v>275</v>
      </c>
      <c r="D53" s="10" t="s">
        <v>1356</v>
      </c>
      <c r="E53" s="54"/>
      <c r="F53" s="39"/>
      <c r="G53" s="39"/>
      <c r="H53" s="55"/>
      <c r="I53" s="56"/>
      <c r="J53" s="56"/>
      <c r="K53" s="56"/>
      <c r="L53" s="56"/>
    </row>
    <row r="54" s="1" customFormat="1" spans="2:12">
      <c r="B54" s="32" t="s">
        <v>1293</v>
      </c>
      <c r="C54" s="32" t="s">
        <v>275</v>
      </c>
      <c r="D54" s="10" t="s">
        <v>1358</v>
      </c>
      <c r="E54" s="54"/>
      <c r="F54" s="39"/>
      <c r="G54" s="39"/>
      <c r="H54" s="55"/>
      <c r="I54" s="56"/>
      <c r="J54" s="56"/>
      <c r="K54" s="56"/>
      <c r="L54" s="56"/>
    </row>
    <row r="55" s="1" customFormat="1" spans="2:12">
      <c r="B55" s="32" t="s">
        <v>2051</v>
      </c>
      <c r="C55" s="32" t="s">
        <v>275</v>
      </c>
      <c r="D55" s="10" t="s">
        <v>1348</v>
      </c>
      <c r="E55" s="54"/>
      <c r="F55" s="39"/>
      <c r="G55" s="39"/>
      <c r="H55" s="55"/>
      <c r="I55" s="56"/>
      <c r="J55" s="56"/>
      <c r="K55" s="56"/>
      <c r="L55" s="56"/>
    </row>
    <row r="56" s="1" customFormat="1" ht="26.4" spans="2:12">
      <c r="B56" s="32" t="s">
        <v>2052</v>
      </c>
      <c r="C56" s="32" t="s">
        <v>275</v>
      </c>
      <c r="D56" s="10" t="s">
        <v>1350</v>
      </c>
      <c r="E56" s="54"/>
      <c r="F56" s="39"/>
      <c r="G56" s="39"/>
      <c r="H56" s="55"/>
      <c r="I56" s="56"/>
      <c r="J56" s="56"/>
      <c r="K56" s="56"/>
      <c r="L56" s="56"/>
    </row>
    <row r="57" s="1" customFormat="1" spans="2:12">
      <c r="B57" s="32" t="s">
        <v>1928</v>
      </c>
      <c r="C57" s="32" t="s">
        <v>220</v>
      </c>
      <c r="D57" s="10" t="s">
        <v>1929</v>
      </c>
      <c r="E57" s="54"/>
      <c r="F57" s="39"/>
      <c r="G57" s="39"/>
      <c r="H57" s="55"/>
      <c r="I57" s="56"/>
      <c r="J57" s="56"/>
      <c r="K57" s="56"/>
      <c r="L57" s="56"/>
    </row>
    <row r="58" s="1" customFormat="1" spans="2:12">
      <c r="B58" s="32" t="s">
        <v>1930</v>
      </c>
      <c r="C58" s="32" t="s">
        <v>220</v>
      </c>
      <c r="D58" s="10" t="s">
        <v>1352</v>
      </c>
      <c r="E58" s="54"/>
      <c r="F58" s="39"/>
      <c r="G58" s="39"/>
      <c r="H58" s="55"/>
      <c r="I58" s="56"/>
      <c r="J58" s="56"/>
      <c r="K58" s="56"/>
      <c r="L58" s="56"/>
    </row>
    <row r="59" s="1" customFormat="1" spans="2:12">
      <c r="B59" s="32" t="s">
        <v>1931</v>
      </c>
      <c r="C59" s="32" t="s">
        <v>220</v>
      </c>
      <c r="D59" s="10" t="s">
        <v>1932</v>
      </c>
      <c r="E59" s="54"/>
      <c r="F59" s="39"/>
      <c r="G59" s="39"/>
      <c r="H59" s="55"/>
      <c r="I59" s="56"/>
      <c r="J59" s="56"/>
      <c r="K59" s="56"/>
      <c r="L59" s="56"/>
    </row>
    <row r="60" s="1" customFormat="1" spans="2:12">
      <c r="B60" s="32" t="s">
        <v>1933</v>
      </c>
      <c r="C60" s="32" t="s">
        <v>220</v>
      </c>
      <c r="D60" s="10" t="s">
        <v>1934</v>
      </c>
      <c r="E60" s="54"/>
      <c r="F60" s="39"/>
      <c r="G60" s="39"/>
      <c r="H60" s="55"/>
      <c r="I60" s="56"/>
      <c r="J60" s="56"/>
      <c r="K60" s="56"/>
      <c r="L60" s="56"/>
    </row>
    <row r="61" s="1" customFormat="1" spans="2:12">
      <c r="B61" s="32" t="s">
        <v>2612</v>
      </c>
      <c r="C61" s="32" t="s">
        <v>220</v>
      </c>
      <c r="D61" s="10" t="s">
        <v>2613</v>
      </c>
      <c r="E61" s="54"/>
      <c r="F61" s="39"/>
      <c r="G61" s="39"/>
      <c r="H61" s="55"/>
      <c r="I61" s="56"/>
      <c r="J61" s="56"/>
      <c r="K61" s="56"/>
      <c r="L61" s="56"/>
    </row>
    <row r="62" s="1" customFormat="1" spans="2:12">
      <c r="B62" s="32" t="s">
        <v>2614</v>
      </c>
      <c r="C62" s="32" t="s">
        <v>220</v>
      </c>
      <c r="D62" s="10" t="s">
        <v>2615</v>
      </c>
      <c r="E62" s="54"/>
      <c r="F62" s="39"/>
      <c r="G62" s="39"/>
      <c r="H62" s="55"/>
      <c r="I62" s="56"/>
      <c r="J62" s="56"/>
      <c r="K62" s="56"/>
      <c r="L62" s="56"/>
    </row>
    <row r="63" s="1" customFormat="1" spans="2:12">
      <c r="B63" s="32" t="s">
        <v>2616</v>
      </c>
      <c r="C63" s="32" t="s">
        <v>275</v>
      </c>
      <c r="D63" s="10" t="s">
        <v>2616</v>
      </c>
      <c r="E63" s="54"/>
      <c r="F63" s="39"/>
      <c r="G63" s="39"/>
      <c r="H63" s="55"/>
      <c r="I63" s="56"/>
      <c r="J63" s="56"/>
      <c r="K63" s="56"/>
      <c r="L63" s="56"/>
    </row>
    <row r="64" s="1" customFormat="1" spans="2:12">
      <c r="B64" s="32" t="s">
        <v>2617</v>
      </c>
      <c r="C64" s="32" t="s">
        <v>275</v>
      </c>
      <c r="D64" s="10" t="s">
        <v>2617</v>
      </c>
      <c r="E64" s="54"/>
      <c r="F64" s="39"/>
      <c r="G64" s="39"/>
      <c r="H64" s="55"/>
      <c r="I64" s="56"/>
      <c r="J64" s="56"/>
      <c r="K64" s="56"/>
      <c r="L64" s="56"/>
    </row>
    <row r="65" s="1" customFormat="1" spans="2:12">
      <c r="B65" s="32" t="s">
        <v>2618</v>
      </c>
      <c r="C65" s="32" t="s">
        <v>220</v>
      </c>
      <c r="D65" s="10" t="s">
        <v>2618</v>
      </c>
      <c r="E65" s="54"/>
      <c r="F65" s="39"/>
      <c r="G65" s="39"/>
      <c r="H65" s="55"/>
      <c r="I65" s="56"/>
      <c r="J65" s="56"/>
      <c r="K65" s="56"/>
      <c r="L65" s="56"/>
    </row>
    <row r="66" s="1" customFormat="1" spans="2:12">
      <c r="B66" s="32" t="s">
        <v>2619</v>
      </c>
      <c r="C66" s="32" t="s">
        <v>220</v>
      </c>
      <c r="D66" s="10" t="s">
        <v>2620</v>
      </c>
      <c r="E66" s="54"/>
      <c r="F66" s="39"/>
      <c r="G66" s="39"/>
      <c r="H66" s="55"/>
      <c r="I66" s="56"/>
      <c r="J66" s="56"/>
      <c r="K66" s="56"/>
      <c r="L66" s="56"/>
    </row>
    <row r="67" s="1" customFormat="1" spans="2:12">
      <c r="B67" s="32" t="s">
        <v>2621</v>
      </c>
      <c r="C67" s="32" t="s">
        <v>220</v>
      </c>
      <c r="D67" s="10" t="s">
        <v>2622</v>
      </c>
      <c r="E67" s="54"/>
      <c r="F67" s="39"/>
      <c r="G67" s="39"/>
      <c r="H67" s="55"/>
      <c r="I67" s="56"/>
      <c r="J67" s="56"/>
      <c r="K67" s="56"/>
      <c r="L67" s="56"/>
    </row>
    <row r="68" s="1" customFormat="1" spans="2:12">
      <c r="B68" s="32" t="s">
        <v>2623</v>
      </c>
      <c r="C68" s="32" t="s">
        <v>220</v>
      </c>
      <c r="D68" s="10" t="s">
        <v>2624</v>
      </c>
      <c r="E68" s="54"/>
      <c r="F68" s="39"/>
      <c r="G68" s="39"/>
      <c r="H68" s="55"/>
      <c r="I68" s="56"/>
      <c r="J68" s="56"/>
      <c r="K68" s="56"/>
      <c r="L68" s="56"/>
    </row>
    <row r="69" s="1" customFormat="1" spans="2:12">
      <c r="B69" s="32" t="s">
        <v>2625</v>
      </c>
      <c r="C69" s="32" t="s">
        <v>220</v>
      </c>
      <c r="D69" s="10" t="s">
        <v>2626</v>
      </c>
      <c r="E69" s="54"/>
      <c r="F69" s="39"/>
      <c r="G69" s="39"/>
      <c r="H69" s="55"/>
      <c r="I69" s="56"/>
      <c r="J69" s="56"/>
      <c r="K69" s="56"/>
      <c r="L69" s="56"/>
    </row>
    <row r="70" s="1" customFormat="1" spans="2:12">
      <c r="B70" s="32" t="s">
        <v>2627</v>
      </c>
      <c r="C70" s="32" t="s">
        <v>220</v>
      </c>
      <c r="D70" s="10" t="s">
        <v>2628</v>
      </c>
      <c r="E70" s="54"/>
      <c r="F70" s="39"/>
      <c r="G70" s="39"/>
      <c r="H70" s="55"/>
      <c r="I70" s="56"/>
      <c r="J70" s="56"/>
      <c r="K70" s="56"/>
      <c r="L70" s="56"/>
    </row>
    <row r="71" s="1" customFormat="1" spans="2:12">
      <c r="B71" s="32" t="s">
        <v>2629</v>
      </c>
      <c r="C71" s="32" t="s">
        <v>220</v>
      </c>
      <c r="D71" s="10" t="s">
        <v>2630</v>
      </c>
      <c r="E71" s="54"/>
      <c r="F71" s="39"/>
      <c r="G71" s="39"/>
      <c r="H71" s="55"/>
      <c r="I71" s="56"/>
      <c r="J71" s="56"/>
      <c r="K71" s="56"/>
      <c r="L71" s="56"/>
    </row>
    <row r="72" s="1" customFormat="1" spans="2:12">
      <c r="B72" s="32" t="s">
        <v>2631</v>
      </c>
      <c r="C72" s="32" t="s">
        <v>220</v>
      </c>
      <c r="D72" s="10" t="s">
        <v>2632</v>
      </c>
      <c r="E72" s="54"/>
      <c r="F72" s="39"/>
      <c r="G72" s="39"/>
      <c r="H72" s="55"/>
      <c r="I72" s="56"/>
      <c r="J72" s="56"/>
      <c r="K72" s="56"/>
      <c r="L72" s="56"/>
    </row>
    <row r="73" s="1" customFormat="1" spans="2:12">
      <c r="B73" s="32" t="s">
        <v>2633</v>
      </c>
      <c r="C73" s="32" t="s">
        <v>220</v>
      </c>
      <c r="D73" s="10" t="s">
        <v>2634</v>
      </c>
      <c r="E73" s="54"/>
      <c r="F73" s="39"/>
      <c r="G73" s="39"/>
      <c r="H73" s="55"/>
      <c r="I73" s="56"/>
      <c r="J73" s="56"/>
      <c r="K73" s="56"/>
      <c r="L73" s="56"/>
    </row>
    <row r="74" s="1" customFormat="1" spans="2:12">
      <c r="B74" s="32" t="s">
        <v>2635</v>
      </c>
      <c r="C74" s="32" t="s">
        <v>275</v>
      </c>
      <c r="D74" s="10" t="s">
        <v>1360</v>
      </c>
      <c r="E74" s="54"/>
      <c r="F74" s="39"/>
      <c r="G74" s="39"/>
      <c r="H74" s="55"/>
      <c r="I74" s="56"/>
      <c r="J74" s="56"/>
      <c r="K74" s="56"/>
      <c r="L74" s="56"/>
    </row>
    <row r="75" s="1" customFormat="1" spans="2:12">
      <c r="B75" s="32" t="s">
        <v>2636</v>
      </c>
      <c r="C75" s="32" t="s">
        <v>275</v>
      </c>
      <c r="D75" s="10" t="s">
        <v>1362</v>
      </c>
      <c r="E75" s="54"/>
      <c r="F75" s="39"/>
      <c r="G75" s="39"/>
      <c r="H75" s="55"/>
      <c r="I75" s="56"/>
      <c r="J75" s="56"/>
      <c r="K75" s="56"/>
      <c r="L75" s="56"/>
    </row>
    <row r="76" s="1" customFormat="1" spans="2:12">
      <c r="B76" s="32" t="s">
        <v>2637</v>
      </c>
      <c r="C76" s="32" t="s">
        <v>220</v>
      </c>
      <c r="D76" s="10" t="s">
        <v>1364</v>
      </c>
      <c r="E76" s="54"/>
      <c r="F76" s="39"/>
      <c r="G76" s="39"/>
      <c r="H76" s="55"/>
      <c r="I76" s="56"/>
      <c r="J76" s="56"/>
      <c r="K76" s="56"/>
      <c r="L76" s="56"/>
    </row>
    <row r="77" s="1" customFormat="1" spans="2:12">
      <c r="B77" s="32" t="s">
        <v>2638</v>
      </c>
      <c r="C77" s="32" t="s">
        <v>220</v>
      </c>
      <c r="D77" s="10" t="s">
        <v>1366</v>
      </c>
      <c r="E77" s="54"/>
      <c r="F77" s="39"/>
      <c r="G77" s="39"/>
      <c r="H77" s="55"/>
      <c r="I77" s="56"/>
      <c r="J77" s="56"/>
      <c r="K77" s="56"/>
      <c r="L77" s="56"/>
    </row>
    <row r="78" s="1" customFormat="1" spans="2:12">
      <c r="B78" s="32" t="s">
        <v>2639</v>
      </c>
      <c r="C78" s="32" t="s">
        <v>220</v>
      </c>
      <c r="D78" s="10" t="s">
        <v>1368</v>
      </c>
      <c r="E78" s="54"/>
      <c r="F78" s="39"/>
      <c r="G78" s="39"/>
      <c r="H78" s="55"/>
      <c r="I78" s="56"/>
      <c r="J78" s="56"/>
      <c r="K78" s="56"/>
      <c r="L78" s="56"/>
    </row>
    <row r="79" s="1" customFormat="1" spans="2:12">
      <c r="B79" s="32" t="s">
        <v>2640</v>
      </c>
      <c r="C79" s="32" t="s">
        <v>220</v>
      </c>
      <c r="D79" s="10" t="s">
        <v>1370</v>
      </c>
      <c r="E79" s="54"/>
      <c r="F79" s="39"/>
      <c r="G79" s="39"/>
      <c r="H79" s="55"/>
      <c r="I79" s="56"/>
      <c r="J79" s="56"/>
      <c r="K79" s="56"/>
      <c r="L79" s="56"/>
    </row>
    <row r="80" s="1" customFormat="1" spans="2:12">
      <c r="B80" s="32" t="s">
        <v>2641</v>
      </c>
      <c r="C80" s="32" t="s">
        <v>220</v>
      </c>
      <c r="D80" s="10" t="s">
        <v>1372</v>
      </c>
      <c r="E80" s="54"/>
      <c r="F80" s="39"/>
      <c r="G80" s="39"/>
      <c r="H80" s="55"/>
      <c r="I80" s="56"/>
      <c r="J80" s="56"/>
      <c r="K80" s="56"/>
      <c r="L80" s="56"/>
    </row>
    <row r="81" s="1" customFormat="1" spans="2:12">
      <c r="B81" s="32" t="s">
        <v>2642</v>
      </c>
      <c r="C81" s="32" t="s">
        <v>220</v>
      </c>
      <c r="D81" s="10" t="s">
        <v>1374</v>
      </c>
      <c r="E81" s="54"/>
      <c r="F81" s="39"/>
      <c r="G81" s="39"/>
      <c r="H81" s="55"/>
      <c r="I81" s="56"/>
      <c r="J81" s="56"/>
      <c r="K81" s="56"/>
      <c r="L81" s="56"/>
    </row>
    <row r="82" s="1" customFormat="1" spans="2:12">
      <c r="B82" s="32" t="s">
        <v>2643</v>
      </c>
      <c r="C82" s="32" t="s">
        <v>220</v>
      </c>
      <c r="D82" s="10" t="s">
        <v>1376</v>
      </c>
      <c r="E82" s="54"/>
      <c r="F82" s="39"/>
      <c r="G82" s="39"/>
      <c r="H82" s="55"/>
      <c r="I82" s="56"/>
      <c r="J82" s="56"/>
      <c r="K82" s="56"/>
      <c r="L82" s="56"/>
    </row>
    <row r="83" s="1" customFormat="1" spans="2:12">
      <c r="B83" s="32" t="s">
        <v>2644</v>
      </c>
      <c r="C83" s="32" t="s">
        <v>220</v>
      </c>
      <c r="D83" s="10" t="s">
        <v>1378</v>
      </c>
      <c r="E83" s="54"/>
      <c r="F83" s="39"/>
      <c r="G83" s="39"/>
      <c r="H83" s="55"/>
      <c r="I83" s="56"/>
      <c r="J83" s="56"/>
      <c r="K83" s="56"/>
      <c r="L83" s="56"/>
    </row>
    <row r="84" s="1" customFormat="1" spans="2:12">
      <c r="B84" s="32" t="s">
        <v>2645</v>
      </c>
      <c r="C84" s="32" t="s">
        <v>220</v>
      </c>
      <c r="D84" s="10" t="s">
        <v>1380</v>
      </c>
      <c r="E84" s="54"/>
      <c r="F84" s="39"/>
      <c r="G84" s="39"/>
      <c r="H84" s="55"/>
      <c r="I84" s="56"/>
      <c r="J84" s="56"/>
      <c r="K84" s="56"/>
      <c r="L84" s="56"/>
    </row>
    <row r="85" s="1" customFormat="1" spans="2:12">
      <c r="B85" s="32" t="s">
        <v>2646</v>
      </c>
      <c r="C85" s="32" t="s">
        <v>220</v>
      </c>
      <c r="D85" s="10" t="s">
        <v>1382</v>
      </c>
      <c r="E85" s="54"/>
      <c r="F85" s="39"/>
      <c r="G85" s="39"/>
      <c r="H85" s="55"/>
      <c r="I85" s="56"/>
      <c r="J85" s="56"/>
      <c r="K85" s="56"/>
      <c r="L85" s="56"/>
    </row>
    <row r="86" s="1" customFormat="1" spans="2:12">
      <c r="B86" s="32" t="s">
        <v>2647</v>
      </c>
      <c r="C86" s="32" t="s">
        <v>220</v>
      </c>
      <c r="D86" s="10" t="s">
        <v>1384</v>
      </c>
      <c r="E86" s="54"/>
      <c r="F86" s="39"/>
      <c r="G86" s="39"/>
      <c r="H86" s="55"/>
      <c r="I86" s="56"/>
      <c r="J86" s="56"/>
      <c r="K86" s="56"/>
      <c r="L86" s="56"/>
    </row>
    <row r="87" s="1" customFormat="1" spans="2:12">
      <c r="B87" s="32" t="s">
        <v>2648</v>
      </c>
      <c r="C87" s="32" t="s">
        <v>220</v>
      </c>
      <c r="D87" s="10" t="s">
        <v>1386</v>
      </c>
      <c r="E87" s="54"/>
      <c r="F87" s="39"/>
      <c r="G87" s="39"/>
      <c r="H87" s="55"/>
      <c r="I87" s="56"/>
      <c r="J87" s="56"/>
      <c r="K87" s="56"/>
      <c r="L87" s="56"/>
    </row>
    <row r="88" s="1" customFormat="1" spans="2:12">
      <c r="B88" s="32" t="s">
        <v>2649</v>
      </c>
      <c r="C88" s="32" t="s">
        <v>220</v>
      </c>
      <c r="D88" s="10" t="s">
        <v>1388</v>
      </c>
      <c r="E88" s="54"/>
      <c r="F88" s="39"/>
      <c r="G88" s="39"/>
      <c r="H88" s="55"/>
      <c r="I88" s="56"/>
      <c r="J88" s="56"/>
      <c r="K88" s="56"/>
      <c r="L88" s="56"/>
    </row>
    <row r="89" s="1" customFormat="1" spans="2:12">
      <c r="B89" s="32" t="s">
        <v>2650</v>
      </c>
      <c r="C89" s="32" t="s">
        <v>220</v>
      </c>
      <c r="D89" s="10" t="s">
        <v>1390</v>
      </c>
      <c r="E89" s="54"/>
      <c r="F89" s="39"/>
      <c r="G89" s="39"/>
      <c r="H89" s="55"/>
      <c r="I89" s="56"/>
      <c r="J89" s="56"/>
      <c r="K89" s="56"/>
      <c r="L89" s="56"/>
    </row>
    <row r="90" s="1" customFormat="1" spans="2:12">
      <c r="B90" s="32" t="s">
        <v>2651</v>
      </c>
      <c r="C90" s="32" t="s">
        <v>216</v>
      </c>
      <c r="D90" s="10" t="s">
        <v>2652</v>
      </c>
      <c r="E90" s="54"/>
      <c r="F90" s="39"/>
      <c r="G90" s="39"/>
      <c r="H90" s="55"/>
      <c r="I90" s="56"/>
      <c r="J90" s="56"/>
      <c r="K90" s="56"/>
      <c r="L90" s="56"/>
    </row>
    <row r="91" s="1" customFormat="1" spans="2:12">
      <c r="B91" s="32" t="s">
        <v>2653</v>
      </c>
      <c r="C91" s="32" t="s">
        <v>216</v>
      </c>
      <c r="D91" s="10" t="s">
        <v>2544</v>
      </c>
      <c r="E91" s="54"/>
      <c r="F91" s="39"/>
      <c r="G91" s="39"/>
      <c r="H91" s="55"/>
      <c r="I91" s="56"/>
      <c r="J91" s="56"/>
      <c r="K91" s="56"/>
      <c r="L91" s="56"/>
    </row>
    <row r="92" s="1" customFormat="1" spans="2:12">
      <c r="B92" s="32" t="s">
        <v>2654</v>
      </c>
      <c r="C92" s="32" t="s">
        <v>216</v>
      </c>
      <c r="D92" s="10" t="s">
        <v>1954</v>
      </c>
      <c r="E92" s="54"/>
      <c r="F92" s="39"/>
      <c r="G92" s="39"/>
      <c r="H92" s="55"/>
      <c r="I92" s="56"/>
      <c r="J92" s="56"/>
      <c r="K92" s="56"/>
      <c r="L92" s="56"/>
    </row>
    <row r="93" s="1" customFormat="1" spans="2:12">
      <c r="B93" s="32" t="s">
        <v>1286</v>
      </c>
      <c r="C93" s="32" t="s">
        <v>216</v>
      </c>
      <c r="D93" s="10" t="s">
        <v>1955</v>
      </c>
      <c r="E93" s="54"/>
      <c r="F93" s="39"/>
      <c r="G93" s="39"/>
      <c r="H93" s="55"/>
      <c r="I93" s="56"/>
      <c r="J93" s="56"/>
      <c r="K93" s="56"/>
      <c r="L93" s="56"/>
    </row>
    <row r="94" s="1" customFormat="1" spans="2:12">
      <c r="B94" s="32" t="s">
        <v>2655</v>
      </c>
      <c r="C94" s="32" t="s">
        <v>275</v>
      </c>
      <c r="D94" s="10" t="s">
        <v>1957</v>
      </c>
      <c r="E94" s="54"/>
      <c r="F94" s="39"/>
      <c r="G94" s="39"/>
      <c r="H94" s="55"/>
      <c r="I94" s="56"/>
      <c r="J94" s="56"/>
      <c r="K94" s="56"/>
      <c r="L94" s="56"/>
    </row>
    <row r="95" s="1" customFormat="1" spans="2:12">
      <c r="B95" s="32" t="s">
        <v>2656</v>
      </c>
      <c r="C95" s="32" t="s">
        <v>216</v>
      </c>
      <c r="D95" s="10" t="s">
        <v>1959</v>
      </c>
      <c r="E95" s="54"/>
      <c r="F95" s="39"/>
      <c r="G95" s="39"/>
      <c r="H95" s="55"/>
      <c r="I95" s="56"/>
      <c r="J95" s="56"/>
      <c r="K95" s="56"/>
      <c r="L95" s="56"/>
    </row>
    <row r="96" s="1" customFormat="1" spans="2:12">
      <c r="B96" s="32" t="s">
        <v>2657</v>
      </c>
      <c r="C96" s="32" t="s">
        <v>220</v>
      </c>
      <c r="D96" s="10" t="s">
        <v>1961</v>
      </c>
      <c r="E96" s="54"/>
      <c r="F96" s="39"/>
      <c r="G96" s="39"/>
      <c r="H96" s="55"/>
      <c r="I96" s="56"/>
      <c r="J96" s="56"/>
      <c r="K96" s="56"/>
      <c r="L96" s="56"/>
    </row>
    <row r="97" s="1" customFormat="1" spans="2:12">
      <c r="B97" s="32" t="s">
        <v>1962</v>
      </c>
      <c r="C97" s="32" t="s">
        <v>216</v>
      </c>
      <c r="D97" s="10" t="s">
        <v>1963</v>
      </c>
      <c r="E97" s="54"/>
      <c r="F97" s="39"/>
      <c r="G97" s="39"/>
      <c r="H97" s="55"/>
      <c r="I97" s="56"/>
      <c r="J97" s="56"/>
      <c r="K97" s="56"/>
      <c r="L97" s="56"/>
    </row>
    <row r="98" s="1" customFormat="1" spans="2:12">
      <c r="B98" s="32" t="s">
        <v>1964</v>
      </c>
      <c r="C98" s="32" t="s">
        <v>220</v>
      </c>
      <c r="D98" s="10" t="s">
        <v>2658</v>
      </c>
      <c r="E98" s="54"/>
      <c r="F98" s="39"/>
      <c r="G98" s="39"/>
      <c r="H98" s="55"/>
      <c r="I98" s="56"/>
      <c r="J98" s="56"/>
      <c r="K98" s="56"/>
      <c r="L98" s="56"/>
    </row>
    <row r="99" s="1" customFormat="1" spans="2:12">
      <c r="B99" s="32" t="s">
        <v>1966</v>
      </c>
      <c r="C99" s="32" t="s">
        <v>220</v>
      </c>
      <c r="D99" s="10" t="s">
        <v>2659</v>
      </c>
      <c r="E99" s="54"/>
      <c r="F99" s="39"/>
      <c r="G99" s="39"/>
      <c r="H99" s="55"/>
      <c r="I99" s="56"/>
      <c r="J99" s="56"/>
      <c r="K99" s="56"/>
      <c r="L99" s="56"/>
    </row>
    <row r="100" s="1" customFormat="1" spans="2:12">
      <c r="B100" s="32" t="s">
        <v>2660</v>
      </c>
      <c r="C100" s="32" t="s">
        <v>275</v>
      </c>
      <c r="D100" s="10" t="s">
        <v>1969</v>
      </c>
      <c r="E100" s="54"/>
      <c r="F100" s="39"/>
      <c r="G100" s="39"/>
      <c r="H100" s="55"/>
      <c r="I100" s="56"/>
      <c r="J100" s="56"/>
      <c r="K100" s="56"/>
      <c r="L100" s="56"/>
    </row>
    <row r="101" s="1" customFormat="1" spans="2:12">
      <c r="B101" s="32" t="s">
        <v>2661</v>
      </c>
      <c r="C101" s="32" t="s">
        <v>220</v>
      </c>
      <c r="D101" s="10" t="s">
        <v>1971</v>
      </c>
      <c r="E101" s="54"/>
      <c r="F101" s="39"/>
      <c r="G101" s="39"/>
      <c r="H101" s="55"/>
      <c r="I101" s="56"/>
      <c r="J101" s="56"/>
      <c r="K101" s="56"/>
      <c r="L101" s="56"/>
    </row>
    <row r="102" s="1" customFormat="1" spans="2:12">
      <c r="B102" s="32" t="s">
        <v>1972</v>
      </c>
      <c r="C102" s="32" t="s">
        <v>275</v>
      </c>
      <c r="D102" s="10" t="s">
        <v>1973</v>
      </c>
      <c r="E102" s="54"/>
      <c r="F102" s="39"/>
      <c r="G102" s="39"/>
      <c r="H102" s="55"/>
      <c r="I102" s="56"/>
      <c r="J102" s="56"/>
      <c r="K102" s="56"/>
      <c r="L102" s="56"/>
    </row>
    <row r="103" s="1" customFormat="1" spans="2:12">
      <c r="B103" s="32" t="s">
        <v>1974</v>
      </c>
      <c r="C103" s="32" t="s">
        <v>275</v>
      </c>
      <c r="D103" s="10" t="s">
        <v>1975</v>
      </c>
      <c r="E103" s="54"/>
      <c r="F103" s="39"/>
      <c r="G103" s="39"/>
      <c r="H103" s="55"/>
      <c r="I103" s="56"/>
      <c r="J103" s="56"/>
      <c r="K103" s="56"/>
      <c r="L103" s="56"/>
    </row>
    <row r="104" s="1" customFormat="1" spans="2:12">
      <c r="B104" s="32" t="s">
        <v>1976</v>
      </c>
      <c r="C104" s="32" t="s">
        <v>275</v>
      </c>
      <c r="D104" s="10" t="s">
        <v>1977</v>
      </c>
      <c r="E104" s="54"/>
      <c r="F104" s="39"/>
      <c r="G104" s="39"/>
      <c r="H104" s="55"/>
      <c r="I104" s="56"/>
      <c r="J104" s="56"/>
      <c r="K104" s="56"/>
      <c r="L104" s="56"/>
    </row>
    <row r="105" s="1" customFormat="1" spans="2:12">
      <c r="B105" s="32" t="s">
        <v>2662</v>
      </c>
      <c r="C105" s="32" t="s">
        <v>275</v>
      </c>
      <c r="D105" s="10" t="s">
        <v>1979</v>
      </c>
      <c r="E105" s="54"/>
      <c r="F105" s="39"/>
      <c r="G105" s="39"/>
      <c r="H105" s="55"/>
      <c r="I105" s="56"/>
      <c r="J105" s="56"/>
      <c r="K105" s="56"/>
      <c r="L105" s="56"/>
    </row>
    <row r="106" s="1" customFormat="1" spans="2:12">
      <c r="B106" s="32" t="s">
        <v>2663</v>
      </c>
      <c r="C106" s="32" t="s">
        <v>275</v>
      </c>
      <c r="D106" s="10" t="s">
        <v>1981</v>
      </c>
      <c r="E106" s="54"/>
      <c r="F106" s="39"/>
      <c r="G106" s="39"/>
      <c r="H106" s="55"/>
      <c r="I106" s="56"/>
      <c r="J106" s="56"/>
      <c r="K106" s="56"/>
      <c r="L106" s="56"/>
    </row>
    <row r="107" s="1" customFormat="1" spans="2:12">
      <c r="B107" s="32" t="s">
        <v>1984</v>
      </c>
      <c r="C107" s="32" t="s">
        <v>275</v>
      </c>
      <c r="D107" s="10" t="s">
        <v>1985</v>
      </c>
      <c r="E107" s="54"/>
      <c r="F107" s="39"/>
      <c r="G107" s="39"/>
      <c r="H107" s="55"/>
      <c r="I107" s="56"/>
      <c r="J107" s="56"/>
      <c r="K107" s="56"/>
      <c r="L107" s="56"/>
    </row>
    <row r="108" s="1" customFormat="1" spans="2:12">
      <c r="B108" s="32" t="s">
        <v>2664</v>
      </c>
      <c r="C108" s="32" t="s">
        <v>220</v>
      </c>
      <c r="D108" s="10" t="s">
        <v>1989</v>
      </c>
      <c r="E108" s="54"/>
      <c r="F108" s="39"/>
      <c r="G108" s="39"/>
      <c r="H108" s="55"/>
      <c r="I108" s="56"/>
      <c r="J108" s="56"/>
      <c r="K108" s="56"/>
      <c r="L108" s="56"/>
    </row>
    <row r="109" s="1" customFormat="1" spans="2:12">
      <c r="B109" s="32" t="s">
        <v>2665</v>
      </c>
      <c r="C109" s="32" t="s">
        <v>275</v>
      </c>
      <c r="D109" s="10" t="s">
        <v>1991</v>
      </c>
      <c r="E109" s="54"/>
      <c r="F109" s="39"/>
      <c r="G109" s="39"/>
      <c r="H109" s="55"/>
      <c r="I109" s="56"/>
      <c r="J109" s="56"/>
      <c r="K109" s="56"/>
      <c r="L109" s="56"/>
    </row>
    <row r="110" s="1" customFormat="1" spans="2:12">
      <c r="B110" s="32" t="s">
        <v>2666</v>
      </c>
      <c r="C110" s="32" t="s">
        <v>275</v>
      </c>
      <c r="D110" s="10" t="s">
        <v>1993</v>
      </c>
      <c r="E110" s="54"/>
      <c r="F110" s="39"/>
      <c r="G110" s="39"/>
      <c r="H110" s="55"/>
      <c r="I110" s="56"/>
      <c r="J110" s="56"/>
      <c r="K110" s="56"/>
      <c r="L110" s="56"/>
    </row>
    <row r="111" s="1" customFormat="1" spans="2:12">
      <c r="B111" s="32" t="s">
        <v>1994</v>
      </c>
      <c r="C111" s="32" t="s">
        <v>216</v>
      </c>
      <c r="D111" s="10" t="s">
        <v>1994</v>
      </c>
      <c r="E111" s="54"/>
      <c r="F111" s="39"/>
      <c r="G111" s="39"/>
      <c r="H111" s="55"/>
      <c r="I111" s="56"/>
      <c r="J111" s="56"/>
      <c r="K111" s="56"/>
      <c r="L111" s="56"/>
    </row>
    <row r="112" s="1" customFormat="1" spans="2:12">
      <c r="B112" s="32" t="s">
        <v>2667</v>
      </c>
      <c r="C112" s="32" t="s">
        <v>275</v>
      </c>
      <c r="D112" s="10" t="s">
        <v>2668</v>
      </c>
      <c r="E112" s="54"/>
      <c r="F112" s="39"/>
      <c r="G112" s="39"/>
      <c r="H112" s="55"/>
      <c r="I112" s="56"/>
      <c r="J112" s="56"/>
      <c r="K112" s="56"/>
      <c r="L112" s="56"/>
    </row>
    <row r="113" s="1" customFormat="1" spans="2:12">
      <c r="B113" s="32" t="s">
        <v>2669</v>
      </c>
      <c r="C113" s="32" t="s">
        <v>220</v>
      </c>
      <c r="D113" s="10" t="s">
        <v>2670</v>
      </c>
      <c r="E113" s="54"/>
      <c r="F113" s="39"/>
      <c r="G113" s="39"/>
      <c r="H113" s="55"/>
      <c r="I113" s="56"/>
      <c r="J113" s="56"/>
      <c r="K113" s="56"/>
      <c r="L113" s="56"/>
    </row>
    <row r="114" s="1" customFormat="1" spans="2:12">
      <c r="B114" s="32" t="s">
        <v>2000</v>
      </c>
      <c r="C114" s="32" t="s">
        <v>216</v>
      </c>
      <c r="D114" s="10" t="s">
        <v>2000</v>
      </c>
      <c r="E114" s="54"/>
      <c r="F114" s="39"/>
      <c r="G114" s="39"/>
      <c r="H114" s="55"/>
      <c r="I114" s="56"/>
      <c r="J114" s="56"/>
      <c r="K114" s="56"/>
      <c r="L114" s="56"/>
    </row>
    <row r="115" s="1" customFormat="1" spans="2:12">
      <c r="B115" s="32" t="s">
        <v>2002</v>
      </c>
      <c r="C115" s="32" t="s">
        <v>216</v>
      </c>
      <c r="D115" s="10" t="s">
        <v>2002</v>
      </c>
      <c r="E115" s="54"/>
      <c r="F115" s="39"/>
      <c r="G115" s="39"/>
      <c r="H115" s="55"/>
      <c r="I115" s="56"/>
      <c r="J115" s="56"/>
      <c r="K115" s="56"/>
      <c r="L115" s="56"/>
    </row>
    <row r="116" s="1" customFormat="1" spans="2:12">
      <c r="B116" s="32" t="s">
        <v>2671</v>
      </c>
      <c r="C116" s="32" t="s">
        <v>220</v>
      </c>
      <c r="D116" s="10" t="s">
        <v>2672</v>
      </c>
      <c r="E116" s="54"/>
      <c r="F116" s="39"/>
      <c r="G116" s="39"/>
      <c r="H116" s="55"/>
      <c r="I116" s="56"/>
      <c r="J116" s="56"/>
      <c r="K116" s="56"/>
      <c r="L116" s="56"/>
    </row>
    <row r="117" s="1" customFormat="1" spans="2:12">
      <c r="B117" s="32" t="s">
        <v>2673</v>
      </c>
      <c r="C117" s="32" t="s">
        <v>275</v>
      </c>
      <c r="D117" s="10" t="s">
        <v>2545</v>
      </c>
      <c r="E117" s="54"/>
      <c r="F117" s="39"/>
      <c r="G117" s="39"/>
      <c r="H117" s="55"/>
      <c r="I117" s="56"/>
      <c r="J117" s="56"/>
      <c r="K117" s="56"/>
      <c r="L117" s="56"/>
    </row>
    <row r="118" s="1" customFormat="1" spans="2:12">
      <c r="B118" s="32" t="s">
        <v>2674</v>
      </c>
      <c r="C118" s="32" t="s">
        <v>275</v>
      </c>
      <c r="D118" s="10" t="s">
        <v>2546</v>
      </c>
      <c r="E118" s="54"/>
      <c r="F118" s="39"/>
      <c r="G118" s="39"/>
      <c r="H118" s="55"/>
      <c r="I118" s="56"/>
      <c r="J118" s="56"/>
      <c r="K118" s="56"/>
      <c r="L118" s="56"/>
    </row>
    <row r="119" s="1" customFormat="1" spans="2:12">
      <c r="B119" s="32" t="s">
        <v>2675</v>
      </c>
      <c r="C119" s="32" t="s">
        <v>275</v>
      </c>
      <c r="D119" s="10" t="s">
        <v>2547</v>
      </c>
      <c r="E119" s="54"/>
      <c r="F119" s="39"/>
      <c r="G119" s="39"/>
      <c r="H119" s="55"/>
      <c r="I119" s="56"/>
      <c r="J119" s="56"/>
      <c r="K119" s="56"/>
      <c r="L119" s="56"/>
    </row>
    <row r="120" s="1" customFormat="1" spans="2:12">
      <c r="B120" s="32" t="s">
        <v>2676</v>
      </c>
      <c r="C120" s="32" t="s">
        <v>275</v>
      </c>
      <c r="D120" s="10" t="s">
        <v>2548</v>
      </c>
      <c r="E120" s="54"/>
      <c r="F120" s="39"/>
      <c r="G120" s="39"/>
      <c r="H120" s="55"/>
      <c r="I120" s="56"/>
      <c r="J120" s="56"/>
      <c r="K120" s="56"/>
      <c r="L120" s="56"/>
    </row>
    <row r="121" s="1" customFormat="1" spans="2:12">
      <c r="B121" s="32" t="s">
        <v>2677</v>
      </c>
      <c r="C121" s="32" t="s">
        <v>275</v>
      </c>
      <c r="D121" s="10" t="s">
        <v>2549</v>
      </c>
      <c r="E121" s="54"/>
      <c r="F121" s="39"/>
      <c r="G121" s="39"/>
      <c r="H121" s="55"/>
      <c r="I121" s="56"/>
      <c r="J121" s="56"/>
      <c r="K121" s="56"/>
      <c r="L121" s="56"/>
    </row>
    <row r="122" s="1" customFormat="1" spans="2:12">
      <c r="B122" s="32" t="s">
        <v>2010</v>
      </c>
      <c r="C122" s="32" t="s">
        <v>220</v>
      </c>
      <c r="D122" s="10" t="s">
        <v>2011</v>
      </c>
      <c r="E122" s="54"/>
      <c r="F122" s="39"/>
      <c r="G122" s="39"/>
      <c r="H122" s="55"/>
      <c r="I122" s="56"/>
      <c r="J122" s="56"/>
      <c r="K122" s="56"/>
      <c r="L122" s="56"/>
    </row>
    <row r="123" s="1" customFormat="1" spans="2:12">
      <c r="B123" s="32" t="s">
        <v>1308</v>
      </c>
      <c r="C123" s="32" t="s">
        <v>275</v>
      </c>
      <c r="D123" s="10" t="s">
        <v>1309</v>
      </c>
      <c r="E123" s="54"/>
      <c r="F123" s="39"/>
      <c r="G123" s="39"/>
      <c r="H123" s="55"/>
      <c r="I123" s="56"/>
      <c r="J123" s="56"/>
      <c r="K123" s="56"/>
      <c r="L123" s="56"/>
    </row>
    <row r="124" s="1" customFormat="1" spans="2:12">
      <c r="B124" s="32" t="s">
        <v>222</v>
      </c>
      <c r="C124" s="32" t="s">
        <v>275</v>
      </c>
      <c r="D124" s="10" t="s">
        <v>298</v>
      </c>
      <c r="E124" s="54"/>
      <c r="F124" s="39"/>
      <c r="G124" s="39"/>
      <c r="H124" s="55"/>
      <c r="I124" s="56"/>
      <c r="J124" s="56"/>
      <c r="K124" s="56"/>
      <c r="L124" s="56"/>
    </row>
    <row r="125" s="1" customFormat="1" spans="2:12">
      <c r="B125" s="32" t="s">
        <v>1176</v>
      </c>
      <c r="C125" s="32" t="s">
        <v>275</v>
      </c>
      <c r="D125" s="10" t="s">
        <v>2681</v>
      </c>
      <c r="E125" s="54"/>
      <c r="F125" s="39"/>
      <c r="G125" s="39"/>
      <c r="H125" s="55"/>
      <c r="I125" s="56"/>
      <c r="J125" s="56"/>
      <c r="K125" s="56"/>
      <c r="L125" s="56"/>
    </row>
    <row r="126" s="50" customFormat="1" spans="2:12">
      <c r="B126" s="57" t="s">
        <v>1830</v>
      </c>
      <c r="C126" s="57" t="s">
        <v>220</v>
      </c>
      <c r="D126" s="58" t="s">
        <v>2092</v>
      </c>
      <c r="E126" s="59"/>
      <c r="F126" s="60" t="s">
        <v>199</v>
      </c>
      <c r="G126" s="60" t="s">
        <v>252</v>
      </c>
      <c r="H126" s="61"/>
      <c r="I126" s="62" t="s">
        <v>1039</v>
      </c>
      <c r="J126" s="62"/>
      <c r="K126" s="62"/>
      <c r="L126" s="62"/>
    </row>
    <row r="127" s="50" customFormat="1" ht="39.6" spans="2:12">
      <c r="B127" s="57" t="s">
        <v>1832</v>
      </c>
      <c r="C127" s="57" t="s">
        <v>220</v>
      </c>
      <c r="D127" s="58" t="s">
        <v>2093</v>
      </c>
      <c r="E127" s="59"/>
      <c r="F127" s="60" t="s">
        <v>2821</v>
      </c>
      <c r="G127" s="60" t="s">
        <v>2822</v>
      </c>
      <c r="H127" s="61"/>
      <c r="I127" s="62" t="s">
        <v>1039</v>
      </c>
      <c r="J127" s="62"/>
      <c r="K127" s="62"/>
      <c r="L127" s="62"/>
    </row>
    <row r="128" s="50" customFormat="1" ht="39.6" spans="2:12">
      <c r="B128" s="57" t="s">
        <v>1834</v>
      </c>
      <c r="C128" s="57" t="s">
        <v>220</v>
      </c>
      <c r="D128" s="58" t="s">
        <v>1320</v>
      </c>
      <c r="E128" s="59"/>
      <c r="F128" s="60" t="s">
        <v>2821</v>
      </c>
      <c r="G128" s="60" t="s">
        <v>2823</v>
      </c>
      <c r="H128" s="61"/>
      <c r="I128" s="62" t="s">
        <v>1039</v>
      </c>
      <c r="J128" s="62"/>
      <c r="K128" s="62"/>
      <c r="L128" s="62"/>
    </row>
    <row r="129" s="50" customFormat="1" ht="39.6" spans="2:12">
      <c r="B129" s="57" t="s">
        <v>1316</v>
      </c>
      <c r="C129" s="57" t="s">
        <v>216</v>
      </c>
      <c r="D129" s="58" t="s">
        <v>2092</v>
      </c>
      <c r="E129" s="59"/>
      <c r="F129" s="60" t="s">
        <v>2821</v>
      </c>
      <c r="G129" s="60" t="s">
        <v>2986</v>
      </c>
      <c r="H129" s="61"/>
      <c r="I129" s="62" t="s">
        <v>1039</v>
      </c>
      <c r="J129" s="62"/>
      <c r="K129" s="62"/>
      <c r="L129" s="62"/>
    </row>
    <row r="130" s="50" customFormat="1" ht="39.6" spans="2:12">
      <c r="B130" s="57" t="s">
        <v>1318</v>
      </c>
      <c r="C130" s="57" t="s">
        <v>216</v>
      </c>
      <c r="D130" s="58" t="s">
        <v>2093</v>
      </c>
      <c r="E130" s="59"/>
      <c r="F130" s="60" t="s">
        <v>2821</v>
      </c>
      <c r="G130" s="60" t="s">
        <v>2987</v>
      </c>
      <c r="H130" s="61"/>
      <c r="I130" s="62" t="s">
        <v>1039</v>
      </c>
      <c r="J130" s="62"/>
      <c r="K130" s="62"/>
      <c r="L130" s="62"/>
    </row>
    <row r="131" s="50" customFormat="1" ht="39.6" spans="2:12">
      <c r="B131" s="57" t="s">
        <v>2023</v>
      </c>
      <c r="C131" s="57" t="s">
        <v>216</v>
      </c>
      <c r="D131" s="58" t="s">
        <v>1320</v>
      </c>
      <c r="E131" s="59"/>
      <c r="F131" s="60" t="s">
        <v>2821</v>
      </c>
      <c r="G131" s="60" t="s">
        <v>2988</v>
      </c>
      <c r="H131" s="61"/>
      <c r="I131" s="62" t="s">
        <v>1039</v>
      </c>
      <c r="J131" s="62"/>
      <c r="K131" s="62"/>
      <c r="L131" s="62"/>
    </row>
    <row r="132" s="1" customFormat="1" spans="2:12">
      <c r="B132" s="32" t="s">
        <v>2040</v>
      </c>
      <c r="C132" s="32" t="s">
        <v>275</v>
      </c>
      <c r="D132" s="10" t="s">
        <v>2041</v>
      </c>
      <c r="E132" s="54"/>
      <c r="F132" s="39"/>
      <c r="G132" s="39"/>
      <c r="H132" s="55"/>
      <c r="I132" s="56"/>
      <c r="J132" s="56"/>
      <c r="K132" s="56"/>
      <c r="L132" s="56"/>
    </row>
    <row r="133" s="1" customFormat="1" spans="2:12">
      <c r="B133" s="32" t="s">
        <v>2042</v>
      </c>
      <c r="C133" s="32" t="s">
        <v>275</v>
      </c>
      <c r="D133" s="10" t="s">
        <v>2043</v>
      </c>
      <c r="E133" s="54"/>
      <c r="F133" s="39"/>
      <c r="G133" s="39"/>
      <c r="H133" s="55"/>
      <c r="I133" s="56"/>
      <c r="J133" s="56"/>
      <c r="K133" s="56"/>
      <c r="L133" s="56"/>
    </row>
    <row r="134" s="1" customFormat="1" spans="2:12">
      <c r="B134" s="32" t="s">
        <v>2044</v>
      </c>
      <c r="C134" s="32" t="s">
        <v>220</v>
      </c>
      <c r="D134" s="10" t="s">
        <v>2045</v>
      </c>
      <c r="E134" s="54"/>
      <c r="F134" s="39"/>
      <c r="G134" s="39"/>
      <c r="H134" s="55"/>
      <c r="I134" s="56"/>
      <c r="J134" s="56"/>
      <c r="K134" s="56"/>
      <c r="L134" s="56"/>
    </row>
    <row r="135" s="1" customFormat="1" spans="2:12">
      <c r="B135" s="32" t="s">
        <v>2046</v>
      </c>
      <c r="C135" s="32" t="s">
        <v>275</v>
      </c>
      <c r="D135" s="10" t="s">
        <v>1167</v>
      </c>
      <c r="E135" s="54"/>
      <c r="F135" s="39"/>
      <c r="G135" s="39"/>
      <c r="H135" s="55"/>
      <c r="I135" s="56"/>
      <c r="J135" s="56"/>
      <c r="K135" s="56"/>
      <c r="L135" s="56"/>
    </row>
    <row r="136" s="1" customFormat="1" ht="26.4" spans="2:12">
      <c r="B136" s="32" t="s">
        <v>2684</v>
      </c>
      <c r="C136" s="32" t="s">
        <v>275</v>
      </c>
      <c r="D136" s="10" t="s">
        <v>2048</v>
      </c>
      <c r="E136" s="54"/>
      <c r="F136" s="39"/>
      <c r="G136" s="39"/>
      <c r="H136" s="55"/>
      <c r="I136" s="56"/>
      <c r="J136" s="56"/>
      <c r="K136" s="56"/>
      <c r="L136" s="56"/>
    </row>
    <row r="137" s="1" customFormat="1" spans="2:12">
      <c r="B137" s="32" t="s">
        <v>2049</v>
      </c>
      <c r="C137" s="32" t="s">
        <v>275</v>
      </c>
      <c r="D137" s="10" t="s">
        <v>2050</v>
      </c>
      <c r="E137" s="54"/>
      <c r="F137" s="39"/>
      <c r="G137" s="39"/>
      <c r="H137" s="55"/>
      <c r="I137" s="56"/>
      <c r="J137" s="56"/>
      <c r="K137" s="56"/>
      <c r="L137" s="56"/>
    </row>
    <row r="138" s="1" customFormat="1" spans="2:12">
      <c r="B138" s="32" t="s">
        <v>2053</v>
      </c>
      <c r="C138" s="32" t="s">
        <v>275</v>
      </c>
      <c r="D138" s="10" t="s">
        <v>2054</v>
      </c>
      <c r="E138" s="54"/>
      <c r="F138" s="39"/>
      <c r="G138" s="39"/>
      <c r="H138" s="55"/>
      <c r="I138" s="56"/>
      <c r="J138" s="56"/>
      <c r="K138" s="56"/>
      <c r="L138" s="56"/>
    </row>
    <row r="139" s="1" customFormat="1" spans="2:12">
      <c r="B139" s="32" t="s">
        <v>2055</v>
      </c>
      <c r="C139" s="32" t="s">
        <v>275</v>
      </c>
      <c r="D139" s="10" t="s">
        <v>2056</v>
      </c>
      <c r="E139" s="54"/>
      <c r="F139" s="39"/>
      <c r="G139" s="39"/>
      <c r="H139" s="55"/>
      <c r="I139" s="56"/>
      <c r="J139" s="56"/>
      <c r="K139" s="56"/>
      <c r="L139" s="56"/>
    </row>
    <row r="140" s="1" customFormat="1" spans="2:12">
      <c r="B140" s="32" t="s">
        <v>2057</v>
      </c>
      <c r="C140" s="32" t="s">
        <v>275</v>
      </c>
      <c r="D140" s="10" t="s">
        <v>2058</v>
      </c>
      <c r="E140" s="54"/>
      <c r="F140" s="39"/>
      <c r="G140" s="39"/>
      <c r="H140" s="55"/>
      <c r="I140" s="56"/>
      <c r="J140" s="56"/>
      <c r="K140" s="56"/>
      <c r="L140" s="56"/>
    </row>
    <row r="141" s="1" customFormat="1" spans="2:12">
      <c r="B141" s="32" t="s">
        <v>2061</v>
      </c>
      <c r="C141" s="32" t="s">
        <v>275</v>
      </c>
      <c r="D141" s="10" t="s">
        <v>2062</v>
      </c>
      <c r="E141" s="54"/>
      <c r="F141" s="39"/>
      <c r="G141" s="39"/>
      <c r="H141" s="55"/>
      <c r="I141" s="56"/>
      <c r="J141" s="56"/>
      <c r="K141" s="56"/>
      <c r="L141" s="56"/>
    </row>
    <row r="142" s="1" customFormat="1" ht="26.4" spans="2:12">
      <c r="B142" s="32" t="s">
        <v>2063</v>
      </c>
      <c r="C142" s="32" t="s">
        <v>275</v>
      </c>
      <c r="D142" s="10" t="s">
        <v>2064</v>
      </c>
      <c r="E142" s="54"/>
      <c r="F142" s="39"/>
      <c r="G142" s="39"/>
      <c r="H142" s="55"/>
      <c r="I142" s="56"/>
      <c r="J142" s="56"/>
      <c r="K142" s="56"/>
      <c r="L142" s="56"/>
    </row>
    <row r="143" s="1" customFormat="1" ht="26.4" spans="2:12">
      <c r="B143" s="32" t="s">
        <v>2065</v>
      </c>
      <c r="C143" s="32" t="s">
        <v>275</v>
      </c>
      <c r="D143" s="10" t="s">
        <v>2066</v>
      </c>
      <c r="E143" s="54"/>
      <c r="F143" s="39"/>
      <c r="G143" s="39"/>
      <c r="H143" s="55"/>
      <c r="I143" s="56"/>
      <c r="J143" s="56"/>
      <c r="K143" s="56"/>
      <c r="L143" s="56"/>
    </row>
    <row r="144" s="1" customFormat="1" ht="26.4" spans="2:12">
      <c r="B144" s="32" t="s">
        <v>2067</v>
      </c>
      <c r="C144" s="32" t="s">
        <v>275</v>
      </c>
      <c r="D144" s="10" t="s">
        <v>2068</v>
      </c>
      <c r="E144" s="54"/>
      <c r="F144" s="39"/>
      <c r="G144" s="39"/>
      <c r="H144" s="55"/>
      <c r="I144" s="56"/>
      <c r="J144" s="56"/>
      <c r="K144" s="56"/>
      <c r="L144" s="56"/>
    </row>
    <row r="145" s="1" customFormat="1" ht="26.4" spans="2:12">
      <c r="B145" s="32" t="s">
        <v>2069</v>
      </c>
      <c r="C145" s="32" t="s">
        <v>275</v>
      </c>
      <c r="D145" s="10" t="s">
        <v>2070</v>
      </c>
      <c r="E145" s="54"/>
      <c r="F145" s="39"/>
      <c r="G145" s="39"/>
      <c r="H145" s="55"/>
      <c r="I145" s="56"/>
      <c r="J145" s="56"/>
      <c r="K145" s="56"/>
      <c r="L145" s="56"/>
    </row>
    <row r="146" s="1" customFormat="1" ht="26.4" spans="2:12">
      <c r="B146" s="32" t="s">
        <v>2073</v>
      </c>
      <c r="C146" s="32" t="s">
        <v>275</v>
      </c>
      <c r="D146" s="10" t="s">
        <v>2074</v>
      </c>
      <c r="E146" s="54"/>
      <c r="F146" s="39"/>
      <c r="G146" s="39"/>
      <c r="H146" s="55"/>
      <c r="I146" s="56"/>
      <c r="J146" s="56"/>
      <c r="K146" s="56"/>
      <c r="L146" s="56"/>
    </row>
    <row r="147" s="1" customFormat="1" ht="26.4" spans="2:12">
      <c r="B147" s="32" t="s">
        <v>2075</v>
      </c>
      <c r="C147" s="32" t="s">
        <v>275</v>
      </c>
      <c r="D147" s="10" t="s">
        <v>2076</v>
      </c>
      <c r="E147" s="54"/>
      <c r="F147" s="39"/>
      <c r="G147" s="39"/>
      <c r="H147" s="55"/>
      <c r="I147" s="56"/>
      <c r="J147" s="56"/>
      <c r="K147" s="56"/>
      <c r="L147" s="56"/>
    </row>
    <row r="148" s="1" customFormat="1" ht="26.4" spans="2:12">
      <c r="B148" s="32" t="s">
        <v>2077</v>
      </c>
      <c r="C148" s="32" t="s">
        <v>220</v>
      </c>
      <c r="D148" s="10" t="s">
        <v>2078</v>
      </c>
      <c r="E148" s="54"/>
      <c r="F148" s="39"/>
      <c r="G148" s="39"/>
      <c r="H148" s="55"/>
      <c r="I148" s="56"/>
      <c r="J148" s="56"/>
      <c r="K148" s="56"/>
      <c r="L148" s="56"/>
    </row>
    <row r="149" s="1" customFormat="1" spans="2:12">
      <c r="B149" s="32" t="s">
        <v>2079</v>
      </c>
      <c r="C149" s="32" t="s">
        <v>240</v>
      </c>
      <c r="D149" s="10" t="s">
        <v>2080</v>
      </c>
      <c r="E149" s="54"/>
      <c r="F149" s="39"/>
      <c r="G149" s="39"/>
      <c r="H149" s="55"/>
      <c r="I149" s="56"/>
      <c r="J149" s="56"/>
      <c r="K149" s="56"/>
      <c r="L149" s="56"/>
    </row>
    <row r="150" s="1" customFormat="1" spans="2:12">
      <c r="B150" s="32" t="s">
        <v>2081</v>
      </c>
      <c r="C150" s="32" t="s">
        <v>240</v>
      </c>
      <c r="D150" s="10" t="s">
        <v>2082</v>
      </c>
      <c r="E150" s="54"/>
      <c r="F150" s="39"/>
      <c r="G150" s="39"/>
      <c r="H150" s="55"/>
      <c r="I150" s="56"/>
      <c r="J150" s="56"/>
      <c r="K150" s="56"/>
      <c r="L150" s="56"/>
    </row>
    <row r="151" s="1" customFormat="1" spans="2:12">
      <c r="B151" s="32" t="s">
        <v>2083</v>
      </c>
      <c r="C151" s="32" t="s">
        <v>220</v>
      </c>
      <c r="D151" s="10" t="s">
        <v>2084</v>
      </c>
      <c r="E151" s="54"/>
      <c r="F151" s="39"/>
      <c r="G151" s="39"/>
      <c r="H151" s="55"/>
      <c r="I151" s="56"/>
      <c r="J151" s="56"/>
      <c r="K151" s="56"/>
      <c r="L151" s="56"/>
    </row>
    <row r="152" s="1" customFormat="1" spans="2:12">
      <c r="B152" s="32" t="s">
        <v>2562</v>
      </c>
      <c r="C152" s="32" t="s">
        <v>220</v>
      </c>
      <c r="D152" s="10" t="s">
        <v>2563</v>
      </c>
      <c r="E152" s="54"/>
      <c r="F152" s="39"/>
      <c r="G152" s="39"/>
      <c r="H152" s="55"/>
      <c r="I152" s="56"/>
      <c r="J152" s="56"/>
      <c r="K152" s="56"/>
      <c r="L152" s="56"/>
    </row>
    <row r="153" s="1" customFormat="1" spans="2:12">
      <c r="B153" s="32" t="s">
        <v>2085</v>
      </c>
      <c r="C153" s="32" t="s">
        <v>220</v>
      </c>
      <c r="D153" s="10" t="s">
        <v>2086</v>
      </c>
      <c r="E153" s="54"/>
      <c r="F153" s="39"/>
      <c r="G153" s="39"/>
      <c r="H153" s="55"/>
      <c r="I153" s="56"/>
      <c r="J153" s="56"/>
      <c r="K153" s="56"/>
      <c r="L153" s="56"/>
    </row>
    <row r="154" s="1" customFormat="1" spans="2:12">
      <c r="B154" s="32" t="s">
        <v>2087</v>
      </c>
      <c r="C154" s="32" t="s">
        <v>216</v>
      </c>
      <c r="D154" s="10" t="s">
        <v>2088</v>
      </c>
      <c r="E154" s="54"/>
      <c r="F154" s="39"/>
      <c r="G154" s="39"/>
      <c r="H154" s="55"/>
      <c r="I154" s="56"/>
      <c r="J154" s="56"/>
      <c r="K154" s="56"/>
      <c r="L154" s="56"/>
    </row>
    <row r="155" s="51" customFormat="1" ht="92.4" spans="1:12">
      <c r="A155" s="63"/>
      <c r="B155" s="64" t="s">
        <v>1295</v>
      </c>
      <c r="C155" s="64" t="s">
        <v>220</v>
      </c>
      <c r="D155" s="29" t="s">
        <v>1296</v>
      </c>
      <c r="E155" s="65" t="s">
        <v>199</v>
      </c>
      <c r="F155" s="66"/>
      <c r="G155" s="66" t="s">
        <v>1297</v>
      </c>
      <c r="H155" s="67"/>
      <c r="I155" s="68" t="s">
        <v>1211</v>
      </c>
      <c r="J155" s="69" t="s">
        <v>345</v>
      </c>
      <c r="K155" s="69" t="s">
        <v>323</v>
      </c>
      <c r="L155" s="69" t="s">
        <v>394</v>
      </c>
    </row>
    <row r="156" s="37" customFormat="1" spans="1:12">
      <c r="A156" s="42"/>
      <c r="B156" s="43" t="s">
        <v>252</v>
      </c>
      <c r="C156" s="43" t="s">
        <v>220</v>
      </c>
      <c r="D156" s="44" t="s">
        <v>254</v>
      </c>
      <c r="E156" s="45"/>
      <c r="F156" s="46"/>
      <c r="G156" s="46"/>
      <c r="H156" s="47"/>
      <c r="I156" s="48"/>
      <c r="J156" s="49"/>
      <c r="K156" s="49"/>
      <c r="L156" s="49"/>
    </row>
    <row r="157" s="37" customFormat="1" spans="1:12">
      <c r="A157" s="42"/>
      <c r="B157" s="43" t="s">
        <v>255</v>
      </c>
      <c r="C157" s="43" t="s">
        <v>216</v>
      </c>
      <c r="D157" s="44" t="s">
        <v>256</v>
      </c>
      <c r="E157" s="45"/>
      <c r="F157" s="46"/>
      <c r="G157" s="46"/>
      <c r="H157" s="47"/>
      <c r="I157" s="48"/>
      <c r="J157" s="49"/>
      <c r="K157" s="49"/>
      <c r="L157" s="49"/>
    </row>
    <row r="158" s="37" customFormat="1" spans="1:12">
      <c r="A158" s="42"/>
      <c r="B158" s="43" t="s">
        <v>257</v>
      </c>
      <c r="C158" s="43" t="s">
        <v>220</v>
      </c>
      <c r="D158" s="44" t="s">
        <v>258</v>
      </c>
      <c r="E158" s="45"/>
      <c r="F158" s="46"/>
      <c r="G158" s="46"/>
      <c r="H158" s="47"/>
      <c r="I158" s="48"/>
      <c r="J158" s="49"/>
      <c r="K158" s="49"/>
      <c r="L158" s="49"/>
    </row>
    <row r="159" s="37" customFormat="1" spans="1:12">
      <c r="A159" s="42"/>
      <c r="B159" s="43" t="s">
        <v>262</v>
      </c>
      <c r="C159" s="43" t="s">
        <v>220</v>
      </c>
      <c r="D159" s="44" t="s">
        <v>263</v>
      </c>
      <c r="E159" s="45"/>
      <c r="F159" s="46"/>
      <c r="G159" s="46"/>
      <c r="H159" s="47"/>
      <c r="I159" s="48"/>
      <c r="J159" s="49"/>
      <c r="K159" s="49"/>
      <c r="L159" s="49"/>
    </row>
  </sheetData>
  <autoFilter xmlns:etc="http://www.wps.cn/officeDocument/2017/etCustomData" ref="A16:N159" etc:filterBottomFollowUsedRange="0">
    <extLst/>
  </autoFilter>
  <mergeCells count="5">
    <mergeCell ref="B2:H2"/>
    <mergeCell ref="B3:H3"/>
    <mergeCell ref="B7:H7"/>
    <mergeCell ref="B15:L15"/>
    <mergeCell ref="G11:G12"/>
  </mergeCells>
  <pageMargins left="0.7" right="0.7" top="0.75" bottom="0.75" header="0.3" footer="0.3"/>
  <pageSetup paperSize="9" orientation="portrait"/>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2"/>
  <sheetViews>
    <sheetView zoomScale="85" zoomScaleNormal="85" workbookViewId="0">
      <pane ySplit="5" topLeftCell="A292" activePane="bottomLeft" state="frozen"/>
      <selection/>
      <selection pane="bottomLeft" activeCell="A1" sqref="A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16.2222222222222"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142</v>
      </c>
      <c r="D5" s="35" t="s">
        <v>143</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139</v>
      </c>
      <c r="D9" s="35" t="s">
        <v>140</v>
      </c>
      <c r="E9" s="11" t="s">
        <v>199</v>
      </c>
      <c r="F9" s="11"/>
      <c r="G9" s="13"/>
      <c r="H9" s="15"/>
    </row>
    <row r="10" spans="2:8">
      <c r="B10" s="11"/>
      <c r="C10" s="10"/>
      <c r="D10" s="10"/>
      <c r="E10" s="11"/>
      <c r="F10" s="11"/>
      <c r="G10" s="13"/>
      <c r="H10" s="15"/>
    </row>
    <row r="11" spans="2:8">
      <c r="B11" s="11"/>
      <c r="C11" s="10"/>
      <c r="D11" s="10"/>
      <c r="E11" s="11"/>
      <c r="F11" s="38"/>
      <c r="G11" s="39"/>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2">
      <c r="B16" s="19" t="s">
        <v>1828</v>
      </c>
      <c r="C16" s="19" t="s">
        <v>216</v>
      </c>
      <c r="D16" s="10" t="s">
        <v>2089</v>
      </c>
      <c r="E16" s="20"/>
      <c r="F16" s="19"/>
      <c r="G16" s="19"/>
      <c r="H16" s="20"/>
      <c r="I16" s="23"/>
      <c r="J16" s="23"/>
      <c r="K16" s="23"/>
      <c r="L16" s="23"/>
    </row>
    <row r="17" s="1" customFormat="1" spans="2:12">
      <c r="B17" s="19" t="s">
        <v>1026</v>
      </c>
      <c r="C17" s="19" t="s">
        <v>220</v>
      </c>
      <c r="D17" s="10" t="s">
        <v>66</v>
      </c>
      <c r="E17" s="20"/>
      <c r="F17" s="19"/>
      <c r="G17" s="19"/>
      <c r="H17" s="20"/>
      <c r="I17" s="23"/>
      <c r="J17" s="23"/>
      <c r="K17" s="23"/>
      <c r="L17" s="23"/>
    </row>
    <row r="18" s="1" customFormat="1" spans="2:12">
      <c r="B18" s="19" t="s">
        <v>1864</v>
      </c>
      <c r="C18" s="19" t="s">
        <v>220</v>
      </c>
      <c r="D18" s="10" t="s">
        <v>2686</v>
      </c>
      <c r="E18" s="20"/>
      <c r="F18" s="19"/>
      <c r="G18" s="19"/>
      <c r="H18" s="20"/>
      <c r="I18" s="23"/>
      <c r="J18" s="23"/>
      <c r="K18" s="23"/>
      <c r="L18" s="23"/>
    </row>
    <row r="19" s="1" customFormat="1" spans="2:12">
      <c r="B19" s="19" t="s">
        <v>1830</v>
      </c>
      <c r="C19" s="19" t="s">
        <v>220</v>
      </c>
      <c r="D19" s="10" t="s">
        <v>2092</v>
      </c>
      <c r="E19" s="20"/>
      <c r="F19" s="19"/>
      <c r="G19" s="19"/>
      <c r="H19" s="20"/>
      <c r="I19" s="23"/>
      <c r="J19" s="23"/>
      <c r="K19" s="23"/>
      <c r="L19" s="23"/>
    </row>
    <row r="20" s="1" customFormat="1" spans="2:12">
      <c r="B20" s="19" t="s">
        <v>1832</v>
      </c>
      <c r="C20" s="19" t="s">
        <v>220</v>
      </c>
      <c r="D20" s="10" t="s">
        <v>2093</v>
      </c>
      <c r="E20" s="20"/>
      <c r="F20" s="19"/>
      <c r="G20" s="19"/>
      <c r="H20" s="20"/>
      <c r="I20" s="23"/>
      <c r="J20" s="23"/>
      <c r="K20" s="23"/>
      <c r="L20" s="23"/>
    </row>
    <row r="21" s="1" customFormat="1" spans="2:12">
      <c r="B21" s="19" t="s">
        <v>1834</v>
      </c>
      <c r="C21" s="19" t="s">
        <v>220</v>
      </c>
      <c r="D21" s="10" t="s">
        <v>1320</v>
      </c>
      <c r="E21" s="20"/>
      <c r="F21" s="19"/>
      <c r="G21" s="19"/>
      <c r="H21" s="20"/>
      <c r="I21" s="23"/>
      <c r="J21" s="23"/>
      <c r="K21" s="23"/>
      <c r="L21" s="23"/>
    </row>
    <row r="22" s="1" customFormat="1" spans="2:12">
      <c r="B22" s="19" t="s">
        <v>1316</v>
      </c>
      <c r="C22" s="19" t="s">
        <v>216</v>
      </c>
      <c r="D22" s="10" t="s">
        <v>2019</v>
      </c>
      <c r="E22" s="20"/>
      <c r="F22" s="19"/>
      <c r="G22" s="19"/>
      <c r="H22" s="20"/>
      <c r="I22" s="23"/>
      <c r="J22" s="23"/>
      <c r="K22" s="23"/>
      <c r="L22" s="23"/>
    </row>
    <row r="23" s="1" customFormat="1" spans="2:12">
      <c r="B23" s="19" t="s">
        <v>1318</v>
      </c>
      <c r="C23" s="19" t="s">
        <v>216</v>
      </c>
      <c r="D23" s="10" t="s">
        <v>2021</v>
      </c>
      <c r="E23" s="20"/>
      <c r="F23" s="19"/>
      <c r="G23" s="19"/>
      <c r="H23" s="20"/>
      <c r="I23" s="23"/>
      <c r="J23" s="23"/>
      <c r="K23" s="23"/>
      <c r="L23" s="23"/>
    </row>
    <row r="24" s="1" customFormat="1" spans="2:12">
      <c r="B24" s="19" t="s">
        <v>2023</v>
      </c>
      <c r="C24" s="19" t="s">
        <v>216</v>
      </c>
      <c r="D24" s="10" t="s">
        <v>2024</v>
      </c>
      <c r="E24" s="20"/>
      <c r="F24" s="19"/>
      <c r="G24" s="19"/>
      <c r="H24" s="20"/>
      <c r="I24" s="23"/>
      <c r="J24" s="23"/>
      <c r="K24" s="23"/>
      <c r="L24" s="23"/>
    </row>
    <row r="25" s="1" customFormat="1" spans="2:12">
      <c r="B25" s="19" t="s">
        <v>1302</v>
      </c>
      <c r="C25" s="19" t="s">
        <v>220</v>
      </c>
      <c r="D25" s="10" t="s">
        <v>2587</v>
      </c>
      <c r="E25" s="20"/>
      <c r="F25" s="19"/>
      <c r="G25" s="19"/>
      <c r="H25" s="20"/>
      <c r="I25" s="23"/>
      <c r="J25" s="23"/>
      <c r="K25" s="23"/>
      <c r="L25" s="23"/>
    </row>
    <row r="26" s="1" customFormat="1" spans="2:12">
      <c r="B26" s="19" t="s">
        <v>302</v>
      </c>
      <c r="C26" s="19" t="s">
        <v>220</v>
      </c>
      <c r="D26" s="10" t="s">
        <v>1051</v>
      </c>
      <c r="E26" s="20"/>
      <c r="F26" s="19"/>
      <c r="G26" s="19"/>
      <c r="H26" s="20"/>
      <c r="I26" s="23"/>
      <c r="J26" s="23"/>
      <c r="K26" s="23"/>
      <c r="L26" s="23"/>
    </row>
    <row r="27" s="1" customFormat="1" spans="2:12">
      <c r="B27" s="19" t="s">
        <v>1306</v>
      </c>
      <c r="C27" s="19" t="s">
        <v>216</v>
      </c>
      <c r="D27" s="10" t="s">
        <v>1307</v>
      </c>
      <c r="E27" s="20"/>
      <c r="F27" s="19"/>
      <c r="G27" s="19"/>
      <c r="H27" s="20"/>
      <c r="I27" s="23"/>
      <c r="J27" s="23"/>
      <c r="K27" s="23"/>
      <c r="L27" s="23"/>
    </row>
    <row r="28" s="1" customFormat="1" spans="2:12">
      <c r="B28" s="19" t="s">
        <v>1308</v>
      </c>
      <c r="C28" s="19" t="s">
        <v>275</v>
      </c>
      <c r="D28" s="10" t="s">
        <v>1309</v>
      </c>
      <c r="E28" s="20"/>
      <c r="F28" s="19"/>
      <c r="G28" s="19"/>
      <c r="H28" s="20"/>
      <c r="I28" s="23"/>
      <c r="J28" s="23"/>
      <c r="K28" s="23"/>
      <c r="L28" s="23"/>
    </row>
    <row r="29" s="1" customFormat="1" spans="2:12">
      <c r="B29" s="19" t="s">
        <v>222</v>
      </c>
      <c r="C29" s="19" t="s">
        <v>275</v>
      </c>
      <c r="D29" s="10" t="s">
        <v>298</v>
      </c>
      <c r="E29" s="20"/>
      <c r="F29" s="19"/>
      <c r="G29" s="19"/>
      <c r="H29" s="20"/>
      <c r="I29" s="23"/>
      <c r="J29" s="23"/>
      <c r="K29" s="23"/>
      <c r="L29" s="23"/>
    </row>
    <row r="30" s="1" customFormat="1" spans="2:12">
      <c r="B30" s="19" t="s">
        <v>1836</v>
      </c>
      <c r="C30" s="19" t="s">
        <v>216</v>
      </c>
      <c r="D30" s="10" t="s">
        <v>1876</v>
      </c>
      <c r="E30" s="20"/>
      <c r="F30" s="19"/>
      <c r="G30" s="19"/>
      <c r="H30" s="20"/>
      <c r="I30" s="23"/>
      <c r="J30" s="23"/>
      <c r="K30" s="23"/>
      <c r="L30" s="23"/>
    </row>
    <row r="31" s="1" customFormat="1" spans="2:12">
      <c r="B31" s="19" t="s">
        <v>1808</v>
      </c>
      <c r="C31" s="19" t="s">
        <v>216</v>
      </c>
      <c r="D31" s="10" t="s">
        <v>2572</v>
      </c>
      <c r="E31" s="20"/>
      <c r="F31" s="19"/>
      <c r="G31" s="19"/>
      <c r="H31" s="20"/>
      <c r="I31" s="23"/>
      <c r="J31" s="23"/>
      <c r="K31" s="23"/>
      <c r="L31" s="23"/>
    </row>
    <row r="32" s="1" customFormat="1" spans="2:12">
      <c r="B32" s="19" t="s">
        <v>1310</v>
      </c>
      <c r="C32" s="19" t="s">
        <v>216</v>
      </c>
      <c r="D32" s="10" t="s">
        <v>1311</v>
      </c>
      <c r="E32" s="20"/>
      <c r="F32" s="19"/>
      <c r="G32" s="19"/>
      <c r="H32" s="20"/>
      <c r="I32" s="23"/>
      <c r="J32" s="23"/>
      <c r="K32" s="23"/>
      <c r="L32" s="23"/>
    </row>
    <row r="33" s="1" customFormat="1" spans="2:12">
      <c r="B33" s="19" t="s">
        <v>267</v>
      </c>
      <c r="C33" s="19" t="s">
        <v>216</v>
      </c>
      <c r="D33" s="10" t="s">
        <v>2094</v>
      </c>
      <c r="E33" s="20"/>
      <c r="F33" s="19"/>
      <c r="G33" s="19"/>
      <c r="H33" s="20"/>
      <c r="I33" s="23"/>
      <c r="J33" s="23"/>
      <c r="K33" s="23"/>
      <c r="L33" s="23"/>
    </row>
    <row r="34" s="1" customFormat="1" spans="2:12">
      <c r="B34" s="19" t="s">
        <v>2589</v>
      </c>
      <c r="C34" s="19" t="s">
        <v>216</v>
      </c>
      <c r="D34" s="10" t="s">
        <v>2590</v>
      </c>
      <c r="E34" s="20"/>
      <c r="F34" s="19"/>
      <c r="G34" s="19"/>
      <c r="H34" s="20"/>
      <c r="I34" s="23"/>
      <c r="J34" s="23"/>
      <c r="K34" s="23"/>
      <c r="L34" s="23"/>
    </row>
    <row r="35" s="1" customFormat="1" spans="2:12">
      <c r="B35" s="19" t="s">
        <v>1176</v>
      </c>
      <c r="C35" s="19" t="s">
        <v>220</v>
      </c>
      <c r="D35" s="10" t="s">
        <v>1312</v>
      </c>
      <c r="E35" s="20"/>
      <c r="F35" s="19"/>
      <c r="G35" s="19"/>
      <c r="H35" s="20"/>
      <c r="I35" s="23"/>
      <c r="J35" s="23"/>
      <c r="K35" s="23"/>
      <c r="L35" s="23"/>
    </row>
    <row r="36" s="1" customFormat="1" spans="2:12">
      <c r="B36" s="19" t="s">
        <v>2612</v>
      </c>
      <c r="C36" s="19" t="s">
        <v>216</v>
      </c>
      <c r="D36" s="10" t="s">
        <v>2613</v>
      </c>
      <c r="E36" s="20"/>
      <c r="F36" s="19"/>
      <c r="G36" s="19"/>
      <c r="H36" s="20"/>
      <c r="I36" s="23"/>
      <c r="J36" s="23"/>
      <c r="K36" s="23"/>
      <c r="L36" s="23"/>
    </row>
    <row r="37" s="1" customFormat="1" spans="2:12">
      <c r="B37" s="19" t="s">
        <v>2614</v>
      </c>
      <c r="C37" s="19" t="s">
        <v>216</v>
      </c>
      <c r="D37" s="10" t="s">
        <v>2615</v>
      </c>
      <c r="E37" s="20"/>
      <c r="F37" s="19"/>
      <c r="G37" s="19"/>
      <c r="H37" s="20"/>
      <c r="I37" s="23"/>
      <c r="J37" s="23"/>
      <c r="K37" s="23"/>
      <c r="L37" s="23"/>
    </row>
    <row r="38" s="1" customFormat="1" spans="2:12">
      <c r="B38" s="19" t="s">
        <v>2591</v>
      </c>
      <c r="C38" s="19" t="s">
        <v>216</v>
      </c>
      <c r="D38" s="10" t="s">
        <v>2098</v>
      </c>
      <c r="E38" s="20"/>
      <c r="F38" s="19"/>
      <c r="G38" s="19"/>
      <c r="H38" s="20"/>
      <c r="I38" s="23"/>
      <c r="J38" s="23"/>
      <c r="K38" s="23"/>
      <c r="L38" s="23"/>
    </row>
    <row r="39" s="1" customFormat="1" spans="2:12">
      <c r="B39" s="19" t="s">
        <v>2618</v>
      </c>
      <c r="C39" s="19" t="s">
        <v>220</v>
      </c>
      <c r="D39" s="10" t="s">
        <v>2618</v>
      </c>
      <c r="E39" s="20"/>
      <c r="F39" s="19"/>
      <c r="G39" s="19"/>
      <c r="H39" s="20"/>
      <c r="I39" s="23"/>
      <c r="J39" s="23"/>
      <c r="K39" s="23"/>
      <c r="L39" s="23"/>
    </row>
    <row r="40" s="1" customFormat="1" spans="2:12">
      <c r="B40" s="19" t="s">
        <v>2594</v>
      </c>
      <c r="C40" s="19" t="s">
        <v>216</v>
      </c>
      <c r="D40" s="10" t="s">
        <v>2595</v>
      </c>
      <c r="E40" s="20"/>
      <c r="F40" s="19"/>
      <c r="G40" s="19"/>
      <c r="H40" s="20"/>
      <c r="I40" s="23"/>
      <c r="J40" s="23"/>
      <c r="K40" s="23"/>
      <c r="L40" s="23"/>
    </row>
    <row r="41" s="1" customFormat="1" spans="2:12">
      <c r="B41" s="19" t="s">
        <v>2605</v>
      </c>
      <c r="C41" s="19" t="s">
        <v>216</v>
      </c>
      <c r="D41" s="10" t="s">
        <v>2606</v>
      </c>
      <c r="E41" s="20"/>
      <c r="F41" s="19"/>
      <c r="G41" s="19"/>
      <c r="H41" s="20"/>
      <c r="I41" s="23"/>
      <c r="J41" s="23"/>
      <c r="K41" s="23"/>
      <c r="L41" s="23"/>
    </row>
    <row r="42" s="1" customFormat="1" spans="2:12">
      <c r="B42" s="19" t="s">
        <v>1964</v>
      </c>
      <c r="C42" s="19" t="s">
        <v>220</v>
      </c>
      <c r="D42" s="10" t="s">
        <v>1964</v>
      </c>
      <c r="E42" s="20"/>
      <c r="F42" s="19"/>
      <c r="G42" s="19"/>
      <c r="H42" s="20"/>
      <c r="I42" s="23"/>
      <c r="J42" s="23"/>
      <c r="K42" s="23"/>
      <c r="L42" s="23"/>
    </row>
    <row r="43" s="1" customFormat="1" spans="2:12">
      <c r="B43" s="19" t="s">
        <v>2085</v>
      </c>
      <c r="C43" s="19" t="s">
        <v>220</v>
      </c>
      <c r="D43" s="10" t="s">
        <v>2687</v>
      </c>
      <c r="E43" s="20"/>
      <c r="F43" s="19"/>
      <c r="G43" s="19"/>
      <c r="H43" s="20"/>
      <c r="I43" s="23"/>
      <c r="J43" s="23"/>
      <c r="K43" s="23"/>
      <c r="L43" s="23"/>
    </row>
    <row r="44" s="1" customFormat="1" spans="2:12">
      <c r="B44" s="19" t="s">
        <v>1313</v>
      </c>
      <c r="C44" s="19" t="s">
        <v>220</v>
      </c>
      <c r="D44" s="10" t="s">
        <v>1893</v>
      </c>
      <c r="E44" s="20"/>
      <c r="F44" s="19"/>
      <c r="G44" s="19"/>
      <c r="H44" s="20"/>
      <c r="I44" s="23"/>
      <c r="J44" s="23"/>
      <c r="K44" s="23"/>
      <c r="L44" s="23"/>
    </row>
    <row r="45" s="1" customFormat="1" spans="2:12">
      <c r="B45" s="19" t="s">
        <v>1289</v>
      </c>
      <c r="C45" s="19" t="s">
        <v>216</v>
      </c>
      <c r="D45" s="10" t="s">
        <v>1881</v>
      </c>
      <c r="E45" s="20"/>
      <c r="F45" s="19"/>
      <c r="G45" s="19"/>
      <c r="H45" s="20"/>
      <c r="I45" s="23"/>
      <c r="J45" s="23"/>
      <c r="K45" s="23"/>
      <c r="L45" s="23"/>
    </row>
    <row r="46" s="1" customFormat="1" spans="2:12">
      <c r="B46" s="19" t="s">
        <v>1323</v>
      </c>
      <c r="C46" s="19" t="s">
        <v>275</v>
      </c>
      <c r="D46" s="10" t="s">
        <v>1324</v>
      </c>
      <c r="E46" s="20"/>
      <c r="F46" s="19"/>
      <c r="G46" s="19"/>
      <c r="H46" s="20"/>
      <c r="I46" s="23"/>
      <c r="J46" s="23"/>
      <c r="K46" s="23"/>
      <c r="L46" s="23"/>
    </row>
    <row r="47" s="1" customFormat="1" spans="2:12">
      <c r="B47" s="19" t="s">
        <v>1325</v>
      </c>
      <c r="C47" s="19" t="s">
        <v>275</v>
      </c>
      <c r="D47" s="10" t="s">
        <v>1326</v>
      </c>
      <c r="E47" s="20"/>
      <c r="F47" s="19"/>
      <c r="G47" s="19"/>
      <c r="H47" s="20"/>
      <c r="I47" s="23"/>
      <c r="J47" s="23"/>
      <c r="K47" s="23"/>
      <c r="L47" s="23"/>
    </row>
    <row r="48" s="1" customFormat="1" spans="2:12">
      <c r="B48" s="19" t="s">
        <v>1327</v>
      </c>
      <c r="C48" s="19" t="s">
        <v>275</v>
      </c>
      <c r="D48" s="10" t="s">
        <v>1328</v>
      </c>
      <c r="E48" s="20"/>
      <c r="F48" s="19"/>
      <c r="G48" s="19"/>
      <c r="H48" s="20"/>
      <c r="I48" s="23"/>
      <c r="J48" s="23"/>
      <c r="K48" s="23"/>
      <c r="L48" s="23"/>
    </row>
    <row r="49" s="1" customFormat="1" ht="26.4" spans="2:12">
      <c r="B49" s="19" t="s">
        <v>2102</v>
      </c>
      <c r="C49" s="19" t="s">
        <v>275</v>
      </c>
      <c r="D49" s="10" t="s">
        <v>2103</v>
      </c>
      <c r="E49" s="20"/>
      <c r="F49" s="19"/>
      <c r="G49" s="19"/>
      <c r="H49" s="20"/>
      <c r="I49" s="23"/>
      <c r="J49" s="23"/>
      <c r="K49" s="23"/>
      <c r="L49" s="23"/>
    </row>
    <row r="50" s="1" customFormat="1" ht="26.4" spans="2:12">
      <c r="B50" s="19" t="s">
        <v>2104</v>
      </c>
      <c r="C50" s="19" t="s">
        <v>275</v>
      </c>
      <c r="D50" s="10" t="s">
        <v>2105</v>
      </c>
      <c r="E50" s="20"/>
      <c r="F50" s="19"/>
      <c r="G50" s="19"/>
      <c r="H50" s="20"/>
      <c r="I50" s="23"/>
      <c r="J50" s="23"/>
      <c r="K50" s="23"/>
      <c r="L50" s="23"/>
    </row>
    <row r="51" s="1" customFormat="1" ht="26.4" spans="2:12">
      <c r="B51" s="19" t="s">
        <v>2688</v>
      </c>
      <c r="C51" s="19" t="s">
        <v>275</v>
      </c>
      <c r="D51" s="10" t="s">
        <v>2689</v>
      </c>
      <c r="E51" s="20"/>
      <c r="F51" s="19"/>
      <c r="G51" s="19"/>
      <c r="H51" s="20"/>
      <c r="I51" s="23"/>
      <c r="J51" s="23"/>
      <c r="K51" s="23"/>
      <c r="L51" s="23"/>
    </row>
    <row r="52" s="1" customFormat="1" ht="26.4" spans="2:12">
      <c r="B52" s="19" t="s">
        <v>2107</v>
      </c>
      <c r="C52" s="19" t="s">
        <v>275</v>
      </c>
      <c r="D52" s="10" t="s">
        <v>2108</v>
      </c>
      <c r="E52" s="20"/>
      <c r="F52" s="19"/>
      <c r="G52" s="19"/>
      <c r="H52" s="20"/>
      <c r="I52" s="23"/>
      <c r="J52" s="23"/>
      <c r="K52" s="23"/>
      <c r="L52" s="23"/>
    </row>
    <row r="53" s="1" customFormat="1" ht="26.4" spans="2:12">
      <c r="B53" s="19" t="s">
        <v>2109</v>
      </c>
      <c r="C53" s="19" t="s">
        <v>275</v>
      </c>
      <c r="D53" s="10" t="s">
        <v>2110</v>
      </c>
      <c r="E53" s="20"/>
      <c r="F53" s="19"/>
      <c r="G53" s="19"/>
      <c r="H53" s="20"/>
      <c r="I53" s="23"/>
      <c r="J53" s="23"/>
      <c r="K53" s="23"/>
      <c r="L53" s="23"/>
    </row>
    <row r="54" s="1" customFormat="1" ht="26.4" spans="2:12">
      <c r="B54" s="19" t="s">
        <v>2690</v>
      </c>
      <c r="C54" s="19" t="s">
        <v>275</v>
      </c>
      <c r="D54" s="10" t="s">
        <v>2691</v>
      </c>
      <c r="E54" s="20"/>
      <c r="F54" s="19"/>
      <c r="G54" s="19"/>
      <c r="H54" s="20"/>
      <c r="I54" s="23"/>
      <c r="J54" s="23"/>
      <c r="K54" s="23"/>
      <c r="L54" s="23"/>
    </row>
    <row r="55" s="1" customFormat="1" ht="26.4" spans="2:12">
      <c r="B55" s="19" t="s">
        <v>2692</v>
      </c>
      <c r="C55" s="19" t="s">
        <v>275</v>
      </c>
      <c r="D55" s="10" t="s">
        <v>2693</v>
      </c>
      <c r="E55" s="20"/>
      <c r="F55" s="19"/>
      <c r="G55" s="19"/>
      <c r="H55" s="20"/>
      <c r="I55" s="23"/>
      <c r="J55" s="23"/>
      <c r="K55" s="23"/>
      <c r="L55" s="23"/>
    </row>
    <row r="56" s="1" customFormat="1" spans="2:12">
      <c r="B56" s="19" t="s">
        <v>1329</v>
      </c>
      <c r="C56" s="19" t="s">
        <v>275</v>
      </c>
      <c r="D56" s="10" t="s">
        <v>1330</v>
      </c>
      <c r="E56" s="20"/>
      <c r="F56" s="19"/>
      <c r="G56" s="19"/>
      <c r="H56" s="20"/>
      <c r="I56" s="23"/>
      <c r="J56" s="23"/>
      <c r="K56" s="23"/>
      <c r="L56" s="23"/>
    </row>
    <row r="57" s="1" customFormat="1" spans="2:12">
      <c r="B57" s="19" t="s">
        <v>1331</v>
      </c>
      <c r="C57" s="19" t="s">
        <v>275</v>
      </c>
      <c r="D57" s="10" t="s">
        <v>1332</v>
      </c>
      <c r="E57" s="20"/>
      <c r="F57" s="19"/>
      <c r="G57" s="19"/>
      <c r="H57" s="20"/>
      <c r="I57" s="23"/>
      <c r="J57" s="23"/>
      <c r="K57" s="23"/>
      <c r="L57" s="23"/>
    </row>
    <row r="58" s="1" customFormat="1" spans="2:12">
      <c r="B58" s="19" t="s">
        <v>1335</v>
      </c>
      <c r="C58" s="19" t="s">
        <v>275</v>
      </c>
      <c r="D58" s="10" t="s">
        <v>1336</v>
      </c>
      <c r="E58" s="20"/>
      <c r="F58" s="19"/>
      <c r="G58" s="19"/>
      <c r="H58" s="20"/>
      <c r="I58" s="23"/>
      <c r="J58" s="23"/>
      <c r="K58" s="23"/>
      <c r="L58" s="23"/>
    </row>
    <row r="59" s="1" customFormat="1" spans="2:12">
      <c r="B59" s="19" t="s">
        <v>1337</v>
      </c>
      <c r="C59" s="19" t="s">
        <v>275</v>
      </c>
      <c r="D59" s="10" t="s">
        <v>1338</v>
      </c>
      <c r="E59" s="20"/>
      <c r="F59" s="19"/>
      <c r="G59" s="19"/>
      <c r="H59" s="20"/>
      <c r="I59" s="23"/>
      <c r="J59" s="23"/>
      <c r="K59" s="23"/>
      <c r="L59" s="23"/>
    </row>
    <row r="60" s="1" customFormat="1" spans="2:12">
      <c r="B60" s="19" t="s">
        <v>2111</v>
      </c>
      <c r="C60" s="19" t="s">
        <v>275</v>
      </c>
      <c r="D60" s="10" t="s">
        <v>1340</v>
      </c>
      <c r="E60" s="20"/>
      <c r="F60" s="19"/>
      <c r="G60" s="19"/>
      <c r="H60" s="20"/>
      <c r="I60" s="23"/>
      <c r="J60" s="23"/>
      <c r="K60" s="23"/>
      <c r="L60" s="23"/>
    </row>
    <row r="61" s="1" customFormat="1" spans="2:12">
      <c r="B61" s="19" t="s">
        <v>2112</v>
      </c>
      <c r="C61" s="19" t="s">
        <v>275</v>
      </c>
      <c r="D61" s="10" t="s">
        <v>1342</v>
      </c>
      <c r="E61" s="20"/>
      <c r="F61" s="19"/>
      <c r="G61" s="19"/>
      <c r="H61" s="20"/>
      <c r="I61" s="23"/>
      <c r="J61" s="23"/>
      <c r="K61" s="23"/>
      <c r="L61" s="23"/>
    </row>
    <row r="62" s="1" customFormat="1" spans="2:12">
      <c r="B62" s="19" t="s">
        <v>1351</v>
      </c>
      <c r="C62" s="19" t="s">
        <v>275</v>
      </c>
      <c r="D62" s="10" t="s">
        <v>1352</v>
      </c>
      <c r="E62" s="20"/>
      <c r="F62" s="19"/>
      <c r="G62" s="19"/>
      <c r="H62" s="20"/>
      <c r="I62" s="23"/>
      <c r="J62" s="23"/>
      <c r="K62" s="23"/>
      <c r="L62" s="23"/>
    </row>
    <row r="63" s="1" customFormat="1" ht="26.4" spans="2:12">
      <c r="B63" s="19" t="s">
        <v>1353</v>
      </c>
      <c r="C63" s="19" t="s">
        <v>275</v>
      </c>
      <c r="D63" s="10" t="s">
        <v>1354</v>
      </c>
      <c r="E63" s="20"/>
      <c r="F63" s="19"/>
      <c r="G63" s="19"/>
      <c r="H63" s="20"/>
      <c r="I63" s="23"/>
      <c r="J63" s="23"/>
      <c r="K63" s="23"/>
      <c r="L63" s="23"/>
    </row>
    <row r="64" s="1" customFormat="1" spans="2:12">
      <c r="B64" s="19" t="s">
        <v>1782</v>
      </c>
      <c r="C64" s="19" t="s">
        <v>275</v>
      </c>
      <c r="D64" s="10" t="s">
        <v>1783</v>
      </c>
      <c r="E64" s="20"/>
      <c r="F64" s="19"/>
      <c r="G64" s="19"/>
      <c r="H64" s="20"/>
      <c r="I64" s="23"/>
      <c r="J64" s="23"/>
      <c r="K64" s="23"/>
      <c r="L64" s="23"/>
    </row>
    <row r="65" s="1" customFormat="1" spans="2:12">
      <c r="B65" s="19" t="s">
        <v>1784</v>
      </c>
      <c r="C65" s="19" t="s">
        <v>275</v>
      </c>
      <c r="D65" s="10" t="s">
        <v>1785</v>
      </c>
      <c r="E65" s="20"/>
      <c r="F65" s="19"/>
      <c r="G65" s="19"/>
      <c r="H65" s="20"/>
      <c r="I65" s="23"/>
      <c r="J65" s="23"/>
      <c r="K65" s="23"/>
      <c r="L65" s="23"/>
    </row>
    <row r="66" s="1" customFormat="1" spans="2:12">
      <c r="B66" s="19" t="s">
        <v>1786</v>
      </c>
      <c r="C66" s="19" t="s">
        <v>275</v>
      </c>
      <c r="D66" s="10" t="s">
        <v>1787</v>
      </c>
      <c r="E66" s="20"/>
      <c r="F66" s="19"/>
      <c r="G66" s="19"/>
      <c r="H66" s="20"/>
      <c r="I66" s="23"/>
      <c r="J66" s="23"/>
      <c r="K66" s="23"/>
      <c r="L66" s="23"/>
    </row>
    <row r="67" s="1" customFormat="1" spans="2:12">
      <c r="B67" s="19" t="s">
        <v>1788</v>
      </c>
      <c r="C67" s="19" t="s">
        <v>275</v>
      </c>
      <c r="D67" s="10" t="s">
        <v>1789</v>
      </c>
      <c r="E67" s="20"/>
      <c r="F67" s="19"/>
      <c r="G67" s="19"/>
      <c r="H67" s="20"/>
      <c r="I67" s="23"/>
      <c r="J67" s="23"/>
      <c r="K67" s="23"/>
      <c r="L67" s="23"/>
    </row>
    <row r="68" s="1" customFormat="1" spans="2:12">
      <c r="B68" s="19" t="s">
        <v>1355</v>
      </c>
      <c r="C68" s="19" t="s">
        <v>275</v>
      </c>
      <c r="D68" s="10" t="s">
        <v>1356</v>
      </c>
      <c r="E68" s="20"/>
      <c r="F68" s="19"/>
      <c r="G68" s="19"/>
      <c r="H68" s="20"/>
      <c r="I68" s="23"/>
      <c r="J68" s="23"/>
      <c r="K68" s="23"/>
      <c r="L68" s="23"/>
    </row>
    <row r="69" s="1" customFormat="1" spans="2:12">
      <c r="B69" s="19" t="s">
        <v>1357</v>
      </c>
      <c r="C69" s="19" t="s">
        <v>275</v>
      </c>
      <c r="D69" s="10" t="s">
        <v>1358</v>
      </c>
      <c r="E69" s="20"/>
      <c r="F69" s="19"/>
      <c r="G69" s="19"/>
      <c r="H69" s="20"/>
      <c r="I69" s="23"/>
      <c r="J69" s="23"/>
      <c r="K69" s="23"/>
      <c r="L69" s="23"/>
    </row>
    <row r="70" s="1" customFormat="1" spans="2:12">
      <c r="B70" s="19" t="s">
        <v>1359</v>
      </c>
      <c r="C70" s="19" t="s">
        <v>275</v>
      </c>
      <c r="D70" s="10" t="s">
        <v>1360</v>
      </c>
      <c r="E70" s="20"/>
      <c r="F70" s="19"/>
      <c r="G70" s="19"/>
      <c r="H70" s="20"/>
      <c r="I70" s="23"/>
      <c r="J70" s="23"/>
      <c r="K70" s="23"/>
      <c r="L70" s="23"/>
    </row>
    <row r="71" s="1" customFormat="1" spans="2:12">
      <c r="B71" s="19" t="s">
        <v>2694</v>
      </c>
      <c r="C71" s="19" t="s">
        <v>275</v>
      </c>
      <c r="D71" s="10" t="s">
        <v>2695</v>
      </c>
      <c r="E71" s="20"/>
      <c r="F71" s="19"/>
      <c r="G71" s="19"/>
      <c r="H71" s="20"/>
      <c r="I71" s="23"/>
      <c r="J71" s="23"/>
      <c r="K71" s="23"/>
      <c r="L71" s="23"/>
    </row>
    <row r="72" s="1" customFormat="1" spans="2:12">
      <c r="B72" s="19" t="s">
        <v>1361</v>
      </c>
      <c r="C72" s="19" t="s">
        <v>275</v>
      </c>
      <c r="D72" s="10" t="s">
        <v>1362</v>
      </c>
      <c r="E72" s="20"/>
      <c r="F72" s="19"/>
      <c r="G72" s="19"/>
      <c r="H72" s="20"/>
      <c r="I72" s="23"/>
      <c r="J72" s="23"/>
      <c r="K72" s="23"/>
      <c r="L72" s="23"/>
    </row>
    <row r="73" s="1" customFormat="1" spans="2:12">
      <c r="B73" s="19" t="s">
        <v>2696</v>
      </c>
      <c r="C73" s="19" t="s">
        <v>275</v>
      </c>
      <c r="D73" s="10" t="s">
        <v>2697</v>
      </c>
      <c r="E73" s="20"/>
      <c r="F73" s="19"/>
      <c r="G73" s="19"/>
      <c r="H73" s="20"/>
      <c r="I73" s="23"/>
      <c r="J73" s="23"/>
      <c r="K73" s="23"/>
      <c r="L73" s="23"/>
    </row>
    <row r="74" s="1" customFormat="1" ht="26.4" spans="2:12">
      <c r="B74" s="19" t="s">
        <v>2698</v>
      </c>
      <c r="C74" s="19" t="s">
        <v>275</v>
      </c>
      <c r="D74" s="10" t="s">
        <v>2699</v>
      </c>
      <c r="E74" s="20"/>
      <c r="F74" s="19"/>
      <c r="G74" s="19"/>
      <c r="H74" s="20"/>
      <c r="I74" s="23"/>
      <c r="J74" s="23"/>
      <c r="K74" s="23"/>
      <c r="L74" s="23"/>
    </row>
    <row r="75" s="1" customFormat="1" ht="26.4" spans="2:12">
      <c r="B75" s="19" t="s">
        <v>2100</v>
      </c>
      <c r="C75" s="19" t="s">
        <v>275</v>
      </c>
      <c r="D75" s="10" t="s">
        <v>2575</v>
      </c>
      <c r="E75" s="20"/>
      <c r="F75" s="19"/>
      <c r="G75" s="19"/>
      <c r="H75" s="20"/>
      <c r="I75" s="23"/>
      <c r="J75" s="23"/>
      <c r="K75" s="23"/>
      <c r="L75" s="23"/>
    </row>
    <row r="76" s="1" customFormat="1" ht="26.4" spans="2:12">
      <c r="B76" s="19" t="s">
        <v>2700</v>
      </c>
      <c r="C76" s="19" t="s">
        <v>275</v>
      </c>
      <c r="D76" s="10" t="s">
        <v>2701</v>
      </c>
      <c r="E76" s="20"/>
      <c r="F76" s="19"/>
      <c r="G76" s="19"/>
      <c r="H76" s="20"/>
      <c r="I76" s="23"/>
      <c r="J76" s="23"/>
      <c r="K76" s="23"/>
      <c r="L76" s="23"/>
    </row>
    <row r="77" s="1" customFormat="1" spans="2:12">
      <c r="B77" s="19" t="s">
        <v>1798</v>
      </c>
      <c r="C77" s="19" t="s">
        <v>275</v>
      </c>
      <c r="D77" s="10" t="s">
        <v>1799</v>
      </c>
      <c r="E77" s="20"/>
      <c r="F77" s="19"/>
      <c r="G77" s="19"/>
      <c r="H77" s="20"/>
      <c r="I77" s="23"/>
      <c r="J77" s="23"/>
      <c r="K77" s="23"/>
      <c r="L77" s="23"/>
    </row>
    <row r="78" s="1" customFormat="1" ht="26.4" spans="2:12">
      <c r="B78" s="19" t="s">
        <v>1363</v>
      </c>
      <c r="C78" s="19" t="s">
        <v>275</v>
      </c>
      <c r="D78" s="10" t="s">
        <v>1364</v>
      </c>
      <c r="E78" s="20"/>
      <c r="F78" s="19"/>
      <c r="G78" s="19"/>
      <c r="H78" s="20"/>
      <c r="I78" s="23"/>
      <c r="J78" s="23"/>
      <c r="K78" s="23"/>
      <c r="L78" s="23"/>
    </row>
    <row r="79" s="1" customFormat="1" ht="26.4" spans="2:12">
      <c r="B79" s="19" t="s">
        <v>1365</v>
      </c>
      <c r="C79" s="19" t="s">
        <v>275</v>
      </c>
      <c r="D79" s="10" t="s">
        <v>1366</v>
      </c>
      <c r="E79" s="20"/>
      <c r="F79" s="19"/>
      <c r="G79" s="19"/>
      <c r="H79" s="20"/>
      <c r="I79" s="23"/>
      <c r="J79" s="23"/>
      <c r="K79" s="23"/>
      <c r="L79" s="23"/>
    </row>
    <row r="80" s="1" customFormat="1" ht="26.4" spans="2:12">
      <c r="B80" s="19" t="s">
        <v>1367</v>
      </c>
      <c r="C80" s="19" t="s">
        <v>275</v>
      </c>
      <c r="D80" s="10" t="s">
        <v>1368</v>
      </c>
      <c r="E80" s="20"/>
      <c r="F80" s="19"/>
      <c r="G80" s="19"/>
      <c r="H80" s="20"/>
      <c r="I80" s="23"/>
      <c r="J80" s="23"/>
      <c r="K80" s="23"/>
      <c r="L80" s="23"/>
    </row>
    <row r="81" s="1" customFormat="1" ht="26.4" spans="2:12">
      <c r="B81" s="19" t="s">
        <v>1369</v>
      </c>
      <c r="C81" s="19" t="s">
        <v>275</v>
      </c>
      <c r="D81" s="10" t="s">
        <v>1370</v>
      </c>
      <c r="E81" s="20"/>
      <c r="F81" s="19"/>
      <c r="G81" s="19"/>
      <c r="H81" s="20"/>
      <c r="I81" s="23"/>
      <c r="J81" s="23"/>
      <c r="K81" s="23"/>
      <c r="L81" s="23"/>
    </row>
    <row r="82" s="1" customFormat="1" ht="26.4" spans="2:12">
      <c r="B82" s="19" t="s">
        <v>1371</v>
      </c>
      <c r="C82" s="19" t="s">
        <v>275</v>
      </c>
      <c r="D82" s="10" t="s">
        <v>1372</v>
      </c>
      <c r="E82" s="20"/>
      <c r="F82" s="19"/>
      <c r="G82" s="19"/>
      <c r="H82" s="20"/>
      <c r="I82" s="23"/>
      <c r="J82" s="23"/>
      <c r="K82" s="23"/>
      <c r="L82" s="23"/>
    </row>
    <row r="83" s="1" customFormat="1" ht="26.4" spans="2:12">
      <c r="B83" s="19" t="s">
        <v>1373</v>
      </c>
      <c r="C83" s="19" t="s">
        <v>275</v>
      </c>
      <c r="D83" s="10" t="s">
        <v>1374</v>
      </c>
      <c r="E83" s="20"/>
      <c r="F83" s="19"/>
      <c r="G83" s="19"/>
      <c r="H83" s="20"/>
      <c r="I83" s="23"/>
      <c r="J83" s="23"/>
      <c r="K83" s="23"/>
      <c r="L83" s="23"/>
    </row>
    <row r="84" s="1" customFormat="1" ht="26.4" spans="2:12">
      <c r="B84" s="19" t="s">
        <v>1375</v>
      </c>
      <c r="C84" s="19" t="s">
        <v>275</v>
      </c>
      <c r="D84" s="10" t="s">
        <v>1376</v>
      </c>
      <c r="E84" s="20"/>
      <c r="F84" s="19"/>
      <c r="G84" s="19"/>
      <c r="H84" s="20"/>
      <c r="I84" s="23"/>
      <c r="J84" s="23"/>
      <c r="K84" s="23"/>
      <c r="L84" s="23"/>
    </row>
    <row r="85" s="1" customFormat="1" ht="26.4" spans="2:12">
      <c r="B85" s="19" t="s">
        <v>1377</v>
      </c>
      <c r="C85" s="19" t="s">
        <v>275</v>
      </c>
      <c r="D85" s="10" t="s">
        <v>1378</v>
      </c>
      <c r="E85" s="20"/>
      <c r="F85" s="19"/>
      <c r="G85" s="19"/>
      <c r="H85" s="20"/>
      <c r="I85" s="23"/>
      <c r="J85" s="23"/>
      <c r="K85" s="23"/>
      <c r="L85" s="23"/>
    </row>
    <row r="86" s="1" customFormat="1" spans="2:12">
      <c r="B86" s="19" t="s">
        <v>2702</v>
      </c>
      <c r="C86" s="19" t="s">
        <v>275</v>
      </c>
      <c r="D86" s="10" t="s">
        <v>1380</v>
      </c>
      <c r="E86" s="20"/>
      <c r="F86" s="19"/>
      <c r="G86" s="19"/>
      <c r="H86" s="20"/>
      <c r="I86" s="23"/>
      <c r="J86" s="23"/>
      <c r="K86" s="23"/>
      <c r="L86" s="23"/>
    </row>
    <row r="87" s="1" customFormat="1" spans="2:12">
      <c r="B87" s="19" t="s">
        <v>2703</v>
      </c>
      <c r="C87" s="19" t="s">
        <v>275</v>
      </c>
      <c r="D87" s="10" t="s">
        <v>1382</v>
      </c>
      <c r="E87" s="20"/>
      <c r="F87" s="19"/>
      <c r="G87" s="19"/>
      <c r="H87" s="20"/>
      <c r="I87" s="23"/>
      <c r="J87" s="23"/>
      <c r="K87" s="23"/>
      <c r="L87" s="23"/>
    </row>
    <row r="88" s="1" customFormat="1" spans="2:12">
      <c r="B88" s="19" t="s">
        <v>2113</v>
      </c>
      <c r="C88" s="19" t="s">
        <v>275</v>
      </c>
      <c r="D88" s="10" t="s">
        <v>2114</v>
      </c>
      <c r="E88" s="20"/>
      <c r="F88" s="19"/>
      <c r="G88" s="19"/>
      <c r="H88" s="20"/>
      <c r="I88" s="23"/>
      <c r="J88" s="23"/>
      <c r="K88" s="23"/>
      <c r="L88" s="23"/>
    </row>
    <row r="89" s="1" customFormat="1" spans="2:12">
      <c r="B89" s="19" t="s">
        <v>2115</v>
      </c>
      <c r="C89" s="19" t="s">
        <v>275</v>
      </c>
      <c r="D89" s="10" t="s">
        <v>2704</v>
      </c>
      <c r="E89" s="20"/>
      <c r="F89" s="19"/>
      <c r="G89" s="19"/>
      <c r="H89" s="20"/>
      <c r="I89" s="23"/>
      <c r="J89" s="23"/>
      <c r="K89" s="23"/>
      <c r="L89" s="23"/>
    </row>
    <row r="90" s="1" customFormat="1" spans="2:12">
      <c r="B90" s="19" t="s">
        <v>2117</v>
      </c>
      <c r="C90" s="19" t="s">
        <v>275</v>
      </c>
      <c r="D90" s="10" t="s">
        <v>2118</v>
      </c>
      <c r="E90" s="20"/>
      <c r="F90" s="19"/>
      <c r="G90" s="19"/>
      <c r="H90" s="20"/>
      <c r="I90" s="23"/>
      <c r="J90" s="23"/>
      <c r="K90" s="23"/>
      <c r="L90" s="23"/>
    </row>
    <row r="91" s="1" customFormat="1" spans="2:12">
      <c r="B91" s="19" t="s">
        <v>2119</v>
      </c>
      <c r="C91" s="19" t="s">
        <v>275</v>
      </c>
      <c r="D91" s="10" t="s">
        <v>2120</v>
      </c>
      <c r="E91" s="20"/>
      <c r="F91" s="19"/>
      <c r="G91" s="19"/>
      <c r="H91" s="20"/>
      <c r="I91" s="23"/>
      <c r="J91" s="23"/>
      <c r="K91" s="23"/>
      <c r="L91" s="23"/>
    </row>
    <row r="92" s="1" customFormat="1" spans="2:12">
      <c r="B92" s="19" t="s">
        <v>2121</v>
      </c>
      <c r="C92" s="19" t="s">
        <v>275</v>
      </c>
      <c r="D92" s="10" t="s">
        <v>2045</v>
      </c>
      <c r="E92" s="20"/>
      <c r="F92" s="19"/>
      <c r="G92" s="19"/>
      <c r="H92" s="20"/>
      <c r="I92" s="23"/>
      <c r="J92" s="23"/>
      <c r="K92" s="23"/>
      <c r="L92" s="23"/>
    </row>
    <row r="93" s="1" customFormat="1" spans="2:12">
      <c r="B93" s="19" t="s">
        <v>2122</v>
      </c>
      <c r="C93" s="19" t="s">
        <v>240</v>
      </c>
      <c r="D93" s="10" t="s">
        <v>2123</v>
      </c>
      <c r="E93" s="20"/>
      <c r="F93" s="19"/>
      <c r="G93" s="19"/>
      <c r="H93" s="20"/>
      <c r="I93" s="23"/>
      <c r="J93" s="23"/>
      <c r="K93" s="23"/>
      <c r="L93" s="23"/>
    </row>
    <row r="94" s="1" customFormat="1" spans="2:12">
      <c r="B94" s="19" t="s">
        <v>2124</v>
      </c>
      <c r="C94" s="19" t="s">
        <v>275</v>
      </c>
      <c r="D94" s="10" t="s">
        <v>2125</v>
      </c>
      <c r="E94" s="20"/>
      <c r="F94" s="19"/>
      <c r="G94" s="19"/>
      <c r="H94" s="20"/>
      <c r="I94" s="23"/>
      <c r="J94" s="23"/>
      <c r="K94" s="23"/>
      <c r="L94" s="23"/>
    </row>
    <row r="95" s="1" customFormat="1" spans="2:12">
      <c r="B95" s="19" t="s">
        <v>2126</v>
      </c>
      <c r="C95" s="19" t="s">
        <v>275</v>
      </c>
      <c r="D95" s="10" t="s">
        <v>2127</v>
      </c>
      <c r="E95" s="20"/>
      <c r="F95" s="19"/>
      <c r="G95" s="19"/>
      <c r="H95" s="20"/>
      <c r="I95" s="23"/>
      <c r="J95" s="23"/>
      <c r="K95" s="23"/>
      <c r="L95" s="23"/>
    </row>
    <row r="96" s="1" customFormat="1" spans="2:12">
      <c r="B96" s="19" t="s">
        <v>2128</v>
      </c>
      <c r="C96" s="19" t="s">
        <v>275</v>
      </c>
      <c r="D96" s="10" t="s">
        <v>2129</v>
      </c>
      <c r="E96" s="20"/>
      <c r="F96" s="19"/>
      <c r="G96" s="19"/>
      <c r="H96" s="20"/>
      <c r="I96" s="23"/>
      <c r="J96" s="23"/>
      <c r="K96" s="23"/>
      <c r="L96" s="23"/>
    </row>
    <row r="97" s="1" customFormat="1" spans="2:12">
      <c r="B97" s="19" t="s">
        <v>2130</v>
      </c>
      <c r="C97" s="19" t="s">
        <v>275</v>
      </c>
      <c r="D97" s="10" t="s">
        <v>2131</v>
      </c>
      <c r="E97" s="20"/>
      <c r="F97" s="19"/>
      <c r="G97" s="19"/>
      <c r="H97" s="20"/>
      <c r="I97" s="23"/>
      <c r="J97" s="23"/>
      <c r="K97" s="23"/>
      <c r="L97" s="23"/>
    </row>
    <row r="98" s="1" customFormat="1" spans="2:12">
      <c r="B98" s="19" t="s">
        <v>2132</v>
      </c>
      <c r="C98" s="19" t="s">
        <v>275</v>
      </c>
      <c r="D98" s="10" t="s">
        <v>2133</v>
      </c>
      <c r="E98" s="20"/>
      <c r="F98" s="19"/>
      <c r="G98" s="19"/>
      <c r="H98" s="20"/>
      <c r="I98" s="23"/>
      <c r="J98" s="23"/>
      <c r="K98" s="23"/>
      <c r="L98" s="23"/>
    </row>
    <row r="99" s="1" customFormat="1" spans="2:12">
      <c r="B99" s="19" t="s">
        <v>2134</v>
      </c>
      <c r="C99" s="19" t="s">
        <v>240</v>
      </c>
      <c r="D99" s="10" t="s">
        <v>2080</v>
      </c>
      <c r="E99" s="20"/>
      <c r="F99" s="19"/>
      <c r="G99" s="19"/>
      <c r="H99" s="20"/>
      <c r="I99" s="23"/>
      <c r="J99" s="23"/>
      <c r="K99" s="23"/>
      <c r="L99" s="23"/>
    </row>
    <row r="100" s="1" customFormat="1" ht="26.4" spans="2:12">
      <c r="B100" s="19" t="s">
        <v>2135</v>
      </c>
      <c r="C100" s="19" t="s">
        <v>240</v>
      </c>
      <c r="D100" s="10" t="s">
        <v>2082</v>
      </c>
      <c r="E100" s="20"/>
      <c r="F100" s="19"/>
      <c r="G100" s="19"/>
      <c r="H100" s="20"/>
      <c r="I100" s="23"/>
      <c r="J100" s="23"/>
      <c r="K100" s="23"/>
      <c r="L100" s="23"/>
    </row>
    <row r="101" s="1" customFormat="1" spans="2:12">
      <c r="B101" s="19" t="s">
        <v>1451</v>
      </c>
      <c r="C101" s="19" t="s">
        <v>275</v>
      </c>
      <c r="D101" s="10" t="s">
        <v>1452</v>
      </c>
      <c r="E101" s="20"/>
      <c r="F101" s="19"/>
      <c r="G101" s="19"/>
      <c r="H101" s="20"/>
      <c r="I101" s="23"/>
      <c r="J101" s="23"/>
      <c r="K101" s="23"/>
      <c r="L101" s="23"/>
    </row>
    <row r="102" s="1" customFormat="1" spans="2:12">
      <c r="B102" s="19" t="s">
        <v>1453</v>
      </c>
      <c r="C102" s="19" t="s">
        <v>275</v>
      </c>
      <c r="D102" s="10" t="s">
        <v>2136</v>
      </c>
      <c r="E102" s="20"/>
      <c r="F102" s="19"/>
      <c r="G102" s="19"/>
      <c r="H102" s="20"/>
      <c r="I102" s="23"/>
      <c r="J102" s="23"/>
      <c r="K102" s="23"/>
      <c r="L102" s="23"/>
    </row>
    <row r="103" s="1" customFormat="1" spans="2:12">
      <c r="B103" s="19" t="s">
        <v>1455</v>
      </c>
      <c r="C103" s="19" t="s">
        <v>275</v>
      </c>
      <c r="D103" s="10" t="s">
        <v>1456</v>
      </c>
      <c r="E103" s="20"/>
      <c r="F103" s="19"/>
      <c r="G103" s="19"/>
      <c r="H103" s="20"/>
      <c r="I103" s="23"/>
      <c r="J103" s="23"/>
      <c r="K103" s="23"/>
      <c r="L103" s="23"/>
    </row>
    <row r="104" s="1" customFormat="1" spans="2:12">
      <c r="B104" s="19" t="s">
        <v>1457</v>
      </c>
      <c r="C104" s="19" t="s">
        <v>275</v>
      </c>
      <c r="D104" s="10" t="s">
        <v>1458</v>
      </c>
      <c r="E104" s="20"/>
      <c r="F104" s="19"/>
      <c r="G104" s="19"/>
      <c r="H104" s="20"/>
      <c r="I104" s="23"/>
      <c r="J104" s="23"/>
      <c r="K104" s="23"/>
      <c r="L104" s="23"/>
    </row>
    <row r="105" s="1" customFormat="1" spans="2:12">
      <c r="B105" s="19" t="s">
        <v>1459</v>
      </c>
      <c r="C105" s="19" t="s">
        <v>275</v>
      </c>
      <c r="D105" s="10" t="s">
        <v>1460</v>
      </c>
      <c r="E105" s="20"/>
      <c r="F105" s="19"/>
      <c r="G105" s="19"/>
      <c r="H105" s="20"/>
      <c r="I105" s="23"/>
      <c r="J105" s="23"/>
      <c r="K105" s="23"/>
      <c r="L105" s="23"/>
    </row>
    <row r="106" s="1" customFormat="1" spans="2:12">
      <c r="B106" s="19" t="s">
        <v>1461</v>
      </c>
      <c r="C106" s="19" t="s">
        <v>275</v>
      </c>
      <c r="D106" s="10" t="s">
        <v>1462</v>
      </c>
      <c r="E106" s="20"/>
      <c r="F106" s="19"/>
      <c r="G106" s="19"/>
      <c r="H106" s="20"/>
      <c r="I106" s="23"/>
      <c r="J106" s="23"/>
      <c r="K106" s="23"/>
      <c r="L106" s="23"/>
    </row>
    <row r="107" s="1" customFormat="1" ht="26.4" spans="2:12">
      <c r="B107" s="19" t="s">
        <v>1343</v>
      </c>
      <c r="C107" s="19" t="s">
        <v>275</v>
      </c>
      <c r="D107" s="10" t="s">
        <v>2137</v>
      </c>
      <c r="E107" s="20"/>
      <c r="F107" s="19"/>
      <c r="G107" s="19"/>
      <c r="H107" s="20"/>
      <c r="I107" s="23"/>
      <c r="J107" s="23"/>
      <c r="K107" s="23"/>
      <c r="L107" s="23"/>
    </row>
    <row r="108" s="1" customFormat="1" spans="2:12">
      <c r="B108" s="19" t="s">
        <v>1463</v>
      </c>
      <c r="C108" s="19" t="s">
        <v>275</v>
      </c>
      <c r="D108" s="10" t="s">
        <v>1464</v>
      </c>
      <c r="E108" s="20"/>
      <c r="F108" s="19"/>
      <c r="G108" s="19"/>
      <c r="H108" s="20"/>
      <c r="I108" s="23"/>
      <c r="J108" s="23"/>
      <c r="K108" s="23"/>
      <c r="L108" s="23"/>
    </row>
    <row r="109" s="1" customFormat="1" ht="26.4" spans="2:12">
      <c r="B109" s="19" t="s">
        <v>1465</v>
      </c>
      <c r="C109" s="19" t="s">
        <v>275</v>
      </c>
      <c r="D109" s="10" t="s">
        <v>1466</v>
      </c>
      <c r="E109" s="20"/>
      <c r="F109" s="19"/>
      <c r="G109" s="19"/>
      <c r="H109" s="20"/>
      <c r="I109" s="23"/>
      <c r="J109" s="23"/>
      <c r="K109" s="23"/>
      <c r="L109" s="23"/>
    </row>
    <row r="110" s="1" customFormat="1" ht="26.4" spans="2:12">
      <c r="B110" s="19" t="s">
        <v>1467</v>
      </c>
      <c r="C110" s="19" t="s">
        <v>275</v>
      </c>
      <c r="D110" s="10" t="s">
        <v>1468</v>
      </c>
      <c r="E110" s="20"/>
      <c r="F110" s="19"/>
      <c r="G110" s="19"/>
      <c r="H110" s="20"/>
      <c r="I110" s="23"/>
      <c r="J110" s="23"/>
      <c r="K110" s="23"/>
      <c r="L110" s="23"/>
    </row>
    <row r="111" s="1" customFormat="1" ht="26.4" spans="2:12">
      <c r="B111" s="19" t="s">
        <v>1469</v>
      </c>
      <c r="C111" s="19" t="s">
        <v>275</v>
      </c>
      <c r="D111" s="10" t="s">
        <v>1470</v>
      </c>
      <c r="E111" s="20"/>
      <c r="F111" s="19"/>
      <c r="G111" s="19"/>
      <c r="H111" s="20"/>
      <c r="I111" s="23"/>
      <c r="J111" s="23"/>
      <c r="K111" s="23"/>
      <c r="L111" s="23"/>
    </row>
    <row r="112" s="1" customFormat="1" ht="26.4" spans="2:12">
      <c r="B112" s="19" t="s">
        <v>1471</v>
      </c>
      <c r="C112" s="19" t="s">
        <v>275</v>
      </c>
      <c r="D112" s="10" t="s">
        <v>1472</v>
      </c>
      <c r="E112" s="20"/>
      <c r="F112" s="19"/>
      <c r="G112" s="19"/>
      <c r="H112" s="20"/>
      <c r="I112" s="23"/>
      <c r="J112" s="23"/>
      <c r="K112" s="23"/>
      <c r="L112" s="23"/>
    </row>
    <row r="113" s="1" customFormat="1" ht="26.4" spans="2:12">
      <c r="B113" s="19" t="s">
        <v>1473</v>
      </c>
      <c r="C113" s="19" t="s">
        <v>275</v>
      </c>
      <c r="D113" s="10" t="s">
        <v>1474</v>
      </c>
      <c r="E113" s="20"/>
      <c r="F113" s="19"/>
      <c r="G113" s="19"/>
      <c r="H113" s="20"/>
      <c r="I113" s="23"/>
      <c r="J113" s="23"/>
      <c r="K113" s="23"/>
      <c r="L113" s="23"/>
    </row>
    <row r="114" s="1" customFormat="1" spans="2:12">
      <c r="B114" s="19" t="s">
        <v>1344</v>
      </c>
      <c r="C114" s="19" t="s">
        <v>275</v>
      </c>
      <c r="D114" s="10" t="s">
        <v>2138</v>
      </c>
      <c r="E114" s="20"/>
      <c r="F114" s="19"/>
      <c r="G114" s="19"/>
      <c r="H114" s="20"/>
      <c r="I114" s="23"/>
      <c r="J114" s="23"/>
      <c r="K114" s="23"/>
      <c r="L114" s="23"/>
    </row>
    <row r="115" s="1" customFormat="1" spans="2:12">
      <c r="B115" s="19" t="s">
        <v>1475</v>
      </c>
      <c r="C115" s="19" t="s">
        <v>275</v>
      </c>
      <c r="D115" s="10" t="s">
        <v>1476</v>
      </c>
      <c r="E115" s="20"/>
      <c r="F115" s="19"/>
      <c r="G115" s="19"/>
      <c r="H115" s="20"/>
      <c r="I115" s="23"/>
      <c r="J115" s="23"/>
      <c r="K115" s="23"/>
      <c r="L115" s="23"/>
    </row>
    <row r="116" s="1" customFormat="1" spans="2:12">
      <c r="B116" s="19" t="s">
        <v>1477</v>
      </c>
      <c r="C116" s="19" t="s">
        <v>275</v>
      </c>
      <c r="D116" s="10" t="s">
        <v>1478</v>
      </c>
      <c r="E116" s="20"/>
      <c r="F116" s="19"/>
      <c r="G116" s="19"/>
      <c r="H116" s="20"/>
      <c r="I116" s="23"/>
      <c r="J116" s="23"/>
      <c r="K116" s="23"/>
      <c r="L116" s="23"/>
    </row>
    <row r="117" s="1" customFormat="1" spans="2:12">
      <c r="B117" s="19" t="s">
        <v>1479</v>
      </c>
      <c r="C117" s="19" t="s">
        <v>275</v>
      </c>
      <c r="D117" s="10" t="s">
        <v>1480</v>
      </c>
      <c r="E117" s="20"/>
      <c r="F117" s="19"/>
      <c r="G117" s="19"/>
      <c r="H117" s="20"/>
      <c r="I117" s="23"/>
      <c r="J117" s="23"/>
      <c r="K117" s="23"/>
      <c r="L117" s="23"/>
    </row>
    <row r="118" s="1" customFormat="1" spans="2:12">
      <c r="B118" s="19" t="s">
        <v>1481</v>
      </c>
      <c r="C118" s="19" t="s">
        <v>275</v>
      </c>
      <c r="D118" s="10" t="s">
        <v>1482</v>
      </c>
      <c r="E118" s="20"/>
      <c r="F118" s="19"/>
      <c r="G118" s="19"/>
      <c r="H118" s="20"/>
      <c r="I118" s="23"/>
      <c r="J118" s="23"/>
      <c r="K118" s="23"/>
      <c r="L118" s="23"/>
    </row>
    <row r="119" s="1" customFormat="1" spans="2:12">
      <c r="B119" s="19" t="s">
        <v>1483</v>
      </c>
      <c r="C119" s="19" t="s">
        <v>275</v>
      </c>
      <c r="D119" s="10" t="s">
        <v>1484</v>
      </c>
      <c r="E119" s="20"/>
      <c r="F119" s="19"/>
      <c r="G119" s="19"/>
      <c r="H119" s="20"/>
      <c r="I119" s="23"/>
      <c r="J119" s="23"/>
      <c r="K119" s="23"/>
      <c r="L119" s="23"/>
    </row>
    <row r="120" s="1" customFormat="1" spans="2:12">
      <c r="B120" s="19" t="s">
        <v>1485</v>
      </c>
      <c r="C120" s="19" t="s">
        <v>275</v>
      </c>
      <c r="D120" s="10" t="s">
        <v>1486</v>
      </c>
      <c r="E120" s="20"/>
      <c r="F120" s="19"/>
      <c r="G120" s="19"/>
      <c r="H120" s="20"/>
      <c r="I120" s="23"/>
      <c r="J120" s="23"/>
      <c r="K120" s="23"/>
      <c r="L120" s="23"/>
    </row>
    <row r="121" s="1" customFormat="1" spans="2:12">
      <c r="B121" s="19" t="s">
        <v>1345</v>
      </c>
      <c r="C121" s="19" t="s">
        <v>275</v>
      </c>
      <c r="D121" s="10" t="s">
        <v>2139</v>
      </c>
      <c r="E121" s="20"/>
      <c r="F121" s="19"/>
      <c r="G121" s="19"/>
      <c r="H121" s="20"/>
      <c r="I121" s="23"/>
      <c r="J121" s="23"/>
      <c r="K121" s="23"/>
      <c r="L121" s="23"/>
    </row>
    <row r="122" s="1" customFormat="1" spans="2:12">
      <c r="B122" s="19" t="s">
        <v>1487</v>
      </c>
      <c r="C122" s="19" t="s">
        <v>275</v>
      </c>
      <c r="D122" s="10" t="s">
        <v>1488</v>
      </c>
      <c r="E122" s="20"/>
      <c r="F122" s="19"/>
      <c r="G122" s="19"/>
      <c r="H122" s="20"/>
      <c r="I122" s="23"/>
      <c r="J122" s="23"/>
      <c r="K122" s="23"/>
      <c r="L122" s="23"/>
    </row>
    <row r="123" s="1" customFormat="1" spans="2:12">
      <c r="B123" s="19" t="s">
        <v>1489</v>
      </c>
      <c r="C123" s="19" t="s">
        <v>275</v>
      </c>
      <c r="D123" s="10" t="s">
        <v>1490</v>
      </c>
      <c r="E123" s="20"/>
      <c r="F123" s="19"/>
      <c r="G123" s="19"/>
      <c r="H123" s="20"/>
      <c r="I123" s="23"/>
      <c r="J123" s="23"/>
      <c r="K123" s="23"/>
      <c r="L123" s="23"/>
    </row>
    <row r="124" s="1" customFormat="1" spans="2:12">
      <c r="B124" s="19" t="s">
        <v>1491</v>
      </c>
      <c r="C124" s="19" t="s">
        <v>275</v>
      </c>
      <c r="D124" s="10" t="s">
        <v>1492</v>
      </c>
      <c r="E124" s="20"/>
      <c r="F124" s="19"/>
      <c r="G124" s="19"/>
      <c r="H124" s="20"/>
      <c r="I124" s="23"/>
      <c r="J124" s="23"/>
      <c r="K124" s="23"/>
      <c r="L124" s="23"/>
    </row>
    <row r="125" s="1" customFormat="1" spans="2:12">
      <c r="B125" s="19" t="s">
        <v>1493</v>
      </c>
      <c r="C125" s="19" t="s">
        <v>275</v>
      </c>
      <c r="D125" s="10" t="s">
        <v>1494</v>
      </c>
      <c r="E125" s="20"/>
      <c r="F125" s="19"/>
      <c r="G125" s="19"/>
      <c r="H125" s="20"/>
      <c r="I125" s="23"/>
      <c r="J125" s="23"/>
      <c r="K125" s="23"/>
      <c r="L125" s="23"/>
    </row>
    <row r="126" s="1" customFormat="1" spans="2:12">
      <c r="B126" s="19" t="s">
        <v>1495</v>
      </c>
      <c r="C126" s="19" t="s">
        <v>275</v>
      </c>
      <c r="D126" s="10" t="s">
        <v>1496</v>
      </c>
      <c r="E126" s="20"/>
      <c r="F126" s="19"/>
      <c r="G126" s="19"/>
      <c r="H126" s="20"/>
      <c r="I126" s="23"/>
      <c r="J126" s="23"/>
      <c r="K126" s="23"/>
      <c r="L126" s="23"/>
    </row>
    <row r="127" s="1" customFormat="1" spans="2:12">
      <c r="B127" s="19" t="s">
        <v>1497</v>
      </c>
      <c r="C127" s="19" t="s">
        <v>275</v>
      </c>
      <c r="D127" s="10" t="s">
        <v>1498</v>
      </c>
      <c r="E127" s="20"/>
      <c r="F127" s="19"/>
      <c r="G127" s="19"/>
      <c r="H127" s="20"/>
      <c r="I127" s="23"/>
      <c r="J127" s="23"/>
      <c r="K127" s="23"/>
      <c r="L127" s="23"/>
    </row>
    <row r="128" s="1" customFormat="1" spans="2:12">
      <c r="B128" s="19" t="s">
        <v>1790</v>
      </c>
      <c r="C128" s="19" t="s">
        <v>275</v>
      </c>
      <c r="D128" s="10" t="s">
        <v>1791</v>
      </c>
      <c r="E128" s="20"/>
      <c r="F128" s="19"/>
      <c r="G128" s="19"/>
      <c r="H128" s="20"/>
      <c r="I128" s="23"/>
      <c r="J128" s="23"/>
      <c r="K128" s="23"/>
      <c r="L128" s="23"/>
    </row>
    <row r="129" s="1" customFormat="1" spans="2:12">
      <c r="B129" s="19" t="s">
        <v>1792</v>
      </c>
      <c r="C129" s="19" t="s">
        <v>275</v>
      </c>
      <c r="D129" s="10" t="s">
        <v>1793</v>
      </c>
      <c r="E129" s="20"/>
      <c r="F129" s="19"/>
      <c r="G129" s="19"/>
      <c r="H129" s="20"/>
      <c r="I129" s="23"/>
      <c r="J129" s="23"/>
      <c r="K129" s="23"/>
      <c r="L129" s="23"/>
    </row>
    <row r="130" s="1" customFormat="1" ht="26.4" spans="2:12">
      <c r="B130" s="19" t="s">
        <v>1347</v>
      </c>
      <c r="C130" s="19" t="s">
        <v>275</v>
      </c>
      <c r="D130" s="10" t="s">
        <v>2140</v>
      </c>
      <c r="E130" s="20"/>
      <c r="F130" s="19"/>
      <c r="G130" s="19"/>
      <c r="H130" s="20"/>
      <c r="I130" s="23"/>
      <c r="J130" s="23"/>
      <c r="K130" s="23"/>
      <c r="L130" s="23"/>
    </row>
    <row r="131" s="1" customFormat="1" ht="26.4" spans="2:12">
      <c r="B131" s="19" t="s">
        <v>1794</v>
      </c>
      <c r="C131" s="19" t="s">
        <v>275</v>
      </c>
      <c r="D131" s="10" t="s">
        <v>1795</v>
      </c>
      <c r="E131" s="20"/>
      <c r="F131" s="19"/>
      <c r="G131" s="19"/>
      <c r="H131" s="20"/>
      <c r="I131" s="23"/>
      <c r="J131" s="23"/>
      <c r="K131" s="23"/>
      <c r="L131" s="23"/>
    </row>
    <row r="132" s="1" customFormat="1" ht="26.4" spans="2:12">
      <c r="B132" s="19" t="s">
        <v>1499</v>
      </c>
      <c r="C132" s="19" t="s">
        <v>275</v>
      </c>
      <c r="D132" s="10" t="s">
        <v>1500</v>
      </c>
      <c r="E132" s="20"/>
      <c r="F132" s="19"/>
      <c r="G132" s="19"/>
      <c r="H132" s="20"/>
      <c r="I132" s="23"/>
      <c r="J132" s="23"/>
      <c r="K132" s="23"/>
      <c r="L132" s="23"/>
    </row>
    <row r="133" s="1" customFormat="1" ht="26.4" spans="2:12">
      <c r="B133" s="19" t="s">
        <v>1501</v>
      </c>
      <c r="C133" s="19" t="s">
        <v>275</v>
      </c>
      <c r="D133" s="10" t="s">
        <v>1502</v>
      </c>
      <c r="E133" s="20"/>
      <c r="F133" s="19"/>
      <c r="G133" s="19"/>
      <c r="H133" s="20"/>
      <c r="I133" s="23"/>
      <c r="J133" s="23"/>
      <c r="K133" s="23"/>
      <c r="L133" s="23"/>
    </row>
    <row r="134" s="1" customFormat="1" ht="26.4" spans="2:12">
      <c r="B134" s="19" t="s">
        <v>1503</v>
      </c>
      <c r="C134" s="19" t="s">
        <v>275</v>
      </c>
      <c r="D134" s="10" t="s">
        <v>1504</v>
      </c>
      <c r="E134" s="20"/>
      <c r="F134" s="19"/>
      <c r="G134" s="19"/>
      <c r="H134" s="20"/>
      <c r="I134" s="23"/>
      <c r="J134" s="23"/>
      <c r="K134" s="23"/>
      <c r="L134" s="23"/>
    </row>
    <row r="135" s="1" customFormat="1" ht="26.4" spans="2:12">
      <c r="B135" s="19" t="s">
        <v>1505</v>
      </c>
      <c r="C135" s="19" t="s">
        <v>275</v>
      </c>
      <c r="D135" s="10" t="s">
        <v>1506</v>
      </c>
      <c r="E135" s="20"/>
      <c r="F135" s="19"/>
      <c r="G135" s="19"/>
      <c r="H135" s="20"/>
      <c r="I135" s="23"/>
      <c r="J135" s="23"/>
      <c r="K135" s="23"/>
      <c r="L135" s="23"/>
    </row>
    <row r="136" s="1" customFormat="1" ht="26.4" spans="2:12">
      <c r="B136" s="19" t="s">
        <v>1507</v>
      </c>
      <c r="C136" s="19" t="s">
        <v>275</v>
      </c>
      <c r="D136" s="10" t="s">
        <v>1508</v>
      </c>
      <c r="E136" s="20"/>
      <c r="F136" s="19"/>
      <c r="G136" s="19"/>
      <c r="H136" s="20"/>
      <c r="I136" s="23"/>
      <c r="J136" s="23"/>
      <c r="K136" s="23"/>
      <c r="L136" s="23"/>
    </row>
    <row r="137" s="1" customFormat="1" ht="26.4" spans="2:12">
      <c r="B137" s="19" t="s">
        <v>1509</v>
      </c>
      <c r="C137" s="19" t="s">
        <v>275</v>
      </c>
      <c r="D137" s="10" t="s">
        <v>1510</v>
      </c>
      <c r="E137" s="20"/>
      <c r="F137" s="19"/>
      <c r="G137" s="19"/>
      <c r="H137" s="20"/>
      <c r="I137" s="23"/>
      <c r="J137" s="23"/>
      <c r="K137" s="23"/>
      <c r="L137" s="23"/>
    </row>
    <row r="138" s="1" customFormat="1" ht="26.4" spans="2:12">
      <c r="B138" s="19" t="s">
        <v>1349</v>
      </c>
      <c r="C138" s="19" t="s">
        <v>275</v>
      </c>
      <c r="D138" s="10" t="s">
        <v>2141</v>
      </c>
      <c r="E138" s="20"/>
      <c r="F138" s="19"/>
      <c r="G138" s="19"/>
      <c r="H138" s="20"/>
      <c r="I138" s="23"/>
      <c r="J138" s="23"/>
      <c r="K138" s="23"/>
      <c r="L138" s="23"/>
    </row>
    <row r="139" s="1" customFormat="1" ht="26.4" spans="2:12">
      <c r="B139" s="19" t="s">
        <v>1796</v>
      </c>
      <c r="C139" s="19" t="s">
        <v>275</v>
      </c>
      <c r="D139" s="10" t="s">
        <v>1797</v>
      </c>
      <c r="E139" s="20"/>
      <c r="F139" s="19"/>
      <c r="G139" s="19"/>
      <c r="H139" s="20"/>
      <c r="I139" s="23"/>
      <c r="J139" s="23"/>
      <c r="K139" s="23"/>
      <c r="L139" s="23"/>
    </row>
    <row r="140" s="1" customFormat="1" ht="26.4" spans="2:12">
      <c r="B140" s="19" t="s">
        <v>1511</v>
      </c>
      <c r="C140" s="19" t="s">
        <v>275</v>
      </c>
      <c r="D140" s="10" t="s">
        <v>1512</v>
      </c>
      <c r="E140" s="20"/>
      <c r="F140" s="19"/>
      <c r="G140" s="19"/>
      <c r="H140" s="20"/>
      <c r="I140" s="23"/>
      <c r="J140" s="23"/>
      <c r="K140" s="23"/>
      <c r="L140" s="23"/>
    </row>
    <row r="141" s="1" customFormat="1" ht="26.4" spans="2:12">
      <c r="B141" s="19" t="s">
        <v>1513</v>
      </c>
      <c r="C141" s="19" t="s">
        <v>275</v>
      </c>
      <c r="D141" s="10" t="s">
        <v>1514</v>
      </c>
      <c r="E141" s="20"/>
      <c r="F141" s="19"/>
      <c r="G141" s="19"/>
      <c r="H141" s="20"/>
      <c r="I141" s="23"/>
      <c r="J141" s="23"/>
      <c r="K141" s="23"/>
      <c r="L141" s="23"/>
    </row>
    <row r="142" s="1" customFormat="1" ht="26.4" spans="2:12">
      <c r="B142" s="19" t="s">
        <v>1515</v>
      </c>
      <c r="C142" s="19" t="s">
        <v>275</v>
      </c>
      <c r="D142" s="10" t="s">
        <v>1516</v>
      </c>
      <c r="E142" s="20"/>
      <c r="F142" s="19"/>
      <c r="G142" s="19"/>
      <c r="H142" s="20"/>
      <c r="I142" s="23"/>
      <c r="J142" s="23"/>
      <c r="K142" s="23"/>
      <c r="L142" s="23"/>
    </row>
    <row r="143" s="1" customFormat="1" ht="26.4" spans="2:12">
      <c r="B143" s="19" t="s">
        <v>1517</v>
      </c>
      <c r="C143" s="19" t="s">
        <v>275</v>
      </c>
      <c r="D143" s="10" t="s">
        <v>1518</v>
      </c>
      <c r="E143" s="20"/>
      <c r="F143" s="19"/>
      <c r="G143" s="19"/>
      <c r="H143" s="20"/>
      <c r="I143" s="23"/>
      <c r="J143" s="23"/>
      <c r="K143" s="23"/>
      <c r="L143" s="23"/>
    </row>
    <row r="144" s="1" customFormat="1" ht="26.4" spans="2:12">
      <c r="B144" s="19" t="s">
        <v>1519</v>
      </c>
      <c r="C144" s="19" t="s">
        <v>275</v>
      </c>
      <c r="D144" s="10" t="s">
        <v>1520</v>
      </c>
      <c r="E144" s="20"/>
      <c r="F144" s="19"/>
      <c r="G144" s="19"/>
      <c r="H144" s="20"/>
      <c r="I144" s="23"/>
      <c r="J144" s="23"/>
      <c r="K144" s="23"/>
      <c r="L144" s="23"/>
    </row>
    <row r="145" s="1" customFormat="1" ht="26.4" spans="2:12">
      <c r="B145" s="19" t="s">
        <v>1521</v>
      </c>
      <c r="C145" s="19" t="s">
        <v>275</v>
      </c>
      <c r="D145" s="10" t="s">
        <v>1522</v>
      </c>
      <c r="E145" s="20"/>
      <c r="F145" s="19"/>
      <c r="G145" s="19"/>
      <c r="H145" s="20"/>
      <c r="I145" s="23"/>
      <c r="J145" s="23"/>
      <c r="K145" s="23"/>
      <c r="L145" s="23"/>
    </row>
    <row r="146" s="1" customFormat="1" spans="2:12">
      <c r="B146" s="19" t="s">
        <v>2142</v>
      </c>
      <c r="C146" s="19" t="s">
        <v>275</v>
      </c>
      <c r="D146" s="10" t="s">
        <v>2143</v>
      </c>
      <c r="E146" s="20"/>
      <c r="F146" s="19"/>
      <c r="G146" s="19"/>
      <c r="H146" s="20"/>
      <c r="I146" s="23"/>
      <c r="J146" s="23"/>
      <c r="K146" s="23"/>
      <c r="L146" s="23"/>
    </row>
    <row r="147" s="1" customFormat="1" spans="2:12">
      <c r="B147" s="19" t="s">
        <v>2144</v>
      </c>
      <c r="C147" s="19" t="s">
        <v>275</v>
      </c>
      <c r="D147" s="10" t="s">
        <v>2145</v>
      </c>
      <c r="E147" s="20"/>
      <c r="F147" s="19"/>
      <c r="G147" s="19"/>
      <c r="H147" s="20"/>
      <c r="I147" s="23"/>
      <c r="J147" s="23"/>
      <c r="K147" s="23"/>
      <c r="L147" s="23"/>
    </row>
    <row r="148" s="1" customFormat="1" spans="2:12">
      <c r="B148" s="19" t="s">
        <v>2146</v>
      </c>
      <c r="C148" s="19" t="s">
        <v>275</v>
      </c>
      <c r="D148" s="10" t="s">
        <v>2147</v>
      </c>
      <c r="E148" s="20"/>
      <c r="F148" s="19"/>
      <c r="G148" s="19"/>
      <c r="H148" s="20"/>
      <c r="I148" s="23"/>
      <c r="J148" s="23"/>
      <c r="K148" s="23"/>
      <c r="L148" s="23"/>
    </row>
    <row r="149" s="1" customFormat="1" spans="2:12">
      <c r="B149" s="19" t="s">
        <v>2148</v>
      </c>
      <c r="C149" s="19" t="s">
        <v>275</v>
      </c>
      <c r="D149" s="10" t="s">
        <v>2149</v>
      </c>
      <c r="E149" s="20"/>
      <c r="F149" s="19"/>
      <c r="G149" s="19"/>
      <c r="H149" s="20"/>
      <c r="I149" s="23"/>
      <c r="J149" s="23"/>
      <c r="K149" s="23"/>
      <c r="L149" s="23"/>
    </row>
    <row r="150" s="1" customFormat="1" spans="2:12">
      <c r="B150" s="19" t="s">
        <v>2150</v>
      </c>
      <c r="C150" s="19" t="s">
        <v>275</v>
      </c>
      <c r="D150" s="10" t="s">
        <v>2151</v>
      </c>
      <c r="E150" s="20"/>
      <c r="F150" s="19"/>
      <c r="G150" s="19"/>
      <c r="H150" s="20"/>
      <c r="I150" s="23"/>
      <c r="J150" s="23"/>
      <c r="K150" s="23"/>
      <c r="L150" s="23"/>
    </row>
    <row r="151" s="1" customFormat="1" spans="2:12">
      <c r="B151" s="19" t="s">
        <v>2152</v>
      </c>
      <c r="C151" s="19" t="s">
        <v>275</v>
      </c>
      <c r="D151" s="10" t="s">
        <v>2153</v>
      </c>
      <c r="E151" s="20"/>
      <c r="F151" s="19"/>
      <c r="G151" s="19"/>
      <c r="H151" s="20"/>
      <c r="I151" s="23"/>
      <c r="J151" s="23"/>
      <c r="K151" s="23"/>
      <c r="L151" s="23"/>
    </row>
    <row r="152" s="1" customFormat="1" spans="2:12">
      <c r="B152" s="19" t="s">
        <v>2154</v>
      </c>
      <c r="C152" s="19" t="s">
        <v>275</v>
      </c>
      <c r="D152" s="10" t="s">
        <v>2155</v>
      </c>
      <c r="E152" s="20"/>
      <c r="F152" s="19"/>
      <c r="G152" s="19"/>
      <c r="H152" s="20"/>
      <c r="I152" s="23"/>
      <c r="J152" s="23"/>
      <c r="K152" s="23"/>
      <c r="L152" s="23"/>
    </row>
    <row r="153" s="1" customFormat="1" ht="26.4" spans="2:12">
      <c r="B153" s="19" t="s">
        <v>2156</v>
      </c>
      <c r="C153" s="19" t="s">
        <v>275</v>
      </c>
      <c r="D153" s="10" t="s">
        <v>2157</v>
      </c>
      <c r="E153" s="20"/>
      <c r="F153" s="19"/>
      <c r="G153" s="19"/>
      <c r="H153" s="20"/>
      <c r="I153" s="23"/>
      <c r="J153" s="23"/>
      <c r="K153" s="23"/>
      <c r="L153" s="23"/>
    </row>
    <row r="154" s="1" customFormat="1" ht="26.4" spans="2:12">
      <c r="B154" s="19" t="s">
        <v>2158</v>
      </c>
      <c r="C154" s="19" t="s">
        <v>275</v>
      </c>
      <c r="D154" s="10" t="s">
        <v>2159</v>
      </c>
      <c r="E154" s="20"/>
      <c r="F154" s="19"/>
      <c r="G154" s="19"/>
      <c r="H154" s="20"/>
      <c r="I154" s="23"/>
      <c r="J154" s="23"/>
      <c r="K154" s="23"/>
      <c r="L154" s="23"/>
    </row>
    <row r="155" s="1" customFormat="1" ht="26.4" spans="2:12">
      <c r="B155" s="19" t="s">
        <v>2160</v>
      </c>
      <c r="C155" s="19" t="s">
        <v>275</v>
      </c>
      <c r="D155" s="10" t="s">
        <v>2161</v>
      </c>
      <c r="E155" s="20"/>
      <c r="F155" s="19"/>
      <c r="G155" s="19"/>
      <c r="H155" s="20"/>
      <c r="I155" s="23"/>
      <c r="J155" s="23"/>
      <c r="K155" s="23"/>
      <c r="L155" s="23"/>
    </row>
    <row r="156" s="1" customFormat="1" ht="26.4" spans="2:12">
      <c r="B156" s="19" t="s">
        <v>2162</v>
      </c>
      <c r="C156" s="19" t="s">
        <v>275</v>
      </c>
      <c r="D156" s="10" t="s">
        <v>2163</v>
      </c>
      <c r="E156" s="20"/>
      <c r="F156" s="19"/>
      <c r="G156" s="19"/>
      <c r="H156" s="20"/>
      <c r="I156" s="23"/>
      <c r="J156" s="23"/>
      <c r="K156" s="23"/>
      <c r="L156" s="23"/>
    </row>
    <row r="157" s="1" customFormat="1" ht="26.4" spans="2:12">
      <c r="B157" s="19" t="s">
        <v>2164</v>
      </c>
      <c r="C157" s="19" t="s">
        <v>275</v>
      </c>
      <c r="D157" s="10" t="s">
        <v>2165</v>
      </c>
      <c r="E157" s="20"/>
      <c r="F157" s="19"/>
      <c r="G157" s="19"/>
      <c r="H157" s="20"/>
      <c r="I157" s="23"/>
      <c r="J157" s="23"/>
      <c r="K157" s="23"/>
      <c r="L157" s="23"/>
    </row>
    <row r="158" s="1" customFormat="1" ht="26.4" spans="2:12">
      <c r="B158" s="19" t="s">
        <v>2166</v>
      </c>
      <c r="C158" s="19" t="s">
        <v>275</v>
      </c>
      <c r="D158" s="10" t="s">
        <v>2167</v>
      </c>
      <c r="E158" s="20"/>
      <c r="F158" s="19"/>
      <c r="G158" s="19"/>
      <c r="H158" s="20"/>
      <c r="I158" s="23"/>
      <c r="J158" s="23"/>
      <c r="K158" s="23"/>
      <c r="L158" s="23"/>
    </row>
    <row r="159" s="1" customFormat="1" ht="26.4" spans="2:12">
      <c r="B159" s="19" t="s">
        <v>2168</v>
      </c>
      <c r="C159" s="19" t="s">
        <v>275</v>
      </c>
      <c r="D159" s="10" t="s">
        <v>2169</v>
      </c>
      <c r="E159" s="20"/>
      <c r="F159" s="19"/>
      <c r="G159" s="19"/>
      <c r="H159" s="20"/>
      <c r="I159" s="23"/>
      <c r="J159" s="23"/>
      <c r="K159" s="23"/>
      <c r="L159" s="23"/>
    </row>
    <row r="160" s="1" customFormat="1" spans="2:12">
      <c r="B160" s="19" t="s">
        <v>2170</v>
      </c>
      <c r="C160" s="19" t="s">
        <v>275</v>
      </c>
      <c r="D160" s="10" t="s">
        <v>2171</v>
      </c>
      <c r="E160" s="20"/>
      <c r="F160" s="19"/>
      <c r="G160" s="19"/>
      <c r="H160" s="20"/>
      <c r="I160" s="23"/>
      <c r="J160" s="23"/>
      <c r="K160" s="23"/>
      <c r="L160" s="23"/>
    </row>
    <row r="161" s="1" customFormat="1" spans="2:12">
      <c r="B161" s="19" t="s">
        <v>2172</v>
      </c>
      <c r="C161" s="19" t="s">
        <v>275</v>
      </c>
      <c r="D161" s="10" t="s">
        <v>2173</v>
      </c>
      <c r="E161" s="20"/>
      <c r="F161" s="19"/>
      <c r="G161" s="19"/>
      <c r="H161" s="20"/>
      <c r="I161" s="23"/>
      <c r="J161" s="23"/>
      <c r="K161" s="23"/>
      <c r="L161" s="23"/>
    </row>
    <row r="162" s="1" customFormat="1" spans="2:12">
      <c r="B162" s="19" t="s">
        <v>2174</v>
      </c>
      <c r="C162" s="19" t="s">
        <v>275</v>
      </c>
      <c r="D162" s="10" t="s">
        <v>2175</v>
      </c>
      <c r="E162" s="20"/>
      <c r="F162" s="19"/>
      <c r="G162" s="19"/>
      <c r="H162" s="20"/>
      <c r="I162" s="23"/>
      <c r="J162" s="23"/>
      <c r="K162" s="23"/>
      <c r="L162" s="23"/>
    </row>
    <row r="163" s="1" customFormat="1" spans="2:12">
      <c r="B163" s="19" t="s">
        <v>2176</v>
      </c>
      <c r="C163" s="19" t="s">
        <v>275</v>
      </c>
      <c r="D163" s="10" t="s">
        <v>2177</v>
      </c>
      <c r="E163" s="20"/>
      <c r="F163" s="19"/>
      <c r="G163" s="19"/>
      <c r="H163" s="20"/>
      <c r="I163" s="23"/>
      <c r="J163" s="23"/>
      <c r="K163" s="23"/>
      <c r="L163" s="23"/>
    </row>
    <row r="164" s="1" customFormat="1" spans="2:12">
      <c r="B164" s="19" t="s">
        <v>2178</v>
      </c>
      <c r="C164" s="19" t="s">
        <v>275</v>
      </c>
      <c r="D164" s="10" t="s">
        <v>2179</v>
      </c>
      <c r="E164" s="20"/>
      <c r="F164" s="19"/>
      <c r="G164" s="19"/>
      <c r="H164" s="20"/>
      <c r="I164" s="23"/>
      <c r="J164" s="23"/>
      <c r="K164" s="23"/>
      <c r="L164" s="23"/>
    </row>
    <row r="165" s="1" customFormat="1" spans="2:12">
      <c r="B165" s="19" t="s">
        <v>2180</v>
      </c>
      <c r="C165" s="19" t="s">
        <v>275</v>
      </c>
      <c r="D165" s="10" t="s">
        <v>2181</v>
      </c>
      <c r="E165" s="20"/>
      <c r="F165" s="19"/>
      <c r="G165" s="19"/>
      <c r="H165" s="20"/>
      <c r="I165" s="23"/>
      <c r="J165" s="23"/>
      <c r="K165" s="23"/>
      <c r="L165" s="23"/>
    </row>
    <row r="166" s="1" customFormat="1" spans="2:12">
      <c r="B166" s="19" t="s">
        <v>2182</v>
      </c>
      <c r="C166" s="19" t="s">
        <v>275</v>
      </c>
      <c r="D166" s="10" t="s">
        <v>2183</v>
      </c>
      <c r="E166" s="20"/>
      <c r="F166" s="19"/>
      <c r="G166" s="19"/>
      <c r="H166" s="20"/>
      <c r="I166" s="23"/>
      <c r="J166" s="23"/>
      <c r="K166" s="23"/>
      <c r="L166" s="23"/>
    </row>
    <row r="167" s="1" customFormat="1" spans="2:12">
      <c r="B167" s="19" t="s">
        <v>2198</v>
      </c>
      <c r="C167" s="19" t="s">
        <v>275</v>
      </c>
      <c r="D167" s="10" t="s">
        <v>2199</v>
      </c>
      <c r="E167" s="20"/>
      <c r="F167" s="19"/>
      <c r="G167" s="19"/>
      <c r="H167" s="20"/>
      <c r="I167" s="23"/>
      <c r="J167" s="23"/>
      <c r="K167" s="23"/>
      <c r="L167" s="23"/>
    </row>
    <row r="168" s="1" customFormat="1" spans="2:12">
      <c r="B168" s="19" t="s">
        <v>2200</v>
      </c>
      <c r="C168" s="19" t="s">
        <v>275</v>
      </c>
      <c r="D168" s="10" t="s">
        <v>2201</v>
      </c>
      <c r="E168" s="20"/>
      <c r="F168" s="19"/>
      <c r="G168" s="19"/>
      <c r="H168" s="20"/>
      <c r="I168" s="23"/>
      <c r="J168" s="23"/>
      <c r="K168" s="23"/>
      <c r="L168" s="23"/>
    </row>
    <row r="169" s="1" customFormat="1" spans="2:12">
      <c r="B169" s="19" t="s">
        <v>2202</v>
      </c>
      <c r="C169" s="19" t="s">
        <v>275</v>
      </c>
      <c r="D169" s="10" t="s">
        <v>2203</v>
      </c>
      <c r="E169" s="20"/>
      <c r="F169" s="19"/>
      <c r="G169" s="19"/>
      <c r="H169" s="20"/>
      <c r="I169" s="23"/>
      <c r="J169" s="23"/>
      <c r="K169" s="23"/>
      <c r="L169" s="23"/>
    </row>
    <row r="170" s="1" customFormat="1" spans="2:12">
      <c r="B170" s="19" t="s">
        <v>2204</v>
      </c>
      <c r="C170" s="19" t="s">
        <v>275</v>
      </c>
      <c r="D170" s="10" t="s">
        <v>2205</v>
      </c>
      <c r="E170" s="20"/>
      <c r="F170" s="19"/>
      <c r="G170" s="19"/>
      <c r="H170" s="20"/>
      <c r="I170" s="23"/>
      <c r="J170" s="23"/>
      <c r="K170" s="23"/>
      <c r="L170" s="23"/>
    </row>
    <row r="171" s="1" customFormat="1" spans="2:12">
      <c r="B171" s="19" t="s">
        <v>2206</v>
      </c>
      <c r="C171" s="19" t="s">
        <v>275</v>
      </c>
      <c r="D171" s="10" t="s">
        <v>2207</v>
      </c>
      <c r="E171" s="20"/>
      <c r="F171" s="19"/>
      <c r="G171" s="19"/>
      <c r="H171" s="20"/>
      <c r="I171" s="23"/>
      <c r="J171" s="23"/>
      <c r="K171" s="23"/>
      <c r="L171" s="23"/>
    </row>
    <row r="172" s="1" customFormat="1" spans="2:12">
      <c r="B172" s="19" t="s">
        <v>2208</v>
      </c>
      <c r="C172" s="19" t="s">
        <v>275</v>
      </c>
      <c r="D172" s="10" t="s">
        <v>2209</v>
      </c>
      <c r="E172" s="20"/>
      <c r="F172" s="19"/>
      <c r="G172" s="19"/>
      <c r="H172" s="20"/>
      <c r="I172" s="23"/>
      <c r="J172" s="23"/>
      <c r="K172" s="23"/>
      <c r="L172" s="23"/>
    </row>
    <row r="173" s="1" customFormat="1" spans="2:12">
      <c r="B173" s="19" t="s">
        <v>2210</v>
      </c>
      <c r="C173" s="19" t="s">
        <v>275</v>
      </c>
      <c r="D173" s="10" t="s">
        <v>2211</v>
      </c>
      <c r="E173" s="20"/>
      <c r="F173" s="19"/>
      <c r="G173" s="19"/>
      <c r="H173" s="20"/>
      <c r="I173" s="23"/>
      <c r="J173" s="23"/>
      <c r="K173" s="23"/>
      <c r="L173" s="23"/>
    </row>
    <row r="174" s="1" customFormat="1" spans="2:12">
      <c r="B174" s="19" t="s">
        <v>2212</v>
      </c>
      <c r="C174" s="19" t="s">
        <v>275</v>
      </c>
      <c r="D174" s="10" t="s">
        <v>2213</v>
      </c>
      <c r="E174" s="20"/>
      <c r="F174" s="19"/>
      <c r="G174" s="19"/>
      <c r="H174" s="20"/>
      <c r="I174" s="23"/>
      <c r="J174" s="23"/>
      <c r="K174" s="23"/>
      <c r="L174" s="23"/>
    </row>
    <row r="175" s="1" customFormat="1" spans="2:12">
      <c r="B175" s="19" t="s">
        <v>2214</v>
      </c>
      <c r="C175" s="19" t="s">
        <v>275</v>
      </c>
      <c r="D175" s="10" t="s">
        <v>2215</v>
      </c>
      <c r="E175" s="20"/>
      <c r="F175" s="19"/>
      <c r="G175" s="19"/>
      <c r="H175" s="20"/>
      <c r="I175" s="23"/>
      <c r="J175" s="23"/>
      <c r="K175" s="23"/>
      <c r="L175" s="23"/>
    </row>
    <row r="176" s="1" customFormat="1" spans="2:12">
      <c r="B176" s="19" t="s">
        <v>2216</v>
      </c>
      <c r="C176" s="19" t="s">
        <v>275</v>
      </c>
      <c r="D176" s="10" t="s">
        <v>2217</v>
      </c>
      <c r="E176" s="20"/>
      <c r="F176" s="19"/>
      <c r="G176" s="19"/>
      <c r="H176" s="20"/>
      <c r="I176" s="23"/>
      <c r="J176" s="23"/>
      <c r="K176" s="23"/>
      <c r="L176" s="23"/>
    </row>
    <row r="177" s="1" customFormat="1" spans="2:12">
      <c r="B177" s="19" t="s">
        <v>2218</v>
      </c>
      <c r="C177" s="19" t="s">
        <v>275</v>
      </c>
      <c r="D177" s="10" t="s">
        <v>2219</v>
      </c>
      <c r="E177" s="20"/>
      <c r="F177" s="19"/>
      <c r="G177" s="19"/>
      <c r="H177" s="20"/>
      <c r="I177" s="23"/>
      <c r="J177" s="23"/>
      <c r="K177" s="23"/>
      <c r="L177" s="23"/>
    </row>
    <row r="178" s="1" customFormat="1" spans="2:12">
      <c r="B178" s="19" t="s">
        <v>2220</v>
      </c>
      <c r="C178" s="19" t="s">
        <v>275</v>
      </c>
      <c r="D178" s="10" t="s">
        <v>2221</v>
      </c>
      <c r="E178" s="20"/>
      <c r="F178" s="19"/>
      <c r="G178" s="19"/>
      <c r="H178" s="20"/>
      <c r="I178" s="23"/>
      <c r="J178" s="23"/>
      <c r="K178" s="23"/>
      <c r="L178" s="23"/>
    </row>
    <row r="179" s="1" customFormat="1" spans="2:12">
      <c r="B179" s="19" t="s">
        <v>2222</v>
      </c>
      <c r="C179" s="19" t="s">
        <v>275</v>
      </c>
      <c r="D179" s="10" t="s">
        <v>2223</v>
      </c>
      <c r="E179" s="20"/>
      <c r="F179" s="19"/>
      <c r="G179" s="19"/>
      <c r="H179" s="20"/>
      <c r="I179" s="23"/>
      <c r="J179" s="23"/>
      <c r="K179" s="23"/>
      <c r="L179" s="23"/>
    </row>
    <row r="180" s="1" customFormat="1" spans="2:12">
      <c r="B180" s="19" t="s">
        <v>2224</v>
      </c>
      <c r="C180" s="19" t="s">
        <v>275</v>
      </c>
      <c r="D180" s="10" t="s">
        <v>2225</v>
      </c>
      <c r="E180" s="20"/>
      <c r="F180" s="19"/>
      <c r="G180" s="19"/>
      <c r="H180" s="20"/>
      <c r="I180" s="23"/>
      <c r="J180" s="23"/>
      <c r="K180" s="23"/>
      <c r="L180" s="23"/>
    </row>
    <row r="181" s="1" customFormat="1" spans="2:12">
      <c r="B181" s="19" t="s">
        <v>2226</v>
      </c>
      <c r="C181" s="19" t="s">
        <v>275</v>
      </c>
      <c r="D181" s="10" t="s">
        <v>2227</v>
      </c>
      <c r="E181" s="20"/>
      <c r="F181" s="19"/>
      <c r="G181" s="19"/>
      <c r="H181" s="20"/>
      <c r="I181" s="23"/>
      <c r="J181" s="23"/>
      <c r="K181" s="23"/>
      <c r="L181" s="23"/>
    </row>
    <row r="182" s="1" customFormat="1" ht="26.4" spans="2:12">
      <c r="B182" s="19" t="s">
        <v>2228</v>
      </c>
      <c r="C182" s="19" t="s">
        <v>275</v>
      </c>
      <c r="D182" s="10" t="s">
        <v>2229</v>
      </c>
      <c r="E182" s="20"/>
      <c r="F182" s="19"/>
      <c r="G182" s="19"/>
      <c r="H182" s="20"/>
      <c r="I182" s="23"/>
      <c r="J182" s="23"/>
      <c r="K182" s="23"/>
      <c r="L182" s="23"/>
    </row>
    <row r="183" s="1" customFormat="1" ht="26.4" spans="2:12">
      <c r="B183" s="19" t="s">
        <v>2230</v>
      </c>
      <c r="C183" s="19" t="s">
        <v>275</v>
      </c>
      <c r="D183" s="10" t="s">
        <v>2231</v>
      </c>
      <c r="E183" s="20"/>
      <c r="F183" s="19"/>
      <c r="G183" s="19"/>
      <c r="H183" s="20"/>
      <c r="I183" s="23"/>
      <c r="J183" s="23"/>
      <c r="K183" s="23"/>
      <c r="L183" s="23"/>
    </row>
    <row r="184" s="1" customFormat="1" ht="26.4" spans="2:12">
      <c r="B184" s="19" t="s">
        <v>2232</v>
      </c>
      <c r="C184" s="19" t="s">
        <v>275</v>
      </c>
      <c r="D184" s="10" t="s">
        <v>2233</v>
      </c>
      <c r="E184" s="20"/>
      <c r="F184" s="19"/>
      <c r="G184" s="19"/>
      <c r="H184" s="20"/>
      <c r="I184" s="23"/>
      <c r="J184" s="23"/>
      <c r="K184" s="23"/>
      <c r="L184" s="23"/>
    </row>
    <row r="185" s="1" customFormat="1" ht="26.4" spans="2:12">
      <c r="B185" s="19" t="s">
        <v>2234</v>
      </c>
      <c r="C185" s="19" t="s">
        <v>275</v>
      </c>
      <c r="D185" s="10" t="s">
        <v>2235</v>
      </c>
      <c r="E185" s="20"/>
      <c r="F185" s="19"/>
      <c r="G185" s="19"/>
      <c r="H185" s="20"/>
      <c r="I185" s="23"/>
      <c r="J185" s="23"/>
      <c r="K185" s="23"/>
      <c r="L185" s="23"/>
    </row>
    <row r="186" s="1" customFormat="1" ht="26.4" spans="2:12">
      <c r="B186" s="19" t="s">
        <v>2236</v>
      </c>
      <c r="C186" s="19" t="s">
        <v>275</v>
      </c>
      <c r="D186" s="10" t="s">
        <v>2237</v>
      </c>
      <c r="E186" s="20"/>
      <c r="F186" s="19"/>
      <c r="G186" s="19"/>
      <c r="H186" s="20"/>
      <c r="I186" s="23"/>
      <c r="J186" s="23"/>
      <c r="K186" s="23"/>
      <c r="L186" s="23"/>
    </row>
    <row r="187" s="1" customFormat="1" ht="26.4" spans="2:12">
      <c r="B187" s="19" t="s">
        <v>2238</v>
      </c>
      <c r="C187" s="19" t="s">
        <v>275</v>
      </c>
      <c r="D187" s="10" t="s">
        <v>2239</v>
      </c>
      <c r="E187" s="20"/>
      <c r="F187" s="19"/>
      <c r="G187" s="19"/>
      <c r="H187" s="20"/>
      <c r="I187" s="23"/>
      <c r="J187" s="23"/>
      <c r="K187" s="23"/>
      <c r="L187" s="23"/>
    </row>
    <row r="188" s="1" customFormat="1" ht="26.4" spans="2:12">
      <c r="B188" s="19" t="s">
        <v>2240</v>
      </c>
      <c r="C188" s="19" t="s">
        <v>275</v>
      </c>
      <c r="D188" s="10" t="s">
        <v>2241</v>
      </c>
      <c r="E188" s="20"/>
      <c r="F188" s="19"/>
      <c r="G188" s="19"/>
      <c r="H188" s="20"/>
      <c r="I188" s="23"/>
      <c r="J188" s="23"/>
      <c r="K188" s="23"/>
      <c r="L188" s="23"/>
    </row>
    <row r="189" s="1" customFormat="1" ht="26.4" spans="2:12">
      <c r="B189" s="19" t="s">
        <v>2242</v>
      </c>
      <c r="C189" s="19" t="s">
        <v>275</v>
      </c>
      <c r="D189" s="10" t="s">
        <v>2243</v>
      </c>
      <c r="E189" s="20"/>
      <c r="F189" s="19"/>
      <c r="G189" s="19"/>
      <c r="H189" s="20"/>
      <c r="I189" s="23"/>
      <c r="J189" s="23"/>
      <c r="K189" s="23"/>
      <c r="L189" s="23"/>
    </row>
    <row r="190" s="1" customFormat="1" ht="26.4" spans="2:12">
      <c r="B190" s="19" t="s">
        <v>2244</v>
      </c>
      <c r="C190" s="19" t="s">
        <v>275</v>
      </c>
      <c r="D190" s="10" t="s">
        <v>2245</v>
      </c>
      <c r="E190" s="20"/>
      <c r="F190" s="19"/>
      <c r="G190" s="19"/>
      <c r="H190" s="20"/>
      <c r="I190" s="23"/>
      <c r="J190" s="23"/>
      <c r="K190" s="23"/>
      <c r="L190" s="23"/>
    </row>
    <row r="191" s="1" customFormat="1" ht="26.4" spans="2:12">
      <c r="B191" s="19" t="s">
        <v>2246</v>
      </c>
      <c r="C191" s="19" t="s">
        <v>275</v>
      </c>
      <c r="D191" s="10" t="s">
        <v>2247</v>
      </c>
      <c r="E191" s="20"/>
      <c r="F191" s="19"/>
      <c r="G191" s="19"/>
      <c r="H191" s="20"/>
      <c r="I191" s="23"/>
      <c r="J191" s="23"/>
      <c r="K191" s="23"/>
      <c r="L191" s="23"/>
    </row>
    <row r="192" s="1" customFormat="1" ht="26.4" spans="2:12">
      <c r="B192" s="19" t="s">
        <v>2248</v>
      </c>
      <c r="C192" s="19" t="s">
        <v>275</v>
      </c>
      <c r="D192" s="10" t="s">
        <v>2249</v>
      </c>
      <c r="E192" s="20"/>
      <c r="F192" s="19"/>
      <c r="G192" s="19"/>
      <c r="H192" s="20"/>
      <c r="I192" s="23"/>
      <c r="J192" s="23"/>
      <c r="K192" s="23"/>
      <c r="L192" s="23"/>
    </row>
    <row r="193" s="1" customFormat="1" ht="26.4" spans="2:12">
      <c r="B193" s="19" t="s">
        <v>2250</v>
      </c>
      <c r="C193" s="19" t="s">
        <v>275</v>
      </c>
      <c r="D193" s="10" t="s">
        <v>2251</v>
      </c>
      <c r="E193" s="20"/>
      <c r="F193" s="19"/>
      <c r="G193" s="19"/>
      <c r="H193" s="20"/>
      <c r="I193" s="23"/>
      <c r="J193" s="23"/>
      <c r="K193" s="23"/>
      <c r="L193" s="23"/>
    </row>
    <row r="194" s="1" customFormat="1" ht="26.4" spans="2:12">
      <c r="B194" s="19" t="s">
        <v>2252</v>
      </c>
      <c r="C194" s="19" t="s">
        <v>275</v>
      </c>
      <c r="D194" s="10" t="s">
        <v>2253</v>
      </c>
      <c r="E194" s="20"/>
      <c r="F194" s="19"/>
      <c r="G194" s="19"/>
      <c r="H194" s="20"/>
      <c r="I194" s="23"/>
      <c r="J194" s="23"/>
      <c r="K194" s="23"/>
      <c r="L194" s="23"/>
    </row>
    <row r="195" s="1" customFormat="1" ht="26.4" spans="2:12">
      <c r="B195" s="19" t="s">
        <v>2254</v>
      </c>
      <c r="C195" s="19" t="s">
        <v>275</v>
      </c>
      <c r="D195" s="10" t="s">
        <v>2255</v>
      </c>
      <c r="E195" s="20"/>
      <c r="F195" s="19"/>
      <c r="G195" s="19"/>
      <c r="H195" s="20"/>
      <c r="I195" s="23"/>
      <c r="J195" s="23"/>
      <c r="K195" s="23"/>
      <c r="L195" s="23"/>
    </row>
    <row r="196" s="1" customFormat="1" ht="26.4" spans="2:12">
      <c r="B196" s="19" t="s">
        <v>2256</v>
      </c>
      <c r="C196" s="19" t="s">
        <v>275</v>
      </c>
      <c r="D196" s="10" t="s">
        <v>2257</v>
      </c>
      <c r="E196" s="20"/>
      <c r="F196" s="19"/>
      <c r="G196" s="19"/>
      <c r="H196" s="20"/>
      <c r="I196" s="23"/>
      <c r="J196" s="23"/>
      <c r="K196" s="23"/>
      <c r="L196" s="23"/>
    </row>
    <row r="197" s="1" customFormat="1" ht="26.4" spans="2:12">
      <c r="B197" s="19" t="s">
        <v>2258</v>
      </c>
      <c r="C197" s="19" t="s">
        <v>275</v>
      </c>
      <c r="D197" s="10" t="s">
        <v>2259</v>
      </c>
      <c r="E197" s="20"/>
      <c r="F197" s="19"/>
      <c r="G197" s="19"/>
      <c r="H197" s="20"/>
      <c r="I197" s="23"/>
      <c r="J197" s="23"/>
      <c r="K197" s="23"/>
      <c r="L197" s="23"/>
    </row>
    <row r="198" s="1" customFormat="1" ht="26.4" spans="2:12">
      <c r="B198" s="19" t="s">
        <v>2260</v>
      </c>
      <c r="C198" s="19" t="s">
        <v>275</v>
      </c>
      <c r="D198" s="10" t="s">
        <v>2261</v>
      </c>
      <c r="E198" s="20"/>
      <c r="F198" s="19"/>
      <c r="G198" s="19"/>
      <c r="H198" s="20"/>
      <c r="I198" s="23"/>
      <c r="J198" s="23"/>
      <c r="K198" s="23"/>
      <c r="L198" s="23"/>
    </row>
    <row r="199" s="1" customFormat="1" ht="26.4" spans="2:12">
      <c r="B199" s="19" t="s">
        <v>2262</v>
      </c>
      <c r="C199" s="19" t="s">
        <v>275</v>
      </c>
      <c r="D199" s="10" t="s">
        <v>2263</v>
      </c>
      <c r="E199" s="20"/>
      <c r="F199" s="19"/>
      <c r="G199" s="19"/>
      <c r="H199" s="20"/>
      <c r="I199" s="23"/>
      <c r="J199" s="23"/>
      <c r="K199" s="23"/>
      <c r="L199" s="23"/>
    </row>
    <row r="200" s="1" customFormat="1" ht="26.4" spans="2:12">
      <c r="B200" s="19" t="s">
        <v>2264</v>
      </c>
      <c r="C200" s="19" t="s">
        <v>275</v>
      </c>
      <c r="D200" s="10" t="s">
        <v>2265</v>
      </c>
      <c r="E200" s="20"/>
      <c r="F200" s="19"/>
      <c r="G200" s="19"/>
      <c r="H200" s="20"/>
      <c r="I200" s="23"/>
      <c r="J200" s="23"/>
      <c r="K200" s="23"/>
      <c r="L200" s="23"/>
    </row>
    <row r="201" s="1" customFormat="1" ht="26.4" spans="2:12">
      <c r="B201" s="19" t="s">
        <v>2266</v>
      </c>
      <c r="C201" s="19" t="s">
        <v>275</v>
      </c>
      <c r="D201" s="10" t="s">
        <v>2267</v>
      </c>
      <c r="E201" s="20"/>
      <c r="F201" s="19"/>
      <c r="G201" s="19"/>
      <c r="H201" s="20"/>
      <c r="I201" s="23"/>
      <c r="J201" s="23"/>
      <c r="K201" s="23"/>
      <c r="L201" s="23"/>
    </row>
    <row r="202" s="1" customFormat="1" ht="26.4" spans="2:12">
      <c r="B202" s="19" t="s">
        <v>2268</v>
      </c>
      <c r="C202" s="19" t="s">
        <v>275</v>
      </c>
      <c r="D202" s="10" t="s">
        <v>2269</v>
      </c>
      <c r="E202" s="20"/>
      <c r="F202" s="19"/>
      <c r="G202" s="19"/>
      <c r="H202" s="20"/>
      <c r="I202" s="23"/>
      <c r="J202" s="23"/>
      <c r="K202" s="23"/>
      <c r="L202" s="23"/>
    </row>
    <row r="203" s="1" customFormat="1" ht="26.4" spans="2:12">
      <c r="B203" s="19" t="s">
        <v>2270</v>
      </c>
      <c r="C203" s="19" t="s">
        <v>275</v>
      </c>
      <c r="D203" s="10" t="s">
        <v>2271</v>
      </c>
      <c r="E203" s="20"/>
      <c r="F203" s="19"/>
      <c r="G203" s="19"/>
      <c r="H203" s="20"/>
      <c r="I203" s="23"/>
      <c r="J203" s="23"/>
      <c r="K203" s="23"/>
      <c r="L203" s="23"/>
    </row>
    <row r="204" s="1" customFormat="1" ht="26.4" spans="2:12">
      <c r="B204" s="19" t="s">
        <v>2272</v>
      </c>
      <c r="C204" s="19" t="s">
        <v>275</v>
      </c>
      <c r="D204" s="10" t="s">
        <v>2273</v>
      </c>
      <c r="E204" s="20"/>
      <c r="F204" s="19"/>
      <c r="G204" s="19"/>
      <c r="H204" s="20"/>
      <c r="I204" s="23"/>
      <c r="J204" s="23"/>
      <c r="K204" s="23"/>
      <c r="L204" s="23"/>
    </row>
    <row r="205" s="1" customFormat="1" ht="26.4" spans="2:12">
      <c r="B205" s="19" t="s">
        <v>2274</v>
      </c>
      <c r="C205" s="19" t="s">
        <v>275</v>
      </c>
      <c r="D205" s="10" t="s">
        <v>2275</v>
      </c>
      <c r="E205" s="20"/>
      <c r="F205" s="19"/>
      <c r="G205" s="19"/>
      <c r="H205" s="20"/>
      <c r="I205" s="23"/>
      <c r="J205" s="23"/>
      <c r="K205" s="23"/>
      <c r="L205" s="23"/>
    </row>
    <row r="206" s="1" customFormat="1" ht="26.4" spans="2:12">
      <c r="B206" s="19" t="s">
        <v>2276</v>
      </c>
      <c r="C206" s="19" t="s">
        <v>275</v>
      </c>
      <c r="D206" s="10" t="s">
        <v>2277</v>
      </c>
      <c r="E206" s="20"/>
      <c r="F206" s="19"/>
      <c r="G206" s="19"/>
      <c r="H206" s="20"/>
      <c r="I206" s="23"/>
      <c r="J206" s="23"/>
      <c r="K206" s="23"/>
      <c r="L206" s="23"/>
    </row>
    <row r="207" s="1" customFormat="1" ht="26.4" spans="2:12">
      <c r="B207" s="19" t="s">
        <v>2278</v>
      </c>
      <c r="C207" s="19" t="s">
        <v>275</v>
      </c>
      <c r="D207" s="10" t="s">
        <v>2279</v>
      </c>
      <c r="E207" s="20"/>
      <c r="F207" s="19"/>
      <c r="G207" s="19"/>
      <c r="H207" s="20"/>
      <c r="I207" s="23"/>
      <c r="J207" s="23"/>
      <c r="K207" s="23"/>
      <c r="L207" s="23"/>
    </row>
    <row r="208" s="1" customFormat="1" ht="26.4" spans="2:12">
      <c r="B208" s="19" t="s">
        <v>2280</v>
      </c>
      <c r="C208" s="19" t="s">
        <v>275</v>
      </c>
      <c r="D208" s="10" t="s">
        <v>2281</v>
      </c>
      <c r="E208" s="20"/>
      <c r="F208" s="19"/>
      <c r="G208" s="19"/>
      <c r="H208" s="20"/>
      <c r="I208" s="23"/>
      <c r="J208" s="23"/>
      <c r="K208" s="23"/>
      <c r="L208" s="23"/>
    </row>
    <row r="209" s="1" customFormat="1" ht="26.4" spans="2:12">
      <c r="B209" s="19" t="s">
        <v>2282</v>
      </c>
      <c r="C209" s="19" t="s">
        <v>275</v>
      </c>
      <c r="D209" s="10" t="s">
        <v>2283</v>
      </c>
      <c r="E209" s="20"/>
      <c r="F209" s="19"/>
      <c r="G209" s="19"/>
      <c r="H209" s="20"/>
      <c r="I209" s="23"/>
      <c r="J209" s="23"/>
      <c r="K209" s="23"/>
      <c r="L209" s="23"/>
    </row>
    <row r="210" s="1" customFormat="1" ht="26.4" spans="2:12">
      <c r="B210" s="19" t="s">
        <v>2284</v>
      </c>
      <c r="C210" s="19" t="s">
        <v>275</v>
      </c>
      <c r="D210" s="10" t="s">
        <v>2285</v>
      </c>
      <c r="E210" s="20"/>
      <c r="F210" s="19"/>
      <c r="G210" s="19"/>
      <c r="H210" s="20"/>
      <c r="I210" s="23"/>
      <c r="J210" s="23"/>
      <c r="K210" s="23"/>
      <c r="L210" s="23"/>
    </row>
    <row r="211" s="1" customFormat="1" ht="26.4" spans="2:12">
      <c r="B211" s="19" t="s">
        <v>2286</v>
      </c>
      <c r="C211" s="19" t="s">
        <v>275</v>
      </c>
      <c r="D211" s="10" t="s">
        <v>2287</v>
      </c>
      <c r="E211" s="20"/>
      <c r="F211" s="19"/>
      <c r="G211" s="19"/>
      <c r="H211" s="20"/>
      <c r="I211" s="23"/>
      <c r="J211" s="23"/>
      <c r="K211" s="23"/>
      <c r="L211" s="23"/>
    </row>
    <row r="212" s="1" customFormat="1" ht="26.4" spans="2:12">
      <c r="B212" s="19" t="s">
        <v>2288</v>
      </c>
      <c r="C212" s="19" t="s">
        <v>275</v>
      </c>
      <c r="D212" s="10" t="s">
        <v>2289</v>
      </c>
      <c r="E212" s="20"/>
      <c r="F212" s="19"/>
      <c r="G212" s="19"/>
      <c r="H212" s="20"/>
      <c r="I212" s="23"/>
      <c r="J212" s="23"/>
      <c r="K212" s="23"/>
      <c r="L212" s="23"/>
    </row>
    <row r="213" s="1" customFormat="1" ht="26.4" spans="2:12">
      <c r="B213" s="19" t="s">
        <v>2290</v>
      </c>
      <c r="C213" s="19" t="s">
        <v>275</v>
      </c>
      <c r="D213" s="10" t="s">
        <v>2291</v>
      </c>
      <c r="E213" s="20"/>
      <c r="F213" s="19"/>
      <c r="G213" s="19"/>
      <c r="H213" s="20"/>
      <c r="I213" s="23"/>
      <c r="J213" s="23"/>
      <c r="K213" s="23"/>
      <c r="L213" s="23"/>
    </row>
    <row r="214" s="1" customFormat="1" ht="26.4" spans="2:12">
      <c r="B214" s="19" t="s">
        <v>2292</v>
      </c>
      <c r="C214" s="19" t="s">
        <v>275</v>
      </c>
      <c r="D214" s="10" t="s">
        <v>2293</v>
      </c>
      <c r="E214" s="20"/>
      <c r="F214" s="19"/>
      <c r="G214" s="19"/>
      <c r="H214" s="20"/>
      <c r="I214" s="23"/>
      <c r="J214" s="23"/>
      <c r="K214" s="23"/>
      <c r="L214" s="23"/>
    </row>
    <row r="215" s="1" customFormat="1" ht="26.4" spans="2:12">
      <c r="B215" s="19" t="s">
        <v>2294</v>
      </c>
      <c r="C215" s="19" t="s">
        <v>275</v>
      </c>
      <c r="D215" s="10" t="s">
        <v>2295</v>
      </c>
      <c r="E215" s="20"/>
      <c r="F215" s="19"/>
      <c r="G215" s="19"/>
      <c r="H215" s="20"/>
      <c r="I215" s="23"/>
      <c r="J215" s="23"/>
      <c r="K215" s="23"/>
      <c r="L215" s="23"/>
    </row>
    <row r="216" s="1" customFormat="1" ht="26.4" spans="2:12">
      <c r="B216" s="19" t="s">
        <v>2296</v>
      </c>
      <c r="C216" s="19" t="s">
        <v>275</v>
      </c>
      <c r="D216" s="10" t="s">
        <v>2297</v>
      </c>
      <c r="E216" s="20"/>
      <c r="F216" s="19"/>
      <c r="G216" s="19"/>
      <c r="H216" s="20"/>
      <c r="I216" s="23"/>
      <c r="J216" s="23"/>
      <c r="K216" s="23"/>
      <c r="L216" s="23"/>
    </row>
    <row r="217" s="1" customFormat="1" ht="26.4" spans="2:12">
      <c r="B217" s="19" t="s">
        <v>2312</v>
      </c>
      <c r="C217" s="19" t="s">
        <v>275</v>
      </c>
      <c r="D217" s="10" t="s">
        <v>2313</v>
      </c>
      <c r="E217" s="20"/>
      <c r="F217" s="19"/>
      <c r="G217" s="19"/>
      <c r="H217" s="20"/>
      <c r="I217" s="23"/>
      <c r="J217" s="23"/>
      <c r="K217" s="23"/>
      <c r="L217" s="23"/>
    </row>
    <row r="218" s="1" customFormat="1" ht="26.4" spans="2:12">
      <c r="B218" s="19" t="s">
        <v>2314</v>
      </c>
      <c r="C218" s="19" t="s">
        <v>275</v>
      </c>
      <c r="D218" s="10" t="s">
        <v>2315</v>
      </c>
      <c r="E218" s="20"/>
      <c r="F218" s="19"/>
      <c r="G218" s="19"/>
      <c r="H218" s="20"/>
      <c r="I218" s="23"/>
      <c r="J218" s="23"/>
      <c r="K218" s="23"/>
      <c r="L218" s="23"/>
    </row>
    <row r="219" s="1" customFormat="1" ht="26.4" spans="2:12">
      <c r="B219" s="19" t="s">
        <v>2316</v>
      </c>
      <c r="C219" s="19" t="s">
        <v>275</v>
      </c>
      <c r="D219" s="10" t="s">
        <v>2317</v>
      </c>
      <c r="E219" s="20"/>
      <c r="F219" s="19"/>
      <c r="G219" s="19"/>
      <c r="H219" s="20"/>
      <c r="I219" s="23"/>
      <c r="J219" s="23"/>
      <c r="K219" s="23"/>
      <c r="L219" s="23"/>
    </row>
    <row r="220" s="1" customFormat="1" ht="26.4" spans="2:12">
      <c r="B220" s="19" t="s">
        <v>2318</v>
      </c>
      <c r="C220" s="19" t="s">
        <v>275</v>
      </c>
      <c r="D220" s="10" t="s">
        <v>2319</v>
      </c>
      <c r="E220" s="20"/>
      <c r="F220" s="19"/>
      <c r="G220" s="19"/>
      <c r="H220" s="20"/>
      <c r="I220" s="23"/>
      <c r="J220" s="23"/>
      <c r="K220" s="23"/>
      <c r="L220" s="23"/>
    </row>
    <row r="221" s="1" customFormat="1" ht="26.4" spans="2:12">
      <c r="B221" s="19" t="s">
        <v>2320</v>
      </c>
      <c r="C221" s="19" t="s">
        <v>275</v>
      </c>
      <c r="D221" s="10" t="s">
        <v>2321</v>
      </c>
      <c r="E221" s="20"/>
      <c r="F221" s="19"/>
      <c r="G221" s="19"/>
      <c r="H221" s="20"/>
      <c r="I221" s="23"/>
      <c r="J221" s="23"/>
      <c r="K221" s="23"/>
      <c r="L221" s="23"/>
    </row>
    <row r="222" s="1" customFormat="1" ht="26.4" spans="2:12">
      <c r="B222" s="19" t="s">
        <v>2322</v>
      </c>
      <c r="C222" s="19" t="s">
        <v>275</v>
      </c>
      <c r="D222" s="10" t="s">
        <v>2323</v>
      </c>
      <c r="E222" s="20"/>
      <c r="F222" s="19"/>
      <c r="G222" s="19"/>
      <c r="H222" s="20"/>
      <c r="I222" s="23"/>
      <c r="J222" s="23"/>
      <c r="K222" s="23"/>
      <c r="L222" s="23"/>
    </row>
    <row r="223" s="1" customFormat="1" ht="26.4" spans="2:12">
      <c r="B223" s="19" t="s">
        <v>2324</v>
      </c>
      <c r="C223" s="19" t="s">
        <v>275</v>
      </c>
      <c r="D223" s="10" t="s">
        <v>2325</v>
      </c>
      <c r="E223" s="20"/>
      <c r="F223" s="19"/>
      <c r="G223" s="19"/>
      <c r="H223" s="20"/>
      <c r="I223" s="23"/>
      <c r="J223" s="23"/>
      <c r="K223" s="23"/>
      <c r="L223" s="23"/>
    </row>
    <row r="224" s="1" customFormat="1" ht="26.4" spans="2:12">
      <c r="B224" s="19" t="s">
        <v>2326</v>
      </c>
      <c r="C224" s="19" t="s">
        <v>275</v>
      </c>
      <c r="D224" s="10" t="s">
        <v>2327</v>
      </c>
      <c r="E224" s="20"/>
      <c r="F224" s="19"/>
      <c r="G224" s="19"/>
      <c r="H224" s="20"/>
      <c r="I224" s="23"/>
      <c r="J224" s="23"/>
      <c r="K224" s="23"/>
      <c r="L224" s="23"/>
    </row>
    <row r="225" s="1" customFormat="1" ht="26.4" spans="2:12">
      <c r="B225" s="19" t="s">
        <v>2328</v>
      </c>
      <c r="C225" s="19" t="s">
        <v>275</v>
      </c>
      <c r="D225" s="10" t="s">
        <v>2329</v>
      </c>
      <c r="E225" s="20"/>
      <c r="F225" s="19"/>
      <c r="G225" s="19"/>
      <c r="H225" s="20"/>
      <c r="I225" s="23"/>
      <c r="J225" s="23"/>
      <c r="K225" s="23"/>
      <c r="L225" s="23"/>
    </row>
    <row r="226" s="1" customFormat="1" ht="26.4" spans="2:12">
      <c r="B226" s="19" t="s">
        <v>2330</v>
      </c>
      <c r="C226" s="19" t="s">
        <v>275</v>
      </c>
      <c r="D226" s="10" t="s">
        <v>2331</v>
      </c>
      <c r="E226" s="20"/>
      <c r="F226" s="19"/>
      <c r="G226" s="19"/>
      <c r="H226" s="20"/>
      <c r="I226" s="23"/>
      <c r="J226" s="23"/>
      <c r="K226" s="23"/>
      <c r="L226" s="23"/>
    </row>
    <row r="227" s="1" customFormat="1" ht="26.4" spans="2:12">
      <c r="B227" s="19" t="s">
        <v>2332</v>
      </c>
      <c r="C227" s="19" t="s">
        <v>275</v>
      </c>
      <c r="D227" s="10" t="s">
        <v>2333</v>
      </c>
      <c r="E227" s="20"/>
      <c r="F227" s="19"/>
      <c r="G227" s="19"/>
      <c r="H227" s="20"/>
      <c r="I227" s="23"/>
      <c r="J227" s="23"/>
      <c r="K227" s="23"/>
      <c r="L227" s="23"/>
    </row>
    <row r="228" s="1" customFormat="1" ht="26.4" spans="2:12">
      <c r="B228" s="19" t="s">
        <v>2334</v>
      </c>
      <c r="C228" s="19" t="s">
        <v>275</v>
      </c>
      <c r="D228" s="10" t="s">
        <v>2335</v>
      </c>
      <c r="E228" s="20"/>
      <c r="F228" s="19"/>
      <c r="G228" s="19"/>
      <c r="H228" s="20"/>
      <c r="I228" s="23"/>
      <c r="J228" s="23"/>
      <c r="K228" s="23"/>
      <c r="L228" s="23"/>
    </row>
    <row r="229" s="1" customFormat="1" ht="26.4" spans="2:12">
      <c r="B229" s="19" t="s">
        <v>2336</v>
      </c>
      <c r="C229" s="19" t="s">
        <v>275</v>
      </c>
      <c r="D229" s="10" t="s">
        <v>2337</v>
      </c>
      <c r="E229" s="20"/>
      <c r="F229" s="19"/>
      <c r="G229" s="19"/>
      <c r="H229" s="20"/>
      <c r="I229" s="23"/>
      <c r="J229" s="23"/>
      <c r="K229" s="23"/>
      <c r="L229" s="23"/>
    </row>
    <row r="230" s="1" customFormat="1" ht="26.4" spans="2:12">
      <c r="B230" s="19" t="s">
        <v>2338</v>
      </c>
      <c r="C230" s="19" t="s">
        <v>275</v>
      </c>
      <c r="D230" s="10" t="s">
        <v>2339</v>
      </c>
      <c r="E230" s="20"/>
      <c r="F230" s="19"/>
      <c r="G230" s="19"/>
      <c r="H230" s="20"/>
      <c r="I230" s="23"/>
      <c r="J230" s="23"/>
      <c r="K230" s="23"/>
      <c r="L230" s="23"/>
    </row>
    <row r="231" s="1" customFormat="1" ht="26.4" spans="2:12">
      <c r="B231" s="19" t="s">
        <v>2340</v>
      </c>
      <c r="C231" s="19" t="s">
        <v>275</v>
      </c>
      <c r="D231" s="10" t="s">
        <v>2341</v>
      </c>
      <c r="E231" s="20"/>
      <c r="F231" s="19"/>
      <c r="G231" s="19"/>
      <c r="H231" s="20"/>
      <c r="I231" s="23"/>
      <c r="J231" s="23"/>
      <c r="K231" s="23"/>
      <c r="L231" s="23"/>
    </row>
    <row r="232" s="1" customFormat="1" ht="26.4" spans="2:12">
      <c r="B232" s="19" t="s">
        <v>2342</v>
      </c>
      <c r="C232" s="19" t="s">
        <v>275</v>
      </c>
      <c r="D232" s="10" t="s">
        <v>2343</v>
      </c>
      <c r="E232" s="20"/>
      <c r="F232" s="19"/>
      <c r="G232" s="19"/>
      <c r="H232" s="20"/>
      <c r="I232" s="23"/>
      <c r="J232" s="23"/>
      <c r="K232" s="23"/>
      <c r="L232" s="23"/>
    </row>
    <row r="233" s="1" customFormat="1" ht="26.4" spans="2:12">
      <c r="B233" s="19" t="s">
        <v>2344</v>
      </c>
      <c r="C233" s="19" t="s">
        <v>275</v>
      </c>
      <c r="D233" s="10" t="s">
        <v>2345</v>
      </c>
      <c r="E233" s="20"/>
      <c r="F233" s="19"/>
      <c r="G233" s="19"/>
      <c r="H233" s="20"/>
      <c r="I233" s="23"/>
      <c r="J233" s="23"/>
      <c r="K233" s="23"/>
      <c r="L233" s="23"/>
    </row>
    <row r="234" s="1" customFormat="1" ht="26.4" spans="2:12">
      <c r="B234" s="19" t="s">
        <v>2346</v>
      </c>
      <c r="C234" s="19" t="s">
        <v>275</v>
      </c>
      <c r="D234" s="10" t="s">
        <v>2347</v>
      </c>
      <c r="E234" s="20"/>
      <c r="F234" s="19"/>
      <c r="G234" s="19"/>
      <c r="H234" s="20"/>
      <c r="I234" s="23"/>
      <c r="J234" s="23"/>
      <c r="K234" s="23"/>
      <c r="L234" s="23"/>
    </row>
    <row r="235" s="1" customFormat="1" ht="26.4" spans="2:12">
      <c r="B235" s="19" t="s">
        <v>2348</v>
      </c>
      <c r="C235" s="19" t="s">
        <v>275</v>
      </c>
      <c r="D235" s="10" t="s">
        <v>2349</v>
      </c>
      <c r="E235" s="20"/>
      <c r="F235" s="19"/>
      <c r="G235" s="19"/>
      <c r="H235" s="20"/>
      <c r="I235" s="23"/>
      <c r="J235" s="23"/>
      <c r="K235" s="23"/>
      <c r="L235" s="23"/>
    </row>
    <row r="236" s="1" customFormat="1" ht="26.4" spans="2:12">
      <c r="B236" s="19" t="s">
        <v>2350</v>
      </c>
      <c r="C236" s="19" t="s">
        <v>275</v>
      </c>
      <c r="D236" s="10" t="s">
        <v>2351</v>
      </c>
      <c r="E236" s="20"/>
      <c r="F236" s="19"/>
      <c r="G236" s="19"/>
      <c r="H236" s="20"/>
      <c r="I236" s="23"/>
      <c r="J236" s="23"/>
      <c r="K236" s="23"/>
      <c r="L236" s="23"/>
    </row>
    <row r="237" s="1" customFormat="1" ht="26.4" spans="2:12">
      <c r="B237" s="19" t="s">
        <v>2352</v>
      </c>
      <c r="C237" s="19" t="s">
        <v>275</v>
      </c>
      <c r="D237" s="10" t="s">
        <v>2353</v>
      </c>
      <c r="E237" s="20"/>
      <c r="F237" s="19"/>
      <c r="G237" s="19"/>
      <c r="H237" s="20"/>
      <c r="I237" s="23"/>
      <c r="J237" s="23"/>
      <c r="K237" s="23"/>
      <c r="L237" s="23"/>
    </row>
    <row r="238" s="1" customFormat="1" spans="2:12">
      <c r="B238" s="19" t="s">
        <v>2354</v>
      </c>
      <c r="C238" s="19" t="s">
        <v>275</v>
      </c>
      <c r="D238" s="10" t="s">
        <v>2355</v>
      </c>
      <c r="E238" s="20"/>
      <c r="F238" s="19"/>
      <c r="G238" s="19"/>
      <c r="H238" s="20"/>
      <c r="I238" s="23"/>
      <c r="J238" s="23"/>
      <c r="K238" s="23"/>
      <c r="L238" s="23"/>
    </row>
    <row r="239" s="1" customFormat="1" spans="2:12">
      <c r="B239" s="19" t="s">
        <v>2356</v>
      </c>
      <c r="C239" s="19" t="s">
        <v>275</v>
      </c>
      <c r="D239" s="10" t="s">
        <v>2357</v>
      </c>
      <c r="E239" s="20"/>
      <c r="F239" s="19"/>
      <c r="G239" s="19"/>
      <c r="H239" s="20"/>
      <c r="I239" s="23"/>
      <c r="J239" s="23"/>
      <c r="K239" s="23"/>
      <c r="L239" s="23"/>
    </row>
    <row r="240" s="1" customFormat="1" spans="2:12">
      <c r="B240" s="19" t="s">
        <v>2358</v>
      </c>
      <c r="C240" s="19" t="s">
        <v>275</v>
      </c>
      <c r="D240" s="10" t="s">
        <v>2359</v>
      </c>
      <c r="E240" s="20"/>
      <c r="F240" s="19"/>
      <c r="G240" s="19"/>
      <c r="H240" s="20"/>
      <c r="I240" s="23"/>
      <c r="J240" s="23"/>
      <c r="K240" s="23"/>
      <c r="L240" s="23"/>
    </row>
    <row r="241" s="1" customFormat="1" spans="2:12">
      <c r="B241" s="19" t="s">
        <v>2360</v>
      </c>
      <c r="C241" s="19" t="s">
        <v>275</v>
      </c>
      <c r="D241" s="10" t="s">
        <v>2361</v>
      </c>
      <c r="E241" s="20"/>
      <c r="F241" s="19"/>
      <c r="G241" s="19"/>
      <c r="H241" s="20"/>
      <c r="I241" s="23"/>
      <c r="J241" s="23"/>
      <c r="K241" s="23"/>
      <c r="L241" s="23"/>
    </row>
    <row r="242" s="1" customFormat="1" spans="2:12">
      <c r="B242" s="19" t="s">
        <v>2362</v>
      </c>
      <c r="C242" s="19" t="s">
        <v>275</v>
      </c>
      <c r="D242" s="10" t="s">
        <v>2363</v>
      </c>
      <c r="E242" s="20"/>
      <c r="F242" s="19"/>
      <c r="G242" s="19"/>
      <c r="H242" s="20"/>
      <c r="I242" s="23"/>
      <c r="J242" s="23"/>
      <c r="K242" s="23"/>
      <c r="L242" s="23"/>
    </row>
    <row r="243" s="1" customFormat="1" spans="2:12">
      <c r="B243" s="19" t="s">
        <v>2364</v>
      </c>
      <c r="C243" s="19" t="s">
        <v>275</v>
      </c>
      <c r="D243" s="10" t="s">
        <v>2365</v>
      </c>
      <c r="E243" s="20"/>
      <c r="F243" s="19"/>
      <c r="G243" s="19"/>
      <c r="H243" s="20"/>
      <c r="I243" s="23"/>
      <c r="J243" s="23"/>
      <c r="K243" s="23"/>
      <c r="L243" s="23"/>
    </row>
    <row r="244" s="1" customFormat="1" spans="2:12">
      <c r="B244" s="19" t="s">
        <v>2366</v>
      </c>
      <c r="C244" s="19" t="s">
        <v>275</v>
      </c>
      <c r="D244" s="10" t="s">
        <v>2367</v>
      </c>
      <c r="E244" s="20"/>
      <c r="F244" s="19"/>
      <c r="G244" s="19"/>
      <c r="H244" s="20"/>
      <c r="I244" s="23"/>
      <c r="J244" s="23"/>
      <c r="K244" s="23"/>
      <c r="L244" s="23"/>
    </row>
    <row r="245" s="1" customFormat="1" spans="2:12">
      <c r="B245" s="19" t="s">
        <v>2368</v>
      </c>
      <c r="C245" s="19" t="s">
        <v>240</v>
      </c>
      <c r="D245" s="10" t="s">
        <v>2369</v>
      </c>
      <c r="E245" s="20"/>
      <c r="F245" s="19"/>
      <c r="G245" s="19"/>
      <c r="H245" s="20"/>
      <c r="I245" s="23"/>
      <c r="J245" s="23"/>
      <c r="K245" s="23"/>
      <c r="L245" s="23"/>
    </row>
    <row r="246" s="1" customFormat="1" ht="26.4" spans="2:12">
      <c r="B246" s="19" t="s">
        <v>2370</v>
      </c>
      <c r="C246" s="19" t="s">
        <v>275</v>
      </c>
      <c r="D246" s="10" t="s">
        <v>2371</v>
      </c>
      <c r="E246" s="20"/>
      <c r="F246" s="19"/>
      <c r="G246" s="19"/>
      <c r="H246" s="20"/>
      <c r="I246" s="23"/>
      <c r="J246" s="23"/>
      <c r="K246" s="23"/>
      <c r="L246" s="23"/>
    </row>
    <row r="247" s="1" customFormat="1" ht="26.4" spans="2:12">
      <c r="B247" s="19" t="s">
        <v>2372</v>
      </c>
      <c r="C247" s="19" t="s">
        <v>275</v>
      </c>
      <c r="D247" s="10" t="s">
        <v>2373</v>
      </c>
      <c r="E247" s="20"/>
      <c r="F247" s="19"/>
      <c r="G247" s="19"/>
      <c r="H247" s="20"/>
      <c r="I247" s="23"/>
      <c r="J247" s="23"/>
      <c r="K247" s="23"/>
      <c r="L247" s="23"/>
    </row>
    <row r="248" s="1" customFormat="1" ht="26.4" spans="2:12">
      <c r="B248" s="19" t="s">
        <v>2374</v>
      </c>
      <c r="C248" s="19" t="s">
        <v>275</v>
      </c>
      <c r="D248" s="10" t="s">
        <v>2375</v>
      </c>
      <c r="E248" s="20"/>
      <c r="F248" s="19"/>
      <c r="G248" s="19"/>
      <c r="H248" s="20"/>
      <c r="I248" s="23"/>
      <c r="J248" s="23"/>
      <c r="K248" s="23"/>
      <c r="L248" s="23"/>
    </row>
    <row r="249" s="1" customFormat="1" ht="26.4" spans="2:12">
      <c r="B249" s="19" t="s">
        <v>2376</v>
      </c>
      <c r="C249" s="19" t="s">
        <v>275</v>
      </c>
      <c r="D249" s="10" t="s">
        <v>2377</v>
      </c>
      <c r="E249" s="20"/>
      <c r="F249" s="19"/>
      <c r="G249" s="19"/>
      <c r="H249" s="20"/>
      <c r="I249" s="23"/>
      <c r="J249" s="23"/>
      <c r="K249" s="23"/>
      <c r="L249" s="23"/>
    </row>
    <row r="250" s="1" customFormat="1" ht="26.4" spans="2:12">
      <c r="B250" s="19" t="s">
        <v>2378</v>
      </c>
      <c r="C250" s="19" t="s">
        <v>275</v>
      </c>
      <c r="D250" s="10" t="s">
        <v>2379</v>
      </c>
      <c r="E250" s="20"/>
      <c r="F250" s="19"/>
      <c r="G250" s="19"/>
      <c r="H250" s="20"/>
      <c r="I250" s="23"/>
      <c r="J250" s="23"/>
      <c r="K250" s="23"/>
      <c r="L250" s="23"/>
    </row>
    <row r="251" s="1" customFormat="1" spans="2:12">
      <c r="B251" s="19" t="s">
        <v>2380</v>
      </c>
      <c r="C251" s="19" t="s">
        <v>240</v>
      </c>
      <c r="D251" s="10" t="s">
        <v>2381</v>
      </c>
      <c r="E251" s="20"/>
      <c r="F251" s="19"/>
      <c r="G251" s="19"/>
      <c r="H251" s="20"/>
      <c r="I251" s="23"/>
      <c r="J251" s="23"/>
      <c r="K251" s="23"/>
      <c r="L251" s="23"/>
    </row>
    <row r="252" s="1" customFormat="1" ht="26.4" spans="2:12">
      <c r="B252" s="19" t="s">
        <v>2382</v>
      </c>
      <c r="C252" s="19" t="s">
        <v>275</v>
      </c>
      <c r="D252" s="10" t="s">
        <v>2383</v>
      </c>
      <c r="E252" s="20"/>
      <c r="F252" s="19"/>
      <c r="G252" s="19"/>
      <c r="H252" s="20"/>
      <c r="I252" s="23"/>
      <c r="J252" s="23"/>
      <c r="K252" s="23"/>
      <c r="L252" s="23"/>
    </row>
    <row r="253" s="1" customFormat="1" ht="26.4" spans="2:12">
      <c r="B253" s="19" t="s">
        <v>2384</v>
      </c>
      <c r="C253" s="19" t="s">
        <v>275</v>
      </c>
      <c r="D253" s="10" t="s">
        <v>2385</v>
      </c>
      <c r="E253" s="20"/>
      <c r="F253" s="19"/>
      <c r="G253" s="19"/>
      <c r="H253" s="20"/>
      <c r="I253" s="23"/>
      <c r="J253" s="23"/>
      <c r="K253" s="23"/>
      <c r="L253" s="23"/>
    </row>
    <row r="254" s="1" customFormat="1" ht="26.4" spans="2:12">
      <c r="B254" s="19" t="s">
        <v>2386</v>
      </c>
      <c r="C254" s="19" t="s">
        <v>275</v>
      </c>
      <c r="D254" s="10" t="s">
        <v>2387</v>
      </c>
      <c r="E254" s="20"/>
      <c r="F254" s="19"/>
      <c r="G254" s="19"/>
      <c r="H254" s="20"/>
      <c r="I254" s="23"/>
      <c r="J254" s="23"/>
      <c r="K254" s="23"/>
      <c r="L254" s="23"/>
    </row>
    <row r="255" s="1" customFormat="1" ht="26.4" spans="2:12">
      <c r="B255" s="19" t="s">
        <v>2388</v>
      </c>
      <c r="C255" s="19" t="s">
        <v>275</v>
      </c>
      <c r="D255" s="10" t="s">
        <v>2389</v>
      </c>
      <c r="E255" s="20"/>
      <c r="F255" s="19"/>
      <c r="G255" s="19"/>
      <c r="H255" s="20"/>
      <c r="I255" s="23"/>
      <c r="J255" s="23"/>
      <c r="K255" s="23"/>
      <c r="L255" s="23"/>
    </row>
    <row r="256" s="1" customFormat="1" ht="26.4" spans="2:12">
      <c r="B256" s="19" t="s">
        <v>2390</v>
      </c>
      <c r="C256" s="19" t="s">
        <v>275</v>
      </c>
      <c r="D256" s="10" t="s">
        <v>2391</v>
      </c>
      <c r="E256" s="20"/>
      <c r="F256" s="19"/>
      <c r="G256" s="19"/>
      <c r="H256" s="20"/>
      <c r="I256" s="23"/>
      <c r="J256" s="23"/>
      <c r="K256" s="23"/>
      <c r="L256" s="23"/>
    </row>
    <row r="257" s="1" customFormat="1" spans="2:12">
      <c r="B257" s="19" t="s">
        <v>2392</v>
      </c>
      <c r="C257" s="19" t="s">
        <v>240</v>
      </c>
      <c r="D257" s="10" t="s">
        <v>2393</v>
      </c>
      <c r="E257" s="20"/>
      <c r="F257" s="19"/>
      <c r="G257" s="19"/>
      <c r="H257" s="20"/>
      <c r="I257" s="23"/>
      <c r="J257" s="23"/>
      <c r="K257" s="23"/>
      <c r="L257" s="23"/>
    </row>
    <row r="258" s="1" customFormat="1" ht="26.4" spans="2:12">
      <c r="B258" s="19" t="s">
        <v>2394</v>
      </c>
      <c r="C258" s="19" t="s">
        <v>275</v>
      </c>
      <c r="D258" s="10" t="s">
        <v>2395</v>
      </c>
      <c r="E258" s="20"/>
      <c r="F258" s="19"/>
      <c r="G258" s="19"/>
      <c r="H258" s="20"/>
      <c r="I258" s="23"/>
      <c r="J258" s="23"/>
      <c r="K258" s="23"/>
      <c r="L258" s="23"/>
    </row>
    <row r="259" s="1" customFormat="1" ht="26.4" spans="2:12">
      <c r="B259" s="19" t="s">
        <v>2396</v>
      </c>
      <c r="C259" s="19" t="s">
        <v>275</v>
      </c>
      <c r="D259" s="10" t="s">
        <v>2397</v>
      </c>
      <c r="E259" s="20"/>
      <c r="F259" s="19"/>
      <c r="G259" s="19"/>
      <c r="H259" s="20"/>
      <c r="I259" s="23"/>
      <c r="J259" s="23"/>
      <c r="K259" s="23"/>
      <c r="L259" s="23"/>
    </row>
    <row r="260" s="1" customFormat="1" ht="26.4" spans="2:12">
      <c r="B260" s="19" t="s">
        <v>2398</v>
      </c>
      <c r="C260" s="19" t="s">
        <v>275</v>
      </c>
      <c r="D260" s="10" t="s">
        <v>2399</v>
      </c>
      <c r="E260" s="20"/>
      <c r="F260" s="19"/>
      <c r="G260" s="19"/>
      <c r="H260" s="20"/>
      <c r="I260" s="23"/>
      <c r="J260" s="23"/>
      <c r="K260" s="23"/>
      <c r="L260" s="23"/>
    </row>
    <row r="261" s="1" customFormat="1" ht="26.4" spans="2:12">
      <c r="B261" s="19" t="s">
        <v>2400</v>
      </c>
      <c r="C261" s="19" t="s">
        <v>275</v>
      </c>
      <c r="D261" s="10" t="s">
        <v>2401</v>
      </c>
      <c r="E261" s="20"/>
      <c r="F261" s="19"/>
      <c r="G261" s="19"/>
      <c r="H261" s="20"/>
      <c r="I261" s="23"/>
      <c r="J261" s="23"/>
      <c r="K261" s="23"/>
      <c r="L261" s="23"/>
    </row>
    <row r="262" s="1" customFormat="1" ht="26.4" spans="2:12">
      <c r="B262" s="19" t="s">
        <v>2402</v>
      </c>
      <c r="C262" s="19" t="s">
        <v>275</v>
      </c>
      <c r="D262" s="10" t="s">
        <v>2403</v>
      </c>
      <c r="E262" s="20"/>
      <c r="F262" s="19"/>
      <c r="G262" s="19"/>
      <c r="H262" s="20"/>
      <c r="I262" s="23"/>
      <c r="J262" s="23"/>
      <c r="K262" s="23"/>
      <c r="L262" s="23"/>
    </row>
    <row r="263" s="1" customFormat="1" spans="2:12">
      <c r="B263" s="19" t="s">
        <v>2404</v>
      </c>
      <c r="C263" s="19" t="s">
        <v>240</v>
      </c>
      <c r="D263" s="10" t="s">
        <v>2405</v>
      </c>
      <c r="E263" s="20"/>
      <c r="F263" s="19"/>
      <c r="G263" s="19"/>
      <c r="H263" s="20"/>
      <c r="I263" s="23"/>
      <c r="J263" s="23"/>
      <c r="K263" s="23"/>
      <c r="L263" s="23"/>
    </row>
    <row r="264" s="1" customFormat="1" ht="26.4" spans="2:12">
      <c r="B264" s="19" t="s">
        <v>2406</v>
      </c>
      <c r="C264" s="19" t="s">
        <v>275</v>
      </c>
      <c r="D264" s="10" t="s">
        <v>2407</v>
      </c>
      <c r="E264" s="20"/>
      <c r="F264" s="19"/>
      <c r="G264" s="19"/>
      <c r="H264" s="20"/>
      <c r="I264" s="23"/>
      <c r="J264" s="23"/>
      <c r="K264" s="23"/>
      <c r="L264" s="23"/>
    </row>
    <row r="265" s="1" customFormat="1" ht="26.4" spans="2:12">
      <c r="B265" s="19" t="s">
        <v>2408</v>
      </c>
      <c r="C265" s="19" t="s">
        <v>275</v>
      </c>
      <c r="D265" s="10" t="s">
        <v>2409</v>
      </c>
      <c r="E265" s="20"/>
      <c r="F265" s="19"/>
      <c r="G265" s="19"/>
      <c r="H265" s="20"/>
      <c r="I265" s="23"/>
      <c r="J265" s="23"/>
      <c r="K265" s="23"/>
      <c r="L265" s="23"/>
    </row>
    <row r="266" s="1" customFormat="1" ht="26.4" spans="2:12">
      <c r="B266" s="19" t="s">
        <v>2410</v>
      </c>
      <c r="C266" s="19" t="s">
        <v>275</v>
      </c>
      <c r="D266" s="10" t="s">
        <v>2411</v>
      </c>
      <c r="E266" s="20"/>
      <c r="F266" s="19"/>
      <c r="G266" s="19"/>
      <c r="H266" s="20"/>
      <c r="I266" s="23"/>
      <c r="J266" s="23"/>
      <c r="K266" s="23"/>
      <c r="L266" s="23"/>
    </row>
    <row r="267" s="1" customFormat="1" ht="26.4" spans="2:12">
      <c r="B267" s="19" t="s">
        <v>2412</v>
      </c>
      <c r="C267" s="19" t="s">
        <v>275</v>
      </c>
      <c r="D267" s="10" t="s">
        <v>2413</v>
      </c>
      <c r="E267" s="20"/>
      <c r="F267" s="19"/>
      <c r="G267" s="19"/>
      <c r="H267" s="20"/>
      <c r="I267" s="23"/>
      <c r="J267" s="23"/>
      <c r="K267" s="23"/>
      <c r="L267" s="23"/>
    </row>
    <row r="268" s="1" customFormat="1" ht="26.4" spans="2:12">
      <c r="B268" s="19" t="s">
        <v>2414</v>
      </c>
      <c r="C268" s="19" t="s">
        <v>275</v>
      </c>
      <c r="D268" s="10" t="s">
        <v>2415</v>
      </c>
      <c r="E268" s="20"/>
      <c r="F268" s="19"/>
      <c r="G268" s="19"/>
      <c r="H268" s="20"/>
      <c r="I268" s="23"/>
      <c r="J268" s="23"/>
      <c r="K268" s="23"/>
      <c r="L268" s="23"/>
    </row>
    <row r="269" s="1" customFormat="1" spans="2:12">
      <c r="B269" s="19" t="s">
        <v>2416</v>
      </c>
      <c r="C269" s="19" t="s">
        <v>240</v>
      </c>
      <c r="D269" s="10" t="s">
        <v>2417</v>
      </c>
      <c r="E269" s="20"/>
      <c r="F269" s="19"/>
      <c r="G269" s="19"/>
      <c r="H269" s="20"/>
      <c r="I269" s="23"/>
      <c r="J269" s="23"/>
      <c r="K269" s="23"/>
      <c r="L269" s="23"/>
    </row>
    <row r="270" s="1" customFormat="1" ht="26.4" spans="2:12">
      <c r="B270" s="19" t="s">
        <v>2418</v>
      </c>
      <c r="C270" s="19" t="s">
        <v>275</v>
      </c>
      <c r="D270" s="10" t="s">
        <v>2419</v>
      </c>
      <c r="E270" s="20"/>
      <c r="F270" s="19"/>
      <c r="G270" s="19"/>
      <c r="H270" s="20"/>
      <c r="I270" s="23"/>
      <c r="J270" s="23"/>
      <c r="K270" s="23"/>
      <c r="L270" s="23"/>
    </row>
    <row r="271" s="1" customFormat="1" ht="26.4" spans="1:12">
      <c r="A271" s="40"/>
      <c r="B271" s="19" t="s">
        <v>2420</v>
      </c>
      <c r="C271" s="19" t="s">
        <v>275</v>
      </c>
      <c r="D271" s="10" t="s">
        <v>2421</v>
      </c>
      <c r="E271" s="20"/>
      <c r="F271" s="19"/>
      <c r="G271" s="19"/>
      <c r="H271" s="20"/>
      <c r="I271" s="23"/>
      <c r="J271" s="23"/>
      <c r="K271" s="23"/>
      <c r="L271" s="23"/>
    </row>
    <row r="272" s="1" customFormat="1" ht="26.4" spans="1:12">
      <c r="A272" s="40"/>
      <c r="B272" s="19" t="s">
        <v>2422</v>
      </c>
      <c r="C272" s="19" t="s">
        <v>275</v>
      </c>
      <c r="D272" s="10" t="s">
        <v>2423</v>
      </c>
      <c r="E272" s="20"/>
      <c r="F272" s="19"/>
      <c r="G272" s="19"/>
      <c r="H272" s="20"/>
      <c r="I272" s="23"/>
      <c r="J272" s="23"/>
      <c r="K272" s="23"/>
      <c r="L272" s="23"/>
    </row>
    <row r="273" s="1" customFormat="1" ht="26.4" spans="1:12">
      <c r="A273" s="40"/>
      <c r="B273" s="19" t="s">
        <v>2424</v>
      </c>
      <c r="C273" s="19" t="s">
        <v>275</v>
      </c>
      <c r="D273" s="10" t="s">
        <v>2425</v>
      </c>
      <c r="E273" s="20"/>
      <c r="F273" s="19"/>
      <c r="G273" s="19"/>
      <c r="H273" s="20"/>
      <c r="I273" s="23"/>
      <c r="J273" s="23"/>
      <c r="K273" s="23"/>
      <c r="L273" s="23"/>
    </row>
    <row r="274" s="1" customFormat="1" spans="1:12">
      <c r="A274" s="40"/>
      <c r="B274" s="10" t="s">
        <v>2426</v>
      </c>
      <c r="C274" s="10" t="s">
        <v>275</v>
      </c>
      <c r="D274" s="10" t="s">
        <v>2427</v>
      </c>
      <c r="E274" s="20"/>
      <c r="F274" s="10"/>
      <c r="G274" s="19"/>
      <c r="H274" s="20"/>
      <c r="I274" s="23"/>
      <c r="J274" s="23"/>
      <c r="K274" s="23"/>
      <c r="L274" s="23"/>
    </row>
    <row r="275" s="1" customFormat="1" spans="1:12">
      <c r="A275" s="40"/>
      <c r="B275" s="10" t="s">
        <v>2428</v>
      </c>
      <c r="C275" s="10" t="s">
        <v>240</v>
      </c>
      <c r="D275" s="10" t="s">
        <v>2429</v>
      </c>
      <c r="E275" s="20"/>
      <c r="F275" s="10"/>
      <c r="G275" s="19"/>
      <c r="H275" s="20"/>
      <c r="I275" s="23"/>
      <c r="J275" s="23"/>
      <c r="K275" s="23"/>
      <c r="L275" s="23"/>
    </row>
    <row r="276" s="1" customFormat="1" spans="1:12">
      <c r="A276" s="40"/>
      <c r="B276" s="10" t="s">
        <v>2430</v>
      </c>
      <c r="C276" s="10" t="s">
        <v>275</v>
      </c>
      <c r="D276" s="10" t="s">
        <v>2431</v>
      </c>
      <c r="E276" s="20"/>
      <c r="F276" s="10"/>
      <c r="G276" s="19"/>
      <c r="H276" s="20"/>
      <c r="I276" s="23"/>
      <c r="J276" s="23"/>
      <c r="K276" s="23"/>
      <c r="L276" s="23"/>
    </row>
    <row r="277" s="1" customFormat="1" spans="1:12">
      <c r="A277" s="40"/>
      <c r="B277" s="10" t="s">
        <v>2432</v>
      </c>
      <c r="C277" s="10" t="s">
        <v>275</v>
      </c>
      <c r="D277" s="10" t="s">
        <v>2433</v>
      </c>
      <c r="E277" s="20"/>
      <c r="F277" s="10"/>
      <c r="G277" s="19"/>
      <c r="H277" s="20"/>
      <c r="I277" s="23"/>
      <c r="J277" s="23"/>
      <c r="K277" s="23"/>
      <c r="L277" s="23"/>
    </row>
    <row r="278" s="1" customFormat="1" spans="1:12">
      <c r="A278" s="40"/>
      <c r="B278" s="10" t="s">
        <v>2434</v>
      </c>
      <c r="C278" s="10" t="s">
        <v>275</v>
      </c>
      <c r="D278" s="10" t="s">
        <v>2435</v>
      </c>
      <c r="E278" s="20"/>
      <c r="F278" s="10"/>
      <c r="G278" s="19"/>
      <c r="H278" s="20"/>
      <c r="I278" s="23"/>
      <c r="J278" s="23"/>
      <c r="K278" s="23"/>
      <c r="L278" s="23"/>
    </row>
    <row r="279" s="1" customFormat="1" spans="1:12">
      <c r="A279" s="40"/>
      <c r="B279" s="10" t="s">
        <v>2436</v>
      </c>
      <c r="C279" s="10" t="s">
        <v>275</v>
      </c>
      <c r="D279" s="10" t="s">
        <v>2437</v>
      </c>
      <c r="E279" s="20"/>
      <c r="F279" s="10"/>
      <c r="G279" s="19"/>
      <c r="H279" s="20"/>
      <c r="I279" s="23"/>
      <c r="J279" s="23"/>
      <c r="K279" s="23"/>
      <c r="L279" s="23"/>
    </row>
    <row r="280" s="1" customFormat="1" spans="1:12">
      <c r="A280" s="40"/>
      <c r="B280" s="10" t="s">
        <v>2438</v>
      </c>
      <c r="C280" s="10" t="s">
        <v>275</v>
      </c>
      <c r="D280" s="10" t="s">
        <v>2439</v>
      </c>
      <c r="E280" s="20"/>
      <c r="F280" s="10"/>
      <c r="G280" s="19"/>
      <c r="H280" s="20"/>
      <c r="I280" s="23"/>
      <c r="J280" s="23"/>
      <c r="K280" s="23"/>
      <c r="L280" s="23"/>
    </row>
    <row r="281" s="1" customFormat="1" spans="1:12">
      <c r="A281" s="40"/>
      <c r="B281" s="10" t="s">
        <v>2440</v>
      </c>
      <c r="C281" s="10" t="s">
        <v>240</v>
      </c>
      <c r="D281" s="10" t="s">
        <v>2441</v>
      </c>
      <c r="E281" s="20"/>
      <c r="F281" s="10"/>
      <c r="G281" s="19"/>
      <c r="H281" s="20"/>
      <c r="I281" s="23"/>
      <c r="J281" s="23"/>
      <c r="K281" s="23"/>
      <c r="L281" s="23"/>
    </row>
    <row r="282" s="1" customFormat="1" spans="1:12">
      <c r="A282" s="40"/>
      <c r="B282" s="10" t="s">
        <v>2442</v>
      </c>
      <c r="C282" s="10" t="s">
        <v>240</v>
      </c>
      <c r="D282" s="10" t="s">
        <v>2443</v>
      </c>
      <c r="E282" s="20"/>
      <c r="F282" s="10"/>
      <c r="G282" s="19"/>
      <c r="H282" s="20"/>
      <c r="I282" s="23"/>
      <c r="J282" s="23"/>
      <c r="K282" s="23"/>
      <c r="L282" s="23"/>
    </row>
    <row r="283" s="1" customFormat="1" spans="1:12">
      <c r="A283" s="40"/>
      <c r="B283" s="10" t="s">
        <v>2444</v>
      </c>
      <c r="C283" s="10" t="s">
        <v>240</v>
      </c>
      <c r="D283" s="10" t="s">
        <v>2445</v>
      </c>
      <c r="E283" s="20"/>
      <c r="F283" s="10"/>
      <c r="G283" s="19"/>
      <c r="H283" s="20"/>
      <c r="I283" s="23"/>
      <c r="J283" s="23"/>
      <c r="K283" s="23"/>
      <c r="L283" s="23"/>
    </row>
    <row r="284" s="1" customFormat="1" spans="1:12">
      <c r="A284" s="40"/>
      <c r="B284" s="10" t="s">
        <v>2446</v>
      </c>
      <c r="C284" s="10" t="s">
        <v>275</v>
      </c>
      <c r="D284" s="10" t="s">
        <v>2447</v>
      </c>
      <c r="E284" s="20"/>
      <c r="F284" s="10"/>
      <c r="G284" s="19"/>
      <c r="H284" s="20"/>
      <c r="I284" s="23"/>
      <c r="J284" s="23"/>
      <c r="K284" s="23"/>
      <c r="L284" s="23"/>
    </row>
    <row r="285" s="1" customFormat="1" spans="1:12">
      <c r="A285" s="40"/>
      <c r="B285" s="10" t="s">
        <v>2448</v>
      </c>
      <c r="C285" s="10" t="s">
        <v>275</v>
      </c>
      <c r="D285" s="10" t="s">
        <v>2449</v>
      </c>
      <c r="E285" s="20"/>
      <c r="F285" s="10"/>
      <c r="G285" s="19"/>
      <c r="H285" s="20"/>
      <c r="I285" s="23"/>
      <c r="J285" s="23"/>
      <c r="K285" s="23"/>
      <c r="L285" s="23"/>
    </row>
    <row r="286" s="1" customFormat="1" spans="1:12">
      <c r="A286" s="40"/>
      <c r="B286" s="10" t="s">
        <v>2450</v>
      </c>
      <c r="C286" s="10" t="s">
        <v>275</v>
      </c>
      <c r="D286" s="10" t="s">
        <v>2451</v>
      </c>
      <c r="E286" s="20"/>
      <c r="F286" s="10"/>
      <c r="G286" s="19"/>
      <c r="H286" s="20"/>
      <c r="I286" s="23"/>
      <c r="J286" s="23"/>
      <c r="K286" s="23"/>
      <c r="L286" s="23"/>
    </row>
    <row r="287" s="1" customFormat="1" spans="1:12">
      <c r="A287" s="40"/>
      <c r="B287" s="10" t="s">
        <v>2452</v>
      </c>
      <c r="C287" s="10" t="s">
        <v>275</v>
      </c>
      <c r="D287" s="10" t="s">
        <v>2453</v>
      </c>
      <c r="E287" s="20"/>
      <c r="F287" s="10"/>
      <c r="G287" s="19"/>
      <c r="H287" s="20"/>
      <c r="I287" s="23"/>
      <c r="J287" s="23"/>
      <c r="K287" s="23"/>
      <c r="L287" s="23"/>
    </row>
    <row r="288" s="1" customFormat="1" spans="1:12">
      <c r="A288" s="40"/>
      <c r="B288" s="10" t="s">
        <v>2454</v>
      </c>
      <c r="C288" s="10" t="s">
        <v>275</v>
      </c>
      <c r="D288" s="10" t="s">
        <v>2455</v>
      </c>
      <c r="E288" s="20"/>
      <c r="F288" s="10"/>
      <c r="G288" s="19"/>
      <c r="H288" s="20"/>
      <c r="I288" s="23"/>
      <c r="J288" s="23"/>
      <c r="K288" s="23"/>
      <c r="L288" s="23"/>
    </row>
    <row r="289" s="1" customFormat="1" spans="1:12">
      <c r="A289" s="40"/>
      <c r="B289" s="10" t="s">
        <v>2456</v>
      </c>
      <c r="C289" s="10" t="s">
        <v>275</v>
      </c>
      <c r="D289" s="10" t="s">
        <v>2457</v>
      </c>
      <c r="E289" s="20"/>
      <c r="F289" s="10"/>
      <c r="G289" s="19"/>
      <c r="H289" s="20"/>
      <c r="I289" s="23"/>
      <c r="J289" s="23"/>
      <c r="K289" s="23"/>
      <c r="L289" s="23"/>
    </row>
    <row r="290" s="1" customFormat="1" spans="1:12">
      <c r="A290" s="40"/>
      <c r="B290" s="10" t="s">
        <v>2458</v>
      </c>
      <c r="C290" s="10" t="s">
        <v>275</v>
      </c>
      <c r="D290" s="10" t="s">
        <v>2459</v>
      </c>
      <c r="E290" s="20"/>
      <c r="F290" s="10"/>
      <c r="G290" s="19"/>
      <c r="H290" s="20"/>
      <c r="I290" s="23"/>
      <c r="J290" s="23"/>
      <c r="K290" s="23"/>
      <c r="L290" s="23"/>
    </row>
    <row r="291" s="1" customFormat="1" spans="1:12">
      <c r="A291" s="40"/>
      <c r="B291" s="10" t="s">
        <v>2460</v>
      </c>
      <c r="C291" s="10" t="s">
        <v>275</v>
      </c>
      <c r="D291" s="10" t="s">
        <v>2461</v>
      </c>
      <c r="E291" s="20"/>
      <c r="F291" s="10"/>
      <c r="G291" s="19"/>
      <c r="H291" s="20"/>
      <c r="I291" s="23"/>
      <c r="J291" s="23"/>
      <c r="K291" s="23"/>
      <c r="L291" s="23"/>
    </row>
    <row r="292" s="1" customFormat="1" spans="1:12">
      <c r="A292" s="40"/>
      <c r="B292" s="10" t="s">
        <v>2462</v>
      </c>
      <c r="C292" s="10" t="s">
        <v>275</v>
      </c>
      <c r="D292" s="10" t="s">
        <v>2463</v>
      </c>
      <c r="E292" s="20"/>
      <c r="F292" s="10"/>
      <c r="G292" s="19"/>
      <c r="H292" s="20"/>
      <c r="I292" s="23"/>
      <c r="J292" s="23"/>
      <c r="K292" s="23"/>
      <c r="L292" s="23"/>
    </row>
    <row r="293" s="1" customFormat="1" spans="1:12">
      <c r="A293" s="40"/>
      <c r="B293" s="10" t="s">
        <v>2464</v>
      </c>
      <c r="C293" s="10" t="s">
        <v>275</v>
      </c>
      <c r="D293" s="10" t="s">
        <v>2465</v>
      </c>
      <c r="E293" s="20"/>
      <c r="F293" s="10"/>
      <c r="G293" s="19"/>
      <c r="H293" s="20"/>
      <c r="I293" s="23"/>
      <c r="J293" s="23"/>
      <c r="K293" s="23"/>
      <c r="L293" s="23"/>
    </row>
    <row r="294" s="1" customFormat="1" spans="1:12">
      <c r="A294" s="40"/>
      <c r="B294" s="10" t="s">
        <v>2466</v>
      </c>
      <c r="C294" s="10" t="s">
        <v>275</v>
      </c>
      <c r="D294" s="10" t="s">
        <v>2467</v>
      </c>
      <c r="E294" s="20"/>
      <c r="F294" s="10"/>
      <c r="G294" s="19"/>
      <c r="H294" s="20"/>
      <c r="I294" s="23"/>
      <c r="J294" s="23"/>
      <c r="K294" s="23"/>
      <c r="L294" s="23"/>
    </row>
    <row r="295" s="1" customFormat="1" spans="1:12">
      <c r="A295" s="40"/>
      <c r="B295" s="10" t="s">
        <v>2468</v>
      </c>
      <c r="C295" s="10" t="s">
        <v>275</v>
      </c>
      <c r="D295" s="10" t="s">
        <v>1807</v>
      </c>
      <c r="E295" s="20"/>
      <c r="F295" s="10"/>
      <c r="G295" s="19"/>
      <c r="H295" s="20"/>
      <c r="I295" s="23"/>
      <c r="J295" s="23"/>
      <c r="K295" s="23"/>
      <c r="L295" s="23"/>
    </row>
    <row r="296" s="1" customFormat="1" spans="1:12">
      <c r="A296" s="40"/>
      <c r="B296" s="10" t="s">
        <v>2087</v>
      </c>
      <c r="C296" s="10" t="s">
        <v>216</v>
      </c>
      <c r="D296" s="10" t="s">
        <v>2088</v>
      </c>
      <c r="E296" s="20"/>
      <c r="F296" s="10"/>
      <c r="G296" s="19"/>
      <c r="H296" s="20"/>
      <c r="I296" s="23"/>
      <c r="J296" s="23"/>
      <c r="K296" s="23"/>
      <c r="L296" s="23"/>
    </row>
    <row r="297" s="36" customFormat="1" spans="1:12">
      <c r="A297" s="41"/>
      <c r="B297" s="29" t="s">
        <v>1814</v>
      </c>
      <c r="C297" s="29" t="s">
        <v>275</v>
      </c>
      <c r="D297" s="29" t="s">
        <v>1815</v>
      </c>
      <c r="E297" s="29"/>
      <c r="F297" s="29"/>
      <c r="G297" s="29" t="s">
        <v>1816</v>
      </c>
      <c r="H297" s="29"/>
      <c r="I297" s="29" t="s">
        <v>1211</v>
      </c>
      <c r="J297" s="29" t="s">
        <v>345</v>
      </c>
      <c r="K297" s="29" t="s">
        <v>323</v>
      </c>
      <c r="L297" s="29" t="s">
        <v>339</v>
      </c>
    </row>
    <row r="298" s="36" customFormat="1" spans="1:12">
      <c r="A298" s="41"/>
      <c r="B298" s="29" t="s">
        <v>1817</v>
      </c>
      <c r="C298" s="29" t="s">
        <v>216</v>
      </c>
      <c r="D298" s="29" t="s">
        <v>1818</v>
      </c>
      <c r="E298" s="29"/>
      <c r="F298" s="29"/>
      <c r="G298" s="29" t="s">
        <v>2469</v>
      </c>
      <c r="H298" s="29"/>
      <c r="I298" s="29" t="s">
        <v>1211</v>
      </c>
      <c r="J298" s="29" t="s">
        <v>345</v>
      </c>
      <c r="K298" s="29" t="s">
        <v>323</v>
      </c>
      <c r="L298" s="29" t="s">
        <v>323</v>
      </c>
    </row>
    <row r="299" s="36" customFormat="1" spans="1:12">
      <c r="A299" s="41"/>
      <c r="B299" s="29" t="s">
        <v>1820</v>
      </c>
      <c r="C299" s="29" t="s">
        <v>216</v>
      </c>
      <c r="D299" s="29" t="s">
        <v>1821</v>
      </c>
      <c r="E299" s="29"/>
      <c r="F299" s="29"/>
      <c r="G299" s="29" t="s">
        <v>2470</v>
      </c>
      <c r="H299" s="29"/>
      <c r="I299" s="29" t="s">
        <v>1211</v>
      </c>
      <c r="J299" s="29" t="s">
        <v>345</v>
      </c>
      <c r="K299" s="29" t="s">
        <v>323</v>
      </c>
      <c r="L299" s="29" t="s">
        <v>323</v>
      </c>
    </row>
    <row r="300" s="37" customFormat="1" spans="1:12">
      <c r="A300" s="42"/>
      <c r="B300" s="43" t="s">
        <v>252</v>
      </c>
      <c r="C300" s="43" t="s">
        <v>220</v>
      </c>
      <c r="D300" s="44" t="s">
        <v>254</v>
      </c>
      <c r="E300" s="45"/>
      <c r="F300" s="46"/>
      <c r="G300" s="46"/>
      <c r="H300" s="47"/>
      <c r="I300" s="48"/>
      <c r="J300" s="49"/>
      <c r="K300" s="49"/>
      <c r="L300" s="49"/>
    </row>
    <row r="301" s="37" customFormat="1" spans="1:12">
      <c r="A301" s="42"/>
      <c r="B301" s="43" t="s">
        <v>255</v>
      </c>
      <c r="C301" s="43" t="s">
        <v>216</v>
      </c>
      <c r="D301" s="44" t="s">
        <v>256</v>
      </c>
      <c r="E301" s="45"/>
      <c r="F301" s="46"/>
      <c r="G301" s="46"/>
      <c r="H301" s="47"/>
      <c r="I301" s="48"/>
      <c r="J301" s="49"/>
      <c r="K301" s="49"/>
      <c r="L301" s="49"/>
    </row>
    <row r="302" s="37" customFormat="1" spans="1:12">
      <c r="A302" s="42"/>
      <c r="B302" s="43" t="s">
        <v>257</v>
      </c>
      <c r="C302" s="43" t="s">
        <v>220</v>
      </c>
      <c r="D302" s="44" t="s">
        <v>258</v>
      </c>
      <c r="E302" s="45"/>
      <c r="F302" s="46"/>
      <c r="G302" s="46"/>
      <c r="H302" s="47"/>
      <c r="I302" s="48"/>
      <c r="J302" s="49"/>
      <c r="K302" s="49"/>
      <c r="L302" s="49"/>
    </row>
  </sheetData>
  <autoFilter xmlns:etc="http://www.wps.cn/officeDocument/2017/etCustomData" ref="A15:N302" etc:filterBottomFollowUsedRange="0">
    <extLst/>
  </autoFilter>
  <mergeCells count="4">
    <mergeCell ref="B2:H2"/>
    <mergeCell ref="B3:H3"/>
    <mergeCell ref="B7:H7"/>
    <mergeCell ref="B14:L14"/>
  </mergeCells>
  <pageMargins left="0.7" right="0.7" top="0.75" bottom="0.75" header="0.3" footer="0.3"/>
  <pageSetup paperSize="9" orientation="portrait"/>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zoomScale="85" zoomScaleNormal="85" workbookViewId="0">
      <pane ySplit="5" topLeftCell="A6" activePane="bottomLeft" state="frozen"/>
      <selection/>
      <selection pane="bottomLeft" activeCell="C5" sqref="C5"/>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144</v>
      </c>
      <c r="D5" s="10" t="s">
        <v>145</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142</v>
      </c>
      <c r="D9" s="35" t="s">
        <v>143</v>
      </c>
      <c r="E9" s="11" t="s">
        <v>199</v>
      </c>
      <c r="F9" s="11"/>
      <c r="G9" s="11"/>
      <c r="H9" s="15"/>
    </row>
    <row r="10" spans="2:8">
      <c r="B10" s="11"/>
      <c r="C10" s="10" t="s">
        <v>1824</v>
      </c>
      <c r="D10" s="10" t="s">
        <v>1825</v>
      </c>
      <c r="E10" s="11" t="s">
        <v>202</v>
      </c>
      <c r="F10" s="11" t="s">
        <v>1826</v>
      </c>
      <c r="G10" s="11"/>
      <c r="H10" s="15"/>
    </row>
    <row r="11" spans="2:8">
      <c r="B11" s="11"/>
      <c r="C11" s="10" t="s">
        <v>200</v>
      </c>
      <c r="D11" s="10" t="s">
        <v>201</v>
      </c>
      <c r="E11" s="11" t="s">
        <v>287</v>
      </c>
      <c r="F11" s="11" t="s">
        <v>1827</v>
      </c>
      <c r="G11" s="11"/>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4">
      <c r="B16" s="19" t="s">
        <v>1828</v>
      </c>
      <c r="C16" s="19" t="s">
        <v>216</v>
      </c>
      <c r="D16" s="10" t="s">
        <v>1829</v>
      </c>
      <c r="E16" s="20" t="s">
        <v>199</v>
      </c>
      <c r="F16" s="19" t="s">
        <v>255</v>
      </c>
      <c r="G16" s="19" t="s">
        <v>218</v>
      </c>
      <c r="H16" s="20"/>
      <c r="I16" s="23"/>
      <c r="J16" s="23" t="s">
        <v>322</v>
      </c>
      <c r="K16" s="23" t="s">
        <v>323</v>
      </c>
      <c r="L16" s="23" t="s">
        <v>323</v>
      </c>
      <c r="M16" s="1" t="str">
        <f>_xlfn.CONCAT(F16," as ",B16)</f>
        <v>p_date as day</v>
      </c>
      <c r="N16" s="16" t="str">
        <f>_xlfn.CONCAT("`",B16,"` ",C16,",")</f>
        <v>`day` string,</v>
      </c>
    </row>
    <row r="17" s="1" customFormat="1" spans="2:14">
      <c r="B17" s="19" t="s">
        <v>1026</v>
      </c>
      <c r="C17" s="19" t="s">
        <v>220</v>
      </c>
      <c r="D17" s="10" t="s">
        <v>66</v>
      </c>
      <c r="E17" s="20" t="s">
        <v>199</v>
      </c>
      <c r="F17" s="19" t="s">
        <v>257</v>
      </c>
      <c r="G17" s="19" t="s">
        <v>218</v>
      </c>
      <c r="H17" s="20"/>
      <c r="I17" s="23"/>
      <c r="J17" s="23" t="s">
        <v>322</v>
      </c>
      <c r="K17" s="23" t="s">
        <v>323</v>
      </c>
      <c r="L17" s="23" t="s">
        <v>323</v>
      </c>
      <c r="M17" s="1" t="str">
        <f t="shared" ref="M17:M35" si="0">_xlfn.CONCAT(F17," as ",B17)</f>
        <v>p_hour as hour</v>
      </c>
      <c r="N17" s="16" t="str">
        <f t="shared" ref="N17:N35" si="1">_xlfn.CONCAT("`",B17,"` ",C17,",")</f>
        <v>`hour` int,</v>
      </c>
    </row>
    <row r="18" s="1" customFormat="1" spans="2:14">
      <c r="B18" s="19" t="s">
        <v>1302</v>
      </c>
      <c r="C18" s="19" t="s">
        <v>220</v>
      </c>
      <c r="D18" s="10" t="s">
        <v>2977</v>
      </c>
      <c r="E18" s="20" t="s">
        <v>199</v>
      </c>
      <c r="F18" s="19" t="s">
        <v>1302</v>
      </c>
      <c r="G18" s="19" t="s">
        <v>218</v>
      </c>
      <c r="H18" s="20"/>
      <c r="I18" s="23"/>
      <c r="J18" s="23" t="s">
        <v>322</v>
      </c>
      <c r="K18" s="23" t="s">
        <v>323</v>
      </c>
      <c r="L18" s="23" t="s">
        <v>323</v>
      </c>
      <c r="M18" s="1" t="str">
        <f t="shared" si="0"/>
        <v>interface as interface</v>
      </c>
      <c r="N18" s="16" t="str">
        <f t="shared" si="1"/>
        <v>`interface` int,</v>
      </c>
    </row>
    <row r="19" s="1" customFormat="1" spans="2:14">
      <c r="B19" s="19" t="s">
        <v>1830</v>
      </c>
      <c r="C19" s="19" t="s">
        <v>220</v>
      </c>
      <c r="D19" s="10" t="s">
        <v>1831</v>
      </c>
      <c r="E19" s="20" t="s">
        <v>199</v>
      </c>
      <c r="F19" s="19" t="s">
        <v>252</v>
      </c>
      <c r="G19" s="19" t="s">
        <v>218</v>
      </c>
      <c r="H19" s="20"/>
      <c r="I19" s="23"/>
      <c r="J19" s="23" t="s">
        <v>322</v>
      </c>
      <c r="K19" s="23" t="s">
        <v>323</v>
      </c>
      <c r="L19" s="23" t="s">
        <v>323</v>
      </c>
      <c r="M19" s="1" t="str">
        <f t="shared" si="0"/>
        <v>p_provincecode as provincecode</v>
      </c>
      <c r="N19" s="16" t="str">
        <f t="shared" si="1"/>
        <v>`provincecode` int,</v>
      </c>
    </row>
    <row r="20" s="1" customFormat="1" spans="2:14">
      <c r="B20" s="19" t="s">
        <v>1832</v>
      </c>
      <c r="C20" s="19" t="s">
        <v>220</v>
      </c>
      <c r="D20" s="10" t="s">
        <v>1833</v>
      </c>
      <c r="E20" s="20" t="s">
        <v>199</v>
      </c>
      <c r="F20" s="19" t="s">
        <v>1318</v>
      </c>
      <c r="G20" s="19" t="s">
        <v>218</v>
      </c>
      <c r="H20" s="20"/>
      <c r="I20" s="23"/>
      <c r="J20" s="23" t="s">
        <v>322</v>
      </c>
      <c r="K20" s="23" t="s">
        <v>323</v>
      </c>
      <c r="L20" s="23" t="s">
        <v>323</v>
      </c>
      <c r="M20" s="1" t="str">
        <f t="shared" si="0"/>
        <v>city as citycode</v>
      </c>
      <c r="N20" s="16" t="str">
        <f t="shared" si="1"/>
        <v>`citycode` int,</v>
      </c>
    </row>
    <row r="21" s="1" customFormat="1" spans="2:14">
      <c r="B21" s="19" t="s">
        <v>1834</v>
      </c>
      <c r="C21" s="19" t="s">
        <v>220</v>
      </c>
      <c r="D21" s="10" t="s">
        <v>1835</v>
      </c>
      <c r="E21" s="20" t="s">
        <v>199</v>
      </c>
      <c r="F21" s="19" t="s">
        <v>1834</v>
      </c>
      <c r="G21" s="19" t="s">
        <v>218</v>
      </c>
      <c r="H21" s="20"/>
      <c r="I21" s="23"/>
      <c r="J21" s="23" t="s">
        <v>322</v>
      </c>
      <c r="K21" s="23" t="s">
        <v>323</v>
      </c>
      <c r="L21" s="23" t="s">
        <v>323</v>
      </c>
      <c r="M21" s="1" t="str">
        <f t="shared" si="0"/>
        <v>districtcode as districtcode</v>
      </c>
      <c r="N21" s="16" t="str">
        <f t="shared" si="1"/>
        <v>`districtcode` int,</v>
      </c>
    </row>
    <row r="22" s="1" customFormat="1" spans="2:14">
      <c r="B22" s="19" t="s">
        <v>1836</v>
      </c>
      <c r="C22" s="19" t="s">
        <v>216</v>
      </c>
      <c r="D22" s="10" t="s">
        <v>1837</v>
      </c>
      <c r="E22" s="20" t="s">
        <v>199</v>
      </c>
      <c r="F22" s="19" t="s">
        <v>1836</v>
      </c>
      <c r="G22" s="19" t="s">
        <v>218</v>
      </c>
      <c r="H22" s="20"/>
      <c r="I22" s="23"/>
      <c r="J22" s="23" t="s">
        <v>322</v>
      </c>
      <c r="K22" s="23" t="s">
        <v>323</v>
      </c>
      <c r="L22" s="23" t="s">
        <v>323</v>
      </c>
      <c r="M22" s="1" t="str">
        <f t="shared" si="0"/>
        <v>cellkey as cellkey</v>
      </c>
      <c r="N22" s="16" t="str">
        <f t="shared" si="1"/>
        <v>`cellkey` string,</v>
      </c>
    </row>
    <row r="23" s="1" customFormat="1" spans="2:14">
      <c r="B23" s="19" t="s">
        <v>224</v>
      </c>
      <c r="C23" s="19" t="s">
        <v>216</v>
      </c>
      <c r="D23" s="10" t="s">
        <v>292</v>
      </c>
      <c r="E23" s="20" t="s">
        <v>199</v>
      </c>
      <c r="F23" s="19" t="s">
        <v>1310</v>
      </c>
      <c r="G23" s="19" t="s">
        <v>218</v>
      </c>
      <c r="H23" s="20"/>
      <c r="I23" s="23"/>
      <c r="J23" s="23" t="s">
        <v>322</v>
      </c>
      <c r="K23" s="23" t="s">
        <v>323</v>
      </c>
      <c r="L23" s="23" t="s">
        <v>323</v>
      </c>
      <c r="M23" s="1" t="str">
        <f t="shared" si="0"/>
        <v>imsi_supi as imsi</v>
      </c>
      <c r="N23" s="16" t="str">
        <f t="shared" si="1"/>
        <v>`imsi` string,</v>
      </c>
    </row>
    <row r="24" s="1" customFormat="1" spans="2:14">
      <c r="B24" s="19" t="s">
        <v>267</v>
      </c>
      <c r="C24" s="19" t="s">
        <v>216</v>
      </c>
      <c r="D24" s="10" t="s">
        <v>294</v>
      </c>
      <c r="E24" s="20" t="s">
        <v>199</v>
      </c>
      <c r="F24" s="19" t="s">
        <v>267</v>
      </c>
      <c r="G24" s="19" t="s">
        <v>218</v>
      </c>
      <c r="H24" s="20"/>
      <c r="I24" s="23"/>
      <c r="J24" s="23" t="s">
        <v>322</v>
      </c>
      <c r="K24" s="23" t="s">
        <v>323</v>
      </c>
      <c r="L24" s="23" t="s">
        <v>323</v>
      </c>
      <c r="M24" s="1" t="str">
        <f t="shared" si="0"/>
        <v>msisdn as msisdn</v>
      </c>
      <c r="N24" s="16" t="str">
        <f t="shared" si="1"/>
        <v>`msisdn` string,</v>
      </c>
    </row>
    <row r="25" s="1" customFormat="1" spans="2:14">
      <c r="B25" s="19" t="s">
        <v>1053</v>
      </c>
      <c r="C25" s="19" t="s">
        <v>216</v>
      </c>
      <c r="D25" s="10" t="s">
        <v>1839</v>
      </c>
      <c r="E25" s="20" t="s">
        <v>199</v>
      </c>
      <c r="F25" s="19" t="s">
        <v>2589</v>
      </c>
      <c r="G25" s="19" t="s">
        <v>218</v>
      </c>
      <c r="H25" s="20"/>
      <c r="I25" s="23"/>
      <c r="J25" s="23" t="s">
        <v>322</v>
      </c>
      <c r="K25" s="23" t="s">
        <v>323</v>
      </c>
      <c r="L25" s="23" t="s">
        <v>323</v>
      </c>
      <c r="M25" s="1" t="str">
        <f t="shared" si="0"/>
        <v>pei as imei</v>
      </c>
      <c r="N25" s="16" t="str">
        <f t="shared" si="1"/>
        <v>`imei` string,</v>
      </c>
    </row>
    <row r="26" s="1" customFormat="1" spans="2:14">
      <c r="B26" s="19" t="s">
        <v>1313</v>
      </c>
      <c r="C26" s="19" t="s">
        <v>216</v>
      </c>
      <c r="D26" s="10" t="s">
        <v>1314</v>
      </c>
      <c r="E26" s="20" t="s">
        <v>199</v>
      </c>
      <c r="F26" s="19" t="s">
        <v>1313</v>
      </c>
      <c r="G26" s="19" t="s">
        <v>218</v>
      </c>
      <c r="H26" s="20"/>
      <c r="I26" s="23"/>
      <c r="J26" s="23" t="s">
        <v>322</v>
      </c>
      <c r="K26" s="23" t="s">
        <v>323</v>
      </c>
      <c r="L26" s="23" t="s">
        <v>323</v>
      </c>
      <c r="M26" s="1" t="str">
        <f t="shared" si="0"/>
        <v>servicetype as servicetype</v>
      </c>
      <c r="N26" s="16" t="str">
        <f t="shared" si="1"/>
        <v>`servicetype` string,</v>
      </c>
    </row>
    <row r="27" s="1" customFormat="1" spans="2:14">
      <c r="B27" s="19" t="s">
        <v>1840</v>
      </c>
      <c r="C27" s="19" t="s">
        <v>216</v>
      </c>
      <c r="D27" s="10" t="s">
        <v>1841</v>
      </c>
      <c r="E27" s="20" t="s">
        <v>199</v>
      </c>
      <c r="F27" s="19" t="s">
        <v>1842</v>
      </c>
      <c r="G27" s="19" t="s">
        <v>1842</v>
      </c>
      <c r="H27" s="20"/>
      <c r="I27" s="23"/>
      <c r="J27" s="23" t="s">
        <v>322</v>
      </c>
      <c r="K27" s="23" t="s">
        <v>323</v>
      </c>
      <c r="L27" s="23" t="s">
        <v>323</v>
      </c>
      <c r="M27" s="1" t="str">
        <f t="shared" si="0"/>
        <v>substr(servicetype,1,2) as app_type</v>
      </c>
      <c r="N27" s="16" t="str">
        <f t="shared" si="1"/>
        <v>`app_type` string,</v>
      </c>
    </row>
    <row r="28" s="1" customFormat="1" spans="2:14">
      <c r="B28" s="19" t="s">
        <v>1843</v>
      </c>
      <c r="C28" s="19" t="s">
        <v>216</v>
      </c>
      <c r="D28" s="10" t="s">
        <v>1844</v>
      </c>
      <c r="E28" s="20" t="s">
        <v>202</v>
      </c>
      <c r="F28" s="19" t="s">
        <v>1845</v>
      </c>
      <c r="G28" s="19" t="s">
        <v>218</v>
      </c>
      <c r="H28" s="20"/>
      <c r="I28" s="23"/>
      <c r="J28" s="23" t="s">
        <v>322</v>
      </c>
      <c r="K28" s="23" t="s">
        <v>323</v>
      </c>
      <c r="L28" s="23" t="s">
        <v>323</v>
      </c>
      <c r="M28" s="1" t="str">
        <f t="shared" si="0"/>
        <v>servicetype_name as app_name</v>
      </c>
      <c r="N28" s="16" t="str">
        <f t="shared" si="1"/>
        <v>`app_name` string,</v>
      </c>
    </row>
    <row r="29" s="1" customFormat="1" spans="2:14">
      <c r="B29" s="19" t="s">
        <v>1817</v>
      </c>
      <c r="C29" s="19" t="s">
        <v>216</v>
      </c>
      <c r="D29" s="10" t="s">
        <v>1818</v>
      </c>
      <c r="E29" s="20" t="s">
        <v>199</v>
      </c>
      <c r="F29" s="19" t="s">
        <v>1846</v>
      </c>
      <c r="G29" s="19" t="s">
        <v>1846</v>
      </c>
      <c r="H29" s="20"/>
      <c r="I29" s="23"/>
      <c r="J29" s="23" t="s">
        <v>345</v>
      </c>
      <c r="K29" s="23" t="s">
        <v>323</v>
      </c>
      <c r="L29" s="23" t="s">
        <v>323</v>
      </c>
      <c r="M29" s="1" t="str">
        <f t="shared" si="0"/>
        <v>min(min_starttime) as min_starttime</v>
      </c>
      <c r="N29" s="16" t="str">
        <f t="shared" si="1"/>
        <v>`min_starttime` string,</v>
      </c>
    </row>
    <row r="30" s="1" customFormat="1" spans="2:14">
      <c r="B30" s="19" t="s">
        <v>1820</v>
      </c>
      <c r="C30" s="19" t="s">
        <v>216</v>
      </c>
      <c r="D30" s="10" t="s">
        <v>1821</v>
      </c>
      <c r="E30" s="20" t="s">
        <v>199</v>
      </c>
      <c r="F30" s="19" t="s">
        <v>1847</v>
      </c>
      <c r="G30" s="19" t="s">
        <v>1847</v>
      </c>
      <c r="H30" s="20"/>
      <c r="I30" s="23"/>
      <c r="J30" s="23" t="s">
        <v>345</v>
      </c>
      <c r="K30" s="23" t="s">
        <v>323</v>
      </c>
      <c r="L30" s="23" t="s">
        <v>323</v>
      </c>
      <c r="M30" s="1" t="str">
        <f t="shared" si="0"/>
        <v>max(max_endtime) as max_endtime</v>
      </c>
      <c r="N30" s="16" t="str">
        <f t="shared" si="1"/>
        <v>`max_endtime` string,</v>
      </c>
    </row>
    <row r="31" s="1" customFormat="1" spans="2:14">
      <c r="B31" s="19" t="s">
        <v>1848</v>
      </c>
      <c r="C31" s="19" t="s">
        <v>275</v>
      </c>
      <c r="D31" s="10" t="s">
        <v>1849</v>
      </c>
      <c r="E31" s="20" t="s">
        <v>199</v>
      </c>
      <c r="F31" s="19" t="s">
        <v>2471</v>
      </c>
      <c r="G31" s="19" t="s">
        <v>2471</v>
      </c>
      <c r="H31" s="20"/>
      <c r="I31" s="23"/>
      <c r="J31" s="23" t="s">
        <v>345</v>
      </c>
      <c r="K31" s="23" t="s">
        <v>323</v>
      </c>
      <c r="L31" s="23" t="s">
        <v>339</v>
      </c>
      <c r="M31" s="1" t="str">
        <f t="shared" si="0"/>
        <v>sum(httpwebreqcount) as total_cnt</v>
      </c>
      <c r="N31" s="16" t="str">
        <f t="shared" si="1"/>
        <v>`total_cnt` bigint,</v>
      </c>
    </row>
    <row r="32" s="1" customFormat="1" spans="2:14">
      <c r="B32" s="19" t="s">
        <v>1814</v>
      </c>
      <c r="C32" s="19" t="s">
        <v>275</v>
      </c>
      <c r="D32" s="10" t="s">
        <v>1851</v>
      </c>
      <c r="E32" s="20" t="s">
        <v>199</v>
      </c>
      <c r="F32" s="19" t="s">
        <v>1852</v>
      </c>
      <c r="G32" s="19" t="s">
        <v>1852</v>
      </c>
      <c r="H32" s="20"/>
      <c r="I32" s="23"/>
      <c r="J32" s="23" t="s">
        <v>345</v>
      </c>
      <c r="K32" s="23" t="s">
        <v>323</v>
      </c>
      <c r="L32" s="23" t="s">
        <v>339</v>
      </c>
      <c r="M32" s="1" t="str">
        <f t="shared" si="0"/>
        <v>sum(abnormal_cnt) as abnormal_cnt</v>
      </c>
      <c r="N32" s="16" t="str">
        <f t="shared" si="1"/>
        <v>`abnormal_cnt` bigint,</v>
      </c>
    </row>
    <row r="33" s="1" customFormat="1" ht="26.4" spans="2:14">
      <c r="B33" s="19" t="s">
        <v>1853</v>
      </c>
      <c r="C33" s="19" t="s">
        <v>240</v>
      </c>
      <c r="D33" s="10" t="s">
        <v>1854</v>
      </c>
      <c r="E33" s="20" t="s">
        <v>199</v>
      </c>
      <c r="F33" s="19" t="s">
        <v>2472</v>
      </c>
      <c r="G33" s="19" t="s">
        <v>2472</v>
      </c>
      <c r="H33" s="20"/>
      <c r="I33" s="23"/>
      <c r="J33" s="23" t="s">
        <v>345</v>
      </c>
      <c r="K33" s="23" t="s">
        <v>323</v>
      </c>
      <c r="L33" s="23" t="s">
        <v>1856</v>
      </c>
      <c r="M33" s="1" t="str">
        <f t="shared" si="0"/>
        <v>sum(abnormal_cnt)/sum(httpwebreqcount) as abnormal_rate</v>
      </c>
      <c r="N33" s="16" t="str">
        <f t="shared" si="1"/>
        <v>`abnormal_rate` double,</v>
      </c>
    </row>
    <row r="34" s="1" customFormat="1" spans="2:14">
      <c r="B34" s="19" t="s">
        <v>1170</v>
      </c>
      <c r="C34" s="19" t="s">
        <v>275</v>
      </c>
      <c r="D34" s="10" t="s">
        <v>1857</v>
      </c>
      <c r="E34" s="20" t="s">
        <v>199</v>
      </c>
      <c r="F34" s="19" t="s">
        <v>1858</v>
      </c>
      <c r="G34" s="19" t="s">
        <v>1858</v>
      </c>
      <c r="H34" s="20"/>
      <c r="I34" s="23"/>
      <c r="J34" s="23" t="s">
        <v>345</v>
      </c>
      <c r="K34" s="23" t="s">
        <v>1859</v>
      </c>
      <c r="L34" s="23" t="s">
        <v>339</v>
      </c>
      <c r="M34" s="1" t="str">
        <f t="shared" si="0"/>
        <v>sum(duration_sum) as duration</v>
      </c>
      <c r="N34" s="16" t="str">
        <f t="shared" si="1"/>
        <v>`duration` bigint,</v>
      </c>
    </row>
    <row r="35" s="1" customFormat="1" ht="26.4" spans="2:14">
      <c r="B35" s="19" t="s">
        <v>1860</v>
      </c>
      <c r="C35" s="19" t="s">
        <v>275</v>
      </c>
      <c r="D35" s="10" t="s">
        <v>1861</v>
      </c>
      <c r="E35" s="20" t="s">
        <v>199</v>
      </c>
      <c r="F35" s="19" t="s">
        <v>1862</v>
      </c>
      <c r="G35" s="19" t="s">
        <v>1862</v>
      </c>
      <c r="H35" s="20"/>
      <c r="I35" s="23"/>
      <c r="J35" s="23" t="s">
        <v>345</v>
      </c>
      <c r="K35" s="23" t="s">
        <v>1863</v>
      </c>
      <c r="L35" s="23" t="s">
        <v>339</v>
      </c>
      <c r="M35" s="1" t="str">
        <f t="shared" si="0"/>
        <v>sum(outputoctets_sum+inputoctets_sum) as flux</v>
      </c>
      <c r="N35" s="16" t="str">
        <f t="shared" si="1"/>
        <v>`flux` bigint,</v>
      </c>
    </row>
    <row r="36" s="2" customFormat="1" spans="1:12">
      <c r="A36" s="21"/>
      <c r="B36" s="22" t="s">
        <v>252</v>
      </c>
      <c r="C36" s="22" t="s">
        <v>220</v>
      </c>
      <c r="D36" s="22" t="s">
        <v>254</v>
      </c>
      <c r="E36" s="22"/>
      <c r="F36" s="22"/>
      <c r="G36" s="22"/>
      <c r="H36" s="22"/>
      <c r="I36" s="22"/>
      <c r="J36" s="22"/>
      <c r="K36" s="22"/>
      <c r="L36" s="22"/>
    </row>
    <row r="37" s="2" customFormat="1" spans="1:12">
      <c r="A37" s="21"/>
      <c r="B37" s="22" t="s">
        <v>255</v>
      </c>
      <c r="C37" s="22" t="s">
        <v>216</v>
      </c>
      <c r="D37" s="22" t="s">
        <v>256</v>
      </c>
      <c r="E37" s="22"/>
      <c r="F37" s="22"/>
      <c r="G37" s="22"/>
      <c r="H37" s="22"/>
      <c r="I37" s="22"/>
      <c r="J37" s="22"/>
      <c r="K37" s="22"/>
      <c r="L37" s="22"/>
    </row>
    <row r="38" s="2" customFormat="1" spans="1:12">
      <c r="A38" s="21"/>
      <c r="B38" s="22" t="s">
        <v>257</v>
      </c>
      <c r="C38" s="22" t="s">
        <v>220</v>
      </c>
      <c r="D38" s="22" t="s">
        <v>258</v>
      </c>
      <c r="E38" s="22"/>
      <c r="F38" s="22"/>
      <c r="G38" s="22"/>
      <c r="H38" s="22"/>
      <c r="I38" s="22"/>
      <c r="J38" s="22"/>
      <c r="K38" s="22"/>
      <c r="L38" s="22"/>
    </row>
  </sheetData>
  <autoFilter xmlns:etc="http://www.wps.cn/officeDocument/2017/etCustomData" ref="A15:N38"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9"/>
  <sheetViews>
    <sheetView zoomScale="85" zoomScaleNormal="85" workbookViewId="0">
      <pane ySplit="5" topLeftCell="A116" activePane="bottomLeft" state="frozen"/>
      <selection/>
      <selection pane="bottomLeft" activeCell="B132" sqref="B132"/>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146</v>
      </c>
      <c r="C5" s="10" t="s">
        <v>147</v>
      </c>
      <c r="D5" s="10" t="s">
        <v>148</v>
      </c>
      <c r="E5" s="11" t="s">
        <v>1864</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150</v>
      </c>
      <c r="D9" s="10" t="s">
        <v>2998</v>
      </c>
      <c r="E9" s="11" t="s">
        <v>199</v>
      </c>
      <c r="F9" s="11"/>
      <c r="G9" s="11"/>
      <c r="H9" s="15"/>
    </row>
    <row r="10" spans="7:7">
      <c r="G10" s="17"/>
    </row>
    <row r="11" spans="2:2">
      <c r="B11" s="3" t="s">
        <v>204</v>
      </c>
    </row>
    <row r="12" spans="2:12">
      <c r="B12" s="7" t="s">
        <v>204</v>
      </c>
      <c r="C12" s="7"/>
      <c r="D12" s="7"/>
      <c r="E12" s="7"/>
      <c r="F12" s="7"/>
      <c r="G12" s="7"/>
      <c r="H12" s="7"/>
      <c r="I12" s="7"/>
      <c r="J12" s="7"/>
      <c r="K12" s="7"/>
      <c r="L12" s="7"/>
    </row>
    <row r="13" ht="24" spans="2:12">
      <c r="B13" s="18" t="s">
        <v>205</v>
      </c>
      <c r="C13" s="18" t="s">
        <v>206</v>
      </c>
      <c r="D13" s="18" t="s">
        <v>207</v>
      </c>
      <c r="E13" s="18" t="s">
        <v>208</v>
      </c>
      <c r="F13" s="18" t="s">
        <v>209</v>
      </c>
      <c r="G13" s="18" t="s">
        <v>210</v>
      </c>
      <c r="H13" s="18" t="s">
        <v>211</v>
      </c>
      <c r="I13" s="18" t="s">
        <v>17</v>
      </c>
      <c r="J13" s="18" t="s">
        <v>212</v>
      </c>
      <c r="K13" s="18" t="s">
        <v>213</v>
      </c>
      <c r="L13" s="18" t="s">
        <v>214</v>
      </c>
    </row>
    <row r="14" s="1" customFormat="1" spans="2:12">
      <c r="B14" s="19" t="s">
        <v>1830</v>
      </c>
      <c r="C14" s="19" t="s">
        <v>220</v>
      </c>
      <c r="D14" s="19" t="s">
        <v>1831</v>
      </c>
      <c r="E14" s="20"/>
      <c r="F14" s="19"/>
      <c r="G14" s="19"/>
      <c r="H14" s="20"/>
      <c r="I14" s="23"/>
      <c r="J14" s="23"/>
      <c r="K14" s="23"/>
      <c r="L14" s="23"/>
    </row>
    <row r="15" s="1" customFormat="1" spans="2:12">
      <c r="B15" s="19" t="s">
        <v>1828</v>
      </c>
      <c r="C15" s="19" t="s">
        <v>216</v>
      </c>
      <c r="D15" s="19" t="s">
        <v>1829</v>
      </c>
      <c r="E15" s="20"/>
      <c r="F15" s="19"/>
      <c r="G15" s="19"/>
      <c r="H15" s="20"/>
      <c r="I15" s="23"/>
      <c r="J15" s="23"/>
      <c r="K15" s="23"/>
      <c r="L15" s="23"/>
    </row>
    <row r="16" s="1" customFormat="1" spans="2:12">
      <c r="B16" s="19" t="s">
        <v>1026</v>
      </c>
      <c r="C16" s="19" t="s">
        <v>220</v>
      </c>
      <c r="D16" s="19" t="s">
        <v>66</v>
      </c>
      <c r="E16" s="20"/>
      <c r="F16" s="19"/>
      <c r="G16" s="19"/>
      <c r="H16" s="20"/>
      <c r="I16" s="23"/>
      <c r="J16" s="23"/>
      <c r="K16" s="23"/>
      <c r="L16" s="23"/>
    </row>
    <row r="17" s="1" customFormat="1" spans="2:12">
      <c r="B17" s="19" t="s">
        <v>1864</v>
      </c>
      <c r="C17" s="19" t="s">
        <v>220</v>
      </c>
      <c r="D17" s="19" t="s">
        <v>27</v>
      </c>
      <c r="E17" s="20"/>
      <c r="F17" s="19"/>
      <c r="G17" s="19"/>
      <c r="H17" s="20"/>
      <c r="I17" s="23"/>
      <c r="J17" s="23"/>
      <c r="K17" s="23"/>
      <c r="L17" s="23"/>
    </row>
    <row r="18" s="1" customFormat="1" spans="2:12">
      <c r="B18" s="19" t="s">
        <v>1836</v>
      </c>
      <c r="C18" s="19" t="s">
        <v>216</v>
      </c>
      <c r="D18" s="19" t="s">
        <v>1876</v>
      </c>
      <c r="E18" s="20"/>
      <c r="F18" s="19"/>
      <c r="G18" s="19"/>
      <c r="H18" s="20"/>
      <c r="I18" s="23"/>
      <c r="J18" s="23"/>
      <c r="K18" s="23"/>
      <c r="L18" s="23"/>
    </row>
    <row r="19" s="1" customFormat="1" spans="2:12">
      <c r="B19" s="19" t="s">
        <v>2999</v>
      </c>
      <c r="C19" s="19" t="s">
        <v>220</v>
      </c>
      <c r="D19" s="19" t="s">
        <v>3000</v>
      </c>
      <c r="E19" s="20"/>
      <c r="F19" s="19"/>
      <c r="G19" s="19"/>
      <c r="H19" s="20"/>
      <c r="I19" s="23"/>
      <c r="J19" s="23"/>
      <c r="K19" s="23"/>
      <c r="L19" s="23"/>
    </row>
    <row r="20" s="1" customFormat="1" ht="26.4" spans="2:12">
      <c r="B20" s="19" t="s">
        <v>3001</v>
      </c>
      <c r="C20" s="19" t="s">
        <v>220</v>
      </c>
      <c r="D20" s="19" t="s">
        <v>3002</v>
      </c>
      <c r="E20" s="20"/>
      <c r="F20" s="19"/>
      <c r="G20" s="19"/>
      <c r="H20" s="20"/>
      <c r="I20" s="23"/>
      <c r="J20" s="23"/>
      <c r="K20" s="23"/>
      <c r="L20" s="23"/>
    </row>
    <row r="21" s="1" customFormat="1" spans="2:12">
      <c r="B21" s="19" t="s">
        <v>224</v>
      </c>
      <c r="C21" s="19" t="s">
        <v>216</v>
      </c>
      <c r="D21" s="19" t="s">
        <v>1869</v>
      </c>
      <c r="E21" s="20"/>
      <c r="F21" s="19"/>
      <c r="G21" s="19"/>
      <c r="H21" s="20"/>
      <c r="I21" s="23"/>
      <c r="J21" s="23"/>
      <c r="K21" s="23"/>
      <c r="L21" s="23"/>
    </row>
    <row r="22" s="1" customFormat="1" spans="2:12">
      <c r="B22" s="19" t="s">
        <v>246</v>
      </c>
      <c r="C22" s="19" t="s">
        <v>220</v>
      </c>
      <c r="D22" s="19" t="s">
        <v>3003</v>
      </c>
      <c r="E22" s="20"/>
      <c r="F22" s="19"/>
      <c r="G22" s="19"/>
      <c r="H22" s="20"/>
      <c r="I22" s="23"/>
      <c r="J22" s="23"/>
      <c r="K22" s="23"/>
      <c r="L22" s="23"/>
    </row>
    <row r="23" s="1" customFormat="1" spans="2:12">
      <c r="B23" s="19" t="s">
        <v>1266</v>
      </c>
      <c r="C23" s="19" t="s">
        <v>220</v>
      </c>
      <c r="D23" s="19" t="s">
        <v>3004</v>
      </c>
      <c r="E23" s="20"/>
      <c r="F23" s="19"/>
      <c r="G23" s="19"/>
      <c r="H23" s="20"/>
      <c r="I23" s="23"/>
      <c r="J23" s="23"/>
      <c r="K23" s="23"/>
      <c r="L23" s="23"/>
    </row>
    <row r="24" s="1" customFormat="1" spans="2:12">
      <c r="B24" s="19" t="s">
        <v>1268</v>
      </c>
      <c r="C24" s="19" t="s">
        <v>220</v>
      </c>
      <c r="D24" s="19" t="s">
        <v>3005</v>
      </c>
      <c r="E24" s="20"/>
      <c r="F24" s="19"/>
      <c r="G24" s="19"/>
      <c r="H24" s="20"/>
      <c r="I24" s="23"/>
      <c r="J24" s="23"/>
      <c r="K24" s="23"/>
      <c r="L24" s="23"/>
    </row>
    <row r="25" s="1" customFormat="1" spans="2:12">
      <c r="B25" s="19" t="s">
        <v>3006</v>
      </c>
      <c r="C25" s="19" t="s">
        <v>275</v>
      </c>
      <c r="D25" s="19" t="s">
        <v>3007</v>
      </c>
      <c r="E25" s="20"/>
      <c r="F25" s="19"/>
      <c r="G25" s="19"/>
      <c r="H25" s="20"/>
      <c r="I25" s="23"/>
      <c r="J25" s="23"/>
      <c r="K25" s="23"/>
      <c r="L25" s="23"/>
    </row>
    <row r="26" s="1" customFormat="1" spans="2:12">
      <c r="B26" s="19" t="s">
        <v>3008</v>
      </c>
      <c r="C26" s="19" t="s">
        <v>275</v>
      </c>
      <c r="D26" s="19" t="s">
        <v>3009</v>
      </c>
      <c r="E26" s="20"/>
      <c r="F26" s="19"/>
      <c r="G26" s="19"/>
      <c r="H26" s="20"/>
      <c r="I26" s="23"/>
      <c r="J26" s="23"/>
      <c r="K26" s="23"/>
      <c r="L26" s="23"/>
    </row>
    <row r="27" s="1" customFormat="1" spans="2:12">
      <c r="B27" s="19" t="s">
        <v>3010</v>
      </c>
      <c r="C27" s="19" t="s">
        <v>240</v>
      </c>
      <c r="D27" s="19" t="s">
        <v>3011</v>
      </c>
      <c r="E27" s="20"/>
      <c r="F27" s="19"/>
      <c r="G27" s="19"/>
      <c r="H27" s="20"/>
      <c r="I27" s="23"/>
      <c r="J27" s="23"/>
      <c r="K27" s="23"/>
      <c r="L27" s="23"/>
    </row>
    <row r="28" s="1" customFormat="1" spans="2:12">
      <c r="B28" s="19" t="s">
        <v>3012</v>
      </c>
      <c r="C28" s="19" t="s">
        <v>275</v>
      </c>
      <c r="D28" s="19" t="s">
        <v>3013</v>
      </c>
      <c r="E28" s="20"/>
      <c r="F28" s="19"/>
      <c r="G28" s="19"/>
      <c r="H28" s="20"/>
      <c r="I28" s="23"/>
      <c r="J28" s="23"/>
      <c r="K28" s="23"/>
      <c r="L28" s="23"/>
    </row>
    <row r="29" s="1" customFormat="1" spans="2:12">
      <c r="B29" s="19" t="s">
        <v>3014</v>
      </c>
      <c r="C29" s="19" t="s">
        <v>275</v>
      </c>
      <c r="D29" s="19" t="s">
        <v>3015</v>
      </c>
      <c r="E29" s="20"/>
      <c r="F29" s="19"/>
      <c r="G29" s="19"/>
      <c r="H29" s="20"/>
      <c r="I29" s="23"/>
      <c r="J29" s="23"/>
      <c r="K29" s="23"/>
      <c r="L29" s="23"/>
    </row>
    <row r="30" s="1" customFormat="1" spans="2:12">
      <c r="B30" s="19" t="s">
        <v>3016</v>
      </c>
      <c r="C30" s="19" t="s">
        <v>275</v>
      </c>
      <c r="D30" s="19" t="s">
        <v>3017</v>
      </c>
      <c r="E30" s="20"/>
      <c r="F30" s="19"/>
      <c r="G30" s="19"/>
      <c r="H30" s="20"/>
      <c r="I30" s="23"/>
      <c r="J30" s="23"/>
      <c r="K30" s="23"/>
      <c r="L30" s="23"/>
    </row>
    <row r="31" s="1" customFormat="1" spans="2:12">
      <c r="B31" s="19" t="s">
        <v>3018</v>
      </c>
      <c r="C31" s="19" t="s">
        <v>275</v>
      </c>
      <c r="D31" s="19" t="s">
        <v>3019</v>
      </c>
      <c r="E31" s="20"/>
      <c r="F31" s="19"/>
      <c r="G31" s="19"/>
      <c r="H31" s="20"/>
      <c r="I31" s="23"/>
      <c r="J31" s="23"/>
      <c r="K31" s="23"/>
      <c r="L31" s="23"/>
    </row>
    <row r="32" s="1" customFormat="1" spans="2:12">
      <c r="B32" s="19" t="s">
        <v>3020</v>
      </c>
      <c r="C32" s="19" t="s">
        <v>275</v>
      </c>
      <c r="D32" s="19" t="s">
        <v>3021</v>
      </c>
      <c r="E32" s="20"/>
      <c r="F32" s="19"/>
      <c r="G32" s="19"/>
      <c r="H32" s="20"/>
      <c r="I32" s="23"/>
      <c r="J32" s="23"/>
      <c r="K32" s="23"/>
      <c r="L32" s="23"/>
    </row>
    <row r="33" s="1" customFormat="1" spans="2:12">
      <c r="B33" s="19" t="s">
        <v>3022</v>
      </c>
      <c r="C33" s="19" t="s">
        <v>275</v>
      </c>
      <c r="D33" s="19" t="s">
        <v>3023</v>
      </c>
      <c r="E33" s="20"/>
      <c r="F33" s="19"/>
      <c r="G33" s="19"/>
      <c r="H33" s="20"/>
      <c r="I33" s="23"/>
      <c r="J33" s="23"/>
      <c r="K33" s="23"/>
      <c r="L33" s="23"/>
    </row>
    <row r="34" s="1" customFormat="1" spans="2:12">
      <c r="B34" s="19" t="s">
        <v>3024</v>
      </c>
      <c r="C34" s="19" t="s">
        <v>275</v>
      </c>
      <c r="D34" s="19" t="s">
        <v>3025</v>
      </c>
      <c r="E34" s="20"/>
      <c r="F34" s="19"/>
      <c r="G34" s="19"/>
      <c r="H34" s="20"/>
      <c r="I34" s="23"/>
      <c r="J34" s="23"/>
      <c r="K34" s="23"/>
      <c r="L34" s="23"/>
    </row>
    <row r="35" s="1" customFormat="1" spans="2:12">
      <c r="B35" s="19" t="s">
        <v>3026</v>
      </c>
      <c r="C35" s="19" t="s">
        <v>275</v>
      </c>
      <c r="D35" s="19" t="s">
        <v>3027</v>
      </c>
      <c r="E35" s="20"/>
      <c r="F35" s="19"/>
      <c r="G35" s="19"/>
      <c r="H35" s="20"/>
      <c r="I35" s="23"/>
      <c r="J35" s="23"/>
      <c r="K35" s="23"/>
      <c r="L35" s="23"/>
    </row>
    <row r="36" s="1" customFormat="1" spans="2:12">
      <c r="B36" s="19" t="s">
        <v>3028</v>
      </c>
      <c r="C36" s="19" t="s">
        <v>275</v>
      </c>
      <c r="D36" s="19" t="s">
        <v>3029</v>
      </c>
      <c r="E36" s="20"/>
      <c r="F36" s="19"/>
      <c r="G36" s="19"/>
      <c r="H36" s="20"/>
      <c r="I36" s="23"/>
      <c r="J36" s="23"/>
      <c r="K36" s="23"/>
      <c r="L36" s="23"/>
    </row>
    <row r="37" s="1" customFormat="1" spans="2:12">
      <c r="B37" s="19" t="s">
        <v>3030</v>
      </c>
      <c r="C37" s="19" t="s">
        <v>240</v>
      </c>
      <c r="D37" s="19" t="s">
        <v>3031</v>
      </c>
      <c r="E37" s="20"/>
      <c r="F37" s="19"/>
      <c r="G37" s="19"/>
      <c r="H37" s="20"/>
      <c r="I37" s="23"/>
      <c r="J37" s="23"/>
      <c r="K37" s="23"/>
      <c r="L37" s="23"/>
    </row>
    <row r="38" s="1" customFormat="1" spans="2:12">
      <c r="B38" s="19" t="s">
        <v>3032</v>
      </c>
      <c r="C38" s="19" t="s">
        <v>275</v>
      </c>
      <c r="D38" s="19" t="s">
        <v>3033</v>
      </c>
      <c r="E38" s="20"/>
      <c r="F38" s="19"/>
      <c r="G38" s="19"/>
      <c r="H38" s="20"/>
      <c r="I38" s="23"/>
      <c r="J38" s="23"/>
      <c r="K38" s="23"/>
      <c r="L38" s="23"/>
    </row>
    <row r="39" s="1" customFormat="1" spans="2:12">
      <c r="B39" s="19" t="s">
        <v>3034</v>
      </c>
      <c r="C39" s="19" t="s">
        <v>240</v>
      </c>
      <c r="D39" s="19" t="s">
        <v>3035</v>
      </c>
      <c r="E39" s="20"/>
      <c r="F39" s="19"/>
      <c r="G39" s="19"/>
      <c r="H39" s="20"/>
      <c r="I39" s="23"/>
      <c r="J39" s="23"/>
      <c r="K39" s="23"/>
      <c r="L39" s="23"/>
    </row>
    <row r="40" s="1" customFormat="1" spans="2:12">
      <c r="B40" s="19" t="s">
        <v>3036</v>
      </c>
      <c r="C40" s="19" t="s">
        <v>275</v>
      </c>
      <c r="D40" s="19" t="s">
        <v>3037</v>
      </c>
      <c r="E40" s="20"/>
      <c r="F40" s="19"/>
      <c r="G40" s="19"/>
      <c r="H40" s="20"/>
      <c r="I40" s="23"/>
      <c r="J40" s="23"/>
      <c r="K40" s="23"/>
      <c r="L40" s="23"/>
    </row>
    <row r="41" s="1" customFormat="1" spans="2:12">
      <c r="B41" s="19" t="s">
        <v>3038</v>
      </c>
      <c r="C41" s="19" t="s">
        <v>275</v>
      </c>
      <c r="D41" s="19" t="s">
        <v>3039</v>
      </c>
      <c r="E41" s="20"/>
      <c r="F41" s="19"/>
      <c r="G41" s="19"/>
      <c r="H41" s="20"/>
      <c r="I41" s="23"/>
      <c r="J41" s="23"/>
      <c r="K41" s="23"/>
      <c r="L41" s="23"/>
    </row>
    <row r="42" s="1" customFormat="1" spans="2:12">
      <c r="B42" s="19" t="s">
        <v>3040</v>
      </c>
      <c r="C42" s="19" t="s">
        <v>275</v>
      </c>
      <c r="D42" s="19" t="s">
        <v>3041</v>
      </c>
      <c r="E42" s="20"/>
      <c r="F42" s="19"/>
      <c r="G42" s="19"/>
      <c r="H42" s="20"/>
      <c r="I42" s="23"/>
      <c r="J42" s="23"/>
      <c r="K42" s="23"/>
      <c r="L42" s="23"/>
    </row>
    <row r="43" s="1" customFormat="1" spans="2:12">
      <c r="B43" s="19" t="s">
        <v>3042</v>
      </c>
      <c r="C43" s="19" t="s">
        <v>275</v>
      </c>
      <c r="D43" s="19" t="s">
        <v>3043</v>
      </c>
      <c r="E43" s="20"/>
      <c r="F43" s="19"/>
      <c r="G43" s="19"/>
      <c r="H43" s="20"/>
      <c r="I43" s="23"/>
      <c r="J43" s="23"/>
      <c r="K43" s="23"/>
      <c r="L43" s="23"/>
    </row>
    <row r="44" s="1" customFormat="1" spans="2:12">
      <c r="B44" s="19" t="s">
        <v>3044</v>
      </c>
      <c r="C44" s="19" t="s">
        <v>275</v>
      </c>
      <c r="D44" s="19" t="s">
        <v>3045</v>
      </c>
      <c r="E44" s="20"/>
      <c r="F44" s="19"/>
      <c r="G44" s="19"/>
      <c r="H44" s="20"/>
      <c r="I44" s="23"/>
      <c r="J44" s="23"/>
      <c r="K44" s="23"/>
      <c r="L44" s="23"/>
    </row>
    <row r="45" s="1" customFormat="1" spans="2:12">
      <c r="B45" s="19" t="s">
        <v>3046</v>
      </c>
      <c r="C45" s="19" t="s">
        <v>275</v>
      </c>
      <c r="D45" s="19" t="s">
        <v>3047</v>
      </c>
      <c r="E45" s="20"/>
      <c r="F45" s="19"/>
      <c r="G45" s="19"/>
      <c r="H45" s="20"/>
      <c r="I45" s="23"/>
      <c r="J45" s="23"/>
      <c r="K45" s="23"/>
      <c r="L45" s="23"/>
    </row>
    <row r="46" s="1" customFormat="1" spans="2:12">
      <c r="B46" s="19" t="s">
        <v>3048</v>
      </c>
      <c r="C46" s="19" t="s">
        <v>275</v>
      </c>
      <c r="D46" s="19" t="s">
        <v>3049</v>
      </c>
      <c r="E46" s="20"/>
      <c r="F46" s="19"/>
      <c r="G46" s="19"/>
      <c r="H46" s="20"/>
      <c r="I46" s="23"/>
      <c r="J46" s="23"/>
      <c r="K46" s="23"/>
      <c r="L46" s="23"/>
    </row>
    <row r="47" s="1" customFormat="1" spans="2:12">
      <c r="B47" s="19" t="s">
        <v>3050</v>
      </c>
      <c r="C47" s="19" t="s">
        <v>275</v>
      </c>
      <c r="D47" s="19" t="s">
        <v>3051</v>
      </c>
      <c r="E47" s="20"/>
      <c r="F47" s="19"/>
      <c r="G47" s="19"/>
      <c r="H47" s="20"/>
      <c r="I47" s="23"/>
      <c r="J47" s="23"/>
      <c r="K47" s="23"/>
      <c r="L47" s="23"/>
    </row>
    <row r="48" s="1" customFormat="1" spans="2:12">
      <c r="B48" s="19" t="s">
        <v>3052</v>
      </c>
      <c r="C48" s="19" t="s">
        <v>275</v>
      </c>
      <c r="D48" s="19" t="s">
        <v>3053</v>
      </c>
      <c r="E48" s="20"/>
      <c r="F48" s="19"/>
      <c r="G48" s="19"/>
      <c r="H48" s="20"/>
      <c r="I48" s="23"/>
      <c r="J48" s="23"/>
      <c r="K48" s="23"/>
      <c r="L48" s="23"/>
    </row>
    <row r="49" s="1" customFormat="1" spans="2:12">
      <c r="B49" s="19" t="s">
        <v>3054</v>
      </c>
      <c r="C49" s="19" t="s">
        <v>240</v>
      </c>
      <c r="D49" s="19" t="s">
        <v>3055</v>
      </c>
      <c r="E49" s="20"/>
      <c r="F49" s="19"/>
      <c r="G49" s="19"/>
      <c r="H49" s="20"/>
      <c r="I49" s="23"/>
      <c r="J49" s="23"/>
      <c r="K49" s="23"/>
      <c r="L49" s="23"/>
    </row>
    <row r="50" s="1" customFormat="1" spans="2:12">
      <c r="B50" s="19" t="s">
        <v>3056</v>
      </c>
      <c r="C50" s="19" t="s">
        <v>275</v>
      </c>
      <c r="D50" s="19" t="s">
        <v>3009</v>
      </c>
      <c r="E50" s="20"/>
      <c r="F50" s="19"/>
      <c r="G50" s="19"/>
      <c r="H50" s="20"/>
      <c r="I50" s="23"/>
      <c r="J50" s="23"/>
      <c r="K50" s="23"/>
      <c r="L50" s="23"/>
    </row>
    <row r="51" s="1" customFormat="1" spans="2:12">
      <c r="B51" s="19" t="s">
        <v>3057</v>
      </c>
      <c r="C51" s="19" t="s">
        <v>240</v>
      </c>
      <c r="D51" s="19" t="s">
        <v>3011</v>
      </c>
      <c r="E51" s="20"/>
      <c r="F51" s="19"/>
      <c r="G51" s="19"/>
      <c r="H51" s="20"/>
      <c r="I51" s="23"/>
      <c r="J51" s="23"/>
      <c r="K51" s="23"/>
      <c r="L51" s="23"/>
    </row>
    <row r="52" s="1" customFormat="1" spans="2:12">
      <c r="B52" s="19" t="s">
        <v>3058</v>
      </c>
      <c r="C52" s="19" t="s">
        <v>275</v>
      </c>
      <c r="D52" s="19" t="s">
        <v>3059</v>
      </c>
      <c r="E52" s="20"/>
      <c r="F52" s="19"/>
      <c r="G52" s="19"/>
      <c r="H52" s="20"/>
      <c r="I52" s="23"/>
      <c r="J52" s="23"/>
      <c r="K52" s="23"/>
      <c r="L52" s="23"/>
    </row>
    <row r="53" s="1" customFormat="1" spans="2:12">
      <c r="B53" s="19" t="s">
        <v>3060</v>
      </c>
      <c r="C53" s="19" t="s">
        <v>275</v>
      </c>
      <c r="D53" s="19" t="s">
        <v>3061</v>
      </c>
      <c r="E53" s="20"/>
      <c r="F53" s="19"/>
      <c r="G53" s="19"/>
      <c r="H53" s="20"/>
      <c r="I53" s="23"/>
      <c r="J53" s="23"/>
      <c r="K53" s="23"/>
      <c r="L53" s="23"/>
    </row>
    <row r="54" s="1" customFormat="1" spans="2:12">
      <c r="B54" s="19" t="s">
        <v>3062</v>
      </c>
      <c r="C54" s="19" t="s">
        <v>275</v>
      </c>
      <c r="D54" s="19" t="s">
        <v>3063</v>
      </c>
      <c r="E54" s="20"/>
      <c r="F54" s="19"/>
      <c r="G54" s="19"/>
      <c r="H54" s="20"/>
      <c r="I54" s="23"/>
      <c r="J54" s="23"/>
      <c r="K54" s="23"/>
      <c r="L54" s="23"/>
    </row>
    <row r="55" s="1" customFormat="1" spans="2:12">
      <c r="B55" s="19" t="s">
        <v>3064</v>
      </c>
      <c r="C55" s="19" t="s">
        <v>275</v>
      </c>
      <c r="D55" s="19" t="s">
        <v>3065</v>
      </c>
      <c r="E55" s="20"/>
      <c r="F55" s="19"/>
      <c r="G55" s="19"/>
      <c r="H55" s="20"/>
      <c r="I55" s="23"/>
      <c r="J55" s="23"/>
      <c r="K55" s="23"/>
      <c r="L55" s="23"/>
    </row>
    <row r="56" s="1" customFormat="1" spans="2:12">
      <c r="B56" s="19" t="s">
        <v>3066</v>
      </c>
      <c r="C56" s="19" t="s">
        <v>275</v>
      </c>
      <c r="D56" s="19" t="s">
        <v>3067</v>
      </c>
      <c r="E56" s="20"/>
      <c r="F56" s="19"/>
      <c r="G56" s="19"/>
      <c r="H56" s="20"/>
      <c r="I56" s="23"/>
      <c r="J56" s="23"/>
      <c r="K56" s="23"/>
      <c r="L56" s="23"/>
    </row>
    <row r="57" s="1" customFormat="1" spans="2:12">
      <c r="B57" s="19" t="s">
        <v>3068</v>
      </c>
      <c r="C57" s="19" t="s">
        <v>275</v>
      </c>
      <c r="D57" s="19" t="s">
        <v>3069</v>
      </c>
      <c r="E57" s="20"/>
      <c r="F57" s="19"/>
      <c r="G57" s="19"/>
      <c r="H57" s="20"/>
      <c r="I57" s="23"/>
      <c r="J57" s="23"/>
      <c r="K57" s="23"/>
      <c r="L57" s="23"/>
    </row>
    <row r="58" s="1" customFormat="1" spans="2:12">
      <c r="B58" s="19" t="s">
        <v>3070</v>
      </c>
      <c r="C58" s="19" t="s">
        <v>275</v>
      </c>
      <c r="D58" s="19" t="s">
        <v>3071</v>
      </c>
      <c r="E58" s="20"/>
      <c r="F58" s="19"/>
      <c r="G58" s="19"/>
      <c r="H58" s="20"/>
      <c r="I58" s="23"/>
      <c r="J58" s="23"/>
      <c r="K58" s="23"/>
      <c r="L58" s="23"/>
    </row>
    <row r="59" s="1" customFormat="1" spans="2:12">
      <c r="B59" s="19" t="s">
        <v>3072</v>
      </c>
      <c r="C59" s="19" t="s">
        <v>275</v>
      </c>
      <c r="D59" s="19" t="s">
        <v>3073</v>
      </c>
      <c r="E59" s="20"/>
      <c r="F59" s="19"/>
      <c r="G59" s="19"/>
      <c r="H59" s="20"/>
      <c r="I59" s="23"/>
      <c r="J59" s="23"/>
      <c r="K59" s="23"/>
      <c r="L59" s="23"/>
    </row>
    <row r="60" s="1" customFormat="1" spans="2:12">
      <c r="B60" s="19" t="s">
        <v>3074</v>
      </c>
      <c r="C60" s="19" t="s">
        <v>275</v>
      </c>
      <c r="D60" s="19" t="s">
        <v>3029</v>
      </c>
      <c r="E60" s="20"/>
      <c r="F60" s="19"/>
      <c r="G60" s="19"/>
      <c r="H60" s="20"/>
      <c r="I60" s="23"/>
      <c r="J60" s="23"/>
      <c r="K60" s="23"/>
      <c r="L60" s="23"/>
    </row>
    <row r="61" s="1" customFormat="1" spans="2:12">
      <c r="B61" s="19" t="s">
        <v>3075</v>
      </c>
      <c r="C61" s="19" t="s">
        <v>240</v>
      </c>
      <c r="D61" s="19" t="s">
        <v>3031</v>
      </c>
      <c r="E61" s="20"/>
      <c r="F61" s="19"/>
      <c r="G61" s="19"/>
      <c r="H61" s="20"/>
      <c r="I61" s="23"/>
      <c r="J61" s="23"/>
      <c r="K61" s="23"/>
      <c r="L61" s="23"/>
    </row>
    <row r="62" s="1" customFormat="1" spans="2:12">
      <c r="B62" s="19" t="s">
        <v>3076</v>
      </c>
      <c r="C62" s="19" t="s">
        <v>275</v>
      </c>
      <c r="D62" s="19" t="s">
        <v>3077</v>
      </c>
      <c r="E62" s="20"/>
      <c r="F62" s="19"/>
      <c r="G62" s="19"/>
      <c r="H62" s="20"/>
      <c r="I62" s="23"/>
      <c r="J62" s="23"/>
      <c r="K62" s="23"/>
      <c r="L62" s="23"/>
    </row>
    <row r="63" s="1" customFormat="1" spans="2:12">
      <c r="B63" s="19" t="s">
        <v>3078</v>
      </c>
      <c r="C63" s="19" t="s">
        <v>275</v>
      </c>
      <c r="D63" s="19" t="s">
        <v>3079</v>
      </c>
      <c r="E63" s="20"/>
      <c r="F63" s="19"/>
      <c r="G63" s="19"/>
      <c r="H63" s="20"/>
      <c r="I63" s="23"/>
      <c r="J63" s="23"/>
      <c r="K63" s="23"/>
      <c r="L63" s="23"/>
    </row>
    <row r="64" s="1" customFormat="1" spans="2:12">
      <c r="B64" s="19" t="s">
        <v>3080</v>
      </c>
      <c r="C64" s="19" t="s">
        <v>240</v>
      </c>
      <c r="D64" s="19" t="s">
        <v>3081</v>
      </c>
      <c r="E64" s="20"/>
      <c r="F64" s="19"/>
      <c r="G64" s="19"/>
      <c r="H64" s="20"/>
      <c r="I64" s="23"/>
      <c r="J64" s="23"/>
      <c r="K64" s="23"/>
      <c r="L64" s="23"/>
    </row>
    <row r="65" s="1" customFormat="1" ht="26.4" spans="2:12">
      <c r="B65" s="19" t="s">
        <v>3082</v>
      </c>
      <c r="C65" s="19" t="s">
        <v>343</v>
      </c>
      <c r="D65" s="19" t="s">
        <v>3083</v>
      </c>
      <c r="E65" s="20"/>
      <c r="F65" s="19"/>
      <c r="G65" s="19"/>
      <c r="H65" s="20"/>
      <c r="I65" s="23"/>
      <c r="J65" s="23"/>
      <c r="K65" s="23"/>
      <c r="L65" s="23"/>
    </row>
    <row r="66" s="1" customFormat="1" spans="2:12">
      <c r="B66" s="19" t="s">
        <v>3084</v>
      </c>
      <c r="C66" s="19" t="s">
        <v>275</v>
      </c>
      <c r="D66" s="19" t="s">
        <v>3085</v>
      </c>
      <c r="E66" s="20"/>
      <c r="F66" s="19"/>
      <c r="G66" s="19"/>
      <c r="H66" s="20"/>
      <c r="I66" s="23"/>
      <c r="J66" s="23"/>
      <c r="K66" s="23"/>
      <c r="L66" s="23"/>
    </row>
    <row r="67" s="1" customFormat="1" spans="2:12">
      <c r="B67" s="19" t="s">
        <v>3086</v>
      </c>
      <c r="C67" s="19" t="s">
        <v>275</v>
      </c>
      <c r="D67" s="19" t="s">
        <v>3087</v>
      </c>
      <c r="E67" s="20"/>
      <c r="F67" s="19"/>
      <c r="G67" s="19"/>
      <c r="H67" s="20"/>
      <c r="I67" s="23"/>
      <c r="J67" s="23"/>
      <c r="K67" s="23"/>
      <c r="L67" s="23"/>
    </row>
    <row r="68" s="1" customFormat="1" spans="2:12">
      <c r="B68" s="19" t="s">
        <v>3088</v>
      </c>
      <c r="C68" s="19" t="s">
        <v>240</v>
      </c>
      <c r="D68" s="19" t="s">
        <v>3089</v>
      </c>
      <c r="E68" s="20"/>
      <c r="F68" s="19"/>
      <c r="G68" s="19"/>
      <c r="H68" s="20"/>
      <c r="I68" s="23"/>
      <c r="J68" s="23"/>
      <c r="K68" s="23"/>
      <c r="L68" s="23"/>
    </row>
    <row r="69" s="1" customFormat="1" spans="2:12">
      <c r="B69" s="19" t="s">
        <v>3090</v>
      </c>
      <c r="C69" s="19" t="s">
        <v>343</v>
      </c>
      <c r="D69" s="19" t="s">
        <v>3091</v>
      </c>
      <c r="E69" s="20"/>
      <c r="F69" s="19"/>
      <c r="G69" s="19"/>
      <c r="H69" s="20"/>
      <c r="I69" s="23"/>
      <c r="J69" s="23"/>
      <c r="K69" s="23"/>
      <c r="L69" s="23"/>
    </row>
    <row r="70" s="1" customFormat="1" spans="2:12">
      <c r="B70" s="19" t="s">
        <v>3092</v>
      </c>
      <c r="C70" s="19" t="s">
        <v>275</v>
      </c>
      <c r="D70" s="19" t="s">
        <v>3093</v>
      </c>
      <c r="E70" s="20"/>
      <c r="F70" s="19"/>
      <c r="G70" s="19"/>
      <c r="H70" s="20"/>
      <c r="I70" s="23"/>
      <c r="J70" s="23"/>
      <c r="K70" s="23"/>
      <c r="L70" s="23"/>
    </row>
    <row r="71" s="1" customFormat="1" spans="2:12">
      <c r="B71" s="19" t="s">
        <v>3094</v>
      </c>
      <c r="C71" s="19" t="s">
        <v>275</v>
      </c>
      <c r="D71" s="19" t="s">
        <v>3095</v>
      </c>
      <c r="E71" s="20"/>
      <c r="F71" s="19"/>
      <c r="G71" s="19"/>
      <c r="H71" s="20"/>
      <c r="I71" s="23"/>
      <c r="J71" s="23"/>
      <c r="K71" s="23"/>
      <c r="L71" s="23"/>
    </row>
    <row r="72" s="1" customFormat="1" spans="2:12">
      <c r="B72" s="19" t="s">
        <v>3096</v>
      </c>
      <c r="C72" s="19" t="s">
        <v>240</v>
      </c>
      <c r="D72" s="19" t="s">
        <v>3097</v>
      </c>
      <c r="E72" s="20"/>
      <c r="F72" s="19"/>
      <c r="G72" s="19"/>
      <c r="H72" s="20"/>
      <c r="I72" s="23"/>
      <c r="J72" s="23"/>
      <c r="K72" s="23"/>
      <c r="L72" s="23"/>
    </row>
    <row r="73" s="1" customFormat="1" spans="2:12">
      <c r="B73" s="19" t="s">
        <v>3098</v>
      </c>
      <c r="C73" s="19" t="s">
        <v>343</v>
      </c>
      <c r="D73" s="19" t="s">
        <v>3099</v>
      </c>
      <c r="E73" s="20"/>
      <c r="F73" s="19"/>
      <c r="G73" s="19"/>
      <c r="H73" s="20"/>
      <c r="I73" s="23"/>
      <c r="J73" s="23"/>
      <c r="K73" s="23"/>
      <c r="L73" s="23"/>
    </row>
    <row r="74" s="1" customFormat="1" spans="2:12">
      <c r="B74" s="19" t="s">
        <v>3100</v>
      </c>
      <c r="C74" s="19" t="s">
        <v>275</v>
      </c>
      <c r="D74" s="19" t="s">
        <v>3101</v>
      </c>
      <c r="E74" s="20"/>
      <c r="F74" s="19"/>
      <c r="G74" s="19"/>
      <c r="H74" s="20"/>
      <c r="I74" s="23"/>
      <c r="J74" s="23"/>
      <c r="K74" s="23"/>
      <c r="L74" s="23"/>
    </row>
    <row r="75" s="1" customFormat="1" spans="2:12">
      <c r="B75" s="19" t="s">
        <v>3102</v>
      </c>
      <c r="C75" s="19" t="s">
        <v>275</v>
      </c>
      <c r="D75" s="19" t="s">
        <v>3103</v>
      </c>
      <c r="E75" s="20"/>
      <c r="F75" s="19"/>
      <c r="G75" s="19"/>
      <c r="H75" s="20"/>
      <c r="I75" s="23"/>
      <c r="J75" s="23"/>
      <c r="K75" s="23"/>
      <c r="L75" s="23"/>
    </row>
    <row r="76" s="1" customFormat="1" spans="2:12">
      <c r="B76" s="19" t="s">
        <v>3104</v>
      </c>
      <c r="C76" s="19" t="s">
        <v>240</v>
      </c>
      <c r="D76" s="19" t="s">
        <v>3105</v>
      </c>
      <c r="E76" s="20"/>
      <c r="F76" s="19"/>
      <c r="G76" s="19"/>
      <c r="H76" s="20"/>
      <c r="I76" s="23"/>
      <c r="J76" s="23"/>
      <c r="K76" s="23"/>
      <c r="L76" s="23"/>
    </row>
    <row r="77" s="1" customFormat="1" spans="2:12">
      <c r="B77" s="19" t="s">
        <v>3106</v>
      </c>
      <c r="C77" s="19" t="s">
        <v>343</v>
      </c>
      <c r="D77" s="19" t="s">
        <v>3107</v>
      </c>
      <c r="E77" s="20"/>
      <c r="F77" s="19"/>
      <c r="G77" s="19"/>
      <c r="H77" s="20"/>
      <c r="I77" s="23"/>
      <c r="J77" s="23"/>
      <c r="K77" s="23"/>
      <c r="L77" s="23"/>
    </row>
    <row r="78" s="1" customFormat="1" spans="2:12">
      <c r="B78" s="19" t="s">
        <v>3108</v>
      </c>
      <c r="C78" s="19" t="s">
        <v>275</v>
      </c>
      <c r="D78" s="19" t="s">
        <v>3109</v>
      </c>
      <c r="E78" s="20"/>
      <c r="F78" s="19"/>
      <c r="G78" s="19"/>
      <c r="H78" s="20"/>
      <c r="I78" s="23"/>
      <c r="J78" s="23"/>
      <c r="K78" s="23"/>
      <c r="L78" s="23"/>
    </row>
    <row r="79" s="1" customFormat="1" spans="2:12">
      <c r="B79" s="19" t="s">
        <v>3110</v>
      </c>
      <c r="C79" s="19" t="s">
        <v>275</v>
      </c>
      <c r="D79" s="19" t="s">
        <v>3111</v>
      </c>
      <c r="E79" s="20"/>
      <c r="F79" s="19"/>
      <c r="G79" s="19"/>
      <c r="H79" s="20"/>
      <c r="I79" s="23"/>
      <c r="J79" s="23"/>
      <c r="K79" s="23"/>
      <c r="L79" s="23"/>
    </row>
    <row r="80" s="1" customFormat="1" spans="2:12">
      <c r="B80" s="19" t="s">
        <v>3112</v>
      </c>
      <c r="C80" s="19" t="s">
        <v>240</v>
      </c>
      <c r="D80" s="19" t="s">
        <v>3113</v>
      </c>
      <c r="E80" s="20"/>
      <c r="F80" s="19"/>
      <c r="G80" s="19"/>
      <c r="H80" s="20"/>
      <c r="I80" s="23"/>
      <c r="J80" s="23"/>
      <c r="K80" s="23"/>
      <c r="L80" s="23"/>
    </row>
    <row r="81" s="1" customFormat="1" spans="2:12">
      <c r="B81" s="19" t="s">
        <v>3114</v>
      </c>
      <c r="C81" s="19" t="s">
        <v>275</v>
      </c>
      <c r="D81" s="19" t="s">
        <v>3115</v>
      </c>
      <c r="E81" s="20"/>
      <c r="F81" s="19"/>
      <c r="G81" s="19"/>
      <c r="H81" s="20"/>
      <c r="I81" s="23"/>
      <c r="J81" s="23"/>
      <c r="K81" s="23"/>
      <c r="L81" s="23"/>
    </row>
    <row r="82" s="1" customFormat="1" spans="2:12">
      <c r="B82" s="19" t="s">
        <v>3116</v>
      </c>
      <c r="C82" s="19" t="s">
        <v>275</v>
      </c>
      <c r="D82" s="19" t="s">
        <v>3117</v>
      </c>
      <c r="E82" s="20"/>
      <c r="F82" s="19"/>
      <c r="G82" s="19"/>
      <c r="H82" s="20"/>
      <c r="I82" s="23"/>
      <c r="J82" s="23"/>
      <c r="K82" s="23"/>
      <c r="L82" s="23"/>
    </row>
    <row r="83" s="1" customFormat="1" spans="2:12">
      <c r="B83" s="19" t="s">
        <v>3118</v>
      </c>
      <c r="C83" s="19" t="s">
        <v>275</v>
      </c>
      <c r="D83" s="19" t="s">
        <v>3119</v>
      </c>
      <c r="E83" s="20"/>
      <c r="F83" s="19"/>
      <c r="G83" s="19"/>
      <c r="H83" s="20"/>
      <c r="I83" s="23"/>
      <c r="J83" s="23"/>
      <c r="K83" s="23"/>
      <c r="L83" s="23"/>
    </row>
    <row r="84" s="1" customFormat="1" spans="2:12">
      <c r="B84" s="19" t="s">
        <v>3120</v>
      </c>
      <c r="C84" s="19" t="s">
        <v>275</v>
      </c>
      <c r="D84" s="19" t="s">
        <v>3121</v>
      </c>
      <c r="E84" s="20"/>
      <c r="F84" s="19"/>
      <c r="G84" s="19"/>
      <c r="H84" s="20"/>
      <c r="I84" s="23"/>
      <c r="J84" s="23"/>
      <c r="K84" s="23"/>
      <c r="L84" s="23"/>
    </row>
    <row r="85" s="1" customFormat="1" spans="2:12">
      <c r="B85" s="19" t="s">
        <v>3122</v>
      </c>
      <c r="C85" s="19" t="s">
        <v>275</v>
      </c>
      <c r="D85" s="19" t="s">
        <v>3123</v>
      </c>
      <c r="E85" s="20"/>
      <c r="F85" s="19"/>
      <c r="G85" s="19"/>
      <c r="H85" s="20"/>
      <c r="I85" s="23"/>
      <c r="J85" s="23"/>
      <c r="K85" s="23"/>
      <c r="L85" s="23"/>
    </row>
    <row r="86" s="1" customFormat="1" spans="2:12">
      <c r="B86" s="19" t="s">
        <v>3124</v>
      </c>
      <c r="C86" s="19" t="s">
        <v>275</v>
      </c>
      <c r="D86" s="19" t="s">
        <v>3125</v>
      </c>
      <c r="E86" s="20"/>
      <c r="F86" s="19"/>
      <c r="G86" s="19"/>
      <c r="H86" s="20"/>
      <c r="I86" s="23"/>
      <c r="J86" s="23"/>
      <c r="K86" s="23"/>
      <c r="L86" s="23"/>
    </row>
    <row r="87" s="1" customFormat="1" spans="2:12">
      <c r="B87" s="19" t="s">
        <v>3126</v>
      </c>
      <c r="C87" s="19" t="s">
        <v>275</v>
      </c>
      <c r="D87" s="19" t="s">
        <v>3127</v>
      </c>
      <c r="E87" s="20"/>
      <c r="F87" s="19"/>
      <c r="G87" s="19"/>
      <c r="H87" s="20"/>
      <c r="I87" s="23"/>
      <c r="J87" s="23"/>
      <c r="K87" s="23"/>
      <c r="L87" s="23"/>
    </row>
    <row r="88" s="1" customFormat="1" spans="2:12">
      <c r="B88" s="19" t="s">
        <v>3128</v>
      </c>
      <c r="C88" s="19" t="s">
        <v>275</v>
      </c>
      <c r="D88" s="19" t="s">
        <v>3129</v>
      </c>
      <c r="E88" s="20"/>
      <c r="F88" s="19"/>
      <c r="G88" s="19"/>
      <c r="H88" s="20"/>
      <c r="I88" s="23"/>
      <c r="J88" s="23"/>
      <c r="K88" s="23"/>
      <c r="L88" s="23"/>
    </row>
    <row r="89" s="1" customFormat="1" spans="2:12">
      <c r="B89" s="19" t="s">
        <v>3130</v>
      </c>
      <c r="C89" s="19" t="s">
        <v>275</v>
      </c>
      <c r="D89" s="19" t="s">
        <v>3131</v>
      </c>
      <c r="E89" s="20"/>
      <c r="F89" s="19"/>
      <c r="G89" s="19"/>
      <c r="H89" s="20"/>
      <c r="I89" s="23"/>
      <c r="J89" s="23"/>
      <c r="K89" s="23"/>
      <c r="L89" s="23"/>
    </row>
    <row r="90" s="1" customFormat="1" spans="2:12">
      <c r="B90" s="19" t="s">
        <v>3132</v>
      </c>
      <c r="C90" s="19" t="s">
        <v>275</v>
      </c>
      <c r="D90" s="19" t="s">
        <v>3133</v>
      </c>
      <c r="E90" s="20"/>
      <c r="F90" s="19"/>
      <c r="G90" s="19"/>
      <c r="H90" s="20"/>
      <c r="I90" s="23"/>
      <c r="J90" s="23"/>
      <c r="K90" s="23"/>
      <c r="L90" s="23"/>
    </row>
    <row r="91" s="1" customFormat="1" spans="2:12">
      <c r="B91" s="19" t="s">
        <v>3134</v>
      </c>
      <c r="C91" s="19" t="s">
        <v>275</v>
      </c>
      <c r="D91" s="19" t="s">
        <v>3135</v>
      </c>
      <c r="E91" s="20"/>
      <c r="F91" s="19"/>
      <c r="G91" s="19"/>
      <c r="H91" s="20"/>
      <c r="I91" s="23"/>
      <c r="J91" s="23"/>
      <c r="K91" s="23"/>
      <c r="L91" s="23"/>
    </row>
    <row r="92" s="1" customFormat="1" spans="2:12">
      <c r="B92" s="19" t="s">
        <v>3136</v>
      </c>
      <c r="C92" s="19" t="s">
        <v>275</v>
      </c>
      <c r="D92" s="19" t="s">
        <v>3137</v>
      </c>
      <c r="E92" s="20"/>
      <c r="F92" s="19"/>
      <c r="G92" s="19"/>
      <c r="H92" s="20"/>
      <c r="I92" s="23"/>
      <c r="J92" s="23"/>
      <c r="K92" s="23"/>
      <c r="L92" s="23"/>
    </row>
    <row r="93" s="1" customFormat="1" spans="2:12">
      <c r="B93" s="19" t="s">
        <v>3138</v>
      </c>
      <c r="C93" s="19" t="s">
        <v>275</v>
      </c>
      <c r="D93" s="19" t="s">
        <v>3139</v>
      </c>
      <c r="E93" s="20"/>
      <c r="F93" s="19"/>
      <c r="G93" s="19"/>
      <c r="H93" s="20"/>
      <c r="I93" s="23"/>
      <c r="J93" s="23"/>
      <c r="K93" s="23"/>
      <c r="L93" s="23"/>
    </row>
    <row r="94" s="1" customFormat="1" spans="2:12">
      <c r="B94" s="19" t="s">
        <v>3140</v>
      </c>
      <c r="C94" s="19" t="s">
        <v>275</v>
      </c>
      <c r="D94" s="19" t="s">
        <v>3141</v>
      </c>
      <c r="E94" s="20"/>
      <c r="F94" s="19"/>
      <c r="G94" s="19"/>
      <c r="H94" s="20"/>
      <c r="I94" s="23"/>
      <c r="J94" s="23"/>
      <c r="K94" s="23"/>
      <c r="L94" s="23"/>
    </row>
    <row r="95" s="1" customFormat="1" spans="2:12">
      <c r="B95" s="19" t="s">
        <v>3142</v>
      </c>
      <c r="C95" s="19" t="s">
        <v>275</v>
      </c>
      <c r="D95" s="19" t="s">
        <v>3143</v>
      </c>
      <c r="E95" s="20"/>
      <c r="F95" s="19"/>
      <c r="G95" s="19"/>
      <c r="H95" s="20"/>
      <c r="I95" s="23"/>
      <c r="J95" s="23"/>
      <c r="K95" s="23"/>
      <c r="L95" s="23"/>
    </row>
    <row r="96" s="1" customFormat="1" spans="2:12">
      <c r="B96" s="19" t="s">
        <v>3144</v>
      </c>
      <c r="C96" s="19" t="s">
        <v>275</v>
      </c>
      <c r="D96" s="19" t="s">
        <v>3145</v>
      </c>
      <c r="E96" s="20"/>
      <c r="F96" s="19"/>
      <c r="G96" s="19"/>
      <c r="H96" s="20"/>
      <c r="I96" s="23"/>
      <c r="J96" s="23"/>
      <c r="K96" s="23"/>
      <c r="L96" s="23"/>
    </row>
    <row r="97" s="1" customFormat="1" spans="2:12">
      <c r="B97" s="19" t="s">
        <v>3146</v>
      </c>
      <c r="C97" s="19" t="s">
        <v>275</v>
      </c>
      <c r="D97" s="19" t="s">
        <v>3147</v>
      </c>
      <c r="E97" s="20"/>
      <c r="F97" s="19"/>
      <c r="G97" s="19"/>
      <c r="H97" s="20"/>
      <c r="I97" s="23"/>
      <c r="J97" s="23"/>
      <c r="K97" s="23"/>
      <c r="L97" s="23"/>
    </row>
    <row r="98" s="1" customFormat="1" spans="2:12">
      <c r="B98" s="19" t="s">
        <v>3148</v>
      </c>
      <c r="C98" s="19" t="s">
        <v>275</v>
      </c>
      <c r="D98" s="19" t="s">
        <v>3037</v>
      </c>
      <c r="E98" s="20"/>
      <c r="F98" s="19"/>
      <c r="G98" s="19"/>
      <c r="H98" s="20"/>
      <c r="I98" s="23"/>
      <c r="J98" s="23"/>
      <c r="K98" s="23"/>
      <c r="L98" s="23"/>
    </row>
    <row r="99" s="1" customFormat="1" spans="2:12">
      <c r="B99" s="19" t="s">
        <v>3149</v>
      </c>
      <c r="C99" s="19" t="s">
        <v>275</v>
      </c>
      <c r="D99" s="19" t="s">
        <v>3039</v>
      </c>
      <c r="E99" s="20"/>
      <c r="F99" s="19"/>
      <c r="G99" s="19"/>
      <c r="H99" s="20"/>
      <c r="I99" s="23"/>
      <c r="J99" s="23"/>
      <c r="K99" s="23"/>
      <c r="L99" s="23"/>
    </row>
    <row r="100" s="1" customFormat="1" spans="2:12">
      <c r="B100" s="19" t="s">
        <v>3150</v>
      </c>
      <c r="C100" s="19" t="s">
        <v>275</v>
      </c>
      <c r="D100" s="19" t="s">
        <v>3041</v>
      </c>
      <c r="E100" s="20"/>
      <c r="F100" s="19"/>
      <c r="G100" s="19"/>
      <c r="H100" s="20"/>
      <c r="I100" s="23"/>
      <c r="J100" s="23"/>
      <c r="K100" s="23"/>
      <c r="L100" s="23"/>
    </row>
    <row r="101" s="1" customFormat="1" spans="2:12">
      <c r="B101" s="19" t="s">
        <v>3151</v>
      </c>
      <c r="C101" s="19" t="s">
        <v>275</v>
      </c>
      <c r="D101" s="19" t="s">
        <v>3043</v>
      </c>
      <c r="E101" s="20"/>
      <c r="F101" s="19"/>
      <c r="G101" s="19"/>
      <c r="H101" s="20"/>
      <c r="I101" s="23"/>
      <c r="J101" s="23"/>
      <c r="K101" s="23"/>
      <c r="L101" s="23"/>
    </row>
    <row r="102" s="1" customFormat="1" spans="2:12">
      <c r="B102" s="19" t="s">
        <v>3152</v>
      </c>
      <c r="C102" s="19" t="s">
        <v>275</v>
      </c>
      <c r="D102" s="19" t="s">
        <v>3045</v>
      </c>
      <c r="E102" s="20"/>
      <c r="F102" s="19"/>
      <c r="G102" s="19"/>
      <c r="H102" s="20"/>
      <c r="I102" s="23"/>
      <c r="J102" s="23"/>
      <c r="K102" s="23"/>
      <c r="L102" s="23"/>
    </row>
    <row r="103" s="1" customFormat="1" spans="2:12">
      <c r="B103" s="19" t="s">
        <v>3153</v>
      </c>
      <c r="C103" s="19" t="s">
        <v>275</v>
      </c>
      <c r="D103" s="19" t="s">
        <v>3047</v>
      </c>
      <c r="E103" s="20"/>
      <c r="F103" s="19"/>
      <c r="G103" s="19"/>
      <c r="H103" s="20"/>
      <c r="I103" s="23"/>
      <c r="J103" s="23"/>
      <c r="K103" s="23"/>
      <c r="L103" s="23"/>
    </row>
    <row r="104" s="1" customFormat="1" spans="2:12">
      <c r="B104" s="19" t="s">
        <v>3154</v>
      </c>
      <c r="C104" s="19" t="s">
        <v>275</v>
      </c>
      <c r="D104" s="19" t="s">
        <v>3049</v>
      </c>
      <c r="E104" s="20"/>
      <c r="F104" s="19"/>
      <c r="G104" s="19"/>
      <c r="H104" s="20"/>
      <c r="I104" s="23"/>
      <c r="J104" s="23"/>
      <c r="K104" s="23"/>
      <c r="L104" s="23"/>
    </row>
    <row r="105" s="1" customFormat="1" spans="2:12">
      <c r="B105" s="19" t="s">
        <v>3155</v>
      </c>
      <c r="C105" s="19" t="s">
        <v>275</v>
      </c>
      <c r="D105" s="19" t="s">
        <v>3051</v>
      </c>
      <c r="E105" s="20"/>
      <c r="F105" s="19"/>
      <c r="G105" s="19"/>
      <c r="H105" s="20"/>
      <c r="I105" s="23"/>
      <c r="J105" s="23"/>
      <c r="K105" s="23"/>
      <c r="L105" s="23"/>
    </row>
    <row r="106" s="1" customFormat="1" spans="2:12">
      <c r="B106" s="19" t="s">
        <v>3156</v>
      </c>
      <c r="C106" s="19" t="s">
        <v>275</v>
      </c>
      <c r="D106" s="19" t="s">
        <v>3157</v>
      </c>
      <c r="E106" s="20"/>
      <c r="F106" s="19"/>
      <c r="G106" s="19"/>
      <c r="H106" s="20"/>
      <c r="I106" s="23"/>
      <c r="J106" s="23"/>
      <c r="K106" s="23"/>
      <c r="L106" s="23"/>
    </row>
    <row r="107" s="1" customFormat="1" spans="2:12">
      <c r="B107" s="19" t="s">
        <v>3158</v>
      </c>
      <c r="C107" s="19" t="s">
        <v>275</v>
      </c>
      <c r="D107" s="19" t="s">
        <v>3159</v>
      </c>
      <c r="E107" s="20"/>
      <c r="F107" s="19"/>
      <c r="G107" s="19"/>
      <c r="H107" s="20"/>
      <c r="I107" s="23"/>
      <c r="J107" s="23"/>
      <c r="K107" s="23"/>
      <c r="L107" s="23"/>
    </row>
    <row r="108" s="1" customFormat="1" spans="2:12">
      <c r="B108" s="19" t="s">
        <v>3160</v>
      </c>
      <c r="C108" s="19" t="s">
        <v>275</v>
      </c>
      <c r="D108" s="19" t="s">
        <v>3161</v>
      </c>
      <c r="E108" s="20"/>
      <c r="F108" s="19"/>
      <c r="G108" s="19"/>
      <c r="H108" s="20"/>
      <c r="I108" s="23"/>
      <c r="J108" s="23"/>
      <c r="K108" s="23"/>
      <c r="L108" s="23"/>
    </row>
    <row r="109" s="1" customFormat="1" spans="2:12">
      <c r="B109" s="19" t="s">
        <v>3162</v>
      </c>
      <c r="C109" s="19" t="s">
        <v>275</v>
      </c>
      <c r="D109" s="19" t="s">
        <v>3163</v>
      </c>
      <c r="E109" s="20"/>
      <c r="F109" s="19"/>
      <c r="G109" s="19"/>
      <c r="H109" s="20"/>
      <c r="I109" s="23"/>
      <c r="J109" s="23"/>
      <c r="K109" s="23"/>
      <c r="L109" s="23"/>
    </row>
    <row r="110" s="1" customFormat="1" spans="2:12">
      <c r="B110" s="19" t="s">
        <v>3164</v>
      </c>
      <c r="C110" s="19" t="s">
        <v>275</v>
      </c>
      <c r="D110" s="19" t="s">
        <v>3165</v>
      </c>
      <c r="E110" s="20"/>
      <c r="F110" s="19"/>
      <c r="G110" s="19"/>
      <c r="H110" s="20"/>
      <c r="I110" s="23"/>
      <c r="J110" s="23"/>
      <c r="K110" s="23"/>
      <c r="L110" s="23"/>
    </row>
    <row r="111" s="1" customFormat="1" spans="2:12">
      <c r="B111" s="19" t="s">
        <v>3166</v>
      </c>
      <c r="C111" s="19" t="s">
        <v>275</v>
      </c>
      <c r="D111" s="19" t="s">
        <v>3167</v>
      </c>
      <c r="E111" s="20"/>
      <c r="F111" s="19"/>
      <c r="G111" s="19"/>
      <c r="H111" s="20"/>
      <c r="I111" s="23"/>
      <c r="J111" s="23"/>
      <c r="K111" s="23"/>
      <c r="L111" s="23"/>
    </row>
    <row r="112" s="1" customFormat="1" spans="2:12">
      <c r="B112" s="19" t="s">
        <v>3168</v>
      </c>
      <c r="C112" s="19" t="s">
        <v>275</v>
      </c>
      <c r="D112" s="19" t="s">
        <v>3169</v>
      </c>
      <c r="E112" s="20"/>
      <c r="F112" s="19"/>
      <c r="G112" s="19"/>
      <c r="H112" s="20"/>
      <c r="I112" s="23"/>
      <c r="J112" s="23"/>
      <c r="K112" s="23"/>
      <c r="L112" s="23"/>
    </row>
    <row r="113" s="1" customFormat="1" spans="2:12">
      <c r="B113" s="19" t="s">
        <v>3170</v>
      </c>
      <c r="C113" s="19" t="s">
        <v>275</v>
      </c>
      <c r="D113" s="19" t="s">
        <v>3171</v>
      </c>
      <c r="E113" s="20"/>
      <c r="F113" s="19"/>
      <c r="G113" s="19"/>
      <c r="H113" s="20"/>
      <c r="I113" s="23"/>
      <c r="J113" s="23"/>
      <c r="K113" s="23"/>
      <c r="L113" s="23"/>
    </row>
    <row r="114" s="1" customFormat="1" spans="2:12">
      <c r="B114" s="19" t="s">
        <v>3172</v>
      </c>
      <c r="C114" s="19" t="s">
        <v>275</v>
      </c>
      <c r="D114" s="19" t="s">
        <v>3173</v>
      </c>
      <c r="E114" s="20"/>
      <c r="F114" s="19"/>
      <c r="G114" s="19"/>
      <c r="H114" s="20"/>
      <c r="I114" s="23"/>
      <c r="J114" s="23"/>
      <c r="K114" s="23"/>
      <c r="L114" s="23"/>
    </row>
    <row r="115" s="1" customFormat="1" spans="2:12">
      <c r="B115" s="19" t="s">
        <v>3174</v>
      </c>
      <c r="C115" s="19" t="s">
        <v>275</v>
      </c>
      <c r="D115" s="19" t="s">
        <v>3175</v>
      </c>
      <c r="E115" s="20"/>
      <c r="F115" s="19"/>
      <c r="G115" s="19"/>
      <c r="H115" s="20"/>
      <c r="I115" s="23"/>
      <c r="J115" s="23"/>
      <c r="K115" s="23"/>
      <c r="L115" s="23"/>
    </row>
    <row r="116" s="1" customFormat="1" spans="2:12">
      <c r="B116" s="19" t="s">
        <v>3176</v>
      </c>
      <c r="C116" s="19" t="s">
        <v>275</v>
      </c>
      <c r="D116" s="19" t="s">
        <v>3177</v>
      </c>
      <c r="E116" s="20"/>
      <c r="F116" s="19"/>
      <c r="G116" s="19"/>
      <c r="H116" s="20"/>
      <c r="I116" s="23"/>
      <c r="J116" s="23"/>
      <c r="K116" s="23"/>
      <c r="L116" s="23"/>
    </row>
    <row r="117" s="1" customFormat="1" spans="2:12">
      <c r="B117" s="19" t="s">
        <v>3178</v>
      </c>
      <c r="C117" s="19" t="s">
        <v>275</v>
      </c>
      <c r="D117" s="19" t="s">
        <v>3179</v>
      </c>
      <c r="E117" s="20"/>
      <c r="F117" s="19"/>
      <c r="G117" s="19"/>
      <c r="H117" s="20"/>
      <c r="I117" s="23"/>
      <c r="J117" s="23"/>
      <c r="K117" s="23"/>
      <c r="L117" s="23"/>
    </row>
    <row r="118" s="1" customFormat="1" spans="2:12">
      <c r="B118" s="19" t="s">
        <v>3180</v>
      </c>
      <c r="C118" s="19" t="s">
        <v>275</v>
      </c>
      <c r="D118" s="19" t="s">
        <v>3181</v>
      </c>
      <c r="E118" s="20"/>
      <c r="F118" s="19"/>
      <c r="G118" s="19"/>
      <c r="H118" s="20"/>
      <c r="I118" s="23"/>
      <c r="J118" s="23"/>
      <c r="K118" s="23"/>
      <c r="L118" s="23"/>
    </row>
    <row r="119" s="1" customFormat="1" spans="2:12">
      <c r="B119" s="19" t="s">
        <v>3182</v>
      </c>
      <c r="C119" s="19" t="s">
        <v>275</v>
      </c>
      <c r="D119" s="19" t="s">
        <v>3183</v>
      </c>
      <c r="E119" s="20"/>
      <c r="F119" s="19"/>
      <c r="G119" s="19"/>
      <c r="H119" s="20"/>
      <c r="I119" s="23"/>
      <c r="J119" s="23"/>
      <c r="K119" s="23"/>
      <c r="L119" s="23"/>
    </row>
    <row r="120" s="1" customFormat="1" spans="2:12">
      <c r="B120" s="19" t="s">
        <v>3184</v>
      </c>
      <c r="C120" s="19" t="s">
        <v>275</v>
      </c>
      <c r="D120" s="19" t="s">
        <v>3185</v>
      </c>
      <c r="E120" s="20"/>
      <c r="F120" s="19"/>
      <c r="G120" s="19"/>
      <c r="H120" s="20"/>
      <c r="I120" s="23"/>
      <c r="J120" s="23"/>
      <c r="K120" s="23"/>
      <c r="L120" s="23"/>
    </row>
    <row r="121" s="1" customFormat="1" spans="2:12">
      <c r="B121" s="19" t="s">
        <v>3186</v>
      </c>
      <c r="C121" s="19" t="s">
        <v>275</v>
      </c>
      <c r="D121" s="19" t="s">
        <v>3187</v>
      </c>
      <c r="E121" s="20"/>
      <c r="F121" s="19"/>
      <c r="G121" s="19"/>
      <c r="H121" s="20"/>
      <c r="I121" s="23"/>
      <c r="J121" s="23"/>
      <c r="K121" s="23"/>
      <c r="L121" s="23"/>
    </row>
    <row r="122" s="1" customFormat="1" spans="2:12">
      <c r="B122" s="19" t="s">
        <v>3188</v>
      </c>
      <c r="C122" s="19" t="s">
        <v>275</v>
      </c>
      <c r="D122" s="19" t="s">
        <v>3189</v>
      </c>
      <c r="E122" s="20"/>
      <c r="F122" s="19"/>
      <c r="G122" s="19"/>
      <c r="H122" s="20"/>
      <c r="I122" s="23"/>
      <c r="J122" s="23"/>
      <c r="K122" s="23"/>
      <c r="L122" s="23"/>
    </row>
    <row r="123" s="1" customFormat="1" spans="2:12">
      <c r="B123" s="19" t="s">
        <v>3190</v>
      </c>
      <c r="C123" s="19" t="s">
        <v>275</v>
      </c>
      <c r="D123" s="19" t="s">
        <v>3191</v>
      </c>
      <c r="E123" s="20"/>
      <c r="F123" s="19"/>
      <c r="G123" s="19"/>
      <c r="H123" s="20"/>
      <c r="I123" s="23"/>
      <c r="J123" s="23"/>
      <c r="K123" s="23"/>
      <c r="L123" s="23"/>
    </row>
    <row r="124" s="1" customFormat="1" spans="2:12">
      <c r="B124" s="19" t="s">
        <v>3192</v>
      </c>
      <c r="C124" s="19" t="s">
        <v>275</v>
      </c>
      <c r="D124" s="19" t="s">
        <v>3193</v>
      </c>
      <c r="E124" s="20"/>
      <c r="F124" s="19"/>
      <c r="G124" s="19"/>
      <c r="H124" s="20"/>
      <c r="I124" s="23"/>
      <c r="J124" s="23"/>
      <c r="K124" s="23"/>
      <c r="L124" s="23"/>
    </row>
    <row r="125" s="1" customFormat="1" spans="2:12">
      <c r="B125" s="19" t="s">
        <v>3194</v>
      </c>
      <c r="C125" s="19" t="s">
        <v>275</v>
      </c>
      <c r="D125" s="19" t="s">
        <v>3195</v>
      </c>
      <c r="E125" s="20"/>
      <c r="F125" s="19"/>
      <c r="G125" s="19"/>
      <c r="H125" s="20"/>
      <c r="I125" s="23"/>
      <c r="J125" s="23"/>
      <c r="K125" s="23"/>
      <c r="L125" s="23"/>
    </row>
    <row r="126" s="1" customFormat="1" spans="2:12">
      <c r="B126" s="19" t="s">
        <v>3196</v>
      </c>
      <c r="C126" s="19" t="s">
        <v>275</v>
      </c>
      <c r="D126" s="19" t="s">
        <v>3197</v>
      </c>
      <c r="E126" s="20"/>
      <c r="F126" s="19"/>
      <c r="G126" s="19"/>
      <c r="H126" s="20"/>
      <c r="I126" s="23"/>
      <c r="J126" s="23"/>
      <c r="K126" s="23"/>
      <c r="L126" s="23"/>
    </row>
    <row r="127" s="1" customFormat="1" spans="2:12">
      <c r="B127" s="19" t="s">
        <v>3198</v>
      </c>
      <c r="C127" s="19" t="s">
        <v>275</v>
      </c>
      <c r="D127" s="19" t="s">
        <v>3199</v>
      </c>
      <c r="E127" s="20"/>
      <c r="F127" s="19"/>
      <c r="G127" s="19"/>
      <c r="H127" s="20"/>
      <c r="I127" s="23"/>
      <c r="J127" s="23"/>
      <c r="K127" s="23"/>
      <c r="L127" s="23"/>
    </row>
    <row r="128" s="1" customFormat="1" spans="2:12">
      <c r="B128" s="19" t="s">
        <v>3200</v>
      </c>
      <c r="C128" s="19" t="s">
        <v>275</v>
      </c>
      <c r="D128" s="19" t="s">
        <v>3201</v>
      </c>
      <c r="E128" s="20"/>
      <c r="F128" s="19"/>
      <c r="G128" s="19"/>
      <c r="H128" s="20"/>
      <c r="I128" s="23"/>
      <c r="J128" s="23"/>
      <c r="K128" s="23"/>
      <c r="L128" s="23"/>
    </row>
    <row r="129" s="1" customFormat="1" spans="2:12">
      <c r="B129" s="19" t="s">
        <v>3202</v>
      </c>
      <c r="C129" s="19" t="s">
        <v>275</v>
      </c>
      <c r="D129" s="19" t="s">
        <v>3203</v>
      </c>
      <c r="E129" s="20"/>
      <c r="F129" s="19"/>
      <c r="G129" s="19"/>
      <c r="H129" s="20"/>
      <c r="I129" s="23"/>
      <c r="J129" s="23"/>
      <c r="K129" s="23"/>
      <c r="L129" s="23"/>
    </row>
    <row r="130" s="1" customFormat="1" spans="2:12">
      <c r="B130" s="19" t="s">
        <v>3204</v>
      </c>
      <c r="C130" s="19" t="s">
        <v>275</v>
      </c>
      <c r="D130" s="19" t="s">
        <v>3205</v>
      </c>
      <c r="E130" s="20"/>
      <c r="F130" s="19"/>
      <c r="G130" s="19"/>
      <c r="H130" s="20"/>
      <c r="I130" s="23"/>
      <c r="J130" s="23"/>
      <c r="K130" s="23"/>
      <c r="L130" s="23"/>
    </row>
    <row r="131" s="1" customFormat="1" spans="2:12">
      <c r="B131" s="19" t="s">
        <v>3206</v>
      </c>
      <c r="C131" s="19" t="s">
        <v>275</v>
      </c>
      <c r="D131" s="19" t="s">
        <v>3207</v>
      </c>
      <c r="E131" s="20"/>
      <c r="F131" s="19"/>
      <c r="G131" s="19"/>
      <c r="H131" s="20"/>
      <c r="I131" s="23"/>
      <c r="J131" s="23"/>
      <c r="K131" s="23"/>
      <c r="L131" s="23"/>
    </row>
    <row r="132" s="33" customFormat="1" spans="2:12">
      <c r="B132" s="28" t="s">
        <v>267</v>
      </c>
      <c r="C132" s="28" t="s">
        <v>216</v>
      </c>
      <c r="D132" s="28" t="s">
        <v>294</v>
      </c>
      <c r="E132" s="30" t="s">
        <v>199</v>
      </c>
      <c r="F132" s="28" t="s">
        <v>226</v>
      </c>
      <c r="G132" s="28" t="s">
        <v>218</v>
      </c>
      <c r="H132" s="30"/>
      <c r="I132" s="34" t="s">
        <v>1211</v>
      </c>
      <c r="J132" s="34" t="s">
        <v>322</v>
      </c>
      <c r="K132" s="34" t="s">
        <v>323</v>
      </c>
      <c r="L132" s="34" t="s">
        <v>323</v>
      </c>
    </row>
    <row r="133" s="33" customFormat="1" spans="2:12">
      <c r="B133" s="28" t="s">
        <v>1053</v>
      </c>
      <c r="C133" s="28" t="s">
        <v>216</v>
      </c>
      <c r="D133" s="28" t="s">
        <v>3208</v>
      </c>
      <c r="E133" s="30" t="s">
        <v>199</v>
      </c>
      <c r="F133" s="28" t="s">
        <v>1053</v>
      </c>
      <c r="G133" s="28" t="s">
        <v>218</v>
      </c>
      <c r="H133" s="30"/>
      <c r="I133" s="34" t="s">
        <v>1211</v>
      </c>
      <c r="J133" s="34" t="s">
        <v>322</v>
      </c>
      <c r="K133" s="34" t="s">
        <v>323</v>
      </c>
      <c r="L133" s="34" t="s">
        <v>323</v>
      </c>
    </row>
    <row r="134" s="33" customFormat="1" spans="2:12">
      <c r="B134" s="28" t="s">
        <v>1817</v>
      </c>
      <c r="C134" s="28" t="s">
        <v>216</v>
      </c>
      <c r="D134" s="28" t="s">
        <v>3209</v>
      </c>
      <c r="E134" s="30" t="s">
        <v>199</v>
      </c>
      <c r="F134" s="28"/>
      <c r="G134" s="28" t="s">
        <v>3210</v>
      </c>
      <c r="H134" s="30"/>
      <c r="I134" s="34" t="s">
        <v>1211</v>
      </c>
      <c r="J134" s="34" t="s">
        <v>345</v>
      </c>
      <c r="K134" s="34" t="s">
        <v>323</v>
      </c>
      <c r="L134" s="34" t="s">
        <v>3211</v>
      </c>
    </row>
    <row r="135" s="33" customFormat="1" spans="2:12">
      <c r="B135" s="28" t="s">
        <v>1820</v>
      </c>
      <c r="C135" s="28" t="s">
        <v>216</v>
      </c>
      <c r="D135" s="28" t="s">
        <v>3212</v>
      </c>
      <c r="E135" s="30" t="s">
        <v>199</v>
      </c>
      <c r="F135" s="28"/>
      <c r="G135" s="28" t="s">
        <v>3213</v>
      </c>
      <c r="H135" s="30"/>
      <c r="I135" s="34" t="s">
        <v>1211</v>
      </c>
      <c r="J135" s="34" t="s">
        <v>345</v>
      </c>
      <c r="K135" s="34" t="s">
        <v>323</v>
      </c>
      <c r="L135" s="34" t="s">
        <v>3211</v>
      </c>
    </row>
    <row r="136" s="2" customFormat="1" spans="1:12">
      <c r="A136" s="21"/>
      <c r="B136" s="22" t="s">
        <v>252</v>
      </c>
      <c r="C136" s="22" t="s">
        <v>220</v>
      </c>
      <c r="D136" s="22" t="s">
        <v>254</v>
      </c>
      <c r="E136" s="22"/>
      <c r="F136" s="22"/>
      <c r="G136" s="22"/>
      <c r="H136" s="22"/>
      <c r="I136" s="22"/>
      <c r="J136" s="22"/>
      <c r="K136" s="22"/>
      <c r="L136" s="22"/>
    </row>
    <row r="137" s="2" customFormat="1" spans="1:12">
      <c r="A137" s="21"/>
      <c r="B137" s="22" t="s">
        <v>255</v>
      </c>
      <c r="C137" s="22" t="s">
        <v>216</v>
      </c>
      <c r="D137" s="22" t="s">
        <v>256</v>
      </c>
      <c r="E137" s="22"/>
      <c r="F137" s="22"/>
      <c r="G137" s="22"/>
      <c r="H137" s="22"/>
      <c r="I137" s="22"/>
      <c r="J137" s="22"/>
      <c r="K137" s="22"/>
      <c r="L137" s="22"/>
    </row>
    <row r="138" s="2" customFormat="1" spans="1:12">
      <c r="A138" s="21"/>
      <c r="B138" s="22" t="s">
        <v>257</v>
      </c>
      <c r="C138" s="22" t="s">
        <v>220</v>
      </c>
      <c r="D138" s="22" t="s">
        <v>258</v>
      </c>
      <c r="E138" s="22"/>
      <c r="F138" s="22"/>
      <c r="G138" s="22"/>
      <c r="H138" s="22"/>
      <c r="I138" s="22"/>
      <c r="J138" s="22"/>
      <c r="K138" s="22"/>
      <c r="L138" s="22"/>
    </row>
    <row r="139" s="2" customFormat="1" spans="1:12">
      <c r="A139" s="21"/>
      <c r="B139" s="22" t="s">
        <v>262</v>
      </c>
      <c r="C139" s="22" t="s">
        <v>220</v>
      </c>
      <c r="D139" s="22" t="s">
        <v>263</v>
      </c>
      <c r="E139" s="22"/>
      <c r="F139" s="22"/>
      <c r="G139" s="22"/>
      <c r="H139" s="22"/>
      <c r="I139" s="22"/>
      <c r="J139" s="22"/>
      <c r="K139" s="22"/>
      <c r="L139" s="22"/>
    </row>
  </sheetData>
  <autoFilter xmlns:etc="http://www.wps.cn/officeDocument/2017/etCustomData" ref="A13:N139" etc:filterBottomFollowUsedRange="0">
    <extLst/>
  </autoFilter>
  <mergeCells count="5">
    <mergeCell ref="B2:H2"/>
    <mergeCell ref="B3:H3"/>
    <mergeCell ref="B7:H7"/>
    <mergeCell ref="F9:G9"/>
    <mergeCell ref="B12:L12"/>
  </mergeCells>
  <pageMargins left="0.7" right="0.7" top="0.75" bottom="0.75" header="0.3" footer="0.3"/>
  <pageSetup paperSize="9" orientation="portrait"/>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7"/>
  <sheetViews>
    <sheetView zoomScale="85" zoomScaleNormal="85" workbookViewId="0">
      <pane ySplit="5" topLeftCell="A115" activePane="bottomLeft" state="frozen"/>
      <selection/>
      <selection pane="bottomLeft" activeCell="B134" sqref="B134"/>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146</v>
      </c>
      <c r="C5" s="10" t="s">
        <v>151</v>
      </c>
      <c r="D5" s="10" t="s">
        <v>152</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147</v>
      </c>
      <c r="D9" s="10" t="s">
        <v>148</v>
      </c>
      <c r="E9" s="11" t="s">
        <v>199</v>
      </c>
      <c r="F9" s="11"/>
      <c r="G9" s="11"/>
      <c r="H9" s="15"/>
    </row>
    <row r="10" spans="7:7">
      <c r="G10" s="17"/>
    </row>
    <row r="11" spans="2:2">
      <c r="B11" s="3" t="s">
        <v>204</v>
      </c>
    </row>
    <row r="12" spans="2:12">
      <c r="B12" s="7" t="s">
        <v>204</v>
      </c>
      <c r="C12" s="7"/>
      <c r="D12" s="7"/>
      <c r="E12" s="7"/>
      <c r="F12" s="7"/>
      <c r="G12" s="7"/>
      <c r="H12" s="7"/>
      <c r="I12" s="7"/>
      <c r="J12" s="7"/>
      <c r="K12" s="7"/>
      <c r="L12" s="7"/>
    </row>
    <row r="13" ht="24" spans="2:12">
      <c r="B13" s="18" t="s">
        <v>205</v>
      </c>
      <c r="C13" s="18" t="s">
        <v>206</v>
      </c>
      <c r="D13" s="18" t="s">
        <v>207</v>
      </c>
      <c r="E13" s="18" t="s">
        <v>208</v>
      </c>
      <c r="F13" s="18" t="s">
        <v>209</v>
      </c>
      <c r="G13" s="18" t="s">
        <v>210</v>
      </c>
      <c r="H13" s="18" t="s">
        <v>211</v>
      </c>
      <c r="I13" s="18" t="s">
        <v>17</v>
      </c>
      <c r="J13" s="18" t="s">
        <v>212</v>
      </c>
      <c r="K13" s="18" t="s">
        <v>213</v>
      </c>
      <c r="L13" s="18" t="s">
        <v>214</v>
      </c>
    </row>
    <row r="14" s="1" customFormat="1" spans="2:12">
      <c r="B14" s="19" t="s">
        <v>1830</v>
      </c>
      <c r="C14" s="19" t="s">
        <v>220</v>
      </c>
      <c r="D14" s="19" t="s">
        <v>1831</v>
      </c>
      <c r="E14" s="20"/>
      <c r="F14" s="19"/>
      <c r="G14" s="19"/>
      <c r="H14" s="20"/>
      <c r="I14" s="23"/>
      <c r="J14" s="23"/>
      <c r="K14" s="23"/>
      <c r="L14" s="23"/>
    </row>
    <row r="15" s="1" customFormat="1" spans="2:12">
      <c r="B15" s="19" t="s">
        <v>1828</v>
      </c>
      <c r="C15" s="19" t="s">
        <v>216</v>
      </c>
      <c r="D15" s="19" t="s">
        <v>1829</v>
      </c>
      <c r="E15" s="20"/>
      <c r="F15" s="19"/>
      <c r="G15" s="19"/>
      <c r="H15" s="20"/>
      <c r="I15" s="23"/>
      <c r="J15" s="23"/>
      <c r="K15" s="23"/>
      <c r="L15" s="23"/>
    </row>
    <row r="16" s="1" customFormat="1" spans="2:12">
      <c r="B16" s="19" t="s">
        <v>1026</v>
      </c>
      <c r="C16" s="19" t="s">
        <v>220</v>
      </c>
      <c r="D16" s="19" t="s">
        <v>66</v>
      </c>
      <c r="E16" s="20"/>
      <c r="F16" s="19"/>
      <c r="G16" s="19"/>
      <c r="H16" s="20"/>
      <c r="I16" s="23"/>
      <c r="J16" s="23"/>
      <c r="K16" s="23"/>
      <c r="L16" s="23"/>
    </row>
    <row r="17" s="1" customFormat="1" spans="2:12">
      <c r="B17" s="19" t="s">
        <v>1836</v>
      </c>
      <c r="C17" s="19" t="s">
        <v>216</v>
      </c>
      <c r="D17" s="19" t="s">
        <v>1876</v>
      </c>
      <c r="E17" s="20"/>
      <c r="F17" s="19"/>
      <c r="G17" s="19"/>
      <c r="H17" s="20"/>
      <c r="I17" s="23"/>
      <c r="J17" s="23"/>
      <c r="K17" s="23"/>
      <c r="L17" s="23"/>
    </row>
    <row r="18" s="1" customFormat="1" spans="2:12">
      <c r="B18" s="19" t="s">
        <v>2999</v>
      </c>
      <c r="C18" s="19" t="s">
        <v>220</v>
      </c>
      <c r="D18" s="19" t="s">
        <v>3000</v>
      </c>
      <c r="E18" s="20"/>
      <c r="F18" s="19"/>
      <c r="G18" s="19"/>
      <c r="H18" s="20"/>
      <c r="I18" s="23"/>
      <c r="J18" s="23"/>
      <c r="K18" s="23"/>
      <c r="L18" s="23"/>
    </row>
    <row r="19" s="1" customFormat="1" ht="26.4" spans="2:12">
      <c r="B19" s="19" t="s">
        <v>3001</v>
      </c>
      <c r="C19" s="19" t="s">
        <v>220</v>
      </c>
      <c r="D19" s="19" t="s">
        <v>3002</v>
      </c>
      <c r="E19" s="20"/>
      <c r="F19" s="19"/>
      <c r="G19" s="19"/>
      <c r="H19" s="20"/>
      <c r="I19" s="23"/>
      <c r="J19" s="23"/>
      <c r="K19" s="23"/>
      <c r="L19" s="23"/>
    </row>
    <row r="20" s="1" customFormat="1" spans="2:12">
      <c r="B20" s="19" t="s">
        <v>224</v>
      </c>
      <c r="C20" s="19" t="s">
        <v>216</v>
      </c>
      <c r="D20" s="19" t="s">
        <v>1869</v>
      </c>
      <c r="E20" s="20"/>
      <c r="F20" s="19"/>
      <c r="G20" s="19"/>
      <c r="H20" s="20"/>
      <c r="I20" s="23"/>
      <c r="J20" s="23"/>
      <c r="K20" s="23"/>
      <c r="L20" s="23"/>
    </row>
    <row r="21" s="1" customFormat="1" spans="2:12">
      <c r="B21" s="19" t="s">
        <v>246</v>
      </c>
      <c r="C21" s="19" t="s">
        <v>220</v>
      </c>
      <c r="D21" s="19" t="s">
        <v>3003</v>
      </c>
      <c r="E21" s="20"/>
      <c r="F21" s="19"/>
      <c r="G21" s="19"/>
      <c r="H21" s="20"/>
      <c r="I21" s="23"/>
      <c r="J21" s="23"/>
      <c r="K21" s="23"/>
      <c r="L21" s="23"/>
    </row>
    <row r="22" s="1" customFormat="1" spans="2:12">
      <c r="B22" s="19" t="s">
        <v>1266</v>
      </c>
      <c r="C22" s="19" t="s">
        <v>220</v>
      </c>
      <c r="D22" s="19" t="s">
        <v>3004</v>
      </c>
      <c r="E22" s="20"/>
      <c r="F22" s="19"/>
      <c r="G22" s="19"/>
      <c r="H22" s="20"/>
      <c r="I22" s="23"/>
      <c r="J22" s="23"/>
      <c r="K22" s="23"/>
      <c r="L22" s="23"/>
    </row>
    <row r="23" s="1" customFormat="1" spans="2:12">
      <c r="B23" s="19" t="s">
        <v>1268</v>
      </c>
      <c r="C23" s="19" t="s">
        <v>220</v>
      </c>
      <c r="D23" s="19" t="s">
        <v>3005</v>
      </c>
      <c r="E23" s="20"/>
      <c r="F23" s="19"/>
      <c r="G23" s="19"/>
      <c r="H23" s="20"/>
      <c r="I23" s="23"/>
      <c r="J23" s="23"/>
      <c r="K23" s="23"/>
      <c r="L23" s="23"/>
    </row>
    <row r="24" s="1" customFormat="1" spans="2:12">
      <c r="B24" s="19" t="s">
        <v>3006</v>
      </c>
      <c r="C24" s="19" t="s">
        <v>275</v>
      </c>
      <c r="D24" s="19" t="s">
        <v>3007</v>
      </c>
      <c r="E24" s="20"/>
      <c r="F24" s="19"/>
      <c r="G24" s="19"/>
      <c r="H24" s="20"/>
      <c r="I24" s="23"/>
      <c r="J24" s="23"/>
      <c r="K24" s="23"/>
      <c r="L24" s="23"/>
    </row>
    <row r="25" s="1" customFormat="1" spans="2:12">
      <c r="B25" s="19" t="s">
        <v>3008</v>
      </c>
      <c r="C25" s="19" t="s">
        <v>275</v>
      </c>
      <c r="D25" s="19" t="s">
        <v>3009</v>
      </c>
      <c r="E25" s="20"/>
      <c r="F25" s="19"/>
      <c r="G25" s="19"/>
      <c r="H25" s="20"/>
      <c r="I25" s="23"/>
      <c r="J25" s="23"/>
      <c r="K25" s="23"/>
      <c r="L25" s="23"/>
    </row>
    <row r="26" s="1" customFormat="1" spans="2:12">
      <c r="B26" s="19" t="s">
        <v>3010</v>
      </c>
      <c r="C26" s="19" t="s">
        <v>240</v>
      </c>
      <c r="D26" s="19" t="s">
        <v>3011</v>
      </c>
      <c r="E26" s="20"/>
      <c r="F26" s="19"/>
      <c r="G26" s="19"/>
      <c r="H26" s="20"/>
      <c r="I26" s="23"/>
      <c r="J26" s="23"/>
      <c r="K26" s="23"/>
      <c r="L26" s="23"/>
    </row>
    <row r="27" s="1" customFormat="1" spans="2:12">
      <c r="B27" s="19" t="s">
        <v>3012</v>
      </c>
      <c r="C27" s="19" t="s">
        <v>275</v>
      </c>
      <c r="D27" s="19" t="s">
        <v>3013</v>
      </c>
      <c r="E27" s="20"/>
      <c r="F27" s="19"/>
      <c r="G27" s="19"/>
      <c r="H27" s="20"/>
      <c r="I27" s="23"/>
      <c r="J27" s="23"/>
      <c r="K27" s="23"/>
      <c r="L27" s="23"/>
    </row>
    <row r="28" s="1" customFormat="1" spans="2:12">
      <c r="B28" s="19" t="s">
        <v>3014</v>
      </c>
      <c r="C28" s="19" t="s">
        <v>275</v>
      </c>
      <c r="D28" s="19" t="s">
        <v>3015</v>
      </c>
      <c r="E28" s="20"/>
      <c r="F28" s="19"/>
      <c r="G28" s="19"/>
      <c r="H28" s="20"/>
      <c r="I28" s="23"/>
      <c r="J28" s="23"/>
      <c r="K28" s="23"/>
      <c r="L28" s="23"/>
    </row>
    <row r="29" s="1" customFormat="1" spans="2:12">
      <c r="B29" s="19" t="s">
        <v>3016</v>
      </c>
      <c r="C29" s="19" t="s">
        <v>275</v>
      </c>
      <c r="D29" s="19" t="s">
        <v>3017</v>
      </c>
      <c r="E29" s="20"/>
      <c r="F29" s="19"/>
      <c r="G29" s="19"/>
      <c r="H29" s="20"/>
      <c r="I29" s="23"/>
      <c r="J29" s="23"/>
      <c r="K29" s="23"/>
      <c r="L29" s="23"/>
    </row>
    <row r="30" s="1" customFormat="1" spans="2:12">
      <c r="B30" s="19" t="s">
        <v>3018</v>
      </c>
      <c r="C30" s="19" t="s">
        <v>275</v>
      </c>
      <c r="D30" s="19" t="s">
        <v>3019</v>
      </c>
      <c r="E30" s="20"/>
      <c r="F30" s="19"/>
      <c r="G30" s="19"/>
      <c r="H30" s="20"/>
      <c r="I30" s="23"/>
      <c r="J30" s="23"/>
      <c r="K30" s="23"/>
      <c r="L30" s="23"/>
    </row>
    <row r="31" s="1" customFormat="1" spans="2:12">
      <c r="B31" s="19" t="s">
        <v>3020</v>
      </c>
      <c r="C31" s="19" t="s">
        <v>275</v>
      </c>
      <c r="D31" s="19" t="s">
        <v>3021</v>
      </c>
      <c r="E31" s="20"/>
      <c r="F31" s="19"/>
      <c r="G31" s="19"/>
      <c r="H31" s="20"/>
      <c r="I31" s="23"/>
      <c r="J31" s="23"/>
      <c r="K31" s="23"/>
      <c r="L31" s="23"/>
    </row>
    <row r="32" s="1" customFormat="1" spans="2:12">
      <c r="B32" s="19" t="s">
        <v>3022</v>
      </c>
      <c r="C32" s="19" t="s">
        <v>275</v>
      </c>
      <c r="D32" s="19" t="s">
        <v>3023</v>
      </c>
      <c r="E32" s="20"/>
      <c r="F32" s="19"/>
      <c r="G32" s="19"/>
      <c r="H32" s="20"/>
      <c r="I32" s="23"/>
      <c r="J32" s="23"/>
      <c r="K32" s="23"/>
      <c r="L32" s="23"/>
    </row>
    <row r="33" s="1" customFormat="1" spans="2:12">
      <c r="B33" s="19" t="s">
        <v>3024</v>
      </c>
      <c r="C33" s="19" t="s">
        <v>275</v>
      </c>
      <c r="D33" s="19" t="s">
        <v>3025</v>
      </c>
      <c r="E33" s="20"/>
      <c r="F33" s="19"/>
      <c r="G33" s="19"/>
      <c r="H33" s="20"/>
      <c r="I33" s="23"/>
      <c r="J33" s="23"/>
      <c r="K33" s="23"/>
      <c r="L33" s="23"/>
    </row>
    <row r="34" s="1" customFormat="1" spans="2:12">
      <c r="B34" s="19" t="s">
        <v>3026</v>
      </c>
      <c r="C34" s="19" t="s">
        <v>275</v>
      </c>
      <c r="D34" s="19" t="s">
        <v>3027</v>
      </c>
      <c r="E34" s="20"/>
      <c r="F34" s="19"/>
      <c r="G34" s="19"/>
      <c r="H34" s="20"/>
      <c r="I34" s="23"/>
      <c r="J34" s="23"/>
      <c r="K34" s="23"/>
      <c r="L34" s="23"/>
    </row>
    <row r="35" s="1" customFormat="1" spans="2:12">
      <c r="B35" s="19" t="s">
        <v>3028</v>
      </c>
      <c r="C35" s="19" t="s">
        <v>275</v>
      </c>
      <c r="D35" s="19" t="s">
        <v>3029</v>
      </c>
      <c r="E35" s="20"/>
      <c r="F35" s="19"/>
      <c r="G35" s="19"/>
      <c r="H35" s="20"/>
      <c r="I35" s="23"/>
      <c r="J35" s="23"/>
      <c r="K35" s="23"/>
      <c r="L35" s="23"/>
    </row>
    <row r="36" s="1" customFormat="1" spans="2:12">
      <c r="B36" s="19" t="s">
        <v>3030</v>
      </c>
      <c r="C36" s="19" t="s">
        <v>240</v>
      </c>
      <c r="D36" s="19" t="s">
        <v>3031</v>
      </c>
      <c r="E36" s="20"/>
      <c r="F36" s="19"/>
      <c r="G36" s="19"/>
      <c r="H36" s="20"/>
      <c r="I36" s="23"/>
      <c r="J36" s="23"/>
      <c r="K36" s="23"/>
      <c r="L36" s="23"/>
    </row>
    <row r="37" s="1" customFormat="1" spans="2:12">
      <c r="B37" s="19" t="s">
        <v>3032</v>
      </c>
      <c r="C37" s="19" t="s">
        <v>275</v>
      </c>
      <c r="D37" s="19" t="s">
        <v>3033</v>
      </c>
      <c r="E37" s="20"/>
      <c r="F37" s="19"/>
      <c r="G37" s="19"/>
      <c r="H37" s="20"/>
      <c r="I37" s="23"/>
      <c r="J37" s="23"/>
      <c r="K37" s="23"/>
      <c r="L37" s="23"/>
    </row>
    <row r="38" s="1" customFormat="1" spans="2:12">
      <c r="B38" s="19" t="s">
        <v>3034</v>
      </c>
      <c r="C38" s="19" t="s">
        <v>240</v>
      </c>
      <c r="D38" s="19" t="s">
        <v>3035</v>
      </c>
      <c r="E38" s="20"/>
      <c r="F38" s="19"/>
      <c r="G38" s="19"/>
      <c r="H38" s="20"/>
      <c r="I38" s="23"/>
      <c r="J38" s="23"/>
      <c r="K38" s="23"/>
      <c r="L38" s="23"/>
    </row>
    <row r="39" s="1" customFormat="1" spans="2:12">
      <c r="B39" s="19" t="s">
        <v>3036</v>
      </c>
      <c r="C39" s="19" t="s">
        <v>275</v>
      </c>
      <c r="D39" s="19" t="s">
        <v>3037</v>
      </c>
      <c r="E39" s="20"/>
      <c r="F39" s="19"/>
      <c r="G39" s="19"/>
      <c r="H39" s="20"/>
      <c r="I39" s="23"/>
      <c r="J39" s="23"/>
      <c r="K39" s="23"/>
      <c r="L39" s="23"/>
    </row>
    <row r="40" s="1" customFormat="1" spans="2:12">
      <c r="B40" s="19" t="s">
        <v>3038</v>
      </c>
      <c r="C40" s="19" t="s">
        <v>275</v>
      </c>
      <c r="D40" s="19" t="s">
        <v>3039</v>
      </c>
      <c r="E40" s="20"/>
      <c r="F40" s="19"/>
      <c r="G40" s="19"/>
      <c r="H40" s="20"/>
      <c r="I40" s="23"/>
      <c r="J40" s="23"/>
      <c r="K40" s="23"/>
      <c r="L40" s="23"/>
    </row>
    <row r="41" s="1" customFormat="1" spans="2:12">
      <c r="B41" s="19" t="s">
        <v>3040</v>
      </c>
      <c r="C41" s="19" t="s">
        <v>275</v>
      </c>
      <c r="D41" s="19" t="s">
        <v>3041</v>
      </c>
      <c r="E41" s="20"/>
      <c r="F41" s="19"/>
      <c r="G41" s="19"/>
      <c r="H41" s="20"/>
      <c r="I41" s="23"/>
      <c r="J41" s="23"/>
      <c r="K41" s="23"/>
      <c r="L41" s="23"/>
    </row>
    <row r="42" s="1" customFormat="1" spans="2:12">
      <c r="B42" s="19" t="s">
        <v>3042</v>
      </c>
      <c r="C42" s="19" t="s">
        <v>275</v>
      </c>
      <c r="D42" s="19" t="s">
        <v>3043</v>
      </c>
      <c r="E42" s="20"/>
      <c r="F42" s="19"/>
      <c r="G42" s="19"/>
      <c r="H42" s="20"/>
      <c r="I42" s="23"/>
      <c r="J42" s="23"/>
      <c r="K42" s="23"/>
      <c r="L42" s="23"/>
    </row>
    <row r="43" s="1" customFormat="1" spans="2:12">
      <c r="B43" s="19" t="s">
        <v>3044</v>
      </c>
      <c r="C43" s="19" t="s">
        <v>275</v>
      </c>
      <c r="D43" s="19" t="s">
        <v>3045</v>
      </c>
      <c r="E43" s="20"/>
      <c r="F43" s="19"/>
      <c r="G43" s="19"/>
      <c r="H43" s="20"/>
      <c r="I43" s="23"/>
      <c r="J43" s="23"/>
      <c r="K43" s="23"/>
      <c r="L43" s="23"/>
    </row>
    <row r="44" s="1" customFormat="1" spans="2:12">
      <c r="B44" s="19" t="s">
        <v>3046</v>
      </c>
      <c r="C44" s="19" t="s">
        <v>275</v>
      </c>
      <c r="D44" s="19" t="s">
        <v>3047</v>
      </c>
      <c r="E44" s="20"/>
      <c r="F44" s="19"/>
      <c r="G44" s="19"/>
      <c r="H44" s="20"/>
      <c r="I44" s="23"/>
      <c r="J44" s="23"/>
      <c r="K44" s="23"/>
      <c r="L44" s="23"/>
    </row>
    <row r="45" s="1" customFormat="1" spans="2:12">
      <c r="B45" s="19" t="s">
        <v>3048</v>
      </c>
      <c r="C45" s="19" t="s">
        <v>275</v>
      </c>
      <c r="D45" s="19" t="s">
        <v>3049</v>
      </c>
      <c r="E45" s="20"/>
      <c r="F45" s="19"/>
      <c r="G45" s="19"/>
      <c r="H45" s="20"/>
      <c r="I45" s="23"/>
      <c r="J45" s="23"/>
      <c r="K45" s="23"/>
      <c r="L45" s="23"/>
    </row>
    <row r="46" s="1" customFormat="1" spans="2:12">
      <c r="B46" s="19" t="s">
        <v>3050</v>
      </c>
      <c r="C46" s="19" t="s">
        <v>275</v>
      </c>
      <c r="D46" s="19" t="s">
        <v>3051</v>
      </c>
      <c r="E46" s="20"/>
      <c r="F46" s="19"/>
      <c r="G46" s="19"/>
      <c r="H46" s="20"/>
      <c r="I46" s="23"/>
      <c r="J46" s="23"/>
      <c r="K46" s="23"/>
      <c r="L46" s="23"/>
    </row>
    <row r="47" s="1" customFormat="1" spans="2:12">
      <c r="B47" s="19" t="s">
        <v>3052</v>
      </c>
      <c r="C47" s="19" t="s">
        <v>275</v>
      </c>
      <c r="D47" s="19" t="s">
        <v>3053</v>
      </c>
      <c r="E47" s="20"/>
      <c r="F47" s="19"/>
      <c r="G47" s="19"/>
      <c r="H47" s="20"/>
      <c r="I47" s="23"/>
      <c r="J47" s="23"/>
      <c r="K47" s="23"/>
      <c r="L47" s="23"/>
    </row>
    <row r="48" s="1" customFormat="1" spans="2:12">
      <c r="B48" s="19" t="s">
        <v>3054</v>
      </c>
      <c r="C48" s="19" t="s">
        <v>240</v>
      </c>
      <c r="D48" s="19" t="s">
        <v>3055</v>
      </c>
      <c r="E48" s="20"/>
      <c r="F48" s="19"/>
      <c r="G48" s="19"/>
      <c r="H48" s="20"/>
      <c r="I48" s="23"/>
      <c r="J48" s="23"/>
      <c r="K48" s="23"/>
      <c r="L48" s="23"/>
    </row>
    <row r="49" s="1" customFormat="1" spans="2:12">
      <c r="B49" s="19" t="s">
        <v>3056</v>
      </c>
      <c r="C49" s="19" t="s">
        <v>275</v>
      </c>
      <c r="D49" s="19" t="s">
        <v>3009</v>
      </c>
      <c r="E49" s="20"/>
      <c r="F49" s="19"/>
      <c r="G49" s="19"/>
      <c r="H49" s="20"/>
      <c r="I49" s="23"/>
      <c r="J49" s="23"/>
      <c r="K49" s="23"/>
      <c r="L49" s="23"/>
    </row>
    <row r="50" s="1" customFormat="1" spans="2:12">
      <c r="B50" s="19" t="s">
        <v>3057</v>
      </c>
      <c r="C50" s="19" t="s">
        <v>240</v>
      </c>
      <c r="D50" s="19" t="s">
        <v>3011</v>
      </c>
      <c r="E50" s="20"/>
      <c r="F50" s="19"/>
      <c r="G50" s="19"/>
      <c r="H50" s="20"/>
      <c r="I50" s="23"/>
      <c r="J50" s="23"/>
      <c r="K50" s="23"/>
      <c r="L50" s="23"/>
    </row>
    <row r="51" s="1" customFormat="1" spans="2:12">
      <c r="B51" s="19" t="s">
        <v>3058</v>
      </c>
      <c r="C51" s="19" t="s">
        <v>275</v>
      </c>
      <c r="D51" s="19" t="s">
        <v>3059</v>
      </c>
      <c r="E51" s="20"/>
      <c r="F51" s="19"/>
      <c r="G51" s="19"/>
      <c r="H51" s="20"/>
      <c r="I51" s="23"/>
      <c r="J51" s="23"/>
      <c r="K51" s="23"/>
      <c r="L51" s="23"/>
    </row>
    <row r="52" s="1" customFormat="1" spans="2:12">
      <c r="B52" s="19" t="s">
        <v>3060</v>
      </c>
      <c r="C52" s="19" t="s">
        <v>275</v>
      </c>
      <c r="D52" s="19" t="s">
        <v>3061</v>
      </c>
      <c r="E52" s="20"/>
      <c r="F52" s="19"/>
      <c r="G52" s="19"/>
      <c r="H52" s="20"/>
      <c r="I52" s="23"/>
      <c r="J52" s="23"/>
      <c r="K52" s="23"/>
      <c r="L52" s="23"/>
    </row>
    <row r="53" s="1" customFormat="1" spans="2:12">
      <c r="B53" s="19" t="s">
        <v>3062</v>
      </c>
      <c r="C53" s="19" t="s">
        <v>275</v>
      </c>
      <c r="D53" s="19" t="s">
        <v>3063</v>
      </c>
      <c r="E53" s="20"/>
      <c r="F53" s="19"/>
      <c r="G53" s="19"/>
      <c r="H53" s="20"/>
      <c r="I53" s="23"/>
      <c r="J53" s="23"/>
      <c r="K53" s="23"/>
      <c r="L53" s="23"/>
    </row>
    <row r="54" s="1" customFormat="1" spans="2:12">
      <c r="B54" s="19" t="s">
        <v>3064</v>
      </c>
      <c r="C54" s="19" t="s">
        <v>275</v>
      </c>
      <c r="D54" s="19" t="s">
        <v>3065</v>
      </c>
      <c r="E54" s="20"/>
      <c r="F54" s="19"/>
      <c r="G54" s="19"/>
      <c r="H54" s="20"/>
      <c r="I54" s="23"/>
      <c r="J54" s="23"/>
      <c r="K54" s="23"/>
      <c r="L54" s="23"/>
    </row>
    <row r="55" s="1" customFormat="1" spans="2:12">
      <c r="B55" s="19" t="s">
        <v>3066</v>
      </c>
      <c r="C55" s="19" t="s">
        <v>275</v>
      </c>
      <c r="D55" s="19" t="s">
        <v>3067</v>
      </c>
      <c r="E55" s="20"/>
      <c r="F55" s="19"/>
      <c r="G55" s="19"/>
      <c r="H55" s="20"/>
      <c r="I55" s="23"/>
      <c r="J55" s="23"/>
      <c r="K55" s="23"/>
      <c r="L55" s="23"/>
    </row>
    <row r="56" s="1" customFormat="1" spans="2:12">
      <c r="B56" s="19" t="s">
        <v>3068</v>
      </c>
      <c r="C56" s="19" t="s">
        <v>275</v>
      </c>
      <c r="D56" s="19" t="s">
        <v>3069</v>
      </c>
      <c r="E56" s="20"/>
      <c r="F56" s="19"/>
      <c r="G56" s="19"/>
      <c r="H56" s="20"/>
      <c r="I56" s="23"/>
      <c r="J56" s="23"/>
      <c r="K56" s="23"/>
      <c r="L56" s="23"/>
    </row>
    <row r="57" s="1" customFormat="1" spans="2:12">
      <c r="B57" s="19" t="s">
        <v>3070</v>
      </c>
      <c r="C57" s="19" t="s">
        <v>275</v>
      </c>
      <c r="D57" s="19" t="s">
        <v>3071</v>
      </c>
      <c r="E57" s="20"/>
      <c r="F57" s="19"/>
      <c r="G57" s="19"/>
      <c r="H57" s="20"/>
      <c r="I57" s="23"/>
      <c r="J57" s="23"/>
      <c r="K57" s="23"/>
      <c r="L57" s="23"/>
    </row>
    <row r="58" s="1" customFormat="1" spans="2:12">
      <c r="B58" s="19" t="s">
        <v>3072</v>
      </c>
      <c r="C58" s="19" t="s">
        <v>275</v>
      </c>
      <c r="D58" s="19" t="s">
        <v>3073</v>
      </c>
      <c r="E58" s="20"/>
      <c r="F58" s="19"/>
      <c r="G58" s="19"/>
      <c r="H58" s="20"/>
      <c r="I58" s="23"/>
      <c r="J58" s="23"/>
      <c r="K58" s="23"/>
      <c r="L58" s="23"/>
    </row>
    <row r="59" s="1" customFormat="1" spans="2:12">
      <c r="B59" s="19" t="s">
        <v>3074</v>
      </c>
      <c r="C59" s="19" t="s">
        <v>275</v>
      </c>
      <c r="D59" s="19" t="s">
        <v>3029</v>
      </c>
      <c r="E59" s="20"/>
      <c r="F59" s="19"/>
      <c r="G59" s="19"/>
      <c r="H59" s="20"/>
      <c r="I59" s="23"/>
      <c r="J59" s="23"/>
      <c r="K59" s="23"/>
      <c r="L59" s="23"/>
    </row>
    <row r="60" s="1" customFormat="1" spans="2:12">
      <c r="B60" s="19" t="s">
        <v>3075</v>
      </c>
      <c r="C60" s="19" t="s">
        <v>240</v>
      </c>
      <c r="D60" s="19" t="s">
        <v>3031</v>
      </c>
      <c r="E60" s="20"/>
      <c r="F60" s="19"/>
      <c r="G60" s="19"/>
      <c r="H60" s="20"/>
      <c r="I60" s="23"/>
      <c r="J60" s="23"/>
      <c r="K60" s="23"/>
      <c r="L60" s="23"/>
    </row>
    <row r="61" s="1" customFormat="1" spans="2:12">
      <c r="B61" s="19" t="s">
        <v>3076</v>
      </c>
      <c r="C61" s="19" t="s">
        <v>275</v>
      </c>
      <c r="D61" s="19" t="s">
        <v>3077</v>
      </c>
      <c r="E61" s="20"/>
      <c r="F61" s="19"/>
      <c r="G61" s="19"/>
      <c r="H61" s="20"/>
      <c r="I61" s="23"/>
      <c r="J61" s="23"/>
      <c r="K61" s="23"/>
      <c r="L61" s="23"/>
    </row>
    <row r="62" s="1" customFormat="1" spans="2:12">
      <c r="B62" s="19" t="s">
        <v>3078</v>
      </c>
      <c r="C62" s="19" t="s">
        <v>275</v>
      </c>
      <c r="D62" s="19" t="s">
        <v>3079</v>
      </c>
      <c r="E62" s="20"/>
      <c r="F62" s="19"/>
      <c r="G62" s="19"/>
      <c r="H62" s="20"/>
      <c r="I62" s="23"/>
      <c r="J62" s="23"/>
      <c r="K62" s="23"/>
      <c r="L62" s="23"/>
    </row>
    <row r="63" s="1" customFormat="1" spans="2:12">
      <c r="B63" s="19" t="s">
        <v>3080</v>
      </c>
      <c r="C63" s="19" t="s">
        <v>240</v>
      </c>
      <c r="D63" s="19" t="s">
        <v>3081</v>
      </c>
      <c r="E63" s="20"/>
      <c r="F63" s="19"/>
      <c r="G63" s="19"/>
      <c r="H63" s="20"/>
      <c r="I63" s="23"/>
      <c r="J63" s="23"/>
      <c r="K63" s="23"/>
      <c r="L63" s="23"/>
    </row>
    <row r="64" s="1" customFormat="1" ht="26.4" spans="2:12">
      <c r="B64" s="19" t="s">
        <v>3082</v>
      </c>
      <c r="C64" s="19" t="s">
        <v>343</v>
      </c>
      <c r="D64" s="19" t="s">
        <v>3083</v>
      </c>
      <c r="E64" s="20"/>
      <c r="F64" s="19"/>
      <c r="G64" s="19"/>
      <c r="H64" s="20"/>
      <c r="I64" s="23"/>
      <c r="J64" s="23"/>
      <c r="K64" s="23"/>
      <c r="L64" s="23"/>
    </row>
    <row r="65" s="1" customFormat="1" spans="2:12">
      <c r="B65" s="19" t="s">
        <v>3084</v>
      </c>
      <c r="C65" s="19" t="s">
        <v>275</v>
      </c>
      <c r="D65" s="19" t="s">
        <v>3085</v>
      </c>
      <c r="E65" s="20"/>
      <c r="F65" s="19"/>
      <c r="G65" s="19"/>
      <c r="H65" s="20"/>
      <c r="I65" s="23"/>
      <c r="J65" s="23"/>
      <c r="K65" s="23"/>
      <c r="L65" s="23"/>
    </row>
    <row r="66" s="1" customFormat="1" spans="2:12">
      <c r="B66" s="19" t="s">
        <v>3086</v>
      </c>
      <c r="C66" s="19" t="s">
        <v>275</v>
      </c>
      <c r="D66" s="19" t="s">
        <v>3087</v>
      </c>
      <c r="E66" s="20"/>
      <c r="F66" s="19"/>
      <c r="G66" s="19"/>
      <c r="H66" s="20"/>
      <c r="I66" s="23"/>
      <c r="J66" s="23"/>
      <c r="K66" s="23"/>
      <c r="L66" s="23"/>
    </row>
    <row r="67" s="1" customFormat="1" spans="2:12">
      <c r="B67" s="19" t="s">
        <v>3088</v>
      </c>
      <c r="C67" s="19" t="s">
        <v>240</v>
      </c>
      <c r="D67" s="19" t="s">
        <v>3089</v>
      </c>
      <c r="E67" s="20"/>
      <c r="F67" s="19"/>
      <c r="G67" s="19"/>
      <c r="H67" s="20"/>
      <c r="I67" s="23"/>
      <c r="J67" s="23"/>
      <c r="K67" s="23"/>
      <c r="L67" s="23"/>
    </row>
    <row r="68" s="1" customFormat="1" spans="2:12">
      <c r="B68" s="19" t="s">
        <v>3090</v>
      </c>
      <c r="C68" s="19" t="s">
        <v>343</v>
      </c>
      <c r="D68" s="19" t="s">
        <v>3091</v>
      </c>
      <c r="E68" s="20"/>
      <c r="F68" s="19"/>
      <c r="G68" s="19"/>
      <c r="H68" s="20"/>
      <c r="I68" s="23"/>
      <c r="J68" s="23"/>
      <c r="K68" s="23"/>
      <c r="L68" s="23"/>
    </row>
    <row r="69" s="1" customFormat="1" spans="2:12">
      <c r="B69" s="19" t="s">
        <v>3092</v>
      </c>
      <c r="C69" s="19" t="s">
        <v>275</v>
      </c>
      <c r="D69" s="19" t="s">
        <v>3093</v>
      </c>
      <c r="E69" s="20"/>
      <c r="F69" s="19"/>
      <c r="G69" s="19"/>
      <c r="H69" s="20"/>
      <c r="I69" s="23"/>
      <c r="J69" s="23"/>
      <c r="K69" s="23"/>
      <c r="L69" s="23"/>
    </row>
    <row r="70" s="1" customFormat="1" spans="2:12">
      <c r="B70" s="19" t="s">
        <v>3094</v>
      </c>
      <c r="C70" s="19" t="s">
        <v>275</v>
      </c>
      <c r="D70" s="19" t="s">
        <v>3095</v>
      </c>
      <c r="E70" s="20"/>
      <c r="F70" s="19"/>
      <c r="G70" s="19"/>
      <c r="H70" s="20"/>
      <c r="I70" s="23"/>
      <c r="J70" s="23"/>
      <c r="K70" s="23"/>
      <c r="L70" s="23"/>
    </row>
    <row r="71" s="1" customFormat="1" spans="2:12">
      <c r="B71" s="19" t="s">
        <v>3096</v>
      </c>
      <c r="C71" s="19" t="s">
        <v>240</v>
      </c>
      <c r="D71" s="19" t="s">
        <v>3097</v>
      </c>
      <c r="E71" s="20"/>
      <c r="F71" s="19"/>
      <c r="G71" s="19"/>
      <c r="H71" s="20"/>
      <c r="I71" s="23"/>
      <c r="J71" s="23"/>
      <c r="K71" s="23"/>
      <c r="L71" s="23"/>
    </row>
    <row r="72" s="1" customFormat="1" spans="2:12">
      <c r="B72" s="19" t="s">
        <v>3098</v>
      </c>
      <c r="C72" s="19" t="s">
        <v>343</v>
      </c>
      <c r="D72" s="19" t="s">
        <v>3099</v>
      </c>
      <c r="E72" s="20"/>
      <c r="F72" s="19"/>
      <c r="G72" s="19"/>
      <c r="H72" s="20"/>
      <c r="I72" s="23"/>
      <c r="J72" s="23"/>
      <c r="K72" s="23"/>
      <c r="L72" s="23"/>
    </row>
    <row r="73" s="1" customFormat="1" spans="2:12">
      <c r="B73" s="19" t="s">
        <v>3100</v>
      </c>
      <c r="C73" s="19" t="s">
        <v>275</v>
      </c>
      <c r="D73" s="19" t="s">
        <v>3101</v>
      </c>
      <c r="E73" s="20"/>
      <c r="F73" s="19"/>
      <c r="G73" s="19"/>
      <c r="H73" s="20"/>
      <c r="I73" s="23"/>
      <c r="J73" s="23"/>
      <c r="K73" s="23"/>
      <c r="L73" s="23"/>
    </row>
    <row r="74" s="1" customFormat="1" spans="2:12">
      <c r="B74" s="19" t="s">
        <v>3102</v>
      </c>
      <c r="C74" s="19" t="s">
        <v>275</v>
      </c>
      <c r="D74" s="19" t="s">
        <v>3103</v>
      </c>
      <c r="E74" s="20"/>
      <c r="F74" s="19"/>
      <c r="G74" s="19"/>
      <c r="H74" s="20"/>
      <c r="I74" s="23"/>
      <c r="J74" s="23"/>
      <c r="K74" s="23"/>
      <c r="L74" s="23"/>
    </row>
    <row r="75" s="1" customFormat="1" spans="2:12">
      <c r="B75" s="19" t="s">
        <v>3104</v>
      </c>
      <c r="C75" s="19" t="s">
        <v>240</v>
      </c>
      <c r="D75" s="19" t="s">
        <v>3105</v>
      </c>
      <c r="E75" s="20"/>
      <c r="F75" s="19"/>
      <c r="G75" s="19"/>
      <c r="H75" s="20"/>
      <c r="I75" s="23"/>
      <c r="J75" s="23"/>
      <c r="K75" s="23"/>
      <c r="L75" s="23"/>
    </row>
    <row r="76" s="1" customFormat="1" spans="2:12">
      <c r="B76" s="19" t="s">
        <v>3106</v>
      </c>
      <c r="C76" s="19" t="s">
        <v>343</v>
      </c>
      <c r="D76" s="19" t="s">
        <v>3107</v>
      </c>
      <c r="E76" s="20"/>
      <c r="F76" s="19"/>
      <c r="G76" s="19"/>
      <c r="H76" s="20"/>
      <c r="I76" s="23"/>
      <c r="J76" s="23"/>
      <c r="K76" s="23"/>
      <c r="L76" s="23"/>
    </row>
    <row r="77" s="1" customFormat="1" spans="2:12">
      <c r="B77" s="19" t="s">
        <v>3108</v>
      </c>
      <c r="C77" s="19" t="s">
        <v>275</v>
      </c>
      <c r="D77" s="19" t="s">
        <v>3109</v>
      </c>
      <c r="E77" s="20"/>
      <c r="F77" s="19"/>
      <c r="G77" s="19"/>
      <c r="H77" s="20"/>
      <c r="I77" s="23"/>
      <c r="J77" s="23"/>
      <c r="K77" s="23"/>
      <c r="L77" s="23"/>
    </row>
    <row r="78" s="1" customFormat="1" spans="2:12">
      <c r="B78" s="19" t="s">
        <v>3110</v>
      </c>
      <c r="C78" s="19" t="s">
        <v>275</v>
      </c>
      <c r="D78" s="19" t="s">
        <v>3111</v>
      </c>
      <c r="E78" s="20"/>
      <c r="F78" s="19"/>
      <c r="G78" s="19"/>
      <c r="H78" s="20"/>
      <c r="I78" s="23"/>
      <c r="J78" s="23"/>
      <c r="K78" s="23"/>
      <c r="L78" s="23"/>
    </row>
    <row r="79" s="1" customFormat="1" spans="2:12">
      <c r="B79" s="19" t="s">
        <v>3112</v>
      </c>
      <c r="C79" s="19" t="s">
        <v>240</v>
      </c>
      <c r="D79" s="19" t="s">
        <v>3113</v>
      </c>
      <c r="E79" s="20"/>
      <c r="F79" s="19"/>
      <c r="G79" s="19"/>
      <c r="H79" s="20"/>
      <c r="I79" s="23"/>
      <c r="J79" s="23"/>
      <c r="K79" s="23"/>
      <c r="L79" s="23"/>
    </row>
    <row r="80" s="1" customFormat="1" spans="2:12">
      <c r="B80" s="19" t="s">
        <v>3114</v>
      </c>
      <c r="C80" s="19" t="s">
        <v>275</v>
      </c>
      <c r="D80" s="19" t="s">
        <v>3115</v>
      </c>
      <c r="E80" s="20"/>
      <c r="F80" s="19"/>
      <c r="G80" s="19"/>
      <c r="H80" s="20"/>
      <c r="I80" s="23"/>
      <c r="J80" s="23"/>
      <c r="K80" s="23"/>
      <c r="L80" s="23"/>
    </row>
    <row r="81" s="1" customFormat="1" spans="2:12">
      <c r="B81" s="19" t="s">
        <v>3116</v>
      </c>
      <c r="C81" s="19" t="s">
        <v>275</v>
      </c>
      <c r="D81" s="19" t="s">
        <v>3117</v>
      </c>
      <c r="E81" s="20"/>
      <c r="F81" s="19"/>
      <c r="G81" s="19"/>
      <c r="H81" s="20"/>
      <c r="I81" s="23"/>
      <c r="J81" s="23"/>
      <c r="K81" s="23"/>
      <c r="L81" s="23"/>
    </row>
    <row r="82" s="1" customFormat="1" spans="2:12">
      <c r="B82" s="19" t="s">
        <v>3118</v>
      </c>
      <c r="C82" s="19" t="s">
        <v>275</v>
      </c>
      <c r="D82" s="19" t="s">
        <v>3119</v>
      </c>
      <c r="E82" s="20"/>
      <c r="F82" s="19"/>
      <c r="G82" s="19"/>
      <c r="H82" s="20"/>
      <c r="I82" s="23"/>
      <c r="J82" s="23"/>
      <c r="K82" s="23"/>
      <c r="L82" s="23"/>
    </row>
    <row r="83" s="1" customFormat="1" spans="2:12">
      <c r="B83" s="19" t="s">
        <v>3120</v>
      </c>
      <c r="C83" s="19" t="s">
        <v>275</v>
      </c>
      <c r="D83" s="19" t="s">
        <v>3121</v>
      </c>
      <c r="E83" s="20"/>
      <c r="F83" s="19"/>
      <c r="G83" s="19"/>
      <c r="H83" s="20"/>
      <c r="I83" s="23"/>
      <c r="J83" s="23"/>
      <c r="K83" s="23"/>
      <c r="L83" s="23"/>
    </row>
    <row r="84" s="1" customFormat="1" spans="2:12">
      <c r="B84" s="19" t="s">
        <v>3122</v>
      </c>
      <c r="C84" s="19" t="s">
        <v>275</v>
      </c>
      <c r="D84" s="19" t="s">
        <v>3123</v>
      </c>
      <c r="E84" s="20"/>
      <c r="F84" s="19"/>
      <c r="G84" s="19"/>
      <c r="H84" s="20"/>
      <c r="I84" s="23"/>
      <c r="J84" s="23"/>
      <c r="K84" s="23"/>
      <c r="L84" s="23"/>
    </row>
    <row r="85" s="1" customFormat="1" spans="2:12">
      <c r="B85" s="19" t="s">
        <v>3124</v>
      </c>
      <c r="C85" s="19" t="s">
        <v>275</v>
      </c>
      <c r="D85" s="19" t="s">
        <v>3125</v>
      </c>
      <c r="E85" s="20"/>
      <c r="F85" s="19"/>
      <c r="G85" s="19"/>
      <c r="H85" s="20"/>
      <c r="I85" s="23"/>
      <c r="J85" s="23"/>
      <c r="K85" s="23"/>
      <c r="L85" s="23"/>
    </row>
    <row r="86" s="1" customFormat="1" spans="2:12">
      <c r="B86" s="19" t="s">
        <v>3126</v>
      </c>
      <c r="C86" s="19" t="s">
        <v>275</v>
      </c>
      <c r="D86" s="19" t="s">
        <v>3127</v>
      </c>
      <c r="E86" s="20"/>
      <c r="F86" s="19"/>
      <c r="G86" s="19"/>
      <c r="H86" s="20"/>
      <c r="I86" s="23"/>
      <c r="J86" s="23"/>
      <c r="K86" s="23"/>
      <c r="L86" s="23"/>
    </row>
    <row r="87" s="1" customFormat="1" spans="2:12">
      <c r="B87" s="19" t="s">
        <v>3128</v>
      </c>
      <c r="C87" s="19" t="s">
        <v>275</v>
      </c>
      <c r="D87" s="19" t="s">
        <v>3129</v>
      </c>
      <c r="E87" s="20"/>
      <c r="F87" s="19"/>
      <c r="G87" s="19"/>
      <c r="H87" s="20"/>
      <c r="I87" s="23"/>
      <c r="J87" s="23"/>
      <c r="K87" s="23"/>
      <c r="L87" s="23"/>
    </row>
    <row r="88" s="1" customFormat="1" spans="2:12">
      <c r="B88" s="19" t="s">
        <v>3130</v>
      </c>
      <c r="C88" s="19" t="s">
        <v>275</v>
      </c>
      <c r="D88" s="19" t="s">
        <v>3131</v>
      </c>
      <c r="E88" s="20"/>
      <c r="F88" s="19"/>
      <c r="G88" s="19"/>
      <c r="H88" s="20"/>
      <c r="I88" s="23"/>
      <c r="J88" s="23"/>
      <c r="K88" s="23"/>
      <c r="L88" s="23"/>
    </row>
    <row r="89" s="1" customFormat="1" spans="2:12">
      <c r="B89" s="19" t="s">
        <v>3132</v>
      </c>
      <c r="C89" s="19" t="s">
        <v>275</v>
      </c>
      <c r="D89" s="19" t="s">
        <v>3133</v>
      </c>
      <c r="E89" s="20"/>
      <c r="F89" s="19"/>
      <c r="G89" s="19"/>
      <c r="H89" s="20"/>
      <c r="I89" s="23"/>
      <c r="J89" s="23"/>
      <c r="K89" s="23"/>
      <c r="L89" s="23"/>
    </row>
    <row r="90" s="1" customFormat="1" spans="2:12">
      <c r="B90" s="19" t="s">
        <v>3134</v>
      </c>
      <c r="C90" s="19" t="s">
        <v>275</v>
      </c>
      <c r="D90" s="19" t="s">
        <v>3135</v>
      </c>
      <c r="E90" s="20"/>
      <c r="F90" s="19"/>
      <c r="G90" s="19"/>
      <c r="H90" s="20"/>
      <c r="I90" s="23"/>
      <c r="J90" s="23"/>
      <c r="K90" s="23"/>
      <c r="L90" s="23"/>
    </row>
    <row r="91" s="1" customFormat="1" spans="2:12">
      <c r="B91" s="19" t="s">
        <v>3136</v>
      </c>
      <c r="C91" s="19" t="s">
        <v>275</v>
      </c>
      <c r="D91" s="19" t="s">
        <v>3137</v>
      </c>
      <c r="E91" s="20"/>
      <c r="F91" s="19"/>
      <c r="G91" s="19"/>
      <c r="H91" s="20"/>
      <c r="I91" s="23"/>
      <c r="J91" s="23"/>
      <c r="K91" s="23"/>
      <c r="L91" s="23"/>
    </row>
    <row r="92" s="1" customFormat="1" spans="2:12">
      <c r="B92" s="19" t="s">
        <v>3138</v>
      </c>
      <c r="C92" s="19" t="s">
        <v>275</v>
      </c>
      <c r="D92" s="19" t="s">
        <v>3139</v>
      </c>
      <c r="E92" s="20"/>
      <c r="F92" s="19"/>
      <c r="G92" s="19"/>
      <c r="H92" s="20"/>
      <c r="I92" s="23"/>
      <c r="J92" s="23"/>
      <c r="K92" s="23"/>
      <c r="L92" s="23"/>
    </row>
    <row r="93" s="1" customFormat="1" spans="2:12">
      <c r="B93" s="19" t="s">
        <v>3140</v>
      </c>
      <c r="C93" s="19" t="s">
        <v>275</v>
      </c>
      <c r="D93" s="19" t="s">
        <v>3141</v>
      </c>
      <c r="E93" s="20"/>
      <c r="F93" s="19"/>
      <c r="G93" s="19"/>
      <c r="H93" s="20"/>
      <c r="I93" s="23"/>
      <c r="J93" s="23"/>
      <c r="K93" s="23"/>
      <c r="L93" s="23"/>
    </row>
    <row r="94" s="1" customFormat="1" spans="2:12">
      <c r="B94" s="19" t="s">
        <v>3142</v>
      </c>
      <c r="C94" s="19" t="s">
        <v>275</v>
      </c>
      <c r="D94" s="19" t="s">
        <v>3143</v>
      </c>
      <c r="E94" s="20"/>
      <c r="F94" s="19"/>
      <c r="G94" s="19"/>
      <c r="H94" s="20"/>
      <c r="I94" s="23"/>
      <c r="J94" s="23"/>
      <c r="K94" s="23"/>
      <c r="L94" s="23"/>
    </row>
    <row r="95" s="1" customFormat="1" spans="2:12">
      <c r="B95" s="19" t="s">
        <v>3144</v>
      </c>
      <c r="C95" s="19" t="s">
        <v>275</v>
      </c>
      <c r="D95" s="19" t="s">
        <v>3145</v>
      </c>
      <c r="E95" s="20"/>
      <c r="F95" s="19"/>
      <c r="G95" s="19"/>
      <c r="H95" s="20"/>
      <c r="I95" s="23"/>
      <c r="J95" s="23"/>
      <c r="K95" s="23"/>
      <c r="L95" s="23"/>
    </row>
    <row r="96" s="1" customFormat="1" spans="2:12">
      <c r="B96" s="19" t="s">
        <v>3146</v>
      </c>
      <c r="C96" s="19" t="s">
        <v>275</v>
      </c>
      <c r="D96" s="19" t="s">
        <v>3147</v>
      </c>
      <c r="E96" s="20"/>
      <c r="F96" s="19"/>
      <c r="G96" s="19"/>
      <c r="H96" s="20"/>
      <c r="I96" s="23"/>
      <c r="J96" s="23"/>
      <c r="K96" s="23"/>
      <c r="L96" s="23"/>
    </row>
    <row r="97" s="1" customFormat="1" spans="2:12">
      <c r="B97" s="19" t="s">
        <v>3148</v>
      </c>
      <c r="C97" s="19" t="s">
        <v>275</v>
      </c>
      <c r="D97" s="19" t="s">
        <v>3037</v>
      </c>
      <c r="E97" s="20"/>
      <c r="F97" s="19"/>
      <c r="G97" s="19"/>
      <c r="H97" s="20"/>
      <c r="I97" s="23"/>
      <c r="J97" s="23"/>
      <c r="K97" s="23"/>
      <c r="L97" s="23"/>
    </row>
    <row r="98" s="1" customFormat="1" spans="2:12">
      <c r="B98" s="19" t="s">
        <v>3149</v>
      </c>
      <c r="C98" s="19" t="s">
        <v>275</v>
      </c>
      <c r="D98" s="19" t="s">
        <v>3039</v>
      </c>
      <c r="E98" s="20"/>
      <c r="F98" s="19"/>
      <c r="G98" s="19"/>
      <c r="H98" s="20"/>
      <c r="I98" s="23"/>
      <c r="J98" s="23"/>
      <c r="K98" s="23"/>
      <c r="L98" s="23"/>
    </row>
    <row r="99" s="1" customFormat="1" spans="2:12">
      <c r="B99" s="19" t="s">
        <v>3150</v>
      </c>
      <c r="C99" s="19" t="s">
        <v>275</v>
      </c>
      <c r="D99" s="19" t="s">
        <v>3041</v>
      </c>
      <c r="E99" s="20"/>
      <c r="F99" s="19"/>
      <c r="G99" s="19"/>
      <c r="H99" s="20"/>
      <c r="I99" s="23"/>
      <c r="J99" s="23"/>
      <c r="K99" s="23"/>
      <c r="L99" s="23"/>
    </row>
    <row r="100" s="1" customFormat="1" spans="2:12">
      <c r="B100" s="19" t="s">
        <v>3151</v>
      </c>
      <c r="C100" s="19" t="s">
        <v>275</v>
      </c>
      <c r="D100" s="19" t="s">
        <v>3043</v>
      </c>
      <c r="E100" s="20"/>
      <c r="F100" s="19"/>
      <c r="G100" s="19"/>
      <c r="H100" s="20"/>
      <c r="I100" s="23"/>
      <c r="J100" s="23"/>
      <c r="K100" s="23"/>
      <c r="L100" s="23"/>
    </row>
    <row r="101" s="1" customFormat="1" spans="2:12">
      <c r="B101" s="19" t="s">
        <v>3152</v>
      </c>
      <c r="C101" s="19" t="s">
        <v>275</v>
      </c>
      <c r="D101" s="19" t="s">
        <v>3045</v>
      </c>
      <c r="E101" s="20"/>
      <c r="F101" s="19"/>
      <c r="G101" s="19"/>
      <c r="H101" s="20"/>
      <c r="I101" s="23"/>
      <c r="J101" s="23"/>
      <c r="K101" s="23"/>
      <c r="L101" s="23"/>
    </row>
    <row r="102" s="1" customFormat="1" spans="2:12">
      <c r="B102" s="19" t="s">
        <v>3153</v>
      </c>
      <c r="C102" s="19" t="s">
        <v>275</v>
      </c>
      <c r="D102" s="19" t="s">
        <v>3047</v>
      </c>
      <c r="E102" s="20"/>
      <c r="F102" s="19"/>
      <c r="G102" s="19"/>
      <c r="H102" s="20"/>
      <c r="I102" s="23"/>
      <c r="J102" s="23"/>
      <c r="K102" s="23"/>
      <c r="L102" s="23"/>
    </row>
    <row r="103" s="1" customFormat="1" spans="2:12">
      <c r="B103" s="19" t="s">
        <v>3154</v>
      </c>
      <c r="C103" s="19" t="s">
        <v>275</v>
      </c>
      <c r="D103" s="19" t="s">
        <v>3049</v>
      </c>
      <c r="E103" s="20"/>
      <c r="F103" s="19"/>
      <c r="G103" s="19"/>
      <c r="H103" s="20"/>
      <c r="I103" s="23"/>
      <c r="J103" s="23"/>
      <c r="K103" s="23"/>
      <c r="L103" s="23"/>
    </row>
    <row r="104" s="1" customFormat="1" spans="2:12">
      <c r="B104" s="19" t="s">
        <v>3155</v>
      </c>
      <c r="C104" s="19" t="s">
        <v>275</v>
      </c>
      <c r="D104" s="19" t="s">
        <v>3051</v>
      </c>
      <c r="E104" s="20"/>
      <c r="F104" s="19"/>
      <c r="G104" s="19"/>
      <c r="H104" s="20"/>
      <c r="I104" s="23"/>
      <c r="J104" s="23"/>
      <c r="K104" s="23"/>
      <c r="L104" s="23"/>
    </row>
    <row r="105" s="1" customFormat="1" spans="2:12">
      <c r="B105" s="19" t="s">
        <v>3156</v>
      </c>
      <c r="C105" s="19" t="s">
        <v>275</v>
      </c>
      <c r="D105" s="19" t="s">
        <v>3157</v>
      </c>
      <c r="E105" s="20"/>
      <c r="F105" s="19"/>
      <c r="G105" s="19"/>
      <c r="H105" s="20"/>
      <c r="I105" s="23"/>
      <c r="J105" s="23"/>
      <c r="K105" s="23"/>
      <c r="L105" s="23"/>
    </row>
    <row r="106" s="1" customFormat="1" spans="2:12">
      <c r="B106" s="19" t="s">
        <v>3158</v>
      </c>
      <c r="C106" s="19" t="s">
        <v>275</v>
      </c>
      <c r="D106" s="19" t="s">
        <v>3159</v>
      </c>
      <c r="E106" s="20"/>
      <c r="F106" s="19"/>
      <c r="G106" s="19"/>
      <c r="H106" s="20"/>
      <c r="I106" s="23"/>
      <c r="J106" s="23"/>
      <c r="K106" s="23"/>
      <c r="L106" s="23"/>
    </row>
    <row r="107" s="1" customFormat="1" spans="2:12">
      <c r="B107" s="19" t="s">
        <v>3160</v>
      </c>
      <c r="C107" s="19" t="s">
        <v>275</v>
      </c>
      <c r="D107" s="19" t="s">
        <v>3161</v>
      </c>
      <c r="E107" s="20"/>
      <c r="F107" s="19"/>
      <c r="G107" s="19"/>
      <c r="H107" s="20"/>
      <c r="I107" s="23"/>
      <c r="J107" s="23"/>
      <c r="K107" s="23"/>
      <c r="L107" s="23"/>
    </row>
    <row r="108" s="1" customFormat="1" spans="2:12">
      <c r="B108" s="19" t="s">
        <v>3162</v>
      </c>
      <c r="C108" s="19" t="s">
        <v>275</v>
      </c>
      <c r="D108" s="19" t="s">
        <v>3163</v>
      </c>
      <c r="E108" s="20"/>
      <c r="F108" s="19"/>
      <c r="G108" s="19"/>
      <c r="H108" s="20"/>
      <c r="I108" s="23"/>
      <c r="J108" s="23"/>
      <c r="K108" s="23"/>
      <c r="L108" s="23"/>
    </row>
    <row r="109" s="1" customFormat="1" spans="2:12">
      <c r="B109" s="19" t="s">
        <v>3164</v>
      </c>
      <c r="C109" s="19" t="s">
        <v>275</v>
      </c>
      <c r="D109" s="19" t="s">
        <v>3165</v>
      </c>
      <c r="E109" s="20"/>
      <c r="F109" s="19"/>
      <c r="G109" s="19"/>
      <c r="H109" s="20"/>
      <c r="I109" s="23"/>
      <c r="J109" s="23"/>
      <c r="K109" s="23"/>
      <c r="L109" s="23"/>
    </row>
    <row r="110" s="1" customFormat="1" spans="2:12">
      <c r="B110" s="19" t="s">
        <v>3166</v>
      </c>
      <c r="C110" s="19" t="s">
        <v>275</v>
      </c>
      <c r="D110" s="19" t="s">
        <v>3167</v>
      </c>
      <c r="E110" s="20"/>
      <c r="F110" s="19"/>
      <c r="G110" s="19"/>
      <c r="H110" s="20"/>
      <c r="I110" s="23"/>
      <c r="J110" s="23"/>
      <c r="K110" s="23"/>
      <c r="L110" s="23"/>
    </row>
    <row r="111" s="1" customFormat="1" spans="2:12">
      <c r="B111" s="19" t="s">
        <v>3168</v>
      </c>
      <c r="C111" s="19" t="s">
        <v>275</v>
      </c>
      <c r="D111" s="19" t="s">
        <v>3169</v>
      </c>
      <c r="E111" s="20"/>
      <c r="F111" s="19"/>
      <c r="G111" s="19"/>
      <c r="H111" s="20"/>
      <c r="I111" s="23"/>
      <c r="J111" s="23"/>
      <c r="K111" s="23"/>
      <c r="L111" s="23"/>
    </row>
    <row r="112" s="1" customFormat="1" spans="2:12">
      <c r="B112" s="19" t="s">
        <v>3170</v>
      </c>
      <c r="C112" s="19" t="s">
        <v>275</v>
      </c>
      <c r="D112" s="19" t="s">
        <v>3171</v>
      </c>
      <c r="E112" s="20"/>
      <c r="F112" s="19"/>
      <c r="G112" s="19"/>
      <c r="H112" s="20"/>
      <c r="I112" s="23"/>
      <c r="J112" s="23"/>
      <c r="K112" s="23"/>
      <c r="L112" s="23"/>
    </row>
    <row r="113" s="1" customFormat="1" spans="2:12">
      <c r="B113" s="19" t="s">
        <v>3172</v>
      </c>
      <c r="C113" s="19" t="s">
        <v>275</v>
      </c>
      <c r="D113" s="19" t="s">
        <v>3173</v>
      </c>
      <c r="E113" s="20"/>
      <c r="F113" s="19"/>
      <c r="G113" s="19"/>
      <c r="H113" s="20"/>
      <c r="I113" s="23"/>
      <c r="J113" s="23"/>
      <c r="K113" s="23"/>
      <c r="L113" s="23"/>
    </row>
    <row r="114" s="1" customFormat="1" spans="2:12">
      <c r="B114" s="19" t="s">
        <v>3174</v>
      </c>
      <c r="C114" s="19" t="s">
        <v>275</v>
      </c>
      <c r="D114" s="19" t="s">
        <v>3175</v>
      </c>
      <c r="E114" s="20"/>
      <c r="F114" s="19"/>
      <c r="G114" s="19"/>
      <c r="H114" s="20"/>
      <c r="I114" s="23"/>
      <c r="J114" s="23"/>
      <c r="K114" s="23"/>
      <c r="L114" s="23"/>
    </row>
    <row r="115" s="1" customFormat="1" spans="2:12">
      <c r="B115" s="19" t="s">
        <v>3176</v>
      </c>
      <c r="C115" s="19" t="s">
        <v>275</v>
      </c>
      <c r="D115" s="19" t="s">
        <v>3177</v>
      </c>
      <c r="E115" s="20"/>
      <c r="F115" s="19"/>
      <c r="G115" s="19"/>
      <c r="H115" s="20"/>
      <c r="I115" s="23"/>
      <c r="J115" s="23"/>
      <c r="K115" s="23"/>
      <c r="L115" s="23"/>
    </row>
    <row r="116" s="1" customFormat="1" spans="2:12">
      <c r="B116" s="19" t="s">
        <v>3178</v>
      </c>
      <c r="C116" s="19" t="s">
        <v>275</v>
      </c>
      <c r="D116" s="19" t="s">
        <v>3179</v>
      </c>
      <c r="E116" s="20"/>
      <c r="F116" s="19"/>
      <c r="G116" s="19"/>
      <c r="H116" s="20"/>
      <c r="I116" s="23"/>
      <c r="J116" s="23"/>
      <c r="K116" s="23"/>
      <c r="L116" s="23"/>
    </row>
    <row r="117" s="1" customFormat="1" spans="2:12">
      <c r="B117" s="19" t="s">
        <v>3180</v>
      </c>
      <c r="C117" s="19" t="s">
        <v>275</v>
      </c>
      <c r="D117" s="19" t="s">
        <v>3181</v>
      </c>
      <c r="E117" s="20"/>
      <c r="F117" s="19"/>
      <c r="G117" s="19"/>
      <c r="H117" s="20"/>
      <c r="I117" s="23"/>
      <c r="J117" s="23"/>
      <c r="K117" s="23"/>
      <c r="L117" s="23"/>
    </row>
    <row r="118" s="1" customFormat="1" spans="2:12">
      <c r="B118" s="19" t="s">
        <v>3182</v>
      </c>
      <c r="C118" s="19" t="s">
        <v>275</v>
      </c>
      <c r="D118" s="19" t="s">
        <v>3183</v>
      </c>
      <c r="E118" s="20"/>
      <c r="F118" s="19"/>
      <c r="G118" s="19"/>
      <c r="H118" s="20"/>
      <c r="I118" s="23"/>
      <c r="J118" s="23"/>
      <c r="K118" s="23"/>
      <c r="L118" s="23"/>
    </row>
    <row r="119" s="1" customFormat="1" spans="2:12">
      <c r="B119" s="19" t="s">
        <v>3184</v>
      </c>
      <c r="C119" s="19" t="s">
        <v>275</v>
      </c>
      <c r="D119" s="19" t="s">
        <v>3185</v>
      </c>
      <c r="E119" s="20"/>
      <c r="F119" s="19"/>
      <c r="G119" s="19"/>
      <c r="H119" s="20"/>
      <c r="I119" s="23"/>
      <c r="J119" s="23"/>
      <c r="K119" s="23"/>
      <c r="L119" s="23"/>
    </row>
    <row r="120" s="1" customFormat="1" spans="2:12">
      <c r="B120" s="19" t="s">
        <v>3186</v>
      </c>
      <c r="C120" s="19" t="s">
        <v>275</v>
      </c>
      <c r="D120" s="19" t="s">
        <v>3187</v>
      </c>
      <c r="E120" s="20"/>
      <c r="F120" s="19"/>
      <c r="G120" s="19"/>
      <c r="H120" s="20"/>
      <c r="I120" s="23"/>
      <c r="J120" s="23"/>
      <c r="K120" s="23"/>
      <c r="L120" s="23"/>
    </row>
    <row r="121" s="1" customFormat="1" spans="2:12">
      <c r="B121" s="19" t="s">
        <v>3188</v>
      </c>
      <c r="C121" s="19" t="s">
        <v>275</v>
      </c>
      <c r="D121" s="19" t="s">
        <v>3189</v>
      </c>
      <c r="E121" s="20"/>
      <c r="F121" s="19"/>
      <c r="G121" s="19"/>
      <c r="H121" s="20"/>
      <c r="I121" s="23"/>
      <c r="J121" s="23"/>
      <c r="K121" s="23"/>
      <c r="L121" s="23"/>
    </row>
    <row r="122" s="1" customFormat="1" spans="2:12">
      <c r="B122" s="19" t="s">
        <v>3190</v>
      </c>
      <c r="C122" s="19" t="s">
        <v>275</v>
      </c>
      <c r="D122" s="19" t="s">
        <v>3191</v>
      </c>
      <c r="E122" s="20"/>
      <c r="F122" s="19"/>
      <c r="G122" s="19"/>
      <c r="H122" s="20"/>
      <c r="I122" s="23"/>
      <c r="J122" s="23"/>
      <c r="K122" s="23"/>
      <c r="L122" s="23"/>
    </row>
    <row r="123" s="1" customFormat="1" spans="2:12">
      <c r="B123" s="19" t="s">
        <v>3192</v>
      </c>
      <c r="C123" s="19" t="s">
        <v>275</v>
      </c>
      <c r="D123" s="19" t="s">
        <v>3193</v>
      </c>
      <c r="E123" s="20"/>
      <c r="F123" s="19"/>
      <c r="G123" s="19"/>
      <c r="H123" s="20"/>
      <c r="I123" s="23"/>
      <c r="J123" s="23"/>
      <c r="K123" s="23"/>
      <c r="L123" s="23"/>
    </row>
    <row r="124" s="1" customFormat="1" spans="2:12">
      <c r="B124" s="19" t="s">
        <v>3194</v>
      </c>
      <c r="C124" s="19" t="s">
        <v>275</v>
      </c>
      <c r="D124" s="19" t="s">
        <v>3195</v>
      </c>
      <c r="E124" s="20"/>
      <c r="F124" s="19"/>
      <c r="G124" s="19"/>
      <c r="H124" s="20"/>
      <c r="I124" s="23"/>
      <c r="J124" s="23"/>
      <c r="K124" s="23"/>
      <c r="L124" s="23"/>
    </row>
    <row r="125" s="1" customFormat="1" spans="2:12">
      <c r="B125" s="19" t="s">
        <v>3196</v>
      </c>
      <c r="C125" s="19" t="s">
        <v>275</v>
      </c>
      <c r="D125" s="19" t="s">
        <v>3197</v>
      </c>
      <c r="E125" s="20"/>
      <c r="F125" s="19"/>
      <c r="G125" s="19"/>
      <c r="H125" s="20"/>
      <c r="I125" s="23"/>
      <c r="J125" s="23"/>
      <c r="K125" s="23"/>
      <c r="L125" s="23"/>
    </row>
    <row r="126" s="1" customFormat="1" spans="2:12">
      <c r="B126" s="19" t="s">
        <v>3198</v>
      </c>
      <c r="C126" s="19" t="s">
        <v>275</v>
      </c>
      <c r="D126" s="19" t="s">
        <v>3199</v>
      </c>
      <c r="E126" s="20"/>
      <c r="F126" s="19"/>
      <c r="G126" s="19"/>
      <c r="H126" s="20"/>
      <c r="I126" s="23"/>
      <c r="J126" s="23"/>
      <c r="K126" s="23"/>
      <c r="L126" s="23"/>
    </row>
    <row r="127" s="1" customFormat="1" spans="2:12">
      <c r="B127" s="19" t="s">
        <v>3200</v>
      </c>
      <c r="C127" s="19" t="s">
        <v>275</v>
      </c>
      <c r="D127" s="19" t="s">
        <v>3201</v>
      </c>
      <c r="E127" s="20"/>
      <c r="F127" s="19"/>
      <c r="G127" s="19"/>
      <c r="H127" s="20"/>
      <c r="I127" s="23"/>
      <c r="J127" s="23"/>
      <c r="K127" s="23"/>
      <c r="L127" s="23"/>
    </row>
    <row r="128" s="1" customFormat="1" spans="2:12">
      <c r="B128" s="19" t="s">
        <v>3202</v>
      </c>
      <c r="C128" s="19" t="s">
        <v>275</v>
      </c>
      <c r="D128" s="19" t="s">
        <v>3203</v>
      </c>
      <c r="E128" s="20"/>
      <c r="F128" s="19"/>
      <c r="G128" s="19"/>
      <c r="H128" s="20"/>
      <c r="I128" s="23"/>
      <c r="J128" s="23"/>
      <c r="K128" s="23"/>
      <c r="L128" s="23"/>
    </row>
    <row r="129" s="1" customFormat="1" spans="2:12">
      <c r="B129" s="19" t="s">
        <v>3204</v>
      </c>
      <c r="C129" s="19" t="s">
        <v>275</v>
      </c>
      <c r="D129" s="19" t="s">
        <v>3205</v>
      </c>
      <c r="E129" s="20"/>
      <c r="F129" s="19"/>
      <c r="G129" s="19"/>
      <c r="H129" s="20"/>
      <c r="I129" s="23"/>
      <c r="J129" s="23"/>
      <c r="K129" s="23"/>
      <c r="L129" s="23"/>
    </row>
    <row r="130" s="1" customFormat="1" spans="2:12">
      <c r="B130" s="19" t="s">
        <v>3206</v>
      </c>
      <c r="C130" s="19" t="s">
        <v>275</v>
      </c>
      <c r="D130" s="19" t="s">
        <v>3207</v>
      </c>
      <c r="E130" s="20"/>
      <c r="F130" s="19"/>
      <c r="G130" s="19"/>
      <c r="H130" s="20"/>
      <c r="I130" s="23"/>
      <c r="J130" s="23"/>
      <c r="K130" s="23"/>
      <c r="L130" s="23"/>
    </row>
    <row r="131" s="33" customFormat="1" spans="2:12">
      <c r="B131" s="28" t="s">
        <v>267</v>
      </c>
      <c r="C131" s="28" t="s">
        <v>216</v>
      </c>
      <c r="D131" s="28" t="s">
        <v>294</v>
      </c>
      <c r="E131" s="30"/>
      <c r="F131" s="28" t="s">
        <v>267</v>
      </c>
      <c r="G131" s="28" t="s">
        <v>267</v>
      </c>
      <c r="H131" s="30"/>
      <c r="I131" s="34" t="s">
        <v>1211</v>
      </c>
      <c r="J131" s="34" t="s">
        <v>322</v>
      </c>
      <c r="K131" s="34" t="s">
        <v>323</v>
      </c>
      <c r="L131" s="34" t="s">
        <v>323</v>
      </c>
    </row>
    <row r="132" s="33" customFormat="1" spans="2:12">
      <c r="B132" s="28" t="s">
        <v>1053</v>
      </c>
      <c r="C132" s="28" t="s">
        <v>216</v>
      </c>
      <c r="D132" s="28" t="s">
        <v>3208</v>
      </c>
      <c r="E132" s="30"/>
      <c r="F132" s="28" t="s">
        <v>1053</v>
      </c>
      <c r="G132" s="28" t="s">
        <v>1053</v>
      </c>
      <c r="H132" s="30"/>
      <c r="I132" s="34" t="s">
        <v>1211</v>
      </c>
      <c r="J132" s="34" t="s">
        <v>322</v>
      </c>
      <c r="K132" s="34" t="s">
        <v>323</v>
      </c>
      <c r="L132" s="34" t="s">
        <v>323</v>
      </c>
    </row>
    <row r="133" s="33" customFormat="1" spans="2:12">
      <c r="B133" s="28" t="s">
        <v>1817</v>
      </c>
      <c r="C133" s="28" t="s">
        <v>216</v>
      </c>
      <c r="D133" s="28" t="s">
        <v>3209</v>
      </c>
      <c r="E133" s="30"/>
      <c r="F133" s="28"/>
      <c r="G133" s="28" t="s">
        <v>1846</v>
      </c>
      <c r="H133" s="30"/>
      <c r="I133" s="34" t="s">
        <v>1211</v>
      </c>
      <c r="J133" s="34" t="s">
        <v>345</v>
      </c>
      <c r="K133" s="34" t="s">
        <v>323</v>
      </c>
      <c r="L133" s="34" t="s">
        <v>3211</v>
      </c>
    </row>
    <row r="134" s="33" customFormat="1" spans="2:12">
      <c r="B134" s="28" t="s">
        <v>1820</v>
      </c>
      <c r="C134" s="28" t="s">
        <v>216</v>
      </c>
      <c r="D134" s="28" t="s">
        <v>3212</v>
      </c>
      <c r="E134" s="30"/>
      <c r="F134" s="28"/>
      <c r="G134" s="28" t="s">
        <v>1847</v>
      </c>
      <c r="H134" s="30"/>
      <c r="I134" s="34" t="s">
        <v>1211</v>
      </c>
      <c r="J134" s="34" t="s">
        <v>345</v>
      </c>
      <c r="K134" s="34" t="s">
        <v>323</v>
      </c>
      <c r="L134" s="34" t="s">
        <v>3211</v>
      </c>
    </row>
    <row r="135" s="2" customFormat="1" spans="1:12">
      <c r="A135" s="21"/>
      <c r="B135" s="22" t="s">
        <v>252</v>
      </c>
      <c r="C135" s="22" t="s">
        <v>220</v>
      </c>
      <c r="D135" s="22" t="s">
        <v>254</v>
      </c>
      <c r="E135" s="22"/>
      <c r="F135" s="22"/>
      <c r="G135" s="22"/>
      <c r="H135" s="22"/>
      <c r="I135" s="22"/>
      <c r="J135" s="22"/>
      <c r="K135" s="22"/>
      <c r="L135" s="22"/>
    </row>
    <row r="136" s="2" customFormat="1" spans="1:12">
      <c r="A136" s="21"/>
      <c r="B136" s="22" t="s">
        <v>255</v>
      </c>
      <c r="C136" s="22" t="s">
        <v>216</v>
      </c>
      <c r="D136" s="22" t="s">
        <v>256</v>
      </c>
      <c r="E136" s="22"/>
      <c r="F136" s="22"/>
      <c r="G136" s="22"/>
      <c r="H136" s="22"/>
      <c r="I136" s="22"/>
      <c r="J136" s="22"/>
      <c r="K136" s="22"/>
      <c r="L136" s="22"/>
    </row>
    <row r="137" s="2" customFormat="1" spans="1:12">
      <c r="A137" s="21"/>
      <c r="B137" s="22" t="s">
        <v>257</v>
      </c>
      <c r="C137" s="22" t="s">
        <v>220</v>
      </c>
      <c r="D137" s="22" t="s">
        <v>258</v>
      </c>
      <c r="E137" s="22"/>
      <c r="F137" s="22"/>
      <c r="G137" s="22"/>
      <c r="H137" s="22"/>
      <c r="I137" s="22"/>
      <c r="J137" s="22"/>
      <c r="K137" s="22"/>
      <c r="L137" s="22"/>
    </row>
  </sheetData>
  <autoFilter xmlns:etc="http://www.wps.cn/officeDocument/2017/etCustomData" ref="A13:N137" etc:filterBottomFollowUsedRange="0">
    <extLst/>
  </autoFilter>
  <mergeCells count="5">
    <mergeCell ref="B2:H2"/>
    <mergeCell ref="B3:H3"/>
    <mergeCell ref="B7:H7"/>
    <mergeCell ref="F9:G9"/>
    <mergeCell ref="B12:L12"/>
  </mergeCells>
  <pageMargins left="0.7" right="0.7" top="0.75" bottom="0.75" header="0.3" footer="0.3"/>
  <pageSetup paperSize="9" orientation="portrait"/>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5"/>
  <sheetViews>
    <sheetView zoomScale="85" zoomScaleNormal="85" workbookViewId="0">
      <pane ySplit="5" topLeftCell="A101" activePane="bottomLeft" state="frozen"/>
      <selection/>
      <selection pane="bottomLeft" activeCell="D122" sqref="D122"/>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146</v>
      </c>
      <c r="C5" s="10" t="s">
        <v>153</v>
      </c>
      <c r="D5" s="10" t="s">
        <v>154</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155</v>
      </c>
      <c r="D9" s="10" t="s">
        <v>3214</v>
      </c>
      <c r="E9" s="11" t="s">
        <v>199</v>
      </c>
      <c r="F9" s="11"/>
      <c r="G9" s="11"/>
      <c r="H9" s="15"/>
    </row>
    <row r="10" spans="7:7">
      <c r="G10" s="17"/>
    </row>
    <row r="11" spans="2:2">
      <c r="B11" s="3" t="s">
        <v>204</v>
      </c>
    </row>
    <row r="12" spans="2:12">
      <c r="B12" s="7" t="s">
        <v>204</v>
      </c>
      <c r="C12" s="7"/>
      <c r="D12" s="7"/>
      <c r="E12" s="7"/>
      <c r="F12" s="7"/>
      <c r="G12" s="7"/>
      <c r="H12" s="7"/>
      <c r="I12" s="7"/>
      <c r="J12" s="7"/>
      <c r="K12" s="7"/>
      <c r="L12" s="7"/>
    </row>
    <row r="13" ht="24" spans="2:12">
      <c r="B13" s="18" t="s">
        <v>205</v>
      </c>
      <c r="C13" s="18" t="s">
        <v>206</v>
      </c>
      <c r="D13" s="18" t="s">
        <v>207</v>
      </c>
      <c r="E13" s="18" t="s">
        <v>208</v>
      </c>
      <c r="F13" s="18" t="s">
        <v>209</v>
      </c>
      <c r="G13" s="18" t="s">
        <v>210</v>
      </c>
      <c r="H13" s="18" t="s">
        <v>211</v>
      </c>
      <c r="I13" s="18" t="s">
        <v>17</v>
      </c>
      <c r="J13" s="18" t="s">
        <v>212</v>
      </c>
      <c r="K13" s="18" t="s">
        <v>213</v>
      </c>
      <c r="L13" s="18" t="s">
        <v>214</v>
      </c>
    </row>
    <row r="14" s="1" customFormat="1" spans="2:12">
      <c r="B14" s="19" t="s">
        <v>1828</v>
      </c>
      <c r="C14" s="19" t="s">
        <v>216</v>
      </c>
      <c r="D14" s="19" t="s">
        <v>1829</v>
      </c>
      <c r="E14" s="20"/>
      <c r="F14" s="19"/>
      <c r="G14" s="19"/>
      <c r="H14" s="20"/>
      <c r="I14" s="23"/>
      <c r="J14" s="23"/>
      <c r="K14" s="23"/>
      <c r="L14" s="23"/>
    </row>
    <row r="15" s="1" customFormat="1" spans="2:12">
      <c r="B15" s="19" t="s">
        <v>1026</v>
      </c>
      <c r="C15" s="19" t="s">
        <v>220</v>
      </c>
      <c r="D15" s="19" t="s">
        <v>66</v>
      </c>
      <c r="E15" s="20"/>
      <c r="F15" s="19"/>
      <c r="G15" s="19"/>
      <c r="H15" s="20"/>
      <c r="I15" s="23"/>
      <c r="J15" s="23"/>
      <c r="K15" s="23"/>
      <c r="L15" s="23"/>
    </row>
    <row r="16" s="1" customFormat="1" spans="2:12">
      <c r="B16" s="19" t="s">
        <v>237</v>
      </c>
      <c r="C16" s="19" t="s">
        <v>216</v>
      </c>
      <c r="D16" s="19" t="s">
        <v>3215</v>
      </c>
      <c r="E16" s="20"/>
      <c r="F16" s="19"/>
      <c r="G16" s="19"/>
      <c r="H16" s="20"/>
      <c r="I16" s="23"/>
      <c r="J16" s="23"/>
      <c r="K16" s="23"/>
      <c r="L16" s="23"/>
    </row>
    <row r="17" s="1" customFormat="1" spans="2:12">
      <c r="B17" s="19" t="s">
        <v>1836</v>
      </c>
      <c r="C17" s="19" t="s">
        <v>216</v>
      </c>
      <c r="D17" s="19" t="s">
        <v>3216</v>
      </c>
      <c r="E17" s="20"/>
      <c r="F17" s="19"/>
      <c r="G17" s="19"/>
      <c r="H17" s="20"/>
      <c r="I17" s="23"/>
      <c r="J17" s="23"/>
      <c r="K17" s="23"/>
      <c r="L17" s="23"/>
    </row>
    <row r="18" s="1" customFormat="1" spans="2:12">
      <c r="B18" s="19" t="s">
        <v>2999</v>
      </c>
      <c r="C18" s="19" t="s">
        <v>220</v>
      </c>
      <c r="D18" s="19" t="s">
        <v>3217</v>
      </c>
      <c r="E18" s="20"/>
      <c r="F18" s="19"/>
      <c r="G18" s="19"/>
      <c r="H18" s="20"/>
      <c r="I18" s="23"/>
      <c r="J18" s="23"/>
      <c r="K18" s="23"/>
      <c r="L18" s="23"/>
    </row>
    <row r="19" s="1" customFormat="1" spans="2:12">
      <c r="B19" s="19" t="s">
        <v>3218</v>
      </c>
      <c r="C19" s="19" t="s">
        <v>230</v>
      </c>
      <c r="D19" s="19" t="s">
        <v>3219</v>
      </c>
      <c r="E19" s="20"/>
      <c r="F19" s="19"/>
      <c r="G19" s="19"/>
      <c r="H19" s="20"/>
      <c r="I19" s="23"/>
      <c r="J19" s="23"/>
      <c r="K19" s="23"/>
      <c r="L19" s="23"/>
    </row>
    <row r="20" s="1" customFormat="1" spans="2:12">
      <c r="B20" s="19" t="s">
        <v>246</v>
      </c>
      <c r="C20" s="19" t="s">
        <v>220</v>
      </c>
      <c r="D20" s="19" t="s">
        <v>247</v>
      </c>
      <c r="E20" s="20"/>
      <c r="F20" s="19"/>
      <c r="G20" s="19"/>
      <c r="H20" s="20"/>
      <c r="I20" s="23"/>
      <c r="J20" s="23"/>
      <c r="K20" s="23"/>
      <c r="L20" s="23"/>
    </row>
    <row r="21" s="1" customFormat="1" spans="2:12">
      <c r="B21" s="19" t="s">
        <v>1266</v>
      </c>
      <c r="C21" s="19" t="s">
        <v>220</v>
      </c>
      <c r="D21" s="19" t="s">
        <v>3220</v>
      </c>
      <c r="E21" s="20"/>
      <c r="F21" s="19"/>
      <c r="G21" s="19"/>
      <c r="H21" s="20"/>
      <c r="I21" s="23"/>
      <c r="J21" s="23"/>
      <c r="K21" s="23"/>
      <c r="L21" s="23"/>
    </row>
    <row r="22" s="1" customFormat="1" spans="2:12">
      <c r="B22" s="19" t="s">
        <v>1268</v>
      </c>
      <c r="C22" s="19" t="s">
        <v>220</v>
      </c>
      <c r="D22" s="19" t="s">
        <v>3221</v>
      </c>
      <c r="E22" s="20"/>
      <c r="F22" s="19"/>
      <c r="G22" s="19"/>
      <c r="H22" s="20"/>
      <c r="I22" s="23"/>
      <c r="J22" s="23"/>
      <c r="K22" s="23"/>
      <c r="L22" s="23"/>
    </row>
    <row r="23" s="1" customFormat="1" spans="2:12">
      <c r="B23" s="19" t="s">
        <v>1832</v>
      </c>
      <c r="C23" s="19" t="s">
        <v>220</v>
      </c>
      <c r="D23" s="19" t="s">
        <v>2017</v>
      </c>
      <c r="E23" s="20"/>
      <c r="F23" s="19"/>
      <c r="G23" s="19"/>
      <c r="H23" s="20"/>
      <c r="I23" s="23"/>
      <c r="J23" s="23"/>
      <c r="K23" s="23"/>
      <c r="L23" s="23"/>
    </row>
    <row r="24" s="1" customFormat="1" spans="2:12">
      <c r="B24" s="19" t="s">
        <v>1834</v>
      </c>
      <c r="C24" s="19" t="s">
        <v>220</v>
      </c>
      <c r="D24" s="19" t="s">
        <v>1835</v>
      </c>
      <c r="E24" s="20"/>
      <c r="F24" s="19"/>
      <c r="G24" s="19"/>
      <c r="H24" s="20"/>
      <c r="I24" s="23"/>
      <c r="J24" s="23"/>
      <c r="K24" s="23"/>
      <c r="L24" s="23"/>
    </row>
    <row r="25" s="1" customFormat="1" spans="2:12">
      <c r="B25" s="19" t="s">
        <v>1316</v>
      </c>
      <c r="C25" s="19" t="s">
        <v>216</v>
      </c>
      <c r="D25" s="19" t="s">
        <v>2019</v>
      </c>
      <c r="E25" s="20"/>
      <c r="F25" s="19"/>
      <c r="G25" s="19"/>
      <c r="H25" s="20"/>
      <c r="I25" s="23"/>
      <c r="J25" s="23"/>
      <c r="K25" s="23"/>
      <c r="L25" s="23"/>
    </row>
    <row r="26" s="1" customFormat="1" spans="2:12">
      <c r="B26" s="19" t="s">
        <v>1318</v>
      </c>
      <c r="C26" s="19" t="s">
        <v>216</v>
      </c>
      <c r="D26" s="19" t="s">
        <v>2021</v>
      </c>
      <c r="E26" s="20"/>
      <c r="F26" s="19"/>
      <c r="G26" s="19"/>
      <c r="H26" s="20"/>
      <c r="I26" s="23"/>
      <c r="J26" s="23"/>
      <c r="K26" s="23"/>
      <c r="L26" s="23"/>
    </row>
    <row r="27" s="1" customFormat="1" spans="2:12">
      <c r="B27" s="19" t="s">
        <v>2023</v>
      </c>
      <c r="C27" s="19" t="s">
        <v>216</v>
      </c>
      <c r="D27" s="19" t="s">
        <v>2024</v>
      </c>
      <c r="E27" s="20"/>
      <c r="F27" s="19"/>
      <c r="G27" s="19"/>
      <c r="H27" s="20"/>
      <c r="I27" s="23"/>
      <c r="J27" s="23"/>
      <c r="K27" s="23"/>
      <c r="L27" s="23"/>
    </row>
    <row r="28" s="1" customFormat="1" spans="2:12">
      <c r="B28" s="19" t="s">
        <v>3222</v>
      </c>
      <c r="C28" s="19" t="s">
        <v>275</v>
      </c>
      <c r="D28" s="19" t="s">
        <v>3223</v>
      </c>
      <c r="E28" s="20"/>
      <c r="F28" s="19"/>
      <c r="G28" s="19"/>
      <c r="H28" s="20"/>
      <c r="I28" s="23"/>
      <c r="J28" s="23"/>
      <c r="K28" s="23"/>
      <c r="L28" s="23"/>
    </row>
    <row r="29" s="1" customFormat="1" spans="2:12">
      <c r="B29" s="19" t="s">
        <v>3224</v>
      </c>
      <c r="C29" s="19" t="s">
        <v>216</v>
      </c>
      <c r="D29" s="19" t="s">
        <v>3225</v>
      </c>
      <c r="E29" s="20"/>
      <c r="F29" s="19"/>
      <c r="G29" s="19"/>
      <c r="H29" s="20"/>
      <c r="I29" s="23"/>
      <c r="J29" s="23"/>
      <c r="K29" s="23"/>
      <c r="L29" s="23"/>
    </row>
    <row r="30" s="1" customFormat="1" spans="2:12">
      <c r="B30" s="19" t="s">
        <v>3226</v>
      </c>
      <c r="C30" s="19" t="s">
        <v>275</v>
      </c>
      <c r="D30" s="19" t="s">
        <v>3227</v>
      </c>
      <c r="E30" s="20"/>
      <c r="F30" s="19"/>
      <c r="G30" s="19"/>
      <c r="H30" s="20"/>
      <c r="I30" s="23"/>
      <c r="J30" s="23"/>
      <c r="K30" s="23"/>
      <c r="L30" s="23"/>
    </row>
    <row r="31" s="1" customFormat="1" spans="2:12">
      <c r="B31" s="19" t="s">
        <v>3228</v>
      </c>
      <c r="C31" s="19" t="s">
        <v>216</v>
      </c>
      <c r="D31" s="19" t="s">
        <v>3229</v>
      </c>
      <c r="E31" s="20"/>
      <c r="F31" s="19"/>
      <c r="G31" s="19"/>
      <c r="H31" s="20"/>
      <c r="I31" s="23"/>
      <c r="J31" s="23"/>
      <c r="K31" s="23"/>
      <c r="L31" s="23"/>
    </row>
    <row r="32" s="1" customFormat="1" spans="2:12">
      <c r="B32" s="19" t="s">
        <v>3230</v>
      </c>
      <c r="C32" s="19" t="s">
        <v>275</v>
      </c>
      <c r="D32" s="19" t="s">
        <v>3231</v>
      </c>
      <c r="E32" s="20"/>
      <c r="F32" s="19"/>
      <c r="G32" s="19"/>
      <c r="H32" s="20"/>
      <c r="I32" s="23"/>
      <c r="J32" s="23"/>
      <c r="K32" s="23"/>
      <c r="L32" s="23"/>
    </row>
    <row r="33" s="1" customFormat="1" spans="2:12">
      <c r="B33" s="19" t="s">
        <v>3232</v>
      </c>
      <c r="C33" s="19" t="s">
        <v>216</v>
      </c>
      <c r="D33" s="19" t="s">
        <v>3233</v>
      </c>
      <c r="E33" s="20"/>
      <c r="F33" s="19"/>
      <c r="G33" s="19"/>
      <c r="H33" s="20"/>
      <c r="I33" s="23"/>
      <c r="J33" s="23"/>
      <c r="K33" s="23"/>
      <c r="L33" s="23"/>
    </row>
    <row r="34" s="1" customFormat="1" spans="2:12">
      <c r="B34" s="19" t="s">
        <v>224</v>
      </c>
      <c r="C34" s="19" t="s">
        <v>216</v>
      </c>
      <c r="D34" s="19" t="s">
        <v>3234</v>
      </c>
      <c r="E34" s="20"/>
      <c r="F34" s="19"/>
      <c r="G34" s="19"/>
      <c r="H34" s="20"/>
      <c r="I34" s="23"/>
      <c r="J34" s="23"/>
      <c r="K34" s="23"/>
      <c r="L34" s="23"/>
    </row>
    <row r="35" s="1" customFormat="1" spans="2:12">
      <c r="B35" s="19" t="s">
        <v>267</v>
      </c>
      <c r="C35" s="19" t="s">
        <v>216</v>
      </c>
      <c r="D35" s="19" t="s">
        <v>3235</v>
      </c>
      <c r="E35" s="20"/>
      <c r="F35" s="19"/>
      <c r="G35" s="19"/>
      <c r="H35" s="20"/>
      <c r="I35" s="23"/>
      <c r="J35" s="23"/>
      <c r="K35" s="23"/>
      <c r="L35" s="23"/>
    </row>
    <row r="36" s="1" customFormat="1" spans="2:12">
      <c r="B36" s="19" t="s">
        <v>1053</v>
      </c>
      <c r="C36" s="19" t="s">
        <v>216</v>
      </c>
      <c r="D36" s="19" t="s">
        <v>3236</v>
      </c>
      <c r="E36" s="20"/>
      <c r="F36" s="19"/>
      <c r="G36" s="19"/>
      <c r="H36" s="20"/>
      <c r="I36" s="23"/>
      <c r="J36" s="23"/>
      <c r="K36" s="23"/>
      <c r="L36" s="23"/>
    </row>
    <row r="37" s="1" customFormat="1" spans="2:12">
      <c r="B37" s="19" t="s">
        <v>3076</v>
      </c>
      <c r="C37" s="19" t="s">
        <v>275</v>
      </c>
      <c r="D37" s="19" t="s">
        <v>3077</v>
      </c>
      <c r="E37" s="20"/>
      <c r="F37" s="19"/>
      <c r="G37" s="19"/>
      <c r="H37" s="20"/>
      <c r="I37" s="23"/>
      <c r="J37" s="23"/>
      <c r="K37" s="23"/>
      <c r="L37" s="23"/>
    </row>
    <row r="38" s="1" customFormat="1" spans="2:12">
      <c r="B38" s="19" t="s">
        <v>3078</v>
      </c>
      <c r="C38" s="19" t="s">
        <v>275</v>
      </c>
      <c r="D38" s="19" t="s">
        <v>3079</v>
      </c>
      <c r="E38" s="20"/>
      <c r="F38" s="19"/>
      <c r="G38" s="19"/>
      <c r="H38" s="20"/>
      <c r="I38" s="23"/>
      <c r="J38" s="23"/>
      <c r="K38" s="23"/>
      <c r="L38" s="23"/>
    </row>
    <row r="39" s="1" customFormat="1" spans="2:12">
      <c r="B39" s="19" t="s">
        <v>3080</v>
      </c>
      <c r="C39" s="19" t="s">
        <v>240</v>
      </c>
      <c r="D39" s="19" t="s">
        <v>3081</v>
      </c>
      <c r="E39" s="20"/>
      <c r="F39" s="19"/>
      <c r="G39" s="19"/>
      <c r="H39" s="20"/>
      <c r="I39" s="23"/>
      <c r="J39" s="23"/>
      <c r="K39" s="23"/>
      <c r="L39" s="23"/>
    </row>
    <row r="40" s="1" customFormat="1" spans="2:12">
      <c r="B40" s="19" t="s">
        <v>3082</v>
      </c>
      <c r="C40" s="19" t="s">
        <v>343</v>
      </c>
      <c r="D40" s="19" t="s">
        <v>3237</v>
      </c>
      <c r="E40" s="20"/>
      <c r="F40" s="19"/>
      <c r="G40" s="19"/>
      <c r="H40" s="20"/>
      <c r="I40" s="23"/>
      <c r="J40" s="23"/>
      <c r="K40" s="23"/>
      <c r="L40" s="23"/>
    </row>
    <row r="41" s="1" customFormat="1" spans="2:12">
      <c r="B41" s="19" t="s">
        <v>3084</v>
      </c>
      <c r="C41" s="19" t="s">
        <v>275</v>
      </c>
      <c r="D41" s="19" t="s">
        <v>3085</v>
      </c>
      <c r="E41" s="20"/>
      <c r="F41" s="19"/>
      <c r="G41" s="19"/>
      <c r="H41" s="20"/>
      <c r="I41" s="23"/>
      <c r="J41" s="23"/>
      <c r="K41" s="23"/>
      <c r="L41" s="23"/>
    </row>
    <row r="42" s="1" customFormat="1" spans="2:12">
      <c r="B42" s="19" t="s">
        <v>3086</v>
      </c>
      <c r="C42" s="19" t="s">
        <v>275</v>
      </c>
      <c r="D42" s="19" t="s">
        <v>3087</v>
      </c>
      <c r="E42" s="20"/>
      <c r="F42" s="19"/>
      <c r="G42" s="19"/>
      <c r="H42" s="20"/>
      <c r="I42" s="23"/>
      <c r="J42" s="23"/>
      <c r="K42" s="23"/>
      <c r="L42" s="23"/>
    </row>
    <row r="43" s="1" customFormat="1" spans="2:12">
      <c r="B43" s="19" t="s">
        <v>3088</v>
      </c>
      <c r="C43" s="19" t="s">
        <v>240</v>
      </c>
      <c r="D43" s="19" t="s">
        <v>3089</v>
      </c>
      <c r="E43" s="20"/>
      <c r="F43" s="19"/>
      <c r="G43" s="19"/>
      <c r="H43" s="20"/>
      <c r="I43" s="23"/>
      <c r="J43" s="23"/>
      <c r="K43" s="23"/>
      <c r="L43" s="23"/>
    </row>
    <row r="44" s="1" customFormat="1" spans="2:12">
      <c r="B44" s="19" t="s">
        <v>3090</v>
      </c>
      <c r="C44" s="19" t="s">
        <v>343</v>
      </c>
      <c r="D44" s="19" t="s">
        <v>3091</v>
      </c>
      <c r="E44" s="20"/>
      <c r="F44" s="19"/>
      <c r="G44" s="19"/>
      <c r="H44" s="20"/>
      <c r="I44" s="23"/>
      <c r="J44" s="23"/>
      <c r="K44" s="23"/>
      <c r="L44" s="23"/>
    </row>
    <row r="45" s="1" customFormat="1" spans="2:12">
      <c r="B45" s="19" t="s">
        <v>3092</v>
      </c>
      <c r="C45" s="19" t="s">
        <v>275</v>
      </c>
      <c r="D45" s="19" t="s">
        <v>3093</v>
      </c>
      <c r="E45" s="20"/>
      <c r="F45" s="19"/>
      <c r="G45" s="19"/>
      <c r="H45" s="20"/>
      <c r="I45" s="23"/>
      <c r="J45" s="23"/>
      <c r="K45" s="23"/>
      <c r="L45" s="23"/>
    </row>
    <row r="46" s="1" customFormat="1" spans="2:12">
      <c r="B46" s="19" t="s">
        <v>3094</v>
      </c>
      <c r="C46" s="19" t="s">
        <v>275</v>
      </c>
      <c r="D46" s="19" t="s">
        <v>3095</v>
      </c>
      <c r="E46" s="20"/>
      <c r="F46" s="19"/>
      <c r="G46" s="19"/>
      <c r="H46" s="20"/>
      <c r="I46" s="23"/>
      <c r="J46" s="23"/>
      <c r="K46" s="23"/>
      <c r="L46" s="23"/>
    </row>
    <row r="47" s="1" customFormat="1" spans="2:12">
      <c r="B47" s="19" t="s">
        <v>3096</v>
      </c>
      <c r="C47" s="19" t="s">
        <v>240</v>
      </c>
      <c r="D47" s="19" t="s">
        <v>3097</v>
      </c>
      <c r="E47" s="20"/>
      <c r="F47" s="19"/>
      <c r="G47" s="19"/>
      <c r="H47" s="20"/>
      <c r="I47" s="23"/>
      <c r="J47" s="23"/>
      <c r="K47" s="23"/>
      <c r="L47" s="23"/>
    </row>
    <row r="48" s="1" customFormat="1" spans="2:12">
      <c r="B48" s="19" t="s">
        <v>3098</v>
      </c>
      <c r="C48" s="19" t="s">
        <v>343</v>
      </c>
      <c r="D48" s="19" t="s">
        <v>3099</v>
      </c>
      <c r="E48" s="20"/>
      <c r="F48" s="19"/>
      <c r="G48" s="19"/>
      <c r="H48" s="20"/>
      <c r="I48" s="23"/>
      <c r="J48" s="23"/>
      <c r="K48" s="23"/>
      <c r="L48" s="23"/>
    </row>
    <row r="49" s="1" customFormat="1" spans="2:12">
      <c r="B49" s="19" t="s">
        <v>3100</v>
      </c>
      <c r="C49" s="19" t="s">
        <v>275</v>
      </c>
      <c r="D49" s="19" t="s">
        <v>3101</v>
      </c>
      <c r="E49" s="20"/>
      <c r="F49" s="19"/>
      <c r="G49" s="19"/>
      <c r="H49" s="20"/>
      <c r="I49" s="23"/>
      <c r="J49" s="23"/>
      <c r="K49" s="23"/>
      <c r="L49" s="23"/>
    </row>
    <row r="50" s="1" customFormat="1" spans="2:12">
      <c r="B50" s="19" t="s">
        <v>3102</v>
      </c>
      <c r="C50" s="19" t="s">
        <v>275</v>
      </c>
      <c r="D50" s="19" t="s">
        <v>3103</v>
      </c>
      <c r="E50" s="20"/>
      <c r="F50" s="19"/>
      <c r="G50" s="19"/>
      <c r="H50" s="20"/>
      <c r="I50" s="23"/>
      <c r="J50" s="23"/>
      <c r="K50" s="23"/>
      <c r="L50" s="23"/>
    </row>
    <row r="51" s="1" customFormat="1" spans="2:12">
      <c r="B51" s="19" t="s">
        <v>3104</v>
      </c>
      <c r="C51" s="19" t="s">
        <v>240</v>
      </c>
      <c r="D51" s="19" t="s">
        <v>3105</v>
      </c>
      <c r="E51" s="20"/>
      <c r="F51" s="19"/>
      <c r="G51" s="19"/>
      <c r="H51" s="20"/>
      <c r="I51" s="23"/>
      <c r="J51" s="23"/>
      <c r="K51" s="23"/>
      <c r="L51" s="23"/>
    </row>
    <row r="52" s="1" customFormat="1" spans="2:12">
      <c r="B52" s="19" t="s">
        <v>3106</v>
      </c>
      <c r="C52" s="19" t="s">
        <v>343</v>
      </c>
      <c r="D52" s="19" t="s">
        <v>3107</v>
      </c>
      <c r="E52" s="20"/>
      <c r="F52" s="19"/>
      <c r="G52" s="19"/>
      <c r="H52" s="20"/>
      <c r="I52" s="23"/>
      <c r="J52" s="23"/>
      <c r="K52" s="23"/>
      <c r="L52" s="23"/>
    </row>
    <row r="53" s="1" customFormat="1" spans="2:12">
      <c r="B53" s="19" t="s">
        <v>3008</v>
      </c>
      <c r="C53" s="19" t="s">
        <v>275</v>
      </c>
      <c r="D53" s="19" t="s">
        <v>3009</v>
      </c>
      <c r="E53" s="20"/>
      <c r="F53" s="19"/>
      <c r="G53" s="19"/>
      <c r="H53" s="20"/>
      <c r="I53" s="23"/>
      <c r="J53" s="23"/>
      <c r="K53" s="23"/>
      <c r="L53" s="23"/>
    </row>
    <row r="54" s="1" customFormat="1" spans="2:12">
      <c r="B54" s="19" t="s">
        <v>3010</v>
      </c>
      <c r="C54" s="19" t="s">
        <v>240</v>
      </c>
      <c r="D54" s="19" t="s">
        <v>3011</v>
      </c>
      <c r="E54" s="20"/>
      <c r="F54" s="19"/>
      <c r="G54" s="19"/>
      <c r="H54" s="20"/>
      <c r="I54" s="23"/>
      <c r="J54" s="23"/>
      <c r="K54" s="23"/>
      <c r="L54" s="23"/>
    </row>
    <row r="55" s="1" customFormat="1" spans="2:12">
      <c r="B55" s="19" t="s">
        <v>3012</v>
      </c>
      <c r="C55" s="19" t="s">
        <v>275</v>
      </c>
      <c r="D55" s="19" t="s">
        <v>3013</v>
      </c>
      <c r="E55" s="20"/>
      <c r="F55" s="19"/>
      <c r="G55" s="19"/>
      <c r="H55" s="20"/>
      <c r="I55" s="23"/>
      <c r="J55" s="23"/>
      <c r="K55" s="23"/>
      <c r="L55" s="23"/>
    </row>
    <row r="56" s="1" customFormat="1" spans="2:12">
      <c r="B56" s="19" t="s">
        <v>3014</v>
      </c>
      <c r="C56" s="19" t="s">
        <v>275</v>
      </c>
      <c r="D56" s="19" t="s">
        <v>3238</v>
      </c>
      <c r="E56" s="20"/>
      <c r="F56" s="19"/>
      <c r="G56" s="19"/>
      <c r="H56" s="20"/>
      <c r="I56" s="23"/>
      <c r="J56" s="23"/>
      <c r="K56" s="23"/>
      <c r="L56" s="23"/>
    </row>
    <row r="57" s="1" customFormat="1" spans="2:12">
      <c r="B57" s="19" t="s">
        <v>3016</v>
      </c>
      <c r="C57" s="19" t="s">
        <v>275</v>
      </c>
      <c r="D57" s="19" t="s">
        <v>3239</v>
      </c>
      <c r="E57" s="20"/>
      <c r="F57" s="19"/>
      <c r="G57" s="19"/>
      <c r="H57" s="20"/>
      <c r="I57" s="23"/>
      <c r="J57" s="23"/>
      <c r="K57" s="23"/>
      <c r="L57" s="23"/>
    </row>
    <row r="58" s="1" customFormat="1" spans="2:12">
      <c r="B58" s="19" t="s">
        <v>3018</v>
      </c>
      <c r="C58" s="19" t="s">
        <v>275</v>
      </c>
      <c r="D58" s="19" t="s">
        <v>3240</v>
      </c>
      <c r="E58" s="20"/>
      <c r="F58" s="19"/>
      <c r="G58" s="19"/>
      <c r="H58" s="20"/>
      <c r="I58" s="23"/>
      <c r="J58" s="23"/>
      <c r="K58" s="23"/>
      <c r="L58" s="23"/>
    </row>
    <row r="59" s="1" customFormat="1" spans="2:12">
      <c r="B59" s="19" t="s">
        <v>3020</v>
      </c>
      <c r="C59" s="19" t="s">
        <v>275</v>
      </c>
      <c r="D59" s="19" t="s">
        <v>3241</v>
      </c>
      <c r="E59" s="20"/>
      <c r="F59" s="19"/>
      <c r="G59" s="19"/>
      <c r="H59" s="20"/>
      <c r="I59" s="23"/>
      <c r="J59" s="23"/>
      <c r="K59" s="23"/>
      <c r="L59" s="23"/>
    </row>
    <row r="60" s="1" customFormat="1" spans="2:12">
      <c r="B60" s="19" t="s">
        <v>3022</v>
      </c>
      <c r="C60" s="19" t="s">
        <v>275</v>
      </c>
      <c r="D60" s="19" t="s">
        <v>3242</v>
      </c>
      <c r="E60" s="20"/>
      <c r="F60" s="19"/>
      <c r="G60" s="19"/>
      <c r="H60" s="20"/>
      <c r="I60" s="23"/>
      <c r="J60" s="23"/>
      <c r="K60" s="23"/>
      <c r="L60" s="23"/>
    </row>
    <row r="61" s="1" customFormat="1" spans="2:12">
      <c r="B61" s="19" t="s">
        <v>3024</v>
      </c>
      <c r="C61" s="19" t="s">
        <v>275</v>
      </c>
      <c r="D61" s="19" t="s">
        <v>3243</v>
      </c>
      <c r="E61" s="20"/>
      <c r="F61" s="19"/>
      <c r="G61" s="19"/>
      <c r="H61" s="20"/>
      <c r="I61" s="23"/>
      <c r="J61" s="23"/>
      <c r="K61" s="23"/>
      <c r="L61" s="23"/>
    </row>
    <row r="62" s="1" customFormat="1" spans="2:12">
      <c r="B62" s="19" t="s">
        <v>3026</v>
      </c>
      <c r="C62" s="19" t="s">
        <v>275</v>
      </c>
      <c r="D62" s="19" t="s">
        <v>3244</v>
      </c>
      <c r="E62" s="20"/>
      <c r="F62" s="19"/>
      <c r="G62" s="19"/>
      <c r="H62" s="20"/>
      <c r="I62" s="23"/>
      <c r="J62" s="23"/>
      <c r="K62" s="23"/>
      <c r="L62" s="23"/>
    </row>
    <row r="63" s="1" customFormat="1" spans="2:12">
      <c r="B63" s="19" t="s">
        <v>3204</v>
      </c>
      <c r="C63" s="19" t="s">
        <v>275</v>
      </c>
      <c r="D63" s="19" t="s">
        <v>3245</v>
      </c>
      <c r="E63" s="20"/>
      <c r="F63" s="19"/>
      <c r="G63" s="19"/>
      <c r="H63" s="20"/>
      <c r="I63" s="23"/>
      <c r="J63" s="23"/>
      <c r="K63" s="23"/>
      <c r="L63" s="23"/>
    </row>
    <row r="64" s="1" customFormat="1" spans="2:12">
      <c r="B64" s="19" t="s">
        <v>3246</v>
      </c>
      <c r="C64" s="19" t="s">
        <v>275</v>
      </c>
      <c r="D64" s="19" t="s">
        <v>3247</v>
      </c>
      <c r="E64" s="20"/>
      <c r="F64" s="19"/>
      <c r="G64" s="19"/>
      <c r="H64" s="20"/>
      <c r="I64" s="23"/>
      <c r="J64" s="23"/>
      <c r="K64" s="23"/>
      <c r="L64" s="23"/>
    </row>
    <row r="65" s="1" customFormat="1" spans="2:12">
      <c r="B65" s="19" t="s">
        <v>3248</v>
      </c>
      <c r="C65" s="19" t="s">
        <v>275</v>
      </c>
      <c r="D65" s="19" t="s">
        <v>3249</v>
      </c>
      <c r="E65" s="20"/>
      <c r="F65" s="19"/>
      <c r="G65" s="19"/>
      <c r="H65" s="20"/>
      <c r="I65" s="23"/>
      <c r="J65" s="23"/>
      <c r="K65" s="23"/>
      <c r="L65" s="23"/>
    </row>
    <row r="66" s="1" customFormat="1" spans="2:12">
      <c r="B66" s="19" t="s">
        <v>3250</v>
      </c>
      <c r="C66" s="19" t="s">
        <v>275</v>
      </c>
      <c r="D66" s="19" t="s">
        <v>3251</v>
      </c>
      <c r="E66" s="20"/>
      <c r="F66" s="19"/>
      <c r="G66" s="19"/>
      <c r="H66" s="20"/>
      <c r="I66" s="23"/>
      <c r="J66" s="23"/>
      <c r="K66" s="23"/>
      <c r="L66" s="23"/>
    </row>
    <row r="67" s="1" customFormat="1" spans="2:12">
      <c r="B67" s="19" t="s">
        <v>3252</v>
      </c>
      <c r="C67" s="19" t="s">
        <v>275</v>
      </c>
      <c r="D67" s="19" t="s">
        <v>3253</v>
      </c>
      <c r="E67" s="20"/>
      <c r="F67" s="19"/>
      <c r="G67" s="19"/>
      <c r="H67" s="20"/>
      <c r="I67" s="23"/>
      <c r="J67" s="23"/>
      <c r="K67" s="23"/>
      <c r="L67" s="23"/>
    </row>
    <row r="68" s="1" customFormat="1" spans="2:12">
      <c r="B68" s="19" t="s">
        <v>3028</v>
      </c>
      <c r="C68" s="19" t="s">
        <v>275</v>
      </c>
      <c r="D68" s="19" t="s">
        <v>3254</v>
      </c>
      <c r="E68" s="20"/>
      <c r="F68" s="19"/>
      <c r="G68" s="19"/>
      <c r="H68" s="20"/>
      <c r="I68" s="23"/>
      <c r="J68" s="23"/>
      <c r="K68" s="23"/>
      <c r="L68" s="23"/>
    </row>
    <row r="69" s="1" customFormat="1" spans="2:12">
      <c r="B69" s="19" t="s">
        <v>3030</v>
      </c>
      <c r="C69" s="19" t="s">
        <v>240</v>
      </c>
      <c r="D69" s="19" t="s">
        <v>3255</v>
      </c>
      <c r="E69" s="20"/>
      <c r="F69" s="19"/>
      <c r="G69" s="19"/>
      <c r="H69" s="20"/>
      <c r="I69" s="23"/>
      <c r="J69" s="23"/>
      <c r="K69" s="23"/>
      <c r="L69" s="23"/>
    </row>
    <row r="70" s="1" customFormat="1" spans="2:12">
      <c r="B70" s="19" t="s">
        <v>3256</v>
      </c>
      <c r="C70" s="19" t="s">
        <v>240</v>
      </c>
      <c r="D70" s="19" t="s">
        <v>3257</v>
      </c>
      <c r="E70" s="20"/>
      <c r="F70" s="19"/>
      <c r="G70" s="19"/>
      <c r="H70" s="20"/>
      <c r="I70" s="23"/>
      <c r="J70" s="23"/>
      <c r="K70" s="23"/>
      <c r="L70" s="23"/>
    </row>
    <row r="71" s="1" customFormat="1" spans="2:12">
      <c r="B71" s="19" t="s">
        <v>3258</v>
      </c>
      <c r="C71" s="19" t="s">
        <v>240</v>
      </c>
      <c r="D71" s="19" t="s">
        <v>3259</v>
      </c>
      <c r="E71" s="20"/>
      <c r="F71" s="19"/>
      <c r="G71" s="19"/>
      <c r="H71" s="20"/>
      <c r="I71" s="23"/>
      <c r="J71" s="23"/>
      <c r="K71" s="23"/>
      <c r="L71" s="23"/>
    </row>
    <row r="72" s="1" customFormat="1" spans="2:12">
      <c r="B72" s="19" t="s">
        <v>3116</v>
      </c>
      <c r="C72" s="19" t="s">
        <v>275</v>
      </c>
      <c r="D72" s="19" t="s">
        <v>3117</v>
      </c>
      <c r="E72" s="20"/>
      <c r="F72" s="19"/>
      <c r="G72" s="19"/>
      <c r="H72" s="20"/>
      <c r="I72" s="23"/>
      <c r="J72" s="23"/>
      <c r="K72" s="23"/>
      <c r="L72" s="23"/>
    </row>
    <row r="73" s="1" customFormat="1" spans="2:12">
      <c r="B73" s="19" t="s">
        <v>3118</v>
      </c>
      <c r="C73" s="19" t="s">
        <v>275</v>
      </c>
      <c r="D73" s="19" t="s">
        <v>3260</v>
      </c>
      <c r="E73" s="20"/>
      <c r="F73" s="19"/>
      <c r="G73" s="19"/>
      <c r="H73" s="20"/>
      <c r="I73" s="23"/>
      <c r="J73" s="23"/>
      <c r="K73" s="23"/>
      <c r="L73" s="23"/>
    </row>
    <row r="74" s="1" customFormat="1" spans="2:12">
      <c r="B74" s="19" t="s">
        <v>3120</v>
      </c>
      <c r="C74" s="19" t="s">
        <v>275</v>
      </c>
      <c r="D74" s="19" t="s">
        <v>3261</v>
      </c>
      <c r="E74" s="20"/>
      <c r="F74" s="19"/>
      <c r="G74" s="19"/>
      <c r="H74" s="20"/>
      <c r="I74" s="23"/>
      <c r="J74" s="23"/>
      <c r="K74" s="23"/>
      <c r="L74" s="23"/>
    </row>
    <row r="75" s="1" customFormat="1" spans="2:12">
      <c r="B75" s="19" t="s">
        <v>3122</v>
      </c>
      <c r="C75" s="19" t="s">
        <v>275</v>
      </c>
      <c r="D75" s="19" t="s">
        <v>3262</v>
      </c>
      <c r="E75" s="20"/>
      <c r="F75" s="19"/>
      <c r="G75" s="19"/>
      <c r="H75" s="20"/>
      <c r="I75" s="23"/>
      <c r="J75" s="23"/>
      <c r="K75" s="23"/>
      <c r="L75" s="23"/>
    </row>
    <row r="76" s="1" customFormat="1" spans="2:12">
      <c r="B76" s="19" t="s">
        <v>3124</v>
      </c>
      <c r="C76" s="19" t="s">
        <v>275</v>
      </c>
      <c r="D76" s="19" t="s">
        <v>3263</v>
      </c>
      <c r="E76" s="20"/>
      <c r="F76" s="19"/>
      <c r="G76" s="19"/>
      <c r="H76" s="20"/>
      <c r="I76" s="23"/>
      <c r="J76" s="23"/>
      <c r="K76" s="23"/>
      <c r="L76" s="23"/>
    </row>
    <row r="77" s="1" customFormat="1" spans="2:12">
      <c r="B77" s="19" t="s">
        <v>3126</v>
      </c>
      <c r="C77" s="19" t="s">
        <v>275</v>
      </c>
      <c r="D77" s="19" t="s">
        <v>3264</v>
      </c>
      <c r="E77" s="20"/>
      <c r="F77" s="19"/>
      <c r="G77" s="19"/>
      <c r="H77" s="20"/>
      <c r="I77" s="23"/>
      <c r="J77" s="23"/>
      <c r="K77" s="23"/>
      <c r="L77" s="23"/>
    </row>
    <row r="78" s="1" customFormat="1" spans="2:12">
      <c r="B78" s="19" t="s">
        <v>3128</v>
      </c>
      <c r="C78" s="19" t="s">
        <v>275</v>
      </c>
      <c r="D78" s="19" t="s">
        <v>3265</v>
      </c>
      <c r="E78" s="20"/>
      <c r="F78" s="19"/>
      <c r="G78" s="19"/>
      <c r="H78" s="20"/>
      <c r="I78" s="23"/>
      <c r="J78" s="23"/>
      <c r="K78" s="23"/>
      <c r="L78" s="23"/>
    </row>
    <row r="79" s="1" customFormat="1" spans="2:12">
      <c r="B79" s="19" t="s">
        <v>3130</v>
      </c>
      <c r="C79" s="19" t="s">
        <v>275</v>
      </c>
      <c r="D79" s="19" t="s">
        <v>3266</v>
      </c>
      <c r="E79" s="20"/>
      <c r="F79" s="19"/>
      <c r="G79" s="19"/>
      <c r="H79" s="20"/>
      <c r="I79" s="23"/>
      <c r="J79" s="23"/>
      <c r="K79" s="23"/>
      <c r="L79" s="23"/>
    </row>
    <row r="80" s="1" customFormat="1" spans="2:12">
      <c r="B80" s="19" t="s">
        <v>3267</v>
      </c>
      <c r="C80" s="19" t="s">
        <v>275</v>
      </c>
      <c r="D80" s="19" t="s">
        <v>3268</v>
      </c>
      <c r="E80" s="20"/>
      <c r="F80" s="19"/>
      <c r="G80" s="19"/>
      <c r="H80" s="20"/>
      <c r="I80" s="23"/>
      <c r="J80" s="23"/>
      <c r="K80" s="23"/>
      <c r="L80" s="23"/>
    </row>
    <row r="81" s="1" customFormat="1" spans="2:12">
      <c r="B81" s="19" t="s">
        <v>3269</v>
      </c>
      <c r="C81" s="19" t="s">
        <v>240</v>
      </c>
      <c r="D81" s="19" t="s">
        <v>3270</v>
      </c>
      <c r="E81" s="20"/>
      <c r="F81" s="19"/>
      <c r="G81" s="19"/>
      <c r="H81" s="20"/>
      <c r="I81" s="23"/>
      <c r="J81" s="23"/>
      <c r="K81" s="23"/>
      <c r="L81" s="23"/>
    </row>
    <row r="82" s="1" customFormat="1" spans="2:12">
      <c r="B82" s="19" t="s">
        <v>3271</v>
      </c>
      <c r="C82" s="19" t="s">
        <v>275</v>
      </c>
      <c r="D82" s="19" t="s">
        <v>3033</v>
      </c>
      <c r="E82" s="20"/>
      <c r="F82" s="19"/>
      <c r="G82" s="19"/>
      <c r="H82" s="20"/>
      <c r="I82" s="23"/>
      <c r="J82" s="23"/>
      <c r="K82" s="23"/>
      <c r="L82" s="23"/>
    </row>
    <row r="83" s="1" customFormat="1" spans="2:12">
      <c r="B83" s="19" t="s">
        <v>3272</v>
      </c>
      <c r="C83" s="19" t="s">
        <v>240</v>
      </c>
      <c r="D83" s="19" t="s">
        <v>3035</v>
      </c>
      <c r="E83" s="20"/>
      <c r="F83" s="19"/>
      <c r="G83" s="19"/>
      <c r="H83" s="20"/>
      <c r="I83" s="23"/>
      <c r="J83" s="23"/>
      <c r="K83" s="23"/>
      <c r="L83" s="23"/>
    </row>
    <row r="84" s="1" customFormat="1" spans="2:12">
      <c r="B84" s="19" t="s">
        <v>3148</v>
      </c>
      <c r="C84" s="19" t="s">
        <v>275</v>
      </c>
      <c r="D84" s="19" t="s">
        <v>3037</v>
      </c>
      <c r="E84" s="20"/>
      <c r="F84" s="19"/>
      <c r="G84" s="19"/>
      <c r="H84" s="20"/>
      <c r="I84" s="23"/>
      <c r="J84" s="23"/>
      <c r="K84" s="23"/>
      <c r="L84" s="23"/>
    </row>
    <row r="85" s="1" customFormat="1" spans="2:12">
      <c r="B85" s="19" t="s">
        <v>3149</v>
      </c>
      <c r="C85" s="19" t="s">
        <v>275</v>
      </c>
      <c r="D85" s="19" t="s">
        <v>3039</v>
      </c>
      <c r="E85" s="20"/>
      <c r="F85" s="19"/>
      <c r="G85" s="19"/>
      <c r="H85" s="20"/>
      <c r="I85" s="23"/>
      <c r="J85" s="23"/>
      <c r="K85" s="23"/>
      <c r="L85" s="23"/>
    </row>
    <row r="86" s="1" customFormat="1" spans="2:12">
      <c r="B86" s="19" t="s">
        <v>3150</v>
      </c>
      <c r="C86" s="19" t="s">
        <v>275</v>
      </c>
      <c r="D86" s="19" t="s">
        <v>3041</v>
      </c>
      <c r="E86" s="20"/>
      <c r="F86" s="19"/>
      <c r="G86" s="19"/>
      <c r="H86" s="20"/>
      <c r="I86" s="23"/>
      <c r="J86" s="23"/>
      <c r="K86" s="23"/>
      <c r="L86" s="23"/>
    </row>
    <row r="87" s="1" customFormat="1" spans="2:12">
      <c r="B87" s="19" t="s">
        <v>3151</v>
      </c>
      <c r="C87" s="19" t="s">
        <v>275</v>
      </c>
      <c r="D87" s="19" t="s">
        <v>3043</v>
      </c>
      <c r="E87" s="20"/>
      <c r="F87" s="19"/>
      <c r="G87" s="19"/>
      <c r="H87" s="20"/>
      <c r="I87" s="23"/>
      <c r="J87" s="23"/>
      <c r="K87" s="23"/>
      <c r="L87" s="23"/>
    </row>
    <row r="88" s="1" customFormat="1" spans="2:12">
      <c r="B88" s="19" t="s">
        <v>3152</v>
      </c>
      <c r="C88" s="19" t="s">
        <v>275</v>
      </c>
      <c r="D88" s="19" t="s">
        <v>3045</v>
      </c>
      <c r="E88" s="20"/>
      <c r="F88" s="19"/>
      <c r="G88" s="19"/>
      <c r="H88" s="20"/>
      <c r="I88" s="23"/>
      <c r="J88" s="23"/>
      <c r="K88" s="23"/>
      <c r="L88" s="23"/>
    </row>
    <row r="89" s="1" customFormat="1" spans="2:12">
      <c r="B89" s="19" t="s">
        <v>3153</v>
      </c>
      <c r="C89" s="19" t="s">
        <v>275</v>
      </c>
      <c r="D89" s="19" t="s">
        <v>3047</v>
      </c>
      <c r="E89" s="20"/>
      <c r="F89" s="19"/>
      <c r="G89" s="19"/>
      <c r="H89" s="20"/>
      <c r="I89" s="23"/>
      <c r="J89" s="23"/>
      <c r="K89" s="23"/>
      <c r="L89" s="23"/>
    </row>
    <row r="90" s="1" customFormat="1" spans="2:12">
      <c r="B90" s="19" t="s">
        <v>3154</v>
      </c>
      <c r="C90" s="19" t="s">
        <v>275</v>
      </c>
      <c r="D90" s="19" t="s">
        <v>3049</v>
      </c>
      <c r="E90" s="20"/>
      <c r="F90" s="19"/>
      <c r="G90" s="19"/>
      <c r="H90" s="20"/>
      <c r="I90" s="23"/>
      <c r="J90" s="23"/>
      <c r="K90" s="23"/>
      <c r="L90" s="23"/>
    </row>
    <row r="91" s="1" customFormat="1" spans="2:12">
      <c r="B91" s="19" t="s">
        <v>3155</v>
      </c>
      <c r="C91" s="19" t="s">
        <v>275</v>
      </c>
      <c r="D91" s="19" t="s">
        <v>3051</v>
      </c>
      <c r="E91" s="20"/>
      <c r="F91" s="19"/>
      <c r="G91" s="19"/>
      <c r="H91" s="20"/>
      <c r="I91" s="23"/>
      <c r="J91" s="23"/>
      <c r="K91" s="23"/>
      <c r="L91" s="23"/>
    </row>
    <row r="92" s="1" customFormat="1" spans="2:12">
      <c r="B92" s="19" t="s">
        <v>3273</v>
      </c>
      <c r="C92" s="19" t="s">
        <v>275</v>
      </c>
      <c r="D92" s="19" t="s">
        <v>3274</v>
      </c>
      <c r="E92" s="20"/>
      <c r="F92" s="19"/>
      <c r="G92" s="19"/>
      <c r="H92" s="20"/>
      <c r="I92" s="23"/>
      <c r="J92" s="23"/>
      <c r="K92" s="23"/>
      <c r="L92" s="23"/>
    </row>
    <row r="93" s="1" customFormat="1" spans="2:12">
      <c r="B93" s="19" t="s">
        <v>3275</v>
      </c>
      <c r="C93" s="19" t="s">
        <v>240</v>
      </c>
      <c r="D93" s="19" t="s">
        <v>3276</v>
      </c>
      <c r="E93" s="20"/>
      <c r="F93" s="19"/>
      <c r="G93" s="19"/>
      <c r="H93" s="20"/>
      <c r="I93" s="23"/>
      <c r="J93" s="23"/>
      <c r="K93" s="23"/>
      <c r="L93" s="23"/>
    </row>
    <row r="94" s="1" customFormat="1" spans="2:12">
      <c r="B94" s="19" t="s">
        <v>3277</v>
      </c>
      <c r="C94" s="19" t="s">
        <v>275</v>
      </c>
      <c r="D94" s="19" t="s">
        <v>3278</v>
      </c>
      <c r="E94" s="20"/>
      <c r="F94" s="19"/>
      <c r="G94" s="19"/>
      <c r="H94" s="20"/>
      <c r="I94" s="23"/>
      <c r="J94" s="23"/>
      <c r="K94" s="23"/>
      <c r="L94" s="23"/>
    </row>
    <row r="95" s="1" customFormat="1" spans="2:12">
      <c r="B95" s="19" t="s">
        <v>3279</v>
      </c>
      <c r="C95" s="19" t="s">
        <v>240</v>
      </c>
      <c r="D95" s="19" t="s">
        <v>3280</v>
      </c>
      <c r="E95" s="20"/>
      <c r="F95" s="19"/>
      <c r="G95" s="19"/>
      <c r="H95" s="20"/>
      <c r="I95" s="23"/>
      <c r="J95" s="23"/>
      <c r="K95" s="23"/>
      <c r="L95" s="23"/>
    </row>
    <row r="96" s="1" customFormat="1" spans="2:12">
      <c r="B96" s="19" t="s">
        <v>3132</v>
      </c>
      <c r="C96" s="19" t="s">
        <v>275</v>
      </c>
      <c r="D96" s="19" t="s">
        <v>3133</v>
      </c>
      <c r="E96" s="20"/>
      <c r="F96" s="19"/>
      <c r="G96" s="19"/>
      <c r="H96" s="20"/>
      <c r="I96" s="23"/>
      <c r="J96" s="23"/>
      <c r="K96" s="23"/>
      <c r="L96" s="23"/>
    </row>
    <row r="97" s="1" customFormat="1" spans="2:12">
      <c r="B97" s="19" t="s">
        <v>3134</v>
      </c>
      <c r="C97" s="19" t="s">
        <v>275</v>
      </c>
      <c r="D97" s="19" t="s">
        <v>3281</v>
      </c>
      <c r="E97" s="20"/>
      <c r="F97" s="19"/>
      <c r="G97" s="19"/>
      <c r="H97" s="20"/>
      <c r="I97" s="23"/>
      <c r="J97" s="23"/>
      <c r="K97" s="23"/>
      <c r="L97" s="23"/>
    </row>
    <row r="98" s="1" customFormat="1" spans="2:12">
      <c r="B98" s="19" t="s">
        <v>3136</v>
      </c>
      <c r="C98" s="19" t="s">
        <v>275</v>
      </c>
      <c r="D98" s="19" t="s">
        <v>3137</v>
      </c>
      <c r="E98" s="20"/>
      <c r="F98" s="19"/>
      <c r="G98" s="19"/>
      <c r="H98" s="20"/>
      <c r="I98" s="23"/>
      <c r="J98" s="23"/>
      <c r="K98" s="23"/>
      <c r="L98" s="23"/>
    </row>
    <row r="99" s="1" customFormat="1" spans="2:12">
      <c r="B99" s="19" t="s">
        <v>3138</v>
      </c>
      <c r="C99" s="19" t="s">
        <v>275</v>
      </c>
      <c r="D99" s="19" t="s">
        <v>3139</v>
      </c>
      <c r="E99" s="20"/>
      <c r="F99" s="19"/>
      <c r="G99" s="19"/>
      <c r="H99" s="20"/>
      <c r="I99" s="23"/>
      <c r="J99" s="23"/>
      <c r="K99" s="23"/>
      <c r="L99" s="23"/>
    </row>
    <row r="100" s="1" customFormat="1" spans="2:12">
      <c r="B100" s="19" t="s">
        <v>3140</v>
      </c>
      <c r="C100" s="19" t="s">
        <v>275</v>
      </c>
      <c r="D100" s="19" t="s">
        <v>3141</v>
      </c>
      <c r="E100" s="20"/>
      <c r="F100" s="19"/>
      <c r="G100" s="19"/>
      <c r="H100" s="20"/>
      <c r="I100" s="23"/>
      <c r="J100" s="23"/>
      <c r="K100" s="23"/>
      <c r="L100" s="23"/>
    </row>
    <row r="101" s="1" customFormat="1" spans="2:12">
      <c r="B101" s="19" t="s">
        <v>3142</v>
      </c>
      <c r="C101" s="19" t="s">
        <v>275</v>
      </c>
      <c r="D101" s="19" t="s">
        <v>3143</v>
      </c>
      <c r="E101" s="20"/>
      <c r="F101" s="19"/>
      <c r="G101" s="19"/>
      <c r="H101" s="20"/>
      <c r="I101" s="23"/>
      <c r="J101" s="23"/>
      <c r="K101" s="23"/>
      <c r="L101" s="23"/>
    </row>
    <row r="102" s="1" customFormat="1" spans="2:12">
      <c r="B102" s="19" t="s">
        <v>3144</v>
      </c>
      <c r="C102" s="19" t="s">
        <v>275</v>
      </c>
      <c r="D102" s="19" t="s">
        <v>3145</v>
      </c>
      <c r="E102" s="20"/>
      <c r="F102" s="19"/>
      <c r="G102" s="19"/>
      <c r="H102" s="20"/>
      <c r="I102" s="23"/>
      <c r="J102" s="23"/>
      <c r="K102" s="23"/>
      <c r="L102" s="23"/>
    </row>
    <row r="103" s="1" customFormat="1" spans="2:12">
      <c r="B103" s="19" t="s">
        <v>3146</v>
      </c>
      <c r="C103" s="19" t="s">
        <v>275</v>
      </c>
      <c r="D103" s="19" t="s">
        <v>3282</v>
      </c>
      <c r="E103" s="20"/>
      <c r="F103" s="19"/>
      <c r="G103" s="19"/>
      <c r="H103" s="20"/>
      <c r="I103" s="23"/>
      <c r="J103" s="23"/>
      <c r="K103" s="23"/>
      <c r="L103" s="23"/>
    </row>
    <row r="104" s="1" customFormat="1" spans="2:12">
      <c r="B104" s="19" t="s">
        <v>3283</v>
      </c>
      <c r="C104" s="19" t="s">
        <v>275</v>
      </c>
      <c r="D104" s="19" t="s">
        <v>3284</v>
      </c>
      <c r="E104" s="20"/>
      <c r="F104" s="19"/>
      <c r="G104" s="19"/>
      <c r="H104" s="20"/>
      <c r="I104" s="23"/>
      <c r="J104" s="23"/>
      <c r="K104" s="23"/>
      <c r="L104" s="23"/>
    </row>
    <row r="105" s="1" customFormat="1" spans="2:12">
      <c r="B105" s="19" t="s">
        <v>3285</v>
      </c>
      <c r="C105" s="19" t="s">
        <v>240</v>
      </c>
      <c r="D105" s="19" t="s">
        <v>3286</v>
      </c>
      <c r="E105" s="20"/>
      <c r="F105" s="19"/>
      <c r="G105" s="19"/>
      <c r="H105" s="20"/>
      <c r="I105" s="23"/>
      <c r="J105" s="23"/>
      <c r="K105" s="23"/>
      <c r="L105" s="23"/>
    </row>
    <row r="106" s="1" customFormat="1" spans="2:12">
      <c r="B106" s="19" t="s">
        <v>1864</v>
      </c>
      <c r="C106" s="19" t="s">
        <v>220</v>
      </c>
      <c r="D106" s="19" t="s">
        <v>3287</v>
      </c>
      <c r="E106" s="20"/>
      <c r="F106" s="19"/>
      <c r="G106" s="19"/>
      <c r="H106" s="20"/>
      <c r="I106" s="23"/>
      <c r="J106" s="23"/>
      <c r="K106" s="23"/>
      <c r="L106" s="23"/>
    </row>
    <row r="107" s="1" customFormat="1" spans="2:12">
      <c r="B107" s="19" t="s">
        <v>3288</v>
      </c>
      <c r="C107" s="19" t="s">
        <v>216</v>
      </c>
      <c r="D107" s="10" t="s">
        <v>3289</v>
      </c>
      <c r="E107" s="20"/>
      <c r="F107" s="19"/>
      <c r="G107" s="19"/>
      <c r="H107" s="20"/>
      <c r="I107" s="23"/>
      <c r="J107" s="23"/>
      <c r="K107" s="23"/>
      <c r="L107" s="23"/>
    </row>
    <row r="108" s="1" customFormat="1" spans="2:12">
      <c r="B108" s="19" t="s">
        <v>3290</v>
      </c>
      <c r="C108" s="19" t="s">
        <v>275</v>
      </c>
      <c r="D108" s="19" t="s">
        <v>3291</v>
      </c>
      <c r="E108" s="20"/>
      <c r="F108" s="19"/>
      <c r="G108" s="19"/>
      <c r="H108" s="20"/>
      <c r="I108" s="23"/>
      <c r="J108" s="23"/>
      <c r="K108" s="23"/>
      <c r="L108" s="23"/>
    </row>
    <row r="109" s="1" customFormat="1" spans="2:12">
      <c r="B109" s="19" t="s">
        <v>3292</v>
      </c>
      <c r="C109" s="19" t="s">
        <v>275</v>
      </c>
      <c r="D109" s="19" t="s">
        <v>3293</v>
      </c>
      <c r="E109" s="20"/>
      <c r="F109" s="19"/>
      <c r="G109" s="19"/>
      <c r="H109" s="20"/>
      <c r="I109" s="23"/>
      <c r="J109" s="23"/>
      <c r="K109" s="23"/>
      <c r="L109" s="23"/>
    </row>
    <row r="110" s="1" customFormat="1" spans="2:12">
      <c r="B110" s="19" t="s">
        <v>3294</v>
      </c>
      <c r="C110" s="19" t="s">
        <v>240</v>
      </c>
      <c r="D110" s="19" t="s">
        <v>3295</v>
      </c>
      <c r="E110" s="20"/>
      <c r="F110" s="19"/>
      <c r="G110" s="19"/>
      <c r="H110" s="20"/>
      <c r="I110" s="23"/>
      <c r="J110" s="23"/>
      <c r="K110" s="23"/>
      <c r="L110" s="23"/>
    </row>
    <row r="111" s="1" customFormat="1" spans="2:12">
      <c r="B111" s="19" t="s">
        <v>3188</v>
      </c>
      <c r="C111" s="19" t="s">
        <v>275</v>
      </c>
      <c r="D111" s="19" t="s">
        <v>3189</v>
      </c>
      <c r="E111" s="20"/>
      <c r="F111" s="19"/>
      <c r="G111" s="19"/>
      <c r="H111" s="20"/>
      <c r="I111" s="23"/>
      <c r="J111" s="23"/>
      <c r="K111" s="23"/>
      <c r="L111" s="23"/>
    </row>
    <row r="112" s="1" customFormat="1" spans="2:12">
      <c r="B112" s="19" t="s">
        <v>3190</v>
      </c>
      <c r="C112" s="19" t="s">
        <v>275</v>
      </c>
      <c r="D112" s="19" t="s">
        <v>3296</v>
      </c>
      <c r="E112" s="20"/>
      <c r="F112" s="19"/>
      <c r="G112" s="19"/>
      <c r="H112" s="20"/>
      <c r="I112" s="23"/>
      <c r="J112" s="23"/>
      <c r="K112" s="23"/>
      <c r="L112" s="23"/>
    </row>
    <row r="113" s="1" customFormat="1" spans="2:12">
      <c r="B113" s="19" t="s">
        <v>3192</v>
      </c>
      <c r="C113" s="19" t="s">
        <v>275</v>
      </c>
      <c r="D113" s="19" t="s">
        <v>3297</v>
      </c>
      <c r="E113" s="20"/>
      <c r="F113" s="19"/>
      <c r="G113" s="19"/>
      <c r="H113" s="20"/>
      <c r="I113" s="23"/>
      <c r="J113" s="23"/>
      <c r="K113" s="23"/>
      <c r="L113" s="23"/>
    </row>
    <row r="114" s="1" customFormat="1" spans="2:12">
      <c r="B114" s="19" t="s">
        <v>3194</v>
      </c>
      <c r="C114" s="19" t="s">
        <v>275</v>
      </c>
      <c r="D114" s="19" t="s">
        <v>3298</v>
      </c>
      <c r="E114" s="20"/>
      <c r="F114" s="19"/>
      <c r="G114" s="19"/>
      <c r="H114" s="20"/>
      <c r="I114" s="23"/>
      <c r="J114" s="23"/>
      <c r="K114" s="23"/>
      <c r="L114" s="23"/>
    </row>
    <row r="115" s="1" customFormat="1" spans="2:12">
      <c r="B115" s="19" t="s">
        <v>3196</v>
      </c>
      <c r="C115" s="19" t="s">
        <v>275</v>
      </c>
      <c r="D115" s="19" t="s">
        <v>3299</v>
      </c>
      <c r="E115" s="20"/>
      <c r="F115" s="19"/>
      <c r="G115" s="19"/>
      <c r="H115" s="20"/>
      <c r="I115" s="23"/>
      <c r="J115" s="23"/>
      <c r="K115" s="23"/>
      <c r="L115" s="23"/>
    </row>
    <row r="116" s="1" customFormat="1" spans="2:12">
      <c r="B116" s="19" t="s">
        <v>3198</v>
      </c>
      <c r="C116" s="19" t="s">
        <v>275</v>
      </c>
      <c r="D116" s="19" t="s">
        <v>3300</v>
      </c>
      <c r="E116" s="20"/>
      <c r="F116" s="19"/>
      <c r="G116" s="19"/>
      <c r="H116" s="20"/>
      <c r="I116" s="23"/>
      <c r="J116" s="23"/>
      <c r="K116" s="23"/>
      <c r="L116" s="23"/>
    </row>
    <row r="117" s="1" customFormat="1" spans="2:12">
      <c r="B117" s="19" t="s">
        <v>3200</v>
      </c>
      <c r="C117" s="19" t="s">
        <v>275</v>
      </c>
      <c r="D117" s="19" t="s">
        <v>3301</v>
      </c>
      <c r="E117" s="20"/>
      <c r="F117" s="19"/>
      <c r="G117" s="19"/>
      <c r="H117" s="20"/>
      <c r="I117" s="23"/>
      <c r="J117" s="23"/>
      <c r="K117" s="23"/>
      <c r="L117" s="23"/>
    </row>
    <row r="118" s="1" customFormat="1" spans="2:12">
      <c r="B118" s="19" t="s">
        <v>3202</v>
      </c>
      <c r="C118" s="19" t="s">
        <v>275</v>
      </c>
      <c r="D118" s="19" t="s">
        <v>3302</v>
      </c>
      <c r="E118" s="20"/>
      <c r="F118" s="19"/>
      <c r="G118" s="19"/>
      <c r="H118" s="20"/>
      <c r="I118" s="23"/>
      <c r="J118" s="23"/>
      <c r="K118" s="23"/>
      <c r="L118" s="23"/>
    </row>
    <row r="119" s="1" customFormat="1" ht="39.6" spans="2:12">
      <c r="B119" s="19" t="s">
        <v>3303</v>
      </c>
      <c r="C119" s="19" t="s">
        <v>220</v>
      </c>
      <c r="D119" s="19" t="s">
        <v>3304</v>
      </c>
      <c r="E119" s="20"/>
      <c r="F119" s="19"/>
      <c r="G119" s="19"/>
      <c r="H119" s="20"/>
      <c r="I119" s="23"/>
      <c r="J119" s="23"/>
      <c r="K119" s="23"/>
      <c r="L119" s="23"/>
    </row>
    <row r="120" s="1" customFormat="1" spans="2:12">
      <c r="B120" s="19" t="s">
        <v>244</v>
      </c>
      <c r="C120" s="19" t="s">
        <v>233</v>
      </c>
      <c r="D120" s="19" t="s">
        <v>245</v>
      </c>
      <c r="E120" s="20"/>
      <c r="F120" s="19"/>
      <c r="G120" s="19"/>
      <c r="H120" s="20"/>
      <c r="I120" s="23"/>
      <c r="J120" s="23"/>
      <c r="K120" s="23"/>
      <c r="L120" s="23"/>
    </row>
    <row r="121" s="33" customFormat="1" spans="2:12">
      <c r="B121" s="28" t="s">
        <v>1817</v>
      </c>
      <c r="C121" s="28" t="s">
        <v>216</v>
      </c>
      <c r="D121" s="28" t="s">
        <v>3209</v>
      </c>
      <c r="E121" s="30" t="s">
        <v>199</v>
      </c>
      <c r="F121" s="28"/>
      <c r="G121" s="28" t="s">
        <v>3210</v>
      </c>
      <c r="H121" s="30"/>
      <c r="I121" s="34" t="s">
        <v>1211</v>
      </c>
      <c r="J121" s="34" t="s">
        <v>345</v>
      </c>
      <c r="K121" s="34" t="s">
        <v>323</v>
      </c>
      <c r="L121" s="34" t="s">
        <v>3211</v>
      </c>
    </row>
    <row r="122" s="33" customFormat="1" spans="2:12">
      <c r="B122" s="28" t="s">
        <v>1820</v>
      </c>
      <c r="C122" s="28" t="s">
        <v>216</v>
      </c>
      <c r="D122" s="28" t="s">
        <v>3212</v>
      </c>
      <c r="E122" s="30" t="s">
        <v>199</v>
      </c>
      <c r="F122" s="28"/>
      <c r="G122" s="28" t="s">
        <v>3213</v>
      </c>
      <c r="H122" s="30"/>
      <c r="I122" s="34" t="s">
        <v>1211</v>
      </c>
      <c r="J122" s="34" t="s">
        <v>345</v>
      </c>
      <c r="K122" s="34" t="s">
        <v>323</v>
      </c>
      <c r="L122" s="34" t="s">
        <v>3211</v>
      </c>
    </row>
    <row r="123" s="2" customFormat="1" spans="1:12">
      <c r="A123" s="21"/>
      <c r="B123" s="22" t="s">
        <v>252</v>
      </c>
      <c r="C123" s="22" t="s">
        <v>220</v>
      </c>
      <c r="D123" s="22" t="s">
        <v>254</v>
      </c>
      <c r="E123" s="22"/>
      <c r="F123" s="22"/>
      <c r="G123" s="22"/>
      <c r="H123" s="22"/>
      <c r="I123" s="22"/>
      <c r="J123" s="22"/>
      <c r="K123" s="22"/>
      <c r="L123" s="22"/>
    </row>
    <row r="124" s="2" customFormat="1" spans="1:12">
      <c r="A124" s="21"/>
      <c r="B124" s="22" t="s">
        <v>255</v>
      </c>
      <c r="C124" s="22" t="s">
        <v>216</v>
      </c>
      <c r="D124" s="22" t="s">
        <v>256</v>
      </c>
      <c r="E124" s="22"/>
      <c r="F124" s="22"/>
      <c r="G124" s="22"/>
      <c r="H124" s="22"/>
      <c r="I124" s="22"/>
      <c r="J124" s="22"/>
      <c r="K124" s="22"/>
      <c r="L124" s="22"/>
    </row>
    <row r="125" s="2" customFormat="1" spans="1:12">
      <c r="A125" s="21"/>
      <c r="B125" s="22" t="s">
        <v>257</v>
      </c>
      <c r="C125" s="22" t="s">
        <v>220</v>
      </c>
      <c r="D125" s="22" t="s">
        <v>258</v>
      </c>
      <c r="E125" s="22"/>
      <c r="F125" s="22"/>
      <c r="G125" s="22"/>
      <c r="H125" s="22"/>
      <c r="I125" s="22"/>
      <c r="J125" s="22"/>
      <c r="K125" s="22"/>
      <c r="L125" s="22"/>
    </row>
  </sheetData>
  <autoFilter xmlns:etc="http://www.wps.cn/officeDocument/2017/etCustomData" ref="A13:N125" etc:filterBottomFollowUsedRange="0">
    <extLst/>
  </autoFilter>
  <mergeCells count="5">
    <mergeCell ref="B2:H2"/>
    <mergeCell ref="B3:H3"/>
    <mergeCell ref="B7:H7"/>
    <mergeCell ref="F9:G9"/>
    <mergeCell ref="B12:L12"/>
  </mergeCells>
  <pageMargins left="0.7" right="0.7" top="0.75" bottom="0.75" header="0.3" footer="0.3"/>
  <pageSetup paperSize="9" orientation="portrait"/>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zoomScale="85" zoomScaleNormal="85" workbookViewId="0">
      <pane ySplit="5" topLeftCell="A6" activePane="bottomLeft" state="frozen"/>
      <selection/>
      <selection pane="bottomLeft" activeCell="C11" sqref="C11:D11"/>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25.7777777777778"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70</v>
      </c>
      <c r="C5" s="10" t="s">
        <v>156</v>
      </c>
      <c r="D5" s="10" t="s">
        <v>3305</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151</v>
      </c>
      <c r="D9" s="10" t="s">
        <v>152</v>
      </c>
      <c r="E9" s="11" t="s">
        <v>199</v>
      </c>
      <c r="F9" s="11" t="s">
        <v>3306</v>
      </c>
      <c r="G9" s="11"/>
      <c r="H9" s="15"/>
    </row>
    <row r="10" spans="2:8">
      <c r="B10" s="11"/>
      <c r="C10" s="10" t="s">
        <v>153</v>
      </c>
      <c r="D10" s="10" t="s">
        <v>154</v>
      </c>
      <c r="E10" s="11" t="s">
        <v>3307</v>
      </c>
      <c r="F10" s="11" t="s">
        <v>3306</v>
      </c>
      <c r="G10" s="11"/>
      <c r="H10" s="15"/>
    </row>
    <row r="11" ht="25.8" customHeight="1" spans="2:8">
      <c r="B11" s="11"/>
      <c r="C11" s="10" t="s">
        <v>200</v>
      </c>
      <c r="D11" s="10" t="s">
        <v>201</v>
      </c>
      <c r="E11" s="11" t="s">
        <v>202</v>
      </c>
      <c r="F11" s="32" t="s">
        <v>3308</v>
      </c>
      <c r="G11" s="32"/>
      <c r="H11" s="11"/>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2">
      <c r="B16" s="19" t="s">
        <v>1828</v>
      </c>
      <c r="C16" s="19" t="s">
        <v>216</v>
      </c>
      <c r="D16" s="19" t="s">
        <v>1829</v>
      </c>
      <c r="E16" s="20"/>
      <c r="F16" s="19" t="s">
        <v>255</v>
      </c>
      <c r="G16" s="19" t="s">
        <v>1829</v>
      </c>
      <c r="H16" s="20"/>
      <c r="I16" s="23"/>
      <c r="J16" s="23" t="s">
        <v>322</v>
      </c>
      <c r="K16" s="23" t="s">
        <v>323</v>
      </c>
      <c r="L16" s="23" t="s">
        <v>323</v>
      </c>
    </row>
    <row r="17" s="1" customFormat="1" spans="2:12">
      <c r="B17" s="19" t="s">
        <v>1026</v>
      </c>
      <c r="C17" s="19" t="s">
        <v>220</v>
      </c>
      <c r="D17" s="19" t="s">
        <v>66</v>
      </c>
      <c r="E17" s="20"/>
      <c r="F17" s="19" t="s">
        <v>257</v>
      </c>
      <c r="G17" s="19" t="s">
        <v>66</v>
      </c>
      <c r="H17" s="20"/>
      <c r="I17" s="23"/>
      <c r="J17" s="23" t="s">
        <v>322</v>
      </c>
      <c r="K17" s="23" t="s">
        <v>323</v>
      </c>
      <c r="L17" s="23" t="s">
        <v>323</v>
      </c>
    </row>
    <row r="18" s="1" customFormat="1" spans="2:12">
      <c r="B18" s="19" t="s">
        <v>1836</v>
      </c>
      <c r="C18" s="19" t="s">
        <v>216</v>
      </c>
      <c r="D18" s="10" t="s">
        <v>1876</v>
      </c>
      <c r="E18" s="20" t="s">
        <v>3309</v>
      </c>
      <c r="F18" s="19" t="s">
        <v>1836</v>
      </c>
      <c r="G18" s="19" t="s">
        <v>218</v>
      </c>
      <c r="H18" s="20"/>
      <c r="I18" s="23"/>
      <c r="J18" s="23" t="s">
        <v>322</v>
      </c>
      <c r="K18" s="23" t="s">
        <v>323</v>
      </c>
      <c r="L18" s="23" t="s">
        <v>323</v>
      </c>
    </row>
    <row r="19" s="1" customFormat="1" spans="2:12">
      <c r="B19" s="19" t="s">
        <v>224</v>
      </c>
      <c r="C19" s="19" t="s">
        <v>216</v>
      </c>
      <c r="D19" s="10" t="s">
        <v>1869</v>
      </c>
      <c r="E19" s="20" t="s">
        <v>3309</v>
      </c>
      <c r="F19" s="19" t="s">
        <v>224</v>
      </c>
      <c r="G19" s="19" t="s">
        <v>218</v>
      </c>
      <c r="H19" s="20"/>
      <c r="I19" s="23"/>
      <c r="J19" s="23" t="s">
        <v>322</v>
      </c>
      <c r="K19" s="23" t="s">
        <v>323</v>
      </c>
      <c r="L19" s="23" t="s">
        <v>323</v>
      </c>
    </row>
    <row r="20" s="1" customFormat="1" spans="2:12">
      <c r="B20" s="19" t="s">
        <v>267</v>
      </c>
      <c r="C20" s="19" t="s">
        <v>216</v>
      </c>
      <c r="D20" s="10" t="s">
        <v>294</v>
      </c>
      <c r="E20" s="20" t="s">
        <v>3309</v>
      </c>
      <c r="F20" s="19" t="s">
        <v>267</v>
      </c>
      <c r="G20" s="19" t="s">
        <v>218</v>
      </c>
      <c r="H20" s="20"/>
      <c r="I20" s="23"/>
      <c r="J20" s="23" t="s">
        <v>322</v>
      </c>
      <c r="K20" s="23" t="s">
        <v>323</v>
      </c>
      <c r="L20" s="23" t="s">
        <v>323</v>
      </c>
    </row>
    <row r="21" s="1" customFormat="1" spans="2:12">
      <c r="B21" s="19" t="s">
        <v>1817</v>
      </c>
      <c r="C21" s="19" t="s">
        <v>216</v>
      </c>
      <c r="D21" s="10" t="s">
        <v>3209</v>
      </c>
      <c r="E21" s="20" t="s">
        <v>3309</v>
      </c>
      <c r="F21" s="19"/>
      <c r="G21" s="19" t="s">
        <v>1846</v>
      </c>
      <c r="H21" s="20"/>
      <c r="I21" s="23"/>
      <c r="J21" s="23" t="s">
        <v>345</v>
      </c>
      <c r="K21" s="23" t="s">
        <v>323</v>
      </c>
      <c r="L21" s="23" t="s">
        <v>3211</v>
      </c>
    </row>
    <row r="22" s="1" customFormat="1" spans="2:12">
      <c r="B22" s="19" t="s">
        <v>1820</v>
      </c>
      <c r="C22" s="19" t="s">
        <v>216</v>
      </c>
      <c r="D22" s="10" t="s">
        <v>3212</v>
      </c>
      <c r="E22" s="20" t="s">
        <v>3309</v>
      </c>
      <c r="F22" s="19"/>
      <c r="G22" s="19" t="s">
        <v>1847</v>
      </c>
      <c r="H22" s="20"/>
      <c r="I22" s="23"/>
      <c r="J22" s="23" t="s">
        <v>345</v>
      </c>
      <c r="K22" s="23" t="s">
        <v>323</v>
      </c>
      <c r="L22" s="23" t="s">
        <v>3211</v>
      </c>
    </row>
    <row r="23" s="1" customFormat="1" spans="2:12">
      <c r="B23" s="19" t="s">
        <v>3310</v>
      </c>
      <c r="C23" s="19" t="s">
        <v>240</v>
      </c>
      <c r="D23" s="10" t="s">
        <v>3311</v>
      </c>
      <c r="E23" s="20" t="s">
        <v>3309</v>
      </c>
      <c r="F23" s="19"/>
      <c r="G23" s="19" t="s">
        <v>3312</v>
      </c>
      <c r="H23" s="20"/>
      <c r="I23" s="23"/>
      <c r="J23" s="23" t="s">
        <v>345</v>
      </c>
      <c r="K23" s="23" t="s">
        <v>323</v>
      </c>
      <c r="L23" s="23" t="s">
        <v>3313</v>
      </c>
    </row>
    <row r="24" s="1" customFormat="1" spans="2:12">
      <c r="B24" s="19" t="s">
        <v>3314</v>
      </c>
      <c r="C24" s="19" t="s">
        <v>275</v>
      </c>
      <c r="D24" s="10" t="s">
        <v>3315</v>
      </c>
      <c r="E24" s="20" t="s">
        <v>3309</v>
      </c>
      <c r="F24" s="19"/>
      <c r="G24" s="19" t="s">
        <v>3316</v>
      </c>
      <c r="H24" s="20"/>
      <c r="I24" s="23"/>
      <c r="J24" s="23" t="s">
        <v>345</v>
      </c>
      <c r="K24" s="23" t="s">
        <v>323</v>
      </c>
      <c r="L24" s="23" t="s">
        <v>3211</v>
      </c>
    </row>
    <row r="25" s="1" customFormat="1" ht="79.2" spans="2:12">
      <c r="B25" s="19" t="s">
        <v>3317</v>
      </c>
      <c r="C25" s="19" t="s">
        <v>275</v>
      </c>
      <c r="D25" s="10" t="s">
        <v>3318</v>
      </c>
      <c r="E25" s="20" t="s">
        <v>3309</v>
      </c>
      <c r="F25" s="19"/>
      <c r="G25" s="19" t="s">
        <v>3319</v>
      </c>
      <c r="H25" s="20"/>
      <c r="I25" s="23"/>
      <c r="J25" s="23" t="s">
        <v>345</v>
      </c>
      <c r="K25" s="23" t="s">
        <v>323</v>
      </c>
      <c r="L25" s="23" t="s">
        <v>339</v>
      </c>
    </row>
    <row r="26" s="1" customFormat="1" spans="2:12">
      <c r="B26" s="19" t="s">
        <v>3320</v>
      </c>
      <c r="C26" s="19" t="s">
        <v>275</v>
      </c>
      <c r="D26" s="10" t="s">
        <v>3321</v>
      </c>
      <c r="E26" s="20" t="s">
        <v>3309</v>
      </c>
      <c r="F26" s="19"/>
      <c r="G26" s="19" t="s">
        <v>3322</v>
      </c>
      <c r="H26" s="20"/>
      <c r="I26" s="23"/>
      <c r="J26" s="23" t="s">
        <v>345</v>
      </c>
      <c r="K26" s="23" t="s">
        <v>323</v>
      </c>
      <c r="L26" s="23" t="s">
        <v>339</v>
      </c>
    </row>
    <row r="27" s="1" customFormat="1" spans="2:12">
      <c r="B27" s="19" t="s">
        <v>3323</v>
      </c>
      <c r="C27" s="19" t="s">
        <v>275</v>
      </c>
      <c r="D27" s="10" t="s">
        <v>3324</v>
      </c>
      <c r="E27" s="20" t="s">
        <v>3309</v>
      </c>
      <c r="F27" s="19"/>
      <c r="G27" s="19" t="s">
        <v>3325</v>
      </c>
      <c r="H27" s="20"/>
      <c r="I27" s="23"/>
      <c r="J27" s="23" t="s">
        <v>345</v>
      </c>
      <c r="K27" s="23" t="s">
        <v>323</v>
      </c>
      <c r="L27" s="23" t="s">
        <v>339</v>
      </c>
    </row>
    <row r="28" s="1" customFormat="1" spans="2:12">
      <c r="B28" s="19" t="s">
        <v>3326</v>
      </c>
      <c r="C28" s="19" t="s">
        <v>275</v>
      </c>
      <c r="D28" s="10" t="s">
        <v>3327</v>
      </c>
      <c r="E28" s="20" t="s">
        <v>3309</v>
      </c>
      <c r="F28" s="19"/>
      <c r="G28" s="19" t="s">
        <v>3328</v>
      </c>
      <c r="H28" s="20"/>
      <c r="I28" s="23"/>
      <c r="J28" s="23" t="s">
        <v>345</v>
      </c>
      <c r="K28" s="23" t="s">
        <v>323</v>
      </c>
      <c r="L28" s="23" t="s">
        <v>339</v>
      </c>
    </row>
    <row r="29" s="2" customFormat="1" spans="1:12">
      <c r="A29" s="21"/>
      <c r="B29" s="22" t="s">
        <v>252</v>
      </c>
      <c r="C29" s="22" t="s">
        <v>220</v>
      </c>
      <c r="D29" s="22" t="s">
        <v>254</v>
      </c>
      <c r="E29" s="22"/>
      <c r="F29" s="22"/>
      <c r="G29" s="22"/>
      <c r="H29" s="22"/>
      <c r="I29" s="22"/>
      <c r="J29" s="22"/>
      <c r="K29" s="22"/>
      <c r="L29" s="22"/>
    </row>
    <row r="30" s="2" customFormat="1" spans="1:12">
      <c r="A30" s="21"/>
      <c r="B30" s="22" t="s">
        <v>255</v>
      </c>
      <c r="C30" s="22" t="s">
        <v>216</v>
      </c>
      <c r="D30" s="22" t="s">
        <v>256</v>
      </c>
      <c r="E30" s="22"/>
      <c r="F30" s="22"/>
      <c r="G30" s="22"/>
      <c r="H30" s="22"/>
      <c r="I30" s="22"/>
      <c r="J30" s="22"/>
      <c r="K30" s="22"/>
      <c r="L30" s="22"/>
    </row>
    <row r="31" s="2" customFormat="1" spans="1:12">
      <c r="A31" s="21"/>
      <c r="B31" s="22" t="s">
        <v>257</v>
      </c>
      <c r="C31" s="22" t="s">
        <v>220</v>
      </c>
      <c r="D31" s="22" t="s">
        <v>258</v>
      </c>
      <c r="E31" s="22"/>
      <c r="F31" s="22"/>
      <c r="G31" s="22"/>
      <c r="H31" s="22"/>
      <c r="I31" s="22"/>
      <c r="J31" s="22"/>
      <c r="K31" s="22"/>
      <c r="L31" s="22"/>
    </row>
  </sheetData>
  <autoFilter xmlns:etc="http://www.wps.cn/officeDocument/2017/etCustomData" ref="A15:N31" etc:filterBottomFollowUsedRange="0">
    <extLst/>
  </autoFilter>
  <mergeCells count="7">
    <mergeCell ref="B2:H2"/>
    <mergeCell ref="B3:H3"/>
    <mergeCell ref="B7:H7"/>
    <mergeCell ref="F9:G9"/>
    <mergeCell ref="F10:G10"/>
    <mergeCell ref="F11:G11"/>
    <mergeCell ref="B14:L14"/>
  </mergeCells>
  <pageMargins left="0.7" right="0.7" top="0.75" bottom="0.75" header="0.3" footer="0.3"/>
  <pageSetup paperSize="9" orientation="portrait"/>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2"/>
  <sheetViews>
    <sheetView zoomScale="85" zoomScaleNormal="85" workbookViewId="0">
      <pane ySplit="5" topLeftCell="A150" activePane="bottomLeft" state="frozen"/>
      <selection/>
      <selection pane="bottomLeft" activeCell="B159" sqref="B159"/>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146</v>
      </c>
      <c r="C5" s="10" t="s">
        <v>160</v>
      </c>
      <c r="D5" s="10" t="s">
        <v>161</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163</v>
      </c>
      <c r="D9" s="10" t="s">
        <v>3329</v>
      </c>
      <c r="E9" s="11" t="s">
        <v>199</v>
      </c>
      <c r="F9" s="11"/>
      <c r="G9" s="11"/>
      <c r="H9" s="15"/>
    </row>
    <row r="10" spans="7:7">
      <c r="G10" s="17"/>
    </row>
    <row r="11" spans="2:2">
      <c r="B11" s="3" t="s">
        <v>204</v>
      </c>
    </row>
    <row r="12" spans="2:12">
      <c r="B12" s="7" t="s">
        <v>204</v>
      </c>
      <c r="C12" s="7"/>
      <c r="D12" s="7"/>
      <c r="E12" s="7"/>
      <c r="F12" s="7"/>
      <c r="G12" s="7"/>
      <c r="H12" s="7"/>
      <c r="I12" s="7"/>
      <c r="J12" s="7"/>
      <c r="K12" s="7"/>
      <c r="L12" s="7"/>
    </row>
    <row r="13" ht="24" spans="2:12">
      <c r="B13" s="18" t="s">
        <v>205</v>
      </c>
      <c r="C13" s="18" t="s">
        <v>206</v>
      </c>
      <c r="D13" s="18" t="s">
        <v>207</v>
      </c>
      <c r="E13" s="18" t="s">
        <v>208</v>
      </c>
      <c r="F13" s="18" t="s">
        <v>209</v>
      </c>
      <c r="G13" s="18" t="s">
        <v>210</v>
      </c>
      <c r="H13" s="18" t="s">
        <v>211</v>
      </c>
      <c r="I13" s="18" t="s">
        <v>17</v>
      </c>
      <c r="J13" s="18" t="s">
        <v>212</v>
      </c>
      <c r="K13" s="18" t="s">
        <v>213</v>
      </c>
      <c r="L13" s="18" t="s">
        <v>214</v>
      </c>
    </row>
    <row r="14" s="1" customFormat="1" spans="2:12">
      <c r="B14" s="19" t="s">
        <v>1828</v>
      </c>
      <c r="C14" s="19" t="s">
        <v>216</v>
      </c>
      <c r="D14" s="19" t="s">
        <v>3330</v>
      </c>
      <c r="E14" s="20"/>
      <c r="F14" s="19"/>
      <c r="G14" s="19"/>
      <c r="H14" s="20"/>
      <c r="I14" s="23"/>
      <c r="J14" s="23"/>
      <c r="K14" s="23"/>
      <c r="L14" s="23"/>
    </row>
    <row r="15" s="1" customFormat="1" spans="2:12">
      <c r="B15" s="19" t="s">
        <v>1026</v>
      </c>
      <c r="C15" s="19" t="s">
        <v>220</v>
      </c>
      <c r="D15" s="19" t="s">
        <v>3331</v>
      </c>
      <c r="E15" s="20"/>
      <c r="F15" s="19"/>
      <c r="G15" s="19"/>
      <c r="H15" s="20"/>
      <c r="I15" s="23"/>
      <c r="J15" s="23"/>
      <c r="K15" s="23"/>
      <c r="L15" s="23"/>
    </row>
    <row r="16" s="1" customFormat="1" spans="2:12">
      <c r="B16" s="19" t="s">
        <v>1836</v>
      </c>
      <c r="C16" s="19" t="s">
        <v>216</v>
      </c>
      <c r="D16" s="19" t="s">
        <v>3216</v>
      </c>
      <c r="E16" s="20"/>
      <c r="F16" s="19"/>
      <c r="G16" s="19"/>
      <c r="H16" s="20"/>
      <c r="I16" s="23"/>
      <c r="J16" s="23"/>
      <c r="K16" s="23"/>
      <c r="L16" s="23"/>
    </row>
    <row r="17" s="1" customFormat="1" spans="2:12">
      <c r="B17" s="19" t="s">
        <v>3332</v>
      </c>
      <c r="C17" s="19" t="s">
        <v>230</v>
      </c>
      <c r="D17" s="19" t="s">
        <v>3333</v>
      </c>
      <c r="E17" s="20"/>
      <c r="F17" s="19"/>
      <c r="G17" s="19"/>
      <c r="H17" s="20"/>
      <c r="I17" s="23"/>
      <c r="J17" s="23"/>
      <c r="K17" s="23"/>
      <c r="L17" s="23"/>
    </row>
    <row r="18" s="1" customFormat="1" spans="2:12">
      <c r="B18" s="19" t="s">
        <v>3334</v>
      </c>
      <c r="C18" s="19" t="s">
        <v>275</v>
      </c>
      <c r="D18" s="19" t="s">
        <v>3335</v>
      </c>
      <c r="E18" s="20"/>
      <c r="F18" s="19"/>
      <c r="G18" s="19"/>
      <c r="H18" s="20"/>
      <c r="I18" s="23"/>
      <c r="J18" s="23"/>
      <c r="K18" s="23"/>
      <c r="L18" s="23"/>
    </row>
    <row r="19" s="1" customFormat="1" spans="2:12">
      <c r="B19" s="19" t="s">
        <v>237</v>
      </c>
      <c r="C19" s="19" t="s">
        <v>216</v>
      </c>
      <c r="D19" s="19" t="s">
        <v>3336</v>
      </c>
      <c r="E19" s="20"/>
      <c r="F19" s="19"/>
      <c r="G19" s="19"/>
      <c r="H19" s="20"/>
      <c r="I19" s="23"/>
      <c r="J19" s="23"/>
      <c r="K19" s="23"/>
      <c r="L19" s="23"/>
    </row>
    <row r="20" s="1" customFormat="1" spans="2:12">
      <c r="B20" s="19" t="s">
        <v>1832</v>
      </c>
      <c r="C20" s="19" t="s">
        <v>220</v>
      </c>
      <c r="D20" s="19" t="s">
        <v>2017</v>
      </c>
      <c r="E20" s="20"/>
      <c r="F20" s="19"/>
      <c r="G20" s="19"/>
      <c r="H20" s="20"/>
      <c r="I20" s="23"/>
      <c r="J20" s="23"/>
      <c r="K20" s="23"/>
      <c r="L20" s="23"/>
    </row>
    <row r="21" s="1" customFormat="1" spans="2:12">
      <c r="B21" s="19" t="s">
        <v>1834</v>
      </c>
      <c r="C21" s="19" t="s">
        <v>220</v>
      </c>
      <c r="D21" s="19" t="s">
        <v>1835</v>
      </c>
      <c r="E21" s="20"/>
      <c r="F21" s="19"/>
      <c r="G21" s="19"/>
      <c r="H21" s="20"/>
      <c r="I21" s="23"/>
      <c r="J21" s="23"/>
      <c r="K21" s="23"/>
      <c r="L21" s="23"/>
    </row>
    <row r="22" s="1" customFormat="1" spans="2:12">
      <c r="B22" s="19" t="s">
        <v>1316</v>
      </c>
      <c r="C22" s="19" t="s">
        <v>216</v>
      </c>
      <c r="D22" s="19" t="s">
        <v>2019</v>
      </c>
      <c r="E22" s="20"/>
      <c r="F22" s="19"/>
      <c r="G22" s="19"/>
      <c r="H22" s="20"/>
      <c r="I22" s="23"/>
      <c r="J22" s="23"/>
      <c r="K22" s="23"/>
      <c r="L22" s="23"/>
    </row>
    <row r="23" s="1" customFormat="1" spans="2:12">
      <c r="B23" s="19" t="s">
        <v>1318</v>
      </c>
      <c r="C23" s="19" t="s">
        <v>216</v>
      </c>
      <c r="D23" s="19" t="s">
        <v>2021</v>
      </c>
      <c r="E23" s="20"/>
      <c r="F23" s="19"/>
      <c r="G23" s="19"/>
      <c r="H23" s="20"/>
      <c r="I23" s="23"/>
      <c r="J23" s="23"/>
      <c r="K23" s="23"/>
      <c r="L23" s="23"/>
    </row>
    <row r="24" s="1" customFormat="1" spans="2:12">
      <c r="B24" s="19" t="s">
        <v>2023</v>
      </c>
      <c r="C24" s="19" t="s">
        <v>216</v>
      </c>
      <c r="D24" s="19" t="s">
        <v>2024</v>
      </c>
      <c r="E24" s="20"/>
      <c r="F24" s="19"/>
      <c r="G24" s="19"/>
      <c r="H24" s="20"/>
      <c r="I24" s="23"/>
      <c r="J24" s="23"/>
      <c r="K24" s="23"/>
      <c r="L24" s="23"/>
    </row>
    <row r="25" s="1" customFormat="1" spans="2:12">
      <c r="B25" s="19" t="s">
        <v>1178</v>
      </c>
      <c r="C25" s="19" t="s">
        <v>216</v>
      </c>
      <c r="D25" s="19" t="s">
        <v>3337</v>
      </c>
      <c r="E25" s="20"/>
      <c r="F25" s="19"/>
      <c r="G25" s="19"/>
      <c r="H25" s="20"/>
      <c r="I25" s="23"/>
      <c r="J25" s="23"/>
      <c r="K25" s="23"/>
      <c r="L25" s="23"/>
    </row>
    <row r="26" s="1" customFormat="1" spans="2:12">
      <c r="B26" s="19" t="s">
        <v>224</v>
      </c>
      <c r="C26" s="19" t="s">
        <v>216</v>
      </c>
      <c r="D26" s="19" t="s">
        <v>1052</v>
      </c>
      <c r="E26" s="20"/>
      <c r="F26" s="19"/>
      <c r="G26" s="19"/>
      <c r="H26" s="20"/>
      <c r="I26" s="23"/>
      <c r="J26" s="23"/>
      <c r="K26" s="23"/>
      <c r="L26" s="23"/>
    </row>
    <row r="27" s="1" customFormat="1" spans="2:12">
      <c r="B27" s="19" t="s">
        <v>1053</v>
      </c>
      <c r="C27" s="19" t="s">
        <v>216</v>
      </c>
      <c r="D27" s="19" t="s">
        <v>3338</v>
      </c>
      <c r="E27" s="20"/>
      <c r="F27" s="19"/>
      <c r="G27" s="19"/>
      <c r="H27" s="20"/>
      <c r="I27" s="23"/>
      <c r="J27" s="23"/>
      <c r="K27" s="23"/>
      <c r="L27" s="23"/>
    </row>
    <row r="28" s="1" customFormat="1" spans="2:12">
      <c r="B28" s="19" t="s">
        <v>267</v>
      </c>
      <c r="C28" s="19" t="s">
        <v>216</v>
      </c>
      <c r="D28" s="19" t="s">
        <v>294</v>
      </c>
      <c r="E28" s="20"/>
      <c r="F28" s="19"/>
      <c r="G28" s="19"/>
      <c r="H28" s="20"/>
      <c r="I28" s="23"/>
      <c r="J28" s="23"/>
      <c r="K28" s="23"/>
      <c r="L28" s="23"/>
    </row>
    <row r="29" s="1" customFormat="1" ht="26.4" spans="2:12">
      <c r="B29" s="19" t="s">
        <v>3339</v>
      </c>
      <c r="C29" s="19" t="s">
        <v>216</v>
      </c>
      <c r="D29" s="19" t="s">
        <v>3340</v>
      </c>
      <c r="E29" s="20"/>
      <c r="F29" s="19"/>
      <c r="G29" s="19"/>
      <c r="H29" s="20"/>
      <c r="I29" s="23"/>
      <c r="J29" s="23"/>
      <c r="K29" s="23"/>
      <c r="L29" s="23"/>
    </row>
    <row r="30" s="1" customFormat="1" spans="2:12">
      <c r="B30" s="19" t="s">
        <v>3341</v>
      </c>
      <c r="C30" s="19" t="s">
        <v>216</v>
      </c>
      <c r="D30" s="19" t="s">
        <v>3342</v>
      </c>
      <c r="E30" s="20"/>
      <c r="F30" s="19"/>
      <c r="G30" s="19"/>
      <c r="H30" s="20"/>
      <c r="I30" s="23"/>
      <c r="J30" s="23"/>
      <c r="K30" s="23"/>
      <c r="L30" s="23"/>
    </row>
    <row r="31" s="1" customFormat="1" spans="2:12">
      <c r="B31" s="19" t="s">
        <v>3001</v>
      </c>
      <c r="C31" s="19" t="s">
        <v>220</v>
      </c>
      <c r="D31" s="19" t="s">
        <v>3343</v>
      </c>
      <c r="E31" s="20"/>
      <c r="F31" s="19"/>
      <c r="G31" s="19"/>
      <c r="H31" s="20"/>
      <c r="I31" s="23"/>
      <c r="J31" s="23"/>
      <c r="K31" s="23"/>
      <c r="L31" s="23"/>
    </row>
    <row r="32" s="1" customFormat="1" spans="2:12">
      <c r="B32" s="19" t="s">
        <v>246</v>
      </c>
      <c r="C32" s="19" t="s">
        <v>220</v>
      </c>
      <c r="D32" s="19" t="s">
        <v>247</v>
      </c>
      <c r="E32" s="20"/>
      <c r="F32" s="19"/>
      <c r="G32" s="19"/>
      <c r="H32" s="20"/>
      <c r="I32" s="23"/>
      <c r="J32" s="23"/>
      <c r="K32" s="23"/>
      <c r="L32" s="23"/>
    </row>
    <row r="33" s="1" customFormat="1" spans="2:12">
      <c r="B33" s="19" t="s">
        <v>1266</v>
      </c>
      <c r="C33" s="19" t="s">
        <v>220</v>
      </c>
      <c r="D33" s="19" t="s">
        <v>3004</v>
      </c>
      <c r="E33" s="20"/>
      <c r="F33" s="19"/>
      <c r="G33" s="19"/>
      <c r="H33" s="20"/>
      <c r="I33" s="23"/>
      <c r="J33" s="23"/>
      <c r="K33" s="23"/>
      <c r="L33" s="23"/>
    </row>
    <row r="34" s="1" customFormat="1" spans="2:12">
      <c r="B34" s="19" t="s">
        <v>1268</v>
      </c>
      <c r="C34" s="19" t="s">
        <v>220</v>
      </c>
      <c r="D34" s="19" t="s">
        <v>3005</v>
      </c>
      <c r="E34" s="20"/>
      <c r="F34" s="19"/>
      <c r="G34" s="19"/>
      <c r="H34" s="20"/>
      <c r="I34" s="23"/>
      <c r="J34" s="23"/>
      <c r="K34" s="23"/>
      <c r="L34" s="23"/>
    </row>
    <row r="35" s="1" customFormat="1" ht="26.4" spans="2:12">
      <c r="B35" s="19" t="s">
        <v>3344</v>
      </c>
      <c r="C35" s="19" t="s">
        <v>220</v>
      </c>
      <c r="D35" s="19" t="s">
        <v>3345</v>
      </c>
      <c r="E35" s="20"/>
      <c r="F35" s="19"/>
      <c r="G35" s="19"/>
      <c r="H35" s="20"/>
      <c r="I35" s="23"/>
      <c r="J35" s="23"/>
      <c r="K35" s="23"/>
      <c r="L35" s="23"/>
    </row>
    <row r="36" s="1" customFormat="1" spans="2:12">
      <c r="B36" s="19" t="s">
        <v>3346</v>
      </c>
      <c r="C36" s="19" t="s">
        <v>240</v>
      </c>
      <c r="D36" s="19" t="s">
        <v>3347</v>
      </c>
      <c r="E36" s="20"/>
      <c r="F36" s="19"/>
      <c r="G36" s="19"/>
      <c r="H36" s="20"/>
      <c r="I36" s="23"/>
      <c r="J36" s="23"/>
      <c r="K36" s="23"/>
      <c r="L36" s="23"/>
    </row>
    <row r="37" s="1" customFormat="1" spans="2:12">
      <c r="B37" s="19" t="s">
        <v>3348</v>
      </c>
      <c r="C37" s="19" t="s">
        <v>240</v>
      </c>
      <c r="D37" s="19" t="s">
        <v>3349</v>
      </c>
      <c r="E37" s="20"/>
      <c r="F37" s="19"/>
      <c r="G37" s="19"/>
      <c r="H37" s="20"/>
      <c r="I37" s="23"/>
      <c r="J37" s="23"/>
      <c r="K37" s="23"/>
      <c r="L37" s="23"/>
    </row>
    <row r="38" s="1" customFormat="1" spans="2:12">
      <c r="B38" s="19" t="s">
        <v>3350</v>
      </c>
      <c r="C38" s="19" t="s">
        <v>240</v>
      </c>
      <c r="D38" s="19" t="s">
        <v>3351</v>
      </c>
      <c r="E38" s="20"/>
      <c r="F38" s="19"/>
      <c r="G38" s="19"/>
      <c r="H38" s="20"/>
      <c r="I38" s="23"/>
      <c r="J38" s="23"/>
      <c r="K38" s="23"/>
      <c r="L38" s="23"/>
    </row>
    <row r="39" s="1" customFormat="1" spans="2:12">
      <c r="B39" s="19" t="s">
        <v>3352</v>
      </c>
      <c r="C39" s="19" t="s">
        <v>240</v>
      </c>
      <c r="D39" s="19" t="s">
        <v>3353</v>
      </c>
      <c r="E39" s="20"/>
      <c r="F39" s="19"/>
      <c r="G39" s="19"/>
      <c r="H39" s="20"/>
      <c r="I39" s="23"/>
      <c r="J39" s="23"/>
      <c r="K39" s="23"/>
      <c r="L39" s="23"/>
    </row>
    <row r="40" s="1" customFormat="1" spans="2:12">
      <c r="B40" s="19" t="s">
        <v>3354</v>
      </c>
      <c r="C40" s="19" t="s">
        <v>275</v>
      </c>
      <c r="D40" s="19" t="s">
        <v>3355</v>
      </c>
      <c r="E40" s="20"/>
      <c r="F40" s="19"/>
      <c r="G40" s="19"/>
      <c r="H40" s="20"/>
      <c r="I40" s="23"/>
      <c r="J40" s="23"/>
      <c r="K40" s="23"/>
      <c r="L40" s="23"/>
    </row>
    <row r="41" s="1" customFormat="1" spans="2:12">
      <c r="B41" s="19" t="s">
        <v>3108</v>
      </c>
      <c r="C41" s="19" t="s">
        <v>275</v>
      </c>
      <c r="D41" s="19" t="s">
        <v>3356</v>
      </c>
      <c r="E41" s="20"/>
      <c r="F41" s="19"/>
      <c r="G41" s="19"/>
      <c r="H41" s="20"/>
      <c r="I41" s="23"/>
      <c r="J41" s="23"/>
      <c r="K41" s="23"/>
      <c r="L41" s="23"/>
    </row>
    <row r="42" s="1" customFormat="1" spans="2:12">
      <c r="B42" s="19" t="s">
        <v>3110</v>
      </c>
      <c r="C42" s="19" t="s">
        <v>275</v>
      </c>
      <c r="D42" s="19" t="s">
        <v>3357</v>
      </c>
      <c r="E42" s="20"/>
      <c r="F42" s="19"/>
      <c r="G42" s="19"/>
      <c r="H42" s="20"/>
      <c r="I42" s="23"/>
      <c r="J42" s="23"/>
      <c r="K42" s="23"/>
      <c r="L42" s="23"/>
    </row>
    <row r="43" s="1" customFormat="1" spans="2:12">
      <c r="B43" s="19" t="s">
        <v>3112</v>
      </c>
      <c r="C43" s="19" t="s">
        <v>240</v>
      </c>
      <c r="D43" s="19" t="s">
        <v>3358</v>
      </c>
      <c r="E43" s="20"/>
      <c r="F43" s="19"/>
      <c r="G43" s="19"/>
      <c r="H43" s="20"/>
      <c r="I43" s="23"/>
      <c r="J43" s="23"/>
      <c r="K43" s="23"/>
      <c r="L43" s="23"/>
    </row>
    <row r="44" s="1" customFormat="1" spans="2:12">
      <c r="B44" s="19" t="s">
        <v>3006</v>
      </c>
      <c r="C44" s="19" t="s">
        <v>275</v>
      </c>
      <c r="D44" s="19" t="s">
        <v>3359</v>
      </c>
      <c r="E44" s="20"/>
      <c r="F44" s="19"/>
      <c r="G44" s="19"/>
      <c r="H44" s="20"/>
      <c r="I44" s="23"/>
      <c r="J44" s="23"/>
      <c r="K44" s="23"/>
      <c r="L44" s="23"/>
    </row>
    <row r="45" s="1" customFormat="1" spans="2:12">
      <c r="B45" s="19" t="s">
        <v>3360</v>
      </c>
      <c r="C45" s="19" t="s">
        <v>275</v>
      </c>
      <c r="D45" s="19" t="s">
        <v>3361</v>
      </c>
      <c r="E45" s="20"/>
      <c r="F45" s="19"/>
      <c r="G45" s="19"/>
      <c r="H45" s="20"/>
      <c r="I45" s="23"/>
      <c r="J45" s="23"/>
      <c r="K45" s="23"/>
      <c r="L45" s="23"/>
    </row>
    <row r="46" s="1" customFormat="1" spans="2:12">
      <c r="B46" s="19" t="s">
        <v>3362</v>
      </c>
      <c r="C46" s="19" t="s">
        <v>275</v>
      </c>
      <c r="D46" s="19" t="s">
        <v>3363</v>
      </c>
      <c r="E46" s="20"/>
      <c r="F46" s="19"/>
      <c r="G46" s="19"/>
      <c r="H46" s="20"/>
      <c r="I46" s="23"/>
      <c r="J46" s="23"/>
      <c r="K46" s="23"/>
      <c r="L46" s="23"/>
    </row>
    <row r="47" s="1" customFormat="1" spans="2:12">
      <c r="B47" s="19" t="s">
        <v>3364</v>
      </c>
      <c r="C47" s="19" t="s">
        <v>275</v>
      </c>
      <c r="D47" s="19" t="s">
        <v>3365</v>
      </c>
      <c r="E47" s="20"/>
      <c r="F47" s="19"/>
      <c r="G47" s="19"/>
      <c r="H47" s="20"/>
      <c r="I47" s="23"/>
      <c r="J47" s="23"/>
      <c r="K47" s="23"/>
      <c r="L47" s="23"/>
    </row>
    <row r="48" s="1" customFormat="1" spans="2:12">
      <c r="B48" s="19" t="s">
        <v>3366</v>
      </c>
      <c r="C48" s="19" t="s">
        <v>275</v>
      </c>
      <c r="D48" s="19" t="s">
        <v>3367</v>
      </c>
      <c r="E48" s="20"/>
      <c r="F48" s="19"/>
      <c r="G48" s="19"/>
      <c r="H48" s="20"/>
      <c r="I48" s="23"/>
      <c r="J48" s="23"/>
      <c r="K48" s="23"/>
      <c r="L48" s="23"/>
    </row>
    <row r="49" s="1" customFormat="1" spans="2:12">
      <c r="B49" s="19" t="s">
        <v>3368</v>
      </c>
      <c r="C49" s="19" t="s">
        <v>240</v>
      </c>
      <c r="D49" s="19" t="s">
        <v>3369</v>
      </c>
      <c r="E49" s="20"/>
      <c r="F49" s="19"/>
      <c r="G49" s="19"/>
      <c r="H49" s="20"/>
      <c r="I49" s="23"/>
      <c r="J49" s="23"/>
      <c r="K49" s="23"/>
      <c r="L49" s="23"/>
    </row>
    <row r="50" s="1" customFormat="1" spans="2:12">
      <c r="B50" s="19" t="s">
        <v>3370</v>
      </c>
      <c r="C50" s="19" t="s">
        <v>275</v>
      </c>
      <c r="D50" s="19" t="s">
        <v>3371</v>
      </c>
      <c r="E50" s="20"/>
      <c r="F50" s="19"/>
      <c r="G50" s="19"/>
      <c r="H50" s="20"/>
      <c r="I50" s="23"/>
      <c r="J50" s="23"/>
      <c r="K50" s="23"/>
      <c r="L50" s="23"/>
    </row>
    <row r="51" s="1" customFormat="1" ht="26.4" spans="2:12">
      <c r="B51" s="19" t="s">
        <v>3372</v>
      </c>
      <c r="C51" s="19" t="s">
        <v>275</v>
      </c>
      <c r="D51" s="19" t="s">
        <v>3373</v>
      </c>
      <c r="E51" s="20"/>
      <c r="F51" s="19"/>
      <c r="G51" s="19"/>
      <c r="H51" s="20"/>
      <c r="I51" s="23"/>
      <c r="J51" s="23"/>
      <c r="K51" s="23"/>
      <c r="L51" s="23"/>
    </row>
    <row r="52" s="1" customFormat="1" ht="26.4" spans="2:12">
      <c r="B52" s="19" t="s">
        <v>3374</v>
      </c>
      <c r="C52" s="19" t="s">
        <v>275</v>
      </c>
      <c r="D52" s="19" t="s">
        <v>3375</v>
      </c>
      <c r="E52" s="20"/>
      <c r="F52" s="19"/>
      <c r="G52" s="19"/>
      <c r="H52" s="20"/>
      <c r="I52" s="23"/>
      <c r="J52" s="23"/>
      <c r="K52" s="23"/>
      <c r="L52" s="23"/>
    </row>
    <row r="53" s="1" customFormat="1" ht="26.4" spans="2:12">
      <c r="B53" s="19" t="s">
        <v>3376</v>
      </c>
      <c r="C53" s="19" t="s">
        <v>275</v>
      </c>
      <c r="D53" s="19" t="s">
        <v>3377</v>
      </c>
      <c r="E53" s="20"/>
      <c r="F53" s="19"/>
      <c r="G53" s="19"/>
      <c r="H53" s="20"/>
      <c r="I53" s="23"/>
      <c r="J53" s="23"/>
      <c r="K53" s="23"/>
      <c r="L53" s="23"/>
    </row>
    <row r="54" s="1" customFormat="1" spans="2:12">
      <c r="B54" s="19" t="s">
        <v>3378</v>
      </c>
      <c r="C54" s="19" t="s">
        <v>275</v>
      </c>
      <c r="D54" s="19" t="s">
        <v>3379</v>
      </c>
      <c r="E54" s="20"/>
      <c r="F54" s="19"/>
      <c r="G54" s="19"/>
      <c r="H54" s="20"/>
      <c r="I54" s="23"/>
      <c r="J54" s="23"/>
      <c r="K54" s="23"/>
      <c r="L54" s="23"/>
    </row>
    <row r="55" s="1" customFormat="1" spans="2:12">
      <c r="B55" s="19" t="s">
        <v>3380</v>
      </c>
      <c r="C55" s="19" t="s">
        <v>275</v>
      </c>
      <c r="D55" s="19" t="s">
        <v>3381</v>
      </c>
      <c r="E55" s="20"/>
      <c r="F55" s="19"/>
      <c r="G55" s="19"/>
      <c r="H55" s="20"/>
      <c r="I55" s="23"/>
      <c r="J55" s="23"/>
      <c r="K55" s="23"/>
      <c r="L55" s="23"/>
    </row>
    <row r="56" s="1" customFormat="1" spans="2:12">
      <c r="B56" s="19" t="s">
        <v>3382</v>
      </c>
      <c r="C56" s="19" t="s">
        <v>275</v>
      </c>
      <c r="D56" s="19" t="s">
        <v>3383</v>
      </c>
      <c r="E56" s="20"/>
      <c r="F56" s="19"/>
      <c r="G56" s="19"/>
      <c r="H56" s="20"/>
      <c r="I56" s="23"/>
      <c r="J56" s="23"/>
      <c r="K56" s="23"/>
      <c r="L56" s="23"/>
    </row>
    <row r="57" s="1" customFormat="1" spans="2:12">
      <c r="B57" s="19" t="s">
        <v>3384</v>
      </c>
      <c r="C57" s="19" t="s">
        <v>275</v>
      </c>
      <c r="D57" s="19" t="s">
        <v>3385</v>
      </c>
      <c r="E57" s="20"/>
      <c r="F57" s="19"/>
      <c r="G57" s="19"/>
      <c r="H57" s="20"/>
      <c r="I57" s="23"/>
      <c r="J57" s="23"/>
      <c r="K57" s="23"/>
      <c r="L57" s="23"/>
    </row>
    <row r="58" s="1" customFormat="1" spans="2:12">
      <c r="B58" s="19" t="s">
        <v>3386</v>
      </c>
      <c r="C58" s="19" t="s">
        <v>275</v>
      </c>
      <c r="D58" s="19" t="s">
        <v>3387</v>
      </c>
      <c r="E58" s="20"/>
      <c r="F58" s="19"/>
      <c r="G58" s="19"/>
      <c r="H58" s="20"/>
      <c r="I58" s="23"/>
      <c r="J58" s="23"/>
      <c r="K58" s="23"/>
      <c r="L58" s="23"/>
    </row>
    <row r="59" s="1" customFormat="1" spans="2:12">
      <c r="B59" s="19" t="s">
        <v>3388</v>
      </c>
      <c r="C59" s="19" t="s">
        <v>275</v>
      </c>
      <c r="D59" s="19" t="s">
        <v>3389</v>
      </c>
      <c r="E59" s="20"/>
      <c r="F59" s="19"/>
      <c r="G59" s="19"/>
      <c r="H59" s="20"/>
      <c r="I59" s="23"/>
      <c r="J59" s="23"/>
      <c r="K59" s="23"/>
      <c r="L59" s="23"/>
    </row>
    <row r="60" s="1" customFormat="1" spans="2:12">
      <c r="B60" s="19" t="s">
        <v>3390</v>
      </c>
      <c r="C60" s="19" t="s">
        <v>275</v>
      </c>
      <c r="D60" s="19" t="s">
        <v>3391</v>
      </c>
      <c r="E60" s="20"/>
      <c r="F60" s="19"/>
      <c r="G60" s="19"/>
      <c r="H60" s="20"/>
      <c r="I60" s="23"/>
      <c r="J60" s="23"/>
      <c r="K60" s="23"/>
      <c r="L60" s="23"/>
    </row>
    <row r="61" s="1" customFormat="1" spans="2:12">
      <c r="B61" s="19" t="s">
        <v>3392</v>
      </c>
      <c r="C61" s="19" t="s">
        <v>275</v>
      </c>
      <c r="D61" s="19" t="s">
        <v>3393</v>
      </c>
      <c r="E61" s="20"/>
      <c r="F61" s="19"/>
      <c r="G61" s="19"/>
      <c r="H61" s="20"/>
      <c r="I61" s="23"/>
      <c r="J61" s="23"/>
      <c r="K61" s="23"/>
      <c r="L61" s="23"/>
    </row>
    <row r="62" s="1" customFormat="1" spans="2:12">
      <c r="B62" s="19" t="s">
        <v>3394</v>
      </c>
      <c r="C62" s="19" t="s">
        <v>275</v>
      </c>
      <c r="D62" s="19" t="s">
        <v>3395</v>
      </c>
      <c r="E62" s="20"/>
      <c r="F62" s="19"/>
      <c r="G62" s="19"/>
      <c r="H62" s="20"/>
      <c r="I62" s="23"/>
      <c r="J62" s="23"/>
      <c r="K62" s="23"/>
      <c r="L62" s="23"/>
    </row>
    <row r="63" s="1" customFormat="1" spans="2:12">
      <c r="B63" s="19" t="s">
        <v>3396</v>
      </c>
      <c r="C63" s="19" t="s">
        <v>240</v>
      </c>
      <c r="D63" s="19" t="s">
        <v>3397</v>
      </c>
      <c r="E63" s="20"/>
      <c r="F63" s="19"/>
      <c r="G63" s="19"/>
      <c r="H63" s="20"/>
      <c r="I63" s="23"/>
      <c r="J63" s="23"/>
      <c r="K63" s="23"/>
      <c r="L63" s="23"/>
    </row>
    <row r="64" s="1" customFormat="1" spans="2:12">
      <c r="B64" s="19" t="s">
        <v>3398</v>
      </c>
      <c r="C64" s="19" t="s">
        <v>275</v>
      </c>
      <c r="D64" s="19" t="s">
        <v>3399</v>
      </c>
      <c r="E64" s="20"/>
      <c r="F64" s="19"/>
      <c r="G64" s="19"/>
      <c r="H64" s="20"/>
      <c r="I64" s="23"/>
      <c r="J64" s="23"/>
      <c r="K64" s="23"/>
      <c r="L64" s="23"/>
    </row>
    <row r="65" s="1" customFormat="1" spans="2:12">
      <c r="B65" s="19" t="s">
        <v>3400</v>
      </c>
      <c r="C65" s="19" t="s">
        <v>240</v>
      </c>
      <c r="D65" s="19" t="s">
        <v>3401</v>
      </c>
      <c r="E65" s="20"/>
      <c r="F65" s="19"/>
      <c r="G65" s="19"/>
      <c r="H65" s="20"/>
      <c r="I65" s="23"/>
      <c r="J65" s="23"/>
      <c r="K65" s="23"/>
      <c r="L65" s="23"/>
    </row>
    <row r="66" s="1" customFormat="1" spans="2:12">
      <c r="B66" s="19" t="s">
        <v>3402</v>
      </c>
      <c r="C66" s="19" t="s">
        <v>240</v>
      </c>
      <c r="D66" s="19" t="s">
        <v>3403</v>
      </c>
      <c r="E66" s="20"/>
      <c r="F66" s="19"/>
      <c r="G66" s="19"/>
      <c r="H66" s="20"/>
      <c r="I66" s="23"/>
      <c r="J66" s="23"/>
      <c r="K66" s="23"/>
      <c r="L66" s="23"/>
    </row>
    <row r="67" s="1" customFormat="1" spans="2:12">
      <c r="B67" s="19" t="s">
        <v>3404</v>
      </c>
      <c r="C67" s="19" t="s">
        <v>275</v>
      </c>
      <c r="D67" s="19" t="s">
        <v>3405</v>
      </c>
      <c r="E67" s="20"/>
      <c r="F67" s="19"/>
      <c r="G67" s="19"/>
      <c r="H67" s="20"/>
      <c r="I67" s="23"/>
      <c r="J67" s="23"/>
      <c r="K67" s="23"/>
      <c r="L67" s="23"/>
    </row>
    <row r="68" s="1" customFormat="1" spans="2:12">
      <c r="B68" s="19" t="s">
        <v>3406</v>
      </c>
      <c r="C68" s="19" t="s">
        <v>275</v>
      </c>
      <c r="D68" s="19" t="s">
        <v>3407</v>
      </c>
      <c r="E68" s="20"/>
      <c r="F68" s="19"/>
      <c r="G68" s="19"/>
      <c r="H68" s="20"/>
      <c r="I68" s="23"/>
      <c r="J68" s="23"/>
      <c r="K68" s="23"/>
      <c r="L68" s="23"/>
    </row>
    <row r="69" s="1" customFormat="1" ht="26.4" spans="2:12">
      <c r="B69" s="19" t="s">
        <v>3408</v>
      </c>
      <c r="C69" s="19" t="s">
        <v>275</v>
      </c>
      <c r="D69" s="19" t="s">
        <v>3409</v>
      </c>
      <c r="E69" s="20"/>
      <c r="F69" s="19"/>
      <c r="G69" s="19"/>
      <c r="H69" s="20"/>
      <c r="I69" s="23"/>
      <c r="J69" s="23"/>
      <c r="K69" s="23"/>
      <c r="L69" s="23"/>
    </row>
    <row r="70" s="1" customFormat="1" ht="26.4" spans="2:12">
      <c r="B70" s="19" t="s">
        <v>3410</v>
      </c>
      <c r="C70" s="19" t="s">
        <v>275</v>
      </c>
      <c r="D70" s="19" t="s">
        <v>3411</v>
      </c>
      <c r="E70" s="20"/>
      <c r="F70" s="19"/>
      <c r="G70" s="19"/>
      <c r="H70" s="20"/>
      <c r="I70" s="23"/>
      <c r="J70" s="23"/>
      <c r="K70" s="23"/>
      <c r="L70" s="23"/>
    </row>
    <row r="71" s="1" customFormat="1" spans="2:12">
      <c r="B71" s="19" t="s">
        <v>3412</v>
      </c>
      <c r="C71" s="19" t="s">
        <v>275</v>
      </c>
      <c r="D71" s="19" t="s">
        <v>3413</v>
      </c>
      <c r="E71" s="20"/>
      <c r="F71" s="19"/>
      <c r="G71" s="19"/>
      <c r="H71" s="20"/>
      <c r="I71" s="23"/>
      <c r="J71" s="23"/>
      <c r="K71" s="23"/>
      <c r="L71" s="23"/>
    </row>
    <row r="72" s="1" customFormat="1" spans="2:12">
      <c r="B72" s="19" t="s">
        <v>3414</v>
      </c>
      <c r="C72" s="19" t="s">
        <v>275</v>
      </c>
      <c r="D72" s="19" t="s">
        <v>3415</v>
      </c>
      <c r="E72" s="20"/>
      <c r="F72" s="19"/>
      <c r="G72" s="19"/>
      <c r="H72" s="20"/>
      <c r="I72" s="23"/>
      <c r="J72" s="23"/>
      <c r="K72" s="23"/>
      <c r="L72" s="23"/>
    </row>
    <row r="73" s="1" customFormat="1" spans="2:12">
      <c r="B73" s="19" t="s">
        <v>3416</v>
      </c>
      <c r="C73" s="19" t="s">
        <v>275</v>
      </c>
      <c r="D73" s="19" t="s">
        <v>3417</v>
      </c>
      <c r="E73" s="20"/>
      <c r="F73" s="19"/>
      <c r="G73" s="19"/>
      <c r="H73" s="20"/>
      <c r="I73" s="23"/>
      <c r="J73" s="23"/>
      <c r="K73" s="23"/>
      <c r="L73" s="23"/>
    </row>
    <row r="74" s="1" customFormat="1" spans="2:12">
      <c r="B74" s="19" t="s">
        <v>3418</v>
      </c>
      <c r="C74" s="19" t="s">
        <v>275</v>
      </c>
      <c r="D74" s="19" t="s">
        <v>3419</v>
      </c>
      <c r="E74" s="20"/>
      <c r="F74" s="19"/>
      <c r="G74" s="19"/>
      <c r="H74" s="20"/>
      <c r="I74" s="23"/>
      <c r="J74" s="23"/>
      <c r="K74" s="23"/>
      <c r="L74" s="23"/>
    </row>
    <row r="75" s="1" customFormat="1" spans="2:12">
      <c r="B75" s="19" t="s">
        <v>3420</v>
      </c>
      <c r="C75" s="19" t="s">
        <v>275</v>
      </c>
      <c r="D75" s="19" t="s">
        <v>3421</v>
      </c>
      <c r="E75" s="20"/>
      <c r="F75" s="19"/>
      <c r="G75" s="19"/>
      <c r="H75" s="20"/>
      <c r="I75" s="23"/>
      <c r="J75" s="23"/>
      <c r="K75" s="23"/>
      <c r="L75" s="23"/>
    </row>
    <row r="76" s="1" customFormat="1" spans="2:12">
      <c r="B76" s="19" t="s">
        <v>3422</v>
      </c>
      <c r="C76" s="19" t="s">
        <v>275</v>
      </c>
      <c r="D76" s="19" t="s">
        <v>3423</v>
      </c>
      <c r="E76" s="20"/>
      <c r="F76" s="19"/>
      <c r="G76" s="19"/>
      <c r="H76" s="20"/>
      <c r="I76" s="23"/>
      <c r="J76" s="23"/>
      <c r="K76" s="23"/>
      <c r="L76" s="23"/>
    </row>
    <row r="77" s="1" customFormat="1" spans="2:12">
      <c r="B77" s="19" t="s">
        <v>3424</v>
      </c>
      <c r="C77" s="19" t="s">
        <v>275</v>
      </c>
      <c r="D77" s="19" t="s">
        <v>3425</v>
      </c>
      <c r="E77" s="20"/>
      <c r="F77" s="19"/>
      <c r="G77" s="19"/>
      <c r="H77" s="20"/>
      <c r="I77" s="23"/>
      <c r="J77" s="23"/>
      <c r="K77" s="23"/>
      <c r="L77" s="23"/>
    </row>
    <row r="78" s="1" customFormat="1" spans="2:12">
      <c r="B78" s="19" t="s">
        <v>3426</v>
      </c>
      <c r="C78" s="19" t="s">
        <v>275</v>
      </c>
      <c r="D78" s="19" t="s">
        <v>3427</v>
      </c>
      <c r="E78" s="20"/>
      <c r="F78" s="19"/>
      <c r="G78" s="19"/>
      <c r="H78" s="20"/>
      <c r="I78" s="23"/>
      <c r="J78" s="23"/>
      <c r="K78" s="23"/>
      <c r="L78" s="23"/>
    </row>
    <row r="79" s="1" customFormat="1" spans="2:12">
      <c r="B79" s="19" t="s">
        <v>3428</v>
      </c>
      <c r="C79" s="19" t="s">
        <v>275</v>
      </c>
      <c r="D79" s="19" t="s">
        <v>3429</v>
      </c>
      <c r="E79" s="20"/>
      <c r="F79" s="19"/>
      <c r="G79" s="19"/>
      <c r="H79" s="20"/>
      <c r="I79" s="23"/>
      <c r="J79" s="23"/>
      <c r="K79" s="23"/>
      <c r="L79" s="23"/>
    </row>
    <row r="80" s="1" customFormat="1" spans="2:12">
      <c r="B80" s="19" t="s">
        <v>3430</v>
      </c>
      <c r="C80" s="19" t="s">
        <v>240</v>
      </c>
      <c r="D80" s="19" t="s">
        <v>3431</v>
      </c>
      <c r="E80" s="20"/>
      <c r="F80" s="19"/>
      <c r="G80" s="19"/>
      <c r="H80" s="20"/>
      <c r="I80" s="23"/>
      <c r="J80" s="23"/>
      <c r="K80" s="23"/>
      <c r="L80" s="23"/>
    </row>
    <row r="81" s="1" customFormat="1" spans="2:12">
      <c r="B81" s="19" t="s">
        <v>3432</v>
      </c>
      <c r="C81" s="19" t="s">
        <v>275</v>
      </c>
      <c r="D81" s="19" t="s">
        <v>3433</v>
      </c>
      <c r="E81" s="20"/>
      <c r="F81" s="19"/>
      <c r="G81" s="19"/>
      <c r="H81" s="20"/>
      <c r="I81" s="23"/>
      <c r="J81" s="23"/>
      <c r="K81" s="23"/>
      <c r="L81" s="23"/>
    </row>
    <row r="82" s="1" customFormat="1" spans="2:12">
      <c r="B82" s="19" t="s">
        <v>3434</v>
      </c>
      <c r="C82" s="19" t="s">
        <v>240</v>
      </c>
      <c r="D82" s="19" t="s">
        <v>3435</v>
      </c>
      <c r="E82" s="20"/>
      <c r="F82" s="19"/>
      <c r="G82" s="19"/>
      <c r="H82" s="20"/>
      <c r="I82" s="23"/>
      <c r="J82" s="23"/>
      <c r="K82" s="23"/>
      <c r="L82" s="23"/>
    </row>
    <row r="83" s="1" customFormat="1" spans="2:12">
      <c r="B83" s="19" t="s">
        <v>3436</v>
      </c>
      <c r="C83" s="19" t="s">
        <v>240</v>
      </c>
      <c r="D83" s="19" t="s">
        <v>3437</v>
      </c>
      <c r="E83" s="20"/>
      <c r="F83" s="19"/>
      <c r="G83" s="19"/>
      <c r="H83" s="20"/>
      <c r="I83" s="23"/>
      <c r="J83" s="23"/>
      <c r="K83" s="23"/>
      <c r="L83" s="23"/>
    </row>
    <row r="84" s="1" customFormat="1" spans="2:12">
      <c r="B84" s="19" t="s">
        <v>3438</v>
      </c>
      <c r="C84" s="19" t="s">
        <v>275</v>
      </c>
      <c r="D84" s="19" t="s">
        <v>3439</v>
      </c>
      <c r="E84" s="20"/>
      <c r="F84" s="19"/>
      <c r="G84" s="19"/>
      <c r="H84" s="20"/>
      <c r="I84" s="23"/>
      <c r="J84" s="23"/>
      <c r="K84" s="23"/>
      <c r="L84" s="23"/>
    </row>
    <row r="85" s="1" customFormat="1" spans="2:12">
      <c r="B85" s="19" t="s">
        <v>3440</v>
      </c>
      <c r="C85" s="19" t="s">
        <v>275</v>
      </c>
      <c r="D85" s="19" t="s">
        <v>3441</v>
      </c>
      <c r="E85" s="20"/>
      <c r="F85" s="19"/>
      <c r="G85" s="19"/>
      <c r="H85" s="20"/>
      <c r="I85" s="23"/>
      <c r="J85" s="23"/>
      <c r="K85" s="23"/>
      <c r="L85" s="23"/>
    </row>
    <row r="86" s="1" customFormat="1" spans="2:12">
      <c r="B86" s="19" t="s">
        <v>3442</v>
      </c>
      <c r="C86" s="19" t="s">
        <v>275</v>
      </c>
      <c r="D86" s="19" t="s">
        <v>3443</v>
      </c>
      <c r="E86" s="20"/>
      <c r="F86" s="19"/>
      <c r="G86" s="19"/>
      <c r="H86" s="20"/>
      <c r="I86" s="23"/>
      <c r="J86" s="23"/>
      <c r="K86" s="23"/>
      <c r="L86" s="23"/>
    </row>
    <row r="87" s="1" customFormat="1" spans="2:12">
      <c r="B87" s="19" t="s">
        <v>3444</v>
      </c>
      <c r="C87" s="19" t="s">
        <v>275</v>
      </c>
      <c r="D87" s="19" t="s">
        <v>3445</v>
      </c>
      <c r="E87" s="20"/>
      <c r="F87" s="19"/>
      <c r="G87" s="19"/>
      <c r="H87" s="20"/>
      <c r="I87" s="23"/>
      <c r="J87" s="23"/>
      <c r="K87" s="23"/>
      <c r="L87" s="23"/>
    </row>
    <row r="88" s="1" customFormat="1" spans="2:12">
      <c r="B88" s="19" t="s">
        <v>3446</v>
      </c>
      <c r="C88" s="19" t="s">
        <v>275</v>
      </c>
      <c r="D88" s="19" t="s">
        <v>3447</v>
      </c>
      <c r="E88" s="20"/>
      <c r="F88" s="19"/>
      <c r="G88" s="19"/>
      <c r="H88" s="20"/>
      <c r="I88" s="23"/>
      <c r="J88" s="23"/>
      <c r="K88" s="23"/>
      <c r="L88" s="23"/>
    </row>
    <row r="89" s="1" customFormat="1" spans="2:12">
      <c r="B89" s="19" t="s">
        <v>3448</v>
      </c>
      <c r="C89" s="19" t="s">
        <v>275</v>
      </c>
      <c r="D89" s="19" t="s">
        <v>3449</v>
      </c>
      <c r="E89" s="20"/>
      <c r="F89" s="19"/>
      <c r="G89" s="19"/>
      <c r="H89" s="20"/>
      <c r="I89" s="23"/>
      <c r="J89" s="23"/>
      <c r="K89" s="23"/>
      <c r="L89" s="23"/>
    </row>
    <row r="90" s="1" customFormat="1" spans="2:12">
      <c r="B90" s="19" t="s">
        <v>3450</v>
      </c>
      <c r="C90" s="19" t="s">
        <v>275</v>
      </c>
      <c r="D90" s="19" t="s">
        <v>3451</v>
      </c>
      <c r="E90" s="20"/>
      <c r="F90" s="19"/>
      <c r="G90" s="19"/>
      <c r="H90" s="20"/>
      <c r="I90" s="23"/>
      <c r="J90" s="23"/>
      <c r="K90" s="23"/>
      <c r="L90" s="23"/>
    </row>
    <row r="91" s="1" customFormat="1" spans="2:12">
      <c r="B91" s="19" t="s">
        <v>3452</v>
      </c>
      <c r="C91" s="19" t="s">
        <v>275</v>
      </c>
      <c r="D91" s="19" t="s">
        <v>3453</v>
      </c>
      <c r="E91" s="20"/>
      <c r="F91" s="19"/>
      <c r="G91" s="19"/>
      <c r="H91" s="20"/>
      <c r="I91" s="23"/>
      <c r="J91" s="23"/>
      <c r="K91" s="23"/>
      <c r="L91" s="23"/>
    </row>
    <row r="92" s="1" customFormat="1" spans="2:12">
      <c r="B92" s="19" t="s">
        <v>3454</v>
      </c>
      <c r="C92" s="19" t="s">
        <v>275</v>
      </c>
      <c r="D92" s="19" t="s">
        <v>3455</v>
      </c>
      <c r="E92" s="20"/>
      <c r="F92" s="19"/>
      <c r="G92" s="19"/>
      <c r="H92" s="20"/>
      <c r="I92" s="23"/>
      <c r="J92" s="23"/>
      <c r="K92" s="23"/>
      <c r="L92" s="23"/>
    </row>
    <row r="93" s="1" customFormat="1" spans="2:12">
      <c r="B93" s="19" t="s">
        <v>3456</v>
      </c>
      <c r="C93" s="19" t="s">
        <v>275</v>
      </c>
      <c r="D93" s="19" t="s">
        <v>3457</v>
      </c>
      <c r="E93" s="20"/>
      <c r="F93" s="19"/>
      <c r="G93" s="19"/>
      <c r="H93" s="20"/>
      <c r="I93" s="23"/>
      <c r="J93" s="23"/>
      <c r="K93" s="23"/>
      <c r="L93" s="23"/>
    </row>
    <row r="94" s="1" customFormat="1" spans="2:12">
      <c r="B94" s="19" t="s">
        <v>3458</v>
      </c>
      <c r="C94" s="19" t="s">
        <v>275</v>
      </c>
      <c r="D94" s="19" t="s">
        <v>3459</v>
      </c>
      <c r="E94" s="20"/>
      <c r="F94" s="19"/>
      <c r="G94" s="19"/>
      <c r="H94" s="20"/>
      <c r="I94" s="23"/>
      <c r="J94" s="23"/>
      <c r="K94" s="23"/>
      <c r="L94" s="23"/>
    </row>
    <row r="95" s="1" customFormat="1" spans="2:12">
      <c r="B95" s="19" t="s">
        <v>3460</v>
      </c>
      <c r="C95" s="19" t="s">
        <v>275</v>
      </c>
      <c r="D95" s="19" t="s">
        <v>3461</v>
      </c>
      <c r="E95" s="20"/>
      <c r="F95" s="19"/>
      <c r="G95" s="19"/>
      <c r="H95" s="20"/>
      <c r="I95" s="23"/>
      <c r="J95" s="23"/>
      <c r="K95" s="23"/>
      <c r="L95" s="23"/>
    </row>
    <row r="96" s="1" customFormat="1" spans="2:12">
      <c r="B96" s="19" t="s">
        <v>3462</v>
      </c>
      <c r="C96" s="19" t="s">
        <v>275</v>
      </c>
      <c r="D96" s="19" t="s">
        <v>3463</v>
      </c>
      <c r="E96" s="20"/>
      <c r="F96" s="19"/>
      <c r="G96" s="19"/>
      <c r="H96" s="20"/>
      <c r="I96" s="23"/>
      <c r="J96" s="23"/>
      <c r="K96" s="23"/>
      <c r="L96" s="23"/>
    </row>
    <row r="97" s="1" customFormat="1" spans="2:12">
      <c r="B97" s="19" t="s">
        <v>3464</v>
      </c>
      <c r="C97" s="19" t="s">
        <v>240</v>
      </c>
      <c r="D97" s="19" t="s">
        <v>3465</v>
      </c>
      <c r="E97" s="20"/>
      <c r="F97" s="19"/>
      <c r="G97" s="19"/>
      <c r="H97" s="20"/>
      <c r="I97" s="23"/>
      <c r="J97" s="23"/>
      <c r="K97" s="23"/>
      <c r="L97" s="23"/>
    </row>
    <row r="98" s="1" customFormat="1" spans="2:12">
      <c r="B98" s="19" t="s">
        <v>3466</v>
      </c>
      <c r="C98" s="19" t="s">
        <v>275</v>
      </c>
      <c r="D98" s="19" t="s">
        <v>3467</v>
      </c>
      <c r="E98" s="20"/>
      <c r="F98" s="19"/>
      <c r="G98" s="19"/>
      <c r="H98" s="20"/>
      <c r="I98" s="23"/>
      <c r="J98" s="23"/>
      <c r="K98" s="23"/>
      <c r="L98" s="23"/>
    </row>
    <row r="99" s="1" customFormat="1" spans="2:12">
      <c r="B99" s="19" t="s">
        <v>3086</v>
      </c>
      <c r="C99" s="19" t="s">
        <v>275</v>
      </c>
      <c r="D99" s="19" t="s">
        <v>3468</v>
      </c>
      <c r="E99" s="20"/>
      <c r="F99" s="19"/>
      <c r="G99" s="19"/>
      <c r="H99" s="20"/>
      <c r="I99" s="23"/>
      <c r="J99" s="23"/>
      <c r="K99" s="23"/>
      <c r="L99" s="23"/>
    </row>
    <row r="100" s="1" customFormat="1" spans="2:12">
      <c r="B100" s="19" t="s">
        <v>3469</v>
      </c>
      <c r="C100" s="19" t="s">
        <v>240</v>
      </c>
      <c r="D100" s="19" t="s">
        <v>3470</v>
      </c>
      <c r="E100" s="20"/>
      <c r="F100" s="19"/>
      <c r="G100" s="19"/>
      <c r="H100" s="20"/>
      <c r="I100" s="23"/>
      <c r="J100" s="23"/>
      <c r="K100" s="23"/>
      <c r="L100" s="23"/>
    </row>
    <row r="101" s="1" customFormat="1" spans="2:12">
      <c r="B101" s="19" t="s">
        <v>3090</v>
      </c>
      <c r="C101" s="19" t="s">
        <v>343</v>
      </c>
      <c r="D101" s="19" t="s">
        <v>3471</v>
      </c>
      <c r="E101" s="20"/>
      <c r="F101" s="19"/>
      <c r="G101" s="19"/>
      <c r="H101" s="20"/>
      <c r="I101" s="23"/>
      <c r="J101" s="23"/>
      <c r="K101" s="23"/>
      <c r="L101" s="23"/>
    </row>
    <row r="102" s="1" customFormat="1" spans="2:12">
      <c r="B102" s="19" t="s">
        <v>3472</v>
      </c>
      <c r="C102" s="19" t="s">
        <v>275</v>
      </c>
      <c r="D102" s="19" t="s">
        <v>3473</v>
      </c>
      <c r="E102" s="20"/>
      <c r="F102" s="19"/>
      <c r="G102" s="19"/>
      <c r="H102" s="20"/>
      <c r="I102" s="23"/>
      <c r="J102" s="23"/>
      <c r="K102" s="23"/>
      <c r="L102" s="23"/>
    </row>
    <row r="103" s="1" customFormat="1" spans="2:12">
      <c r="B103" s="19" t="s">
        <v>3094</v>
      </c>
      <c r="C103" s="19" t="s">
        <v>275</v>
      </c>
      <c r="D103" s="19" t="s">
        <v>3474</v>
      </c>
      <c r="E103" s="20"/>
      <c r="F103" s="19"/>
      <c r="G103" s="19"/>
      <c r="H103" s="20"/>
      <c r="I103" s="23"/>
      <c r="J103" s="23"/>
      <c r="K103" s="23"/>
      <c r="L103" s="23"/>
    </row>
    <row r="104" s="1" customFormat="1" spans="2:12">
      <c r="B104" s="19" t="s">
        <v>3475</v>
      </c>
      <c r="C104" s="19" t="s">
        <v>240</v>
      </c>
      <c r="D104" s="19" t="s">
        <v>3476</v>
      </c>
      <c r="E104" s="20"/>
      <c r="F104" s="19"/>
      <c r="G104" s="19"/>
      <c r="H104" s="20"/>
      <c r="I104" s="23"/>
      <c r="J104" s="23"/>
      <c r="K104" s="23"/>
      <c r="L104" s="23"/>
    </row>
    <row r="105" s="1" customFormat="1" spans="2:12">
      <c r="B105" s="19" t="s">
        <v>3098</v>
      </c>
      <c r="C105" s="19" t="s">
        <v>343</v>
      </c>
      <c r="D105" s="19" t="s">
        <v>3477</v>
      </c>
      <c r="E105" s="20"/>
      <c r="F105" s="19"/>
      <c r="G105" s="19"/>
      <c r="H105" s="20"/>
      <c r="I105" s="23"/>
      <c r="J105" s="23"/>
      <c r="K105" s="23"/>
      <c r="L105" s="23"/>
    </row>
    <row r="106" s="1" customFormat="1" spans="2:12">
      <c r="B106" s="19" t="s">
        <v>3478</v>
      </c>
      <c r="C106" s="19" t="s">
        <v>275</v>
      </c>
      <c r="D106" s="19" t="s">
        <v>3479</v>
      </c>
      <c r="E106" s="20"/>
      <c r="F106" s="19"/>
      <c r="G106" s="19"/>
      <c r="H106" s="20"/>
      <c r="I106" s="23"/>
      <c r="J106" s="23"/>
      <c r="K106" s="23"/>
      <c r="L106" s="23"/>
    </row>
    <row r="107" s="1" customFormat="1" spans="2:12">
      <c r="B107" s="19" t="s">
        <v>3102</v>
      </c>
      <c r="C107" s="19" t="s">
        <v>275</v>
      </c>
      <c r="D107" s="19" t="s">
        <v>3480</v>
      </c>
      <c r="E107" s="20"/>
      <c r="F107" s="19"/>
      <c r="G107" s="19"/>
      <c r="H107" s="20"/>
      <c r="I107" s="23"/>
      <c r="J107" s="23"/>
      <c r="K107" s="23"/>
      <c r="L107" s="23"/>
    </row>
    <row r="108" s="1" customFormat="1" spans="2:12">
      <c r="B108" s="19" t="s">
        <v>3481</v>
      </c>
      <c r="C108" s="19" t="s">
        <v>240</v>
      </c>
      <c r="D108" s="19" t="s">
        <v>3482</v>
      </c>
      <c r="E108" s="20"/>
      <c r="F108" s="19"/>
      <c r="G108" s="19"/>
      <c r="H108" s="20"/>
      <c r="I108" s="23"/>
      <c r="J108" s="23"/>
      <c r="K108" s="23"/>
      <c r="L108" s="23"/>
    </row>
    <row r="109" s="1" customFormat="1" spans="2:12">
      <c r="B109" s="19" t="s">
        <v>3106</v>
      </c>
      <c r="C109" s="19" t="s">
        <v>343</v>
      </c>
      <c r="D109" s="19" t="s">
        <v>3483</v>
      </c>
      <c r="E109" s="20"/>
      <c r="F109" s="19"/>
      <c r="G109" s="19"/>
      <c r="H109" s="20"/>
      <c r="I109" s="23"/>
      <c r="J109" s="23"/>
      <c r="K109" s="23"/>
      <c r="L109" s="23"/>
    </row>
    <row r="110" s="1" customFormat="1" spans="2:12">
      <c r="B110" s="19" t="s">
        <v>3484</v>
      </c>
      <c r="C110" s="19" t="s">
        <v>275</v>
      </c>
      <c r="D110" s="19" t="s">
        <v>3485</v>
      </c>
      <c r="E110" s="20"/>
      <c r="F110" s="19"/>
      <c r="G110" s="19"/>
      <c r="H110" s="20"/>
      <c r="I110" s="23"/>
      <c r="J110" s="23"/>
      <c r="K110" s="23"/>
      <c r="L110" s="23"/>
    </row>
    <row r="111" s="1" customFormat="1" spans="2:12">
      <c r="B111" s="19" t="s">
        <v>3486</v>
      </c>
      <c r="C111" s="19" t="s">
        <v>275</v>
      </c>
      <c r="D111" s="19" t="s">
        <v>3487</v>
      </c>
      <c r="E111" s="20"/>
      <c r="F111" s="19"/>
      <c r="G111" s="19"/>
      <c r="H111" s="20"/>
      <c r="I111" s="23"/>
      <c r="J111" s="23"/>
      <c r="K111" s="23"/>
      <c r="L111" s="23"/>
    </row>
    <row r="112" s="1" customFormat="1" spans="2:12">
      <c r="B112" s="19" t="s">
        <v>3488</v>
      </c>
      <c r="C112" s="19" t="s">
        <v>275</v>
      </c>
      <c r="D112" s="19" t="s">
        <v>3489</v>
      </c>
      <c r="E112" s="20"/>
      <c r="F112" s="19"/>
      <c r="G112" s="19"/>
      <c r="H112" s="20"/>
      <c r="I112" s="23"/>
      <c r="J112" s="23"/>
      <c r="K112" s="23"/>
      <c r="L112" s="23"/>
    </row>
    <row r="113" s="1" customFormat="1" spans="2:12">
      <c r="B113" s="19" t="s">
        <v>3490</v>
      </c>
      <c r="C113" s="19" t="s">
        <v>275</v>
      </c>
      <c r="D113" s="19" t="s">
        <v>3491</v>
      </c>
      <c r="E113" s="20"/>
      <c r="F113" s="19"/>
      <c r="G113" s="19"/>
      <c r="H113" s="20"/>
      <c r="I113" s="23"/>
      <c r="J113" s="23"/>
      <c r="K113" s="23"/>
      <c r="L113" s="23"/>
    </row>
    <row r="114" s="1" customFormat="1" spans="2:12">
      <c r="B114" s="19" t="s">
        <v>3492</v>
      </c>
      <c r="C114" s="19" t="s">
        <v>275</v>
      </c>
      <c r="D114" s="19" t="s">
        <v>3493</v>
      </c>
      <c r="E114" s="20"/>
      <c r="F114" s="19"/>
      <c r="G114" s="19"/>
      <c r="H114" s="20"/>
      <c r="I114" s="23"/>
      <c r="J114" s="23"/>
      <c r="K114" s="23"/>
      <c r="L114" s="23"/>
    </row>
    <row r="115" s="1" customFormat="1" spans="2:12">
      <c r="B115" s="19" t="s">
        <v>3494</v>
      </c>
      <c r="C115" s="19" t="s">
        <v>275</v>
      </c>
      <c r="D115" s="19" t="s">
        <v>3495</v>
      </c>
      <c r="E115" s="20"/>
      <c r="F115" s="19"/>
      <c r="G115" s="19"/>
      <c r="H115" s="20"/>
      <c r="I115" s="23"/>
      <c r="J115" s="23"/>
      <c r="K115" s="23"/>
      <c r="L115" s="23"/>
    </row>
    <row r="116" s="1" customFormat="1" spans="2:12">
      <c r="B116" s="19" t="s">
        <v>3496</v>
      </c>
      <c r="C116" s="19" t="s">
        <v>275</v>
      </c>
      <c r="D116" s="19" t="s">
        <v>3497</v>
      </c>
      <c r="E116" s="20"/>
      <c r="F116" s="19"/>
      <c r="G116" s="19"/>
      <c r="H116" s="20"/>
      <c r="I116" s="23"/>
      <c r="J116" s="23"/>
      <c r="K116" s="23"/>
      <c r="L116" s="23"/>
    </row>
    <row r="117" s="1" customFormat="1" spans="2:12">
      <c r="B117" s="19" t="s">
        <v>3498</v>
      </c>
      <c r="C117" s="19" t="s">
        <v>275</v>
      </c>
      <c r="D117" s="19" t="s">
        <v>3499</v>
      </c>
      <c r="E117" s="20"/>
      <c r="F117" s="19"/>
      <c r="G117" s="19"/>
      <c r="H117" s="20"/>
      <c r="I117" s="23"/>
      <c r="J117" s="23"/>
      <c r="K117" s="23"/>
      <c r="L117" s="23"/>
    </row>
    <row r="118" s="1" customFormat="1" spans="2:12">
      <c r="B118" s="19" t="s">
        <v>3500</v>
      </c>
      <c r="C118" s="19" t="s">
        <v>275</v>
      </c>
      <c r="D118" s="19" t="s">
        <v>3501</v>
      </c>
      <c r="E118" s="20"/>
      <c r="F118" s="19"/>
      <c r="G118" s="19"/>
      <c r="H118" s="20"/>
      <c r="I118" s="23"/>
      <c r="J118" s="23"/>
      <c r="K118" s="23"/>
      <c r="L118" s="23"/>
    </row>
    <row r="119" s="1" customFormat="1" spans="2:12">
      <c r="B119" s="19" t="s">
        <v>3502</v>
      </c>
      <c r="C119" s="19" t="s">
        <v>275</v>
      </c>
      <c r="D119" s="19" t="s">
        <v>3503</v>
      </c>
      <c r="E119" s="20"/>
      <c r="F119" s="19"/>
      <c r="G119" s="19"/>
      <c r="H119" s="20"/>
      <c r="I119" s="23"/>
      <c r="J119" s="23"/>
      <c r="K119" s="23"/>
      <c r="L119" s="23"/>
    </row>
    <row r="120" s="1" customFormat="1" spans="2:12">
      <c r="B120" s="19" t="s">
        <v>3504</v>
      </c>
      <c r="C120" s="19" t="s">
        <v>275</v>
      </c>
      <c r="D120" s="19" t="s">
        <v>3505</v>
      </c>
      <c r="E120" s="20"/>
      <c r="F120" s="19"/>
      <c r="G120" s="19"/>
      <c r="H120" s="20"/>
      <c r="I120" s="23"/>
      <c r="J120" s="23"/>
      <c r="K120" s="23"/>
      <c r="L120" s="23"/>
    </row>
    <row r="121" s="1" customFormat="1" spans="2:12">
      <c r="B121" s="19" t="s">
        <v>3506</v>
      </c>
      <c r="C121" s="19" t="s">
        <v>275</v>
      </c>
      <c r="D121" s="19" t="s">
        <v>3507</v>
      </c>
      <c r="E121" s="20"/>
      <c r="F121" s="19"/>
      <c r="G121" s="19"/>
      <c r="H121" s="20"/>
      <c r="I121" s="23"/>
      <c r="J121" s="23"/>
      <c r="K121" s="23"/>
      <c r="L121" s="23"/>
    </row>
    <row r="122" s="1" customFormat="1" spans="2:12">
      <c r="B122" s="19" t="s">
        <v>3508</v>
      </c>
      <c r="C122" s="19" t="s">
        <v>275</v>
      </c>
      <c r="D122" s="19" t="s">
        <v>3509</v>
      </c>
      <c r="E122" s="20"/>
      <c r="F122" s="19"/>
      <c r="G122" s="19"/>
      <c r="H122" s="20"/>
      <c r="I122" s="23"/>
      <c r="J122" s="23"/>
      <c r="K122" s="23"/>
      <c r="L122" s="23"/>
    </row>
    <row r="123" s="1" customFormat="1" spans="2:12">
      <c r="B123" s="19" t="s">
        <v>3510</v>
      </c>
      <c r="C123" s="19" t="s">
        <v>275</v>
      </c>
      <c r="D123" s="19" t="s">
        <v>3511</v>
      </c>
      <c r="E123" s="20"/>
      <c r="F123" s="19"/>
      <c r="G123" s="19"/>
      <c r="H123" s="20"/>
      <c r="I123" s="23"/>
      <c r="J123" s="23"/>
      <c r="K123" s="23"/>
      <c r="L123" s="23"/>
    </row>
    <row r="124" s="1" customFormat="1" spans="2:12">
      <c r="B124" s="19" t="s">
        <v>3512</v>
      </c>
      <c r="C124" s="19" t="s">
        <v>275</v>
      </c>
      <c r="D124" s="19" t="s">
        <v>3513</v>
      </c>
      <c r="E124" s="20"/>
      <c r="F124" s="19"/>
      <c r="G124" s="19"/>
      <c r="H124" s="20"/>
      <c r="I124" s="23"/>
      <c r="J124" s="23"/>
      <c r="K124" s="23"/>
      <c r="L124" s="23"/>
    </row>
    <row r="125" s="1" customFormat="1" spans="2:12">
      <c r="B125" s="19" t="s">
        <v>3514</v>
      </c>
      <c r="C125" s="19" t="s">
        <v>275</v>
      </c>
      <c r="D125" s="19" t="s">
        <v>3515</v>
      </c>
      <c r="E125" s="20"/>
      <c r="F125" s="19"/>
      <c r="G125" s="19"/>
      <c r="H125" s="20"/>
      <c r="I125" s="23"/>
      <c r="J125" s="23"/>
      <c r="K125" s="23"/>
      <c r="L125" s="23"/>
    </row>
    <row r="126" s="1" customFormat="1" spans="2:12">
      <c r="B126" s="19" t="s">
        <v>3516</v>
      </c>
      <c r="C126" s="19" t="s">
        <v>275</v>
      </c>
      <c r="D126" s="19" t="s">
        <v>3517</v>
      </c>
      <c r="E126" s="20"/>
      <c r="F126" s="19"/>
      <c r="G126" s="19"/>
      <c r="H126" s="20"/>
      <c r="I126" s="23"/>
      <c r="J126" s="23"/>
      <c r="K126" s="23"/>
      <c r="L126" s="23"/>
    </row>
    <row r="127" s="1" customFormat="1" spans="2:12">
      <c r="B127" s="19" t="s">
        <v>3518</v>
      </c>
      <c r="C127" s="19" t="s">
        <v>275</v>
      </c>
      <c r="D127" s="19" t="s">
        <v>3519</v>
      </c>
      <c r="E127" s="20"/>
      <c r="F127" s="19"/>
      <c r="G127" s="19"/>
      <c r="H127" s="20"/>
      <c r="I127" s="23"/>
      <c r="J127" s="23"/>
      <c r="K127" s="23"/>
      <c r="L127" s="23"/>
    </row>
    <row r="128" s="1" customFormat="1" spans="2:12">
      <c r="B128" s="19" t="s">
        <v>3520</v>
      </c>
      <c r="C128" s="19" t="s">
        <v>275</v>
      </c>
      <c r="D128" s="19" t="s">
        <v>3521</v>
      </c>
      <c r="E128" s="20"/>
      <c r="F128" s="19"/>
      <c r="G128" s="19"/>
      <c r="H128" s="20"/>
      <c r="I128" s="23"/>
      <c r="J128" s="23"/>
      <c r="K128" s="23"/>
      <c r="L128" s="23"/>
    </row>
    <row r="129" s="1" customFormat="1" spans="2:12">
      <c r="B129" s="19" t="s">
        <v>3522</v>
      </c>
      <c r="C129" s="19" t="s">
        <v>275</v>
      </c>
      <c r="D129" s="19" t="s">
        <v>3523</v>
      </c>
      <c r="E129" s="20"/>
      <c r="F129" s="19"/>
      <c r="G129" s="19"/>
      <c r="H129" s="20"/>
      <c r="I129" s="23"/>
      <c r="J129" s="23"/>
      <c r="K129" s="23"/>
      <c r="L129" s="23"/>
    </row>
    <row r="130" s="1" customFormat="1" spans="2:12">
      <c r="B130" s="19" t="s">
        <v>3524</v>
      </c>
      <c r="C130" s="19" t="s">
        <v>275</v>
      </c>
      <c r="D130" s="19" t="s">
        <v>3525</v>
      </c>
      <c r="E130" s="20"/>
      <c r="F130" s="19"/>
      <c r="G130" s="19"/>
      <c r="H130" s="20"/>
      <c r="I130" s="23"/>
      <c r="J130" s="23"/>
      <c r="K130" s="23"/>
      <c r="L130" s="23"/>
    </row>
    <row r="131" s="1" customFormat="1" spans="2:12">
      <c r="B131" s="19" t="s">
        <v>3526</v>
      </c>
      <c r="C131" s="19" t="s">
        <v>275</v>
      </c>
      <c r="D131" s="19" t="s">
        <v>3527</v>
      </c>
      <c r="E131" s="20"/>
      <c r="F131" s="19"/>
      <c r="G131" s="19"/>
      <c r="H131" s="20"/>
      <c r="I131" s="23"/>
      <c r="J131" s="23"/>
      <c r="K131" s="23"/>
      <c r="L131" s="23"/>
    </row>
    <row r="132" s="1" customFormat="1" spans="2:12">
      <c r="B132" s="19" t="s">
        <v>3528</v>
      </c>
      <c r="C132" s="19" t="s">
        <v>275</v>
      </c>
      <c r="D132" s="19" t="s">
        <v>3529</v>
      </c>
      <c r="E132" s="20"/>
      <c r="F132" s="19"/>
      <c r="G132" s="19"/>
      <c r="H132" s="20"/>
      <c r="I132" s="23"/>
      <c r="J132" s="23"/>
      <c r="K132" s="23"/>
      <c r="L132" s="23"/>
    </row>
    <row r="133" s="1" customFormat="1" spans="2:12">
      <c r="B133" s="19" t="s">
        <v>3530</v>
      </c>
      <c r="C133" s="19" t="s">
        <v>275</v>
      </c>
      <c r="D133" s="19" t="s">
        <v>3531</v>
      </c>
      <c r="E133" s="20"/>
      <c r="F133" s="19"/>
      <c r="G133" s="19"/>
      <c r="H133" s="20"/>
      <c r="I133" s="23"/>
      <c r="J133" s="23"/>
      <c r="K133" s="23"/>
      <c r="L133" s="23"/>
    </row>
    <row r="134" s="1" customFormat="1" spans="2:12">
      <c r="B134" s="19" t="s">
        <v>3532</v>
      </c>
      <c r="C134" s="19" t="s">
        <v>275</v>
      </c>
      <c r="D134" s="19" t="s">
        <v>3533</v>
      </c>
      <c r="E134" s="20"/>
      <c r="F134" s="19"/>
      <c r="G134" s="19"/>
      <c r="H134" s="20"/>
      <c r="I134" s="23"/>
      <c r="J134" s="23"/>
      <c r="K134" s="23"/>
      <c r="L134" s="23"/>
    </row>
    <row r="135" s="1" customFormat="1" spans="2:12">
      <c r="B135" s="19" t="s">
        <v>3534</v>
      </c>
      <c r="C135" s="19" t="s">
        <v>275</v>
      </c>
      <c r="D135" s="19" t="s">
        <v>3535</v>
      </c>
      <c r="E135" s="20"/>
      <c r="F135" s="19"/>
      <c r="G135" s="19"/>
      <c r="H135" s="20"/>
      <c r="I135" s="23"/>
      <c r="J135" s="23"/>
      <c r="K135" s="23"/>
      <c r="L135" s="23"/>
    </row>
    <row r="136" s="1" customFormat="1" spans="2:12">
      <c r="B136" s="19" t="s">
        <v>3536</v>
      </c>
      <c r="C136" s="19" t="s">
        <v>275</v>
      </c>
      <c r="D136" s="19" t="s">
        <v>3537</v>
      </c>
      <c r="E136" s="20"/>
      <c r="F136" s="19"/>
      <c r="G136" s="19"/>
      <c r="H136" s="20"/>
      <c r="I136" s="23"/>
      <c r="J136" s="23"/>
      <c r="K136" s="23"/>
      <c r="L136" s="23"/>
    </row>
    <row r="137" s="1" customFormat="1" spans="2:12">
      <c r="B137" s="19" t="s">
        <v>3538</v>
      </c>
      <c r="C137" s="19" t="s">
        <v>275</v>
      </c>
      <c r="D137" s="19" t="s">
        <v>3539</v>
      </c>
      <c r="E137" s="20"/>
      <c r="F137" s="19"/>
      <c r="G137" s="19"/>
      <c r="H137" s="20"/>
      <c r="I137" s="23"/>
      <c r="J137" s="23"/>
      <c r="K137" s="23"/>
      <c r="L137" s="23"/>
    </row>
    <row r="138" s="1" customFormat="1" spans="2:12">
      <c r="B138" s="19" t="s">
        <v>3540</v>
      </c>
      <c r="C138" s="19" t="s">
        <v>275</v>
      </c>
      <c r="D138" s="19" t="s">
        <v>3541</v>
      </c>
      <c r="E138" s="20"/>
      <c r="F138" s="19"/>
      <c r="G138" s="19"/>
      <c r="H138" s="20"/>
      <c r="I138" s="23"/>
      <c r="J138" s="23"/>
      <c r="K138" s="23"/>
      <c r="L138" s="23"/>
    </row>
    <row r="139" s="1" customFormat="1" spans="2:12">
      <c r="B139" s="19" t="s">
        <v>3542</v>
      </c>
      <c r="C139" s="19" t="s">
        <v>275</v>
      </c>
      <c r="D139" s="19" t="s">
        <v>3543</v>
      </c>
      <c r="E139" s="20"/>
      <c r="F139" s="19"/>
      <c r="G139" s="19"/>
      <c r="H139" s="20"/>
      <c r="I139" s="23"/>
      <c r="J139" s="23"/>
      <c r="K139" s="23"/>
      <c r="L139" s="23"/>
    </row>
    <row r="140" s="1" customFormat="1" spans="2:12">
      <c r="B140" s="19" t="s">
        <v>3544</v>
      </c>
      <c r="C140" s="19" t="s">
        <v>275</v>
      </c>
      <c r="D140" s="19" t="s">
        <v>3545</v>
      </c>
      <c r="E140" s="20"/>
      <c r="F140" s="19"/>
      <c r="G140" s="19"/>
      <c r="H140" s="20"/>
      <c r="I140" s="23"/>
      <c r="J140" s="23"/>
      <c r="K140" s="23"/>
      <c r="L140" s="23"/>
    </row>
    <row r="141" s="1" customFormat="1" spans="2:12">
      <c r="B141" s="19" t="s">
        <v>3546</v>
      </c>
      <c r="C141" s="19" t="s">
        <v>275</v>
      </c>
      <c r="D141" s="19" t="s">
        <v>3547</v>
      </c>
      <c r="E141" s="20"/>
      <c r="F141" s="19"/>
      <c r="G141" s="19"/>
      <c r="H141" s="20"/>
      <c r="I141" s="23"/>
      <c r="J141" s="23"/>
      <c r="K141" s="23"/>
      <c r="L141" s="23"/>
    </row>
    <row r="142" s="1" customFormat="1" spans="2:12">
      <c r="B142" s="19" t="s">
        <v>3548</v>
      </c>
      <c r="C142" s="19" t="s">
        <v>275</v>
      </c>
      <c r="D142" s="19" t="s">
        <v>3549</v>
      </c>
      <c r="E142" s="20"/>
      <c r="F142" s="19"/>
      <c r="G142" s="19"/>
      <c r="H142" s="20"/>
      <c r="I142" s="23"/>
      <c r="J142" s="23"/>
      <c r="K142" s="23"/>
      <c r="L142" s="23"/>
    </row>
    <row r="143" s="1" customFormat="1" spans="2:12">
      <c r="B143" s="19" t="s">
        <v>3550</v>
      </c>
      <c r="C143" s="19" t="s">
        <v>275</v>
      </c>
      <c r="D143" s="19" t="s">
        <v>3551</v>
      </c>
      <c r="E143" s="20"/>
      <c r="F143" s="19"/>
      <c r="G143" s="19"/>
      <c r="H143" s="20"/>
      <c r="I143" s="23"/>
      <c r="J143" s="23"/>
      <c r="K143" s="23"/>
      <c r="L143" s="23"/>
    </row>
    <row r="144" s="1" customFormat="1" spans="2:12">
      <c r="B144" s="19" t="s">
        <v>3552</v>
      </c>
      <c r="C144" s="19" t="s">
        <v>275</v>
      </c>
      <c r="D144" s="19" t="s">
        <v>3553</v>
      </c>
      <c r="E144" s="20"/>
      <c r="F144" s="19"/>
      <c r="G144" s="19"/>
      <c r="H144" s="20"/>
      <c r="I144" s="23"/>
      <c r="J144" s="23"/>
      <c r="K144" s="23"/>
      <c r="L144" s="23"/>
    </row>
    <row r="145" s="1" customFormat="1" spans="2:12">
      <c r="B145" s="19" t="s">
        <v>3554</v>
      </c>
      <c r="C145" s="19" t="s">
        <v>275</v>
      </c>
      <c r="D145" s="19" t="s">
        <v>3555</v>
      </c>
      <c r="E145" s="20"/>
      <c r="F145" s="19"/>
      <c r="G145" s="19"/>
      <c r="H145" s="20"/>
      <c r="I145" s="23"/>
      <c r="J145" s="23"/>
      <c r="K145" s="23"/>
      <c r="L145" s="23"/>
    </row>
    <row r="146" s="1" customFormat="1" spans="2:12">
      <c r="B146" s="19" t="s">
        <v>3556</v>
      </c>
      <c r="C146" s="19" t="s">
        <v>275</v>
      </c>
      <c r="D146" s="19" t="s">
        <v>3557</v>
      </c>
      <c r="E146" s="20"/>
      <c r="F146" s="19"/>
      <c r="G146" s="19"/>
      <c r="H146" s="20"/>
      <c r="I146" s="23"/>
      <c r="J146" s="23"/>
      <c r="K146" s="23"/>
      <c r="L146" s="23"/>
    </row>
    <row r="147" s="1" customFormat="1" ht="26.4" spans="2:12">
      <c r="B147" s="19" t="s">
        <v>3303</v>
      </c>
      <c r="C147" s="19" t="s">
        <v>220</v>
      </c>
      <c r="D147" s="19" t="s">
        <v>3558</v>
      </c>
      <c r="E147" s="20"/>
      <c r="F147" s="19"/>
      <c r="G147" s="19"/>
      <c r="H147" s="20"/>
      <c r="I147" s="23"/>
      <c r="J147" s="23"/>
      <c r="K147" s="23"/>
      <c r="L147" s="23"/>
    </row>
    <row r="148" s="1" customFormat="1" spans="2:12">
      <c r="B148" s="19" t="s">
        <v>3559</v>
      </c>
      <c r="C148" s="19" t="s">
        <v>240</v>
      </c>
      <c r="D148" s="19" t="s">
        <v>3560</v>
      </c>
      <c r="E148" s="20"/>
      <c r="F148" s="19"/>
      <c r="G148" s="19"/>
      <c r="H148" s="20"/>
      <c r="I148" s="23"/>
      <c r="J148" s="23"/>
      <c r="K148" s="23"/>
      <c r="L148" s="23"/>
    </row>
    <row r="149" s="1" customFormat="1" spans="2:12">
      <c r="B149" s="19" t="s">
        <v>3561</v>
      </c>
      <c r="C149" s="19" t="s">
        <v>240</v>
      </c>
      <c r="D149" s="19" t="s">
        <v>3562</v>
      </c>
      <c r="E149" s="20"/>
      <c r="F149" s="19"/>
      <c r="G149" s="19"/>
      <c r="H149" s="20"/>
      <c r="I149" s="23"/>
      <c r="J149" s="23"/>
      <c r="K149" s="23"/>
      <c r="L149" s="23"/>
    </row>
    <row r="150" s="1" customFormat="1" spans="2:12">
      <c r="B150" s="19" t="s">
        <v>3563</v>
      </c>
      <c r="C150" s="19" t="s">
        <v>240</v>
      </c>
      <c r="D150" s="19" t="s">
        <v>3564</v>
      </c>
      <c r="E150" s="20"/>
      <c r="F150" s="19"/>
      <c r="G150" s="19"/>
      <c r="H150" s="20"/>
      <c r="I150" s="23"/>
      <c r="J150" s="23"/>
      <c r="K150" s="23"/>
      <c r="L150" s="23"/>
    </row>
    <row r="151" s="1" customFormat="1" spans="2:12">
      <c r="B151" s="19" t="s">
        <v>3565</v>
      </c>
      <c r="C151" s="19" t="s">
        <v>240</v>
      </c>
      <c r="D151" s="19" t="s">
        <v>3566</v>
      </c>
      <c r="E151" s="20"/>
      <c r="F151" s="19"/>
      <c r="G151" s="19"/>
      <c r="H151" s="20"/>
      <c r="I151" s="23"/>
      <c r="J151" s="23"/>
      <c r="K151" s="23"/>
      <c r="L151" s="23"/>
    </row>
    <row r="152" s="1" customFormat="1" spans="2:12">
      <c r="B152" s="19" t="s">
        <v>3567</v>
      </c>
      <c r="C152" s="19" t="s">
        <v>240</v>
      </c>
      <c r="D152" s="19" t="s">
        <v>3568</v>
      </c>
      <c r="E152" s="20"/>
      <c r="F152" s="19"/>
      <c r="G152" s="19"/>
      <c r="H152" s="20"/>
      <c r="I152" s="23"/>
      <c r="J152" s="23"/>
      <c r="K152" s="23"/>
      <c r="L152" s="23"/>
    </row>
    <row r="153" s="1" customFormat="1" spans="2:12">
      <c r="B153" s="19" t="s">
        <v>3569</v>
      </c>
      <c r="C153" s="19" t="s">
        <v>275</v>
      </c>
      <c r="D153" s="19" t="s">
        <v>3570</v>
      </c>
      <c r="E153" s="20"/>
      <c r="F153" s="19"/>
      <c r="G153" s="19"/>
      <c r="H153" s="20"/>
      <c r="I153" s="23"/>
      <c r="J153" s="23"/>
      <c r="K153" s="23"/>
      <c r="L153" s="23"/>
    </row>
    <row r="154" s="1" customFormat="1" spans="2:12">
      <c r="B154" s="19" t="s">
        <v>3571</v>
      </c>
      <c r="C154" s="19" t="s">
        <v>343</v>
      </c>
      <c r="D154" s="19" t="s">
        <v>3572</v>
      </c>
      <c r="E154" s="20"/>
      <c r="F154" s="19"/>
      <c r="G154" s="19"/>
      <c r="H154" s="20"/>
      <c r="I154" s="23"/>
      <c r="J154" s="23"/>
      <c r="K154" s="23"/>
      <c r="L154" s="23"/>
    </row>
    <row r="155" s="1" customFormat="1" spans="2:12">
      <c r="B155" s="19" t="s">
        <v>3573</v>
      </c>
      <c r="C155" s="19" t="s">
        <v>275</v>
      </c>
      <c r="D155" s="19" t="s">
        <v>3574</v>
      </c>
      <c r="E155" s="20"/>
      <c r="F155" s="19"/>
      <c r="G155" s="19"/>
      <c r="H155" s="20"/>
      <c r="I155" s="23"/>
      <c r="J155" s="23"/>
      <c r="K155" s="23"/>
      <c r="L155" s="23"/>
    </row>
    <row r="156" s="1" customFormat="1" spans="2:12">
      <c r="B156" s="19" t="s">
        <v>3575</v>
      </c>
      <c r="C156" s="19" t="s">
        <v>275</v>
      </c>
      <c r="D156" s="19" t="s">
        <v>3576</v>
      </c>
      <c r="E156" s="20"/>
      <c r="F156" s="19"/>
      <c r="G156" s="19"/>
      <c r="H156" s="20"/>
      <c r="I156" s="23"/>
      <c r="J156" s="23"/>
      <c r="K156" s="23"/>
      <c r="L156" s="23"/>
    </row>
    <row r="157" s="1" customFormat="1" spans="2:12">
      <c r="B157" s="19" t="s">
        <v>3577</v>
      </c>
      <c r="C157" s="19" t="s">
        <v>275</v>
      </c>
      <c r="D157" s="19" t="s">
        <v>3578</v>
      </c>
      <c r="E157" s="20"/>
      <c r="F157" s="19"/>
      <c r="G157" s="19"/>
      <c r="H157" s="20"/>
      <c r="I157" s="23"/>
      <c r="J157" s="23"/>
      <c r="K157" s="23"/>
      <c r="L157" s="23"/>
    </row>
    <row r="158" s="33" customFormat="1" spans="2:12">
      <c r="B158" s="28" t="s">
        <v>1817</v>
      </c>
      <c r="C158" s="28" t="s">
        <v>216</v>
      </c>
      <c r="D158" s="28" t="s">
        <v>3209</v>
      </c>
      <c r="E158" s="30" t="s">
        <v>199</v>
      </c>
      <c r="F158" s="28"/>
      <c r="G158" s="28" t="s">
        <v>3210</v>
      </c>
      <c r="H158" s="30"/>
      <c r="I158" s="34" t="s">
        <v>1211</v>
      </c>
      <c r="J158" s="34" t="s">
        <v>345</v>
      </c>
      <c r="K158" s="34" t="s">
        <v>323</v>
      </c>
      <c r="L158" s="34" t="s">
        <v>3211</v>
      </c>
    </row>
    <row r="159" s="33" customFormat="1" spans="2:12">
      <c r="B159" s="28" t="s">
        <v>1820</v>
      </c>
      <c r="C159" s="28" t="s">
        <v>216</v>
      </c>
      <c r="D159" s="28" t="s">
        <v>3212</v>
      </c>
      <c r="E159" s="30" t="s">
        <v>199</v>
      </c>
      <c r="F159" s="28"/>
      <c r="G159" s="28" t="s">
        <v>3213</v>
      </c>
      <c r="H159" s="30"/>
      <c r="I159" s="34" t="s">
        <v>1211</v>
      </c>
      <c r="J159" s="34" t="s">
        <v>345</v>
      </c>
      <c r="K159" s="34" t="s">
        <v>323</v>
      </c>
      <c r="L159" s="34" t="s">
        <v>3211</v>
      </c>
    </row>
    <row r="160" s="2" customFormat="1" spans="1:12">
      <c r="A160" s="21"/>
      <c r="B160" s="22" t="s">
        <v>252</v>
      </c>
      <c r="C160" s="22" t="s">
        <v>220</v>
      </c>
      <c r="D160" s="22" t="s">
        <v>254</v>
      </c>
      <c r="E160" s="22"/>
      <c r="F160" s="22"/>
      <c r="G160" s="22"/>
      <c r="H160" s="22"/>
      <c r="I160" s="22"/>
      <c r="J160" s="22"/>
      <c r="K160" s="22"/>
      <c r="L160" s="22"/>
    </row>
    <row r="161" s="2" customFormat="1" spans="1:12">
      <c r="A161" s="21"/>
      <c r="B161" s="22" t="s">
        <v>255</v>
      </c>
      <c r="C161" s="22" t="s">
        <v>216</v>
      </c>
      <c r="D161" s="22" t="s">
        <v>256</v>
      </c>
      <c r="E161" s="22"/>
      <c r="F161" s="22"/>
      <c r="G161" s="22"/>
      <c r="H161" s="22"/>
      <c r="I161" s="22"/>
      <c r="J161" s="22"/>
      <c r="K161" s="22"/>
      <c r="L161" s="22"/>
    </row>
    <row r="162" s="2" customFormat="1" spans="1:12">
      <c r="A162" s="21"/>
      <c r="B162" s="22" t="s">
        <v>257</v>
      </c>
      <c r="C162" s="22" t="s">
        <v>220</v>
      </c>
      <c r="D162" s="22" t="s">
        <v>258</v>
      </c>
      <c r="E162" s="22"/>
      <c r="F162" s="22"/>
      <c r="G162" s="22"/>
      <c r="H162" s="22"/>
      <c r="I162" s="22"/>
      <c r="J162" s="22"/>
      <c r="K162" s="22"/>
      <c r="L162" s="22"/>
    </row>
  </sheetData>
  <autoFilter xmlns:etc="http://www.wps.cn/officeDocument/2017/etCustomData" ref="A13:N162" etc:filterBottomFollowUsedRange="0">
    <extLst/>
  </autoFilter>
  <mergeCells count="5">
    <mergeCell ref="B2:H2"/>
    <mergeCell ref="B3:H3"/>
    <mergeCell ref="B7:H7"/>
    <mergeCell ref="F9:G9"/>
    <mergeCell ref="B12:L12"/>
  </mergeCells>
  <pageMargins left="0.7" right="0.7" top="0.75" bottom="0.75" header="0.3" footer="0.3"/>
  <pageSetup paperSize="9" orientation="portrait"/>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3"/>
  <sheetViews>
    <sheetView zoomScale="85" zoomScaleNormal="85" workbookViewId="0">
      <pane ySplit="5" topLeftCell="A54" activePane="bottomLeft" state="frozen"/>
      <selection/>
      <selection pane="bottomLeft" activeCell="B70" sqref="B70"/>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146</v>
      </c>
      <c r="C5" s="10" t="s">
        <v>164</v>
      </c>
      <c r="D5" s="10" t="s">
        <v>162</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160</v>
      </c>
      <c r="D9" s="10" t="s">
        <v>161</v>
      </c>
      <c r="E9" s="11" t="s">
        <v>199</v>
      </c>
      <c r="F9" s="11"/>
      <c r="G9" s="11"/>
      <c r="H9" s="15"/>
    </row>
    <row r="10" spans="7:7">
      <c r="G10" s="17"/>
    </row>
    <row r="11" spans="2:2">
      <c r="B11" s="3" t="s">
        <v>204</v>
      </c>
    </row>
    <row r="12" spans="2:12">
      <c r="B12" s="7" t="s">
        <v>204</v>
      </c>
      <c r="C12" s="7"/>
      <c r="D12" s="7"/>
      <c r="E12" s="7"/>
      <c r="F12" s="7"/>
      <c r="G12" s="7"/>
      <c r="H12" s="7"/>
      <c r="I12" s="7"/>
      <c r="J12" s="7"/>
      <c r="K12" s="7"/>
      <c r="L12" s="7"/>
    </row>
    <row r="13" ht="24" spans="2:12">
      <c r="B13" s="18" t="s">
        <v>205</v>
      </c>
      <c r="C13" s="18" t="s">
        <v>206</v>
      </c>
      <c r="D13" s="18" t="s">
        <v>207</v>
      </c>
      <c r="E13" s="18" t="s">
        <v>208</v>
      </c>
      <c r="F13" s="18" t="s">
        <v>209</v>
      </c>
      <c r="G13" s="18" t="s">
        <v>210</v>
      </c>
      <c r="H13" s="18" t="s">
        <v>211</v>
      </c>
      <c r="I13" s="18" t="s">
        <v>17</v>
      </c>
      <c r="J13" s="18" t="s">
        <v>212</v>
      </c>
      <c r="K13" s="18" t="s">
        <v>213</v>
      </c>
      <c r="L13" s="18" t="s">
        <v>214</v>
      </c>
    </row>
    <row r="14" s="1" customFormat="1" spans="2:12">
      <c r="B14" s="19" t="s">
        <v>1828</v>
      </c>
      <c r="C14" s="19" t="s">
        <v>216</v>
      </c>
      <c r="D14" s="19" t="s">
        <v>1829</v>
      </c>
      <c r="E14" s="20"/>
      <c r="F14" s="19" t="s">
        <v>255</v>
      </c>
      <c r="G14" s="19" t="s">
        <v>218</v>
      </c>
      <c r="H14" s="20"/>
      <c r="I14" s="23"/>
      <c r="J14" s="23"/>
      <c r="K14" s="23"/>
      <c r="L14" s="23"/>
    </row>
    <row r="15" s="1" customFormat="1" spans="2:12">
      <c r="B15" s="19" t="s">
        <v>1026</v>
      </c>
      <c r="C15" s="19" t="s">
        <v>220</v>
      </c>
      <c r="D15" s="19" t="s">
        <v>3579</v>
      </c>
      <c r="E15" s="20"/>
      <c r="F15" s="19" t="s">
        <v>257</v>
      </c>
      <c r="G15" s="19" t="s">
        <v>218</v>
      </c>
      <c r="H15" s="20"/>
      <c r="I15" s="23"/>
      <c r="J15" s="23"/>
      <c r="K15" s="23"/>
      <c r="L15" s="23"/>
    </row>
    <row r="16" s="1" customFormat="1" spans="2:12">
      <c r="B16" s="19" t="s">
        <v>1830</v>
      </c>
      <c r="C16" s="19" t="s">
        <v>220</v>
      </c>
      <c r="D16" s="19" t="s">
        <v>1831</v>
      </c>
      <c r="E16" s="20"/>
      <c r="F16" s="19" t="s">
        <v>252</v>
      </c>
      <c r="G16" s="19" t="s">
        <v>218</v>
      </c>
      <c r="H16" s="20"/>
      <c r="I16" s="23"/>
      <c r="J16" s="23"/>
      <c r="K16" s="23"/>
      <c r="L16" s="23"/>
    </row>
    <row r="17" s="1" customFormat="1" spans="2:12">
      <c r="B17" s="19" t="s">
        <v>267</v>
      </c>
      <c r="C17" s="19" t="s">
        <v>216</v>
      </c>
      <c r="D17" s="19" t="s">
        <v>2478</v>
      </c>
      <c r="E17" s="20"/>
      <c r="F17" s="19" t="s">
        <v>267</v>
      </c>
      <c r="G17" s="19" t="s">
        <v>218</v>
      </c>
      <c r="H17" s="20"/>
      <c r="I17" s="23"/>
      <c r="J17" s="23"/>
      <c r="K17" s="23"/>
      <c r="L17" s="23"/>
    </row>
    <row r="18" s="1" customFormat="1" spans="2:12">
      <c r="B18" s="19" t="s">
        <v>224</v>
      </c>
      <c r="C18" s="19" t="s">
        <v>216</v>
      </c>
      <c r="D18" s="19" t="s">
        <v>3234</v>
      </c>
      <c r="E18" s="20"/>
      <c r="F18" s="19" t="s">
        <v>224</v>
      </c>
      <c r="G18" s="19" t="s">
        <v>218</v>
      </c>
      <c r="H18" s="20"/>
      <c r="I18" s="23"/>
      <c r="J18" s="23"/>
      <c r="K18" s="23"/>
      <c r="L18" s="23"/>
    </row>
    <row r="19" s="1" customFormat="1" spans="2:12">
      <c r="B19" s="19" t="s">
        <v>274</v>
      </c>
      <c r="C19" s="19" t="s">
        <v>275</v>
      </c>
      <c r="D19" s="19" t="s">
        <v>3580</v>
      </c>
      <c r="E19" s="20"/>
      <c r="F19" s="19"/>
      <c r="G19" s="19" t="s">
        <v>3581</v>
      </c>
      <c r="H19" s="20"/>
      <c r="I19" s="23"/>
      <c r="J19" s="23"/>
      <c r="K19" s="23"/>
      <c r="L19" s="23"/>
    </row>
    <row r="20" s="1" customFormat="1" spans="2:12">
      <c r="B20" s="19" t="s">
        <v>222</v>
      </c>
      <c r="C20" s="19" t="s">
        <v>220</v>
      </c>
      <c r="D20" s="19" t="s">
        <v>3582</v>
      </c>
      <c r="E20" s="20"/>
      <c r="F20" s="19"/>
      <c r="G20" s="19" t="s">
        <v>3583</v>
      </c>
      <c r="H20" s="20"/>
      <c r="I20" s="23"/>
      <c r="J20" s="23"/>
      <c r="K20" s="23"/>
      <c r="L20" s="23"/>
    </row>
    <row r="21" s="1" customFormat="1" spans="2:12">
      <c r="B21" s="19" t="s">
        <v>3370</v>
      </c>
      <c r="C21" s="19" t="s">
        <v>275</v>
      </c>
      <c r="D21" s="10" t="s">
        <v>3371</v>
      </c>
      <c r="E21" s="20"/>
      <c r="F21" s="19"/>
      <c r="G21" s="19" t="s">
        <v>3584</v>
      </c>
      <c r="H21" s="20"/>
      <c r="I21" s="23"/>
      <c r="J21" s="23"/>
      <c r="K21" s="23"/>
      <c r="L21" s="23"/>
    </row>
    <row r="22" s="1" customFormat="1" spans="2:12">
      <c r="B22" s="19" t="s">
        <v>3372</v>
      </c>
      <c r="C22" s="19" t="s">
        <v>275</v>
      </c>
      <c r="D22" s="10" t="s">
        <v>3373</v>
      </c>
      <c r="E22" s="20"/>
      <c r="F22" s="19"/>
      <c r="G22" s="19" t="s">
        <v>3585</v>
      </c>
      <c r="H22" s="20"/>
      <c r="I22" s="23"/>
      <c r="J22" s="23"/>
      <c r="K22" s="23"/>
      <c r="L22" s="23"/>
    </row>
    <row r="23" s="1" customFormat="1" spans="2:12">
      <c r="B23" s="19" t="s">
        <v>3374</v>
      </c>
      <c r="C23" s="19" t="s">
        <v>275</v>
      </c>
      <c r="D23" s="10" t="s">
        <v>3375</v>
      </c>
      <c r="E23" s="20"/>
      <c r="F23" s="19"/>
      <c r="G23" s="19" t="s">
        <v>3586</v>
      </c>
      <c r="H23" s="20"/>
      <c r="I23" s="23"/>
      <c r="J23" s="23"/>
      <c r="K23" s="23"/>
      <c r="L23" s="23"/>
    </row>
    <row r="24" s="1" customFormat="1" spans="2:12">
      <c r="B24" s="19" t="s">
        <v>3376</v>
      </c>
      <c r="C24" s="19" t="s">
        <v>275</v>
      </c>
      <c r="D24" s="10" t="s">
        <v>3377</v>
      </c>
      <c r="E24" s="20"/>
      <c r="F24" s="19"/>
      <c r="G24" s="19" t="s">
        <v>3587</v>
      </c>
      <c r="H24" s="20"/>
      <c r="I24" s="23"/>
      <c r="J24" s="23"/>
      <c r="K24" s="23"/>
      <c r="L24" s="23"/>
    </row>
    <row r="25" s="1" customFormat="1" spans="2:12">
      <c r="B25" s="19" t="s">
        <v>3378</v>
      </c>
      <c r="C25" s="19" t="s">
        <v>275</v>
      </c>
      <c r="D25" s="10" t="s">
        <v>3379</v>
      </c>
      <c r="E25" s="20"/>
      <c r="F25" s="19"/>
      <c r="G25" s="19" t="s">
        <v>3588</v>
      </c>
      <c r="H25" s="20"/>
      <c r="I25" s="23"/>
      <c r="J25" s="23"/>
      <c r="K25" s="23"/>
      <c r="L25" s="23"/>
    </row>
    <row r="26" s="1" customFormat="1" spans="2:12">
      <c r="B26" s="19" t="s">
        <v>3380</v>
      </c>
      <c r="C26" s="19" t="s">
        <v>275</v>
      </c>
      <c r="D26" s="10" t="s">
        <v>3381</v>
      </c>
      <c r="E26" s="20"/>
      <c r="F26" s="19"/>
      <c r="G26" s="19" t="s">
        <v>3589</v>
      </c>
      <c r="H26" s="20"/>
      <c r="I26" s="23"/>
      <c r="J26" s="23"/>
      <c r="K26" s="23"/>
      <c r="L26" s="23"/>
    </row>
    <row r="27" s="1" customFormat="1" spans="2:12">
      <c r="B27" s="19" t="s">
        <v>3382</v>
      </c>
      <c r="C27" s="19" t="s">
        <v>275</v>
      </c>
      <c r="D27" s="10" t="s">
        <v>3383</v>
      </c>
      <c r="E27" s="20"/>
      <c r="F27" s="19"/>
      <c r="G27" s="19" t="s">
        <v>3590</v>
      </c>
      <c r="H27" s="20"/>
      <c r="I27" s="23"/>
      <c r="J27" s="23"/>
      <c r="K27" s="23"/>
      <c r="L27" s="23"/>
    </row>
    <row r="28" s="1" customFormat="1" spans="2:12">
      <c r="B28" s="19" t="s">
        <v>3384</v>
      </c>
      <c r="C28" s="19" t="s">
        <v>275</v>
      </c>
      <c r="D28" s="10" t="s">
        <v>3385</v>
      </c>
      <c r="E28" s="20"/>
      <c r="F28" s="19"/>
      <c r="G28" s="19" t="s">
        <v>3591</v>
      </c>
      <c r="H28" s="20"/>
      <c r="I28" s="23"/>
      <c r="J28" s="23"/>
      <c r="K28" s="23"/>
      <c r="L28" s="23"/>
    </row>
    <row r="29" s="1" customFormat="1" spans="2:12">
      <c r="B29" s="19" t="s">
        <v>3386</v>
      </c>
      <c r="C29" s="19" t="s">
        <v>275</v>
      </c>
      <c r="D29" s="10" t="s">
        <v>3387</v>
      </c>
      <c r="E29" s="20"/>
      <c r="F29" s="19"/>
      <c r="G29" s="19" t="s">
        <v>3592</v>
      </c>
      <c r="H29" s="20"/>
      <c r="I29" s="23"/>
      <c r="J29" s="23"/>
      <c r="K29" s="23"/>
      <c r="L29" s="23"/>
    </row>
    <row r="30" s="1" customFormat="1" spans="2:12">
      <c r="B30" s="19" t="s">
        <v>3388</v>
      </c>
      <c r="C30" s="19" t="s">
        <v>275</v>
      </c>
      <c r="D30" s="10" t="s">
        <v>3389</v>
      </c>
      <c r="E30" s="20"/>
      <c r="F30" s="19"/>
      <c r="G30" s="19" t="s">
        <v>3593</v>
      </c>
      <c r="H30" s="20"/>
      <c r="I30" s="23"/>
      <c r="J30" s="23"/>
      <c r="K30" s="23"/>
      <c r="L30" s="23"/>
    </row>
    <row r="31" s="1" customFormat="1" spans="2:12">
      <c r="B31" s="19" t="s">
        <v>3390</v>
      </c>
      <c r="C31" s="19" t="s">
        <v>275</v>
      </c>
      <c r="D31" s="10" t="s">
        <v>3391</v>
      </c>
      <c r="E31" s="20"/>
      <c r="F31" s="19"/>
      <c r="G31" s="19" t="s">
        <v>3594</v>
      </c>
      <c r="H31" s="20"/>
      <c r="I31" s="23"/>
      <c r="J31" s="23"/>
      <c r="K31" s="23"/>
      <c r="L31" s="23"/>
    </row>
    <row r="32" s="1" customFormat="1" spans="2:12">
      <c r="B32" s="19" t="s">
        <v>3392</v>
      </c>
      <c r="C32" s="19" t="s">
        <v>275</v>
      </c>
      <c r="D32" s="10" t="s">
        <v>3393</v>
      </c>
      <c r="E32" s="20"/>
      <c r="F32" s="19"/>
      <c r="G32" s="19" t="s">
        <v>3595</v>
      </c>
      <c r="H32" s="20"/>
      <c r="I32" s="23"/>
      <c r="J32" s="23"/>
      <c r="K32" s="23"/>
      <c r="L32" s="23"/>
    </row>
    <row r="33" s="1" customFormat="1" spans="2:12">
      <c r="B33" s="19" t="s">
        <v>3364</v>
      </c>
      <c r="C33" s="19" t="s">
        <v>275</v>
      </c>
      <c r="D33" s="10" t="s">
        <v>3365</v>
      </c>
      <c r="E33" s="20"/>
      <c r="F33" s="19"/>
      <c r="G33" s="19" t="s">
        <v>3596</v>
      </c>
      <c r="H33" s="20"/>
      <c r="I33" s="23"/>
      <c r="J33" s="23"/>
      <c r="K33" s="23"/>
      <c r="L33" s="23"/>
    </row>
    <row r="34" s="1" customFormat="1" spans="2:12">
      <c r="B34" s="19" t="s">
        <v>3366</v>
      </c>
      <c r="C34" s="19" t="s">
        <v>275</v>
      </c>
      <c r="D34" s="10" t="s">
        <v>3367</v>
      </c>
      <c r="E34" s="20"/>
      <c r="F34" s="19"/>
      <c r="G34" s="19" t="s">
        <v>3597</v>
      </c>
      <c r="H34" s="20"/>
      <c r="I34" s="23"/>
      <c r="J34" s="23"/>
      <c r="K34" s="23"/>
      <c r="L34" s="23"/>
    </row>
    <row r="35" s="1" customFormat="1" ht="26.4" spans="2:12">
      <c r="B35" s="19" t="s">
        <v>3368</v>
      </c>
      <c r="C35" s="19" t="s">
        <v>240</v>
      </c>
      <c r="D35" s="10" t="s">
        <v>3369</v>
      </c>
      <c r="E35" s="20"/>
      <c r="F35" s="19"/>
      <c r="G35" s="19" t="s">
        <v>3598</v>
      </c>
      <c r="H35" s="20"/>
      <c r="I35" s="23"/>
      <c r="J35" s="23"/>
      <c r="K35" s="23"/>
      <c r="L35" s="23"/>
    </row>
    <row r="36" s="1" customFormat="1" spans="2:12">
      <c r="B36" s="19" t="s">
        <v>3404</v>
      </c>
      <c r="C36" s="19" t="s">
        <v>275</v>
      </c>
      <c r="D36" s="10" t="s">
        <v>3405</v>
      </c>
      <c r="E36" s="20"/>
      <c r="F36" s="19"/>
      <c r="G36" s="19" t="s">
        <v>3599</v>
      </c>
      <c r="H36" s="20"/>
      <c r="I36" s="23"/>
      <c r="J36" s="23"/>
      <c r="K36" s="23"/>
      <c r="L36" s="23"/>
    </row>
    <row r="37" s="1" customFormat="1" spans="2:12">
      <c r="B37" s="19" t="s">
        <v>3406</v>
      </c>
      <c r="C37" s="19" t="s">
        <v>275</v>
      </c>
      <c r="D37" s="10" t="s">
        <v>3407</v>
      </c>
      <c r="E37" s="20"/>
      <c r="F37" s="19"/>
      <c r="G37" s="19" t="s">
        <v>3600</v>
      </c>
      <c r="H37" s="20"/>
      <c r="I37" s="23"/>
      <c r="J37" s="23"/>
      <c r="K37" s="23"/>
      <c r="L37" s="23"/>
    </row>
    <row r="38" s="1" customFormat="1" spans="2:12">
      <c r="B38" s="19" t="s">
        <v>3408</v>
      </c>
      <c r="C38" s="19" t="s">
        <v>275</v>
      </c>
      <c r="D38" s="10" t="s">
        <v>3409</v>
      </c>
      <c r="E38" s="20"/>
      <c r="F38" s="19"/>
      <c r="G38" s="19" t="s">
        <v>3601</v>
      </c>
      <c r="H38" s="20"/>
      <c r="I38" s="23"/>
      <c r="J38" s="23"/>
      <c r="K38" s="23"/>
      <c r="L38" s="23"/>
    </row>
    <row r="39" s="1" customFormat="1" spans="2:12">
      <c r="B39" s="19" t="s">
        <v>3410</v>
      </c>
      <c r="C39" s="19" t="s">
        <v>275</v>
      </c>
      <c r="D39" s="10" t="s">
        <v>3411</v>
      </c>
      <c r="E39" s="20"/>
      <c r="F39" s="19"/>
      <c r="G39" s="19" t="s">
        <v>3602</v>
      </c>
      <c r="H39" s="20"/>
      <c r="I39" s="23"/>
      <c r="J39" s="23"/>
      <c r="K39" s="23"/>
      <c r="L39" s="23"/>
    </row>
    <row r="40" s="1" customFormat="1" spans="2:12">
      <c r="B40" s="19" t="s">
        <v>3412</v>
      </c>
      <c r="C40" s="19" t="s">
        <v>275</v>
      </c>
      <c r="D40" s="10" t="s">
        <v>3413</v>
      </c>
      <c r="E40" s="20"/>
      <c r="F40" s="19"/>
      <c r="G40" s="19" t="s">
        <v>3603</v>
      </c>
      <c r="H40" s="20"/>
      <c r="I40" s="23"/>
      <c r="J40" s="23"/>
      <c r="K40" s="23"/>
      <c r="L40" s="23"/>
    </row>
    <row r="41" s="1" customFormat="1" spans="2:12">
      <c r="B41" s="19" t="s">
        <v>3414</v>
      </c>
      <c r="C41" s="19" t="s">
        <v>275</v>
      </c>
      <c r="D41" s="10" t="s">
        <v>3415</v>
      </c>
      <c r="E41" s="20"/>
      <c r="F41" s="19"/>
      <c r="G41" s="19" t="s">
        <v>3604</v>
      </c>
      <c r="H41" s="20"/>
      <c r="I41" s="23"/>
      <c r="J41" s="23"/>
      <c r="K41" s="23"/>
      <c r="L41" s="23"/>
    </row>
    <row r="42" s="1" customFormat="1" spans="2:12">
      <c r="B42" s="19" t="s">
        <v>3416</v>
      </c>
      <c r="C42" s="19" t="s">
        <v>275</v>
      </c>
      <c r="D42" s="10" t="s">
        <v>3417</v>
      </c>
      <c r="E42" s="20"/>
      <c r="F42" s="19"/>
      <c r="G42" s="19" t="s">
        <v>3605</v>
      </c>
      <c r="H42" s="20"/>
      <c r="I42" s="23"/>
      <c r="J42" s="23"/>
      <c r="K42" s="23"/>
      <c r="L42" s="23"/>
    </row>
    <row r="43" s="1" customFormat="1" spans="2:12">
      <c r="B43" s="19" t="s">
        <v>3418</v>
      </c>
      <c r="C43" s="19" t="s">
        <v>275</v>
      </c>
      <c r="D43" s="10" t="s">
        <v>3419</v>
      </c>
      <c r="E43" s="20"/>
      <c r="F43" s="19"/>
      <c r="G43" s="19" t="s">
        <v>3606</v>
      </c>
      <c r="H43" s="20"/>
      <c r="I43" s="23"/>
      <c r="J43" s="23"/>
      <c r="K43" s="23"/>
      <c r="L43" s="23"/>
    </row>
    <row r="44" s="1" customFormat="1" spans="2:12">
      <c r="B44" s="19" t="s">
        <v>3420</v>
      </c>
      <c r="C44" s="19" t="s">
        <v>275</v>
      </c>
      <c r="D44" s="10" t="s">
        <v>3421</v>
      </c>
      <c r="E44" s="20"/>
      <c r="F44" s="19"/>
      <c r="G44" s="19" t="s">
        <v>3607</v>
      </c>
      <c r="H44" s="20"/>
      <c r="I44" s="23"/>
      <c r="J44" s="23"/>
      <c r="K44" s="23"/>
      <c r="L44" s="23"/>
    </row>
    <row r="45" s="1" customFormat="1" spans="2:12">
      <c r="B45" s="19" t="s">
        <v>3422</v>
      </c>
      <c r="C45" s="19" t="s">
        <v>275</v>
      </c>
      <c r="D45" s="10" t="s">
        <v>3423</v>
      </c>
      <c r="E45" s="20"/>
      <c r="F45" s="19"/>
      <c r="G45" s="19" t="s">
        <v>3608</v>
      </c>
      <c r="H45" s="20"/>
      <c r="I45" s="23"/>
      <c r="J45" s="23"/>
      <c r="K45" s="23"/>
      <c r="L45" s="23"/>
    </row>
    <row r="46" s="1" customFormat="1" spans="2:12">
      <c r="B46" s="19" t="s">
        <v>3424</v>
      </c>
      <c r="C46" s="19" t="s">
        <v>275</v>
      </c>
      <c r="D46" s="10" t="s">
        <v>3425</v>
      </c>
      <c r="E46" s="20"/>
      <c r="F46" s="19"/>
      <c r="G46" s="19" t="s">
        <v>3609</v>
      </c>
      <c r="H46" s="20"/>
      <c r="I46" s="23"/>
      <c r="J46" s="23"/>
      <c r="K46" s="23"/>
      <c r="L46" s="23"/>
    </row>
    <row r="47" s="1" customFormat="1" spans="2:12">
      <c r="B47" s="19" t="s">
        <v>3426</v>
      </c>
      <c r="C47" s="19" t="s">
        <v>275</v>
      </c>
      <c r="D47" s="10" t="s">
        <v>3427</v>
      </c>
      <c r="E47" s="20"/>
      <c r="F47" s="19"/>
      <c r="G47" s="19" t="s">
        <v>3610</v>
      </c>
      <c r="H47" s="20"/>
      <c r="I47" s="23"/>
      <c r="J47" s="23"/>
      <c r="K47" s="23"/>
      <c r="L47" s="23"/>
    </row>
    <row r="48" s="1" customFormat="1" spans="2:12">
      <c r="B48" s="19" t="s">
        <v>3398</v>
      </c>
      <c r="C48" s="19" t="s">
        <v>275</v>
      </c>
      <c r="D48" s="10" t="s">
        <v>3399</v>
      </c>
      <c r="E48" s="20"/>
      <c r="F48" s="19"/>
      <c r="G48" s="19" t="s">
        <v>3611</v>
      </c>
      <c r="H48" s="20"/>
      <c r="I48" s="23"/>
      <c r="J48" s="23"/>
      <c r="K48" s="23"/>
      <c r="L48" s="23"/>
    </row>
    <row r="49" s="1" customFormat="1" spans="2:12">
      <c r="B49" s="19" t="s">
        <v>3400</v>
      </c>
      <c r="C49" s="19" t="s">
        <v>240</v>
      </c>
      <c r="D49" s="10" t="s">
        <v>3401</v>
      </c>
      <c r="E49" s="20"/>
      <c r="F49" s="19"/>
      <c r="G49" s="19" t="s">
        <v>3612</v>
      </c>
      <c r="H49" s="20"/>
      <c r="I49" s="23"/>
      <c r="J49" s="23"/>
      <c r="K49" s="23"/>
      <c r="L49" s="23"/>
    </row>
    <row r="50" s="1" customFormat="1" ht="26.4" spans="2:12">
      <c r="B50" s="19" t="s">
        <v>3402</v>
      </c>
      <c r="C50" s="19" t="s">
        <v>240</v>
      </c>
      <c r="D50" s="10" t="s">
        <v>3403</v>
      </c>
      <c r="E50" s="20"/>
      <c r="F50" s="19"/>
      <c r="G50" s="19" t="s">
        <v>3613</v>
      </c>
      <c r="H50" s="20"/>
      <c r="I50" s="23"/>
      <c r="J50" s="23"/>
      <c r="K50" s="23"/>
      <c r="L50" s="23"/>
    </row>
    <row r="51" s="1" customFormat="1" spans="2:12">
      <c r="B51" s="19" t="s">
        <v>3438</v>
      </c>
      <c r="C51" s="19" t="s">
        <v>275</v>
      </c>
      <c r="D51" s="10" t="s">
        <v>3439</v>
      </c>
      <c r="E51" s="20"/>
      <c r="F51" s="19"/>
      <c r="G51" s="19" t="s">
        <v>3614</v>
      </c>
      <c r="H51" s="20"/>
      <c r="I51" s="23"/>
      <c r="J51" s="23"/>
      <c r="K51" s="23"/>
      <c r="L51" s="23"/>
    </row>
    <row r="52" s="1" customFormat="1" spans="2:12">
      <c r="B52" s="19" t="s">
        <v>3440</v>
      </c>
      <c r="C52" s="19" t="s">
        <v>275</v>
      </c>
      <c r="D52" s="10" t="s">
        <v>3441</v>
      </c>
      <c r="E52" s="20"/>
      <c r="F52" s="19"/>
      <c r="G52" s="19" t="s">
        <v>3615</v>
      </c>
      <c r="H52" s="20"/>
      <c r="I52" s="23"/>
      <c r="J52" s="23"/>
      <c r="K52" s="23"/>
      <c r="L52" s="23"/>
    </row>
    <row r="53" s="1" customFormat="1" spans="2:12">
      <c r="B53" s="19" t="s">
        <v>3442</v>
      </c>
      <c r="C53" s="19" t="s">
        <v>275</v>
      </c>
      <c r="D53" s="10" t="s">
        <v>3443</v>
      </c>
      <c r="E53" s="20"/>
      <c r="F53" s="19"/>
      <c r="G53" s="19" t="s">
        <v>3616</v>
      </c>
      <c r="H53" s="20"/>
      <c r="I53" s="23"/>
      <c r="J53" s="23"/>
      <c r="K53" s="23"/>
      <c r="L53" s="23"/>
    </row>
    <row r="54" s="1" customFormat="1" spans="2:12">
      <c r="B54" s="19" t="s">
        <v>3444</v>
      </c>
      <c r="C54" s="19" t="s">
        <v>275</v>
      </c>
      <c r="D54" s="10" t="s">
        <v>3445</v>
      </c>
      <c r="E54" s="20"/>
      <c r="F54" s="19"/>
      <c r="G54" s="19" t="s">
        <v>3617</v>
      </c>
      <c r="H54" s="20"/>
      <c r="I54" s="23"/>
      <c r="J54" s="23"/>
      <c r="K54" s="23"/>
      <c r="L54" s="23"/>
    </row>
    <row r="55" s="1" customFormat="1" spans="2:12">
      <c r="B55" s="19" t="s">
        <v>3446</v>
      </c>
      <c r="C55" s="19" t="s">
        <v>275</v>
      </c>
      <c r="D55" s="10" t="s">
        <v>3447</v>
      </c>
      <c r="E55" s="20"/>
      <c r="F55" s="19"/>
      <c r="G55" s="19" t="s">
        <v>3618</v>
      </c>
      <c r="H55" s="20"/>
      <c r="I55" s="23"/>
      <c r="J55" s="23"/>
      <c r="K55" s="23"/>
      <c r="L55" s="23"/>
    </row>
    <row r="56" s="1" customFormat="1" spans="2:12">
      <c r="B56" s="19" t="s">
        <v>3448</v>
      </c>
      <c r="C56" s="19" t="s">
        <v>275</v>
      </c>
      <c r="D56" s="10" t="s">
        <v>3449</v>
      </c>
      <c r="E56" s="20"/>
      <c r="F56" s="19"/>
      <c r="G56" s="19" t="s">
        <v>3619</v>
      </c>
      <c r="H56" s="20"/>
      <c r="I56" s="23"/>
      <c r="J56" s="23"/>
      <c r="K56" s="23"/>
      <c r="L56" s="23"/>
    </row>
    <row r="57" s="1" customFormat="1" spans="2:12">
      <c r="B57" s="19" t="s">
        <v>3450</v>
      </c>
      <c r="C57" s="19" t="s">
        <v>275</v>
      </c>
      <c r="D57" s="10" t="s">
        <v>3451</v>
      </c>
      <c r="E57" s="20"/>
      <c r="F57" s="19"/>
      <c r="G57" s="19" t="s">
        <v>3620</v>
      </c>
      <c r="H57" s="20"/>
      <c r="I57" s="23"/>
      <c r="J57" s="23"/>
      <c r="K57" s="23"/>
      <c r="L57" s="23"/>
    </row>
    <row r="58" s="1" customFormat="1" spans="2:12">
      <c r="B58" s="19" t="s">
        <v>3452</v>
      </c>
      <c r="C58" s="19" t="s">
        <v>275</v>
      </c>
      <c r="D58" s="10" t="s">
        <v>3453</v>
      </c>
      <c r="E58" s="20"/>
      <c r="F58" s="19"/>
      <c r="G58" s="19" t="s">
        <v>3621</v>
      </c>
      <c r="H58" s="20"/>
      <c r="I58" s="23"/>
      <c r="J58" s="23"/>
      <c r="K58" s="23"/>
      <c r="L58" s="23"/>
    </row>
    <row r="59" s="1" customFormat="1" spans="2:12">
      <c r="B59" s="19" t="s">
        <v>3454</v>
      </c>
      <c r="C59" s="19" t="s">
        <v>275</v>
      </c>
      <c r="D59" s="10" t="s">
        <v>3455</v>
      </c>
      <c r="E59" s="20"/>
      <c r="F59" s="19"/>
      <c r="G59" s="19" t="s">
        <v>3622</v>
      </c>
      <c r="H59" s="20"/>
      <c r="I59" s="23"/>
      <c r="J59" s="23"/>
      <c r="K59" s="23"/>
      <c r="L59" s="23"/>
    </row>
    <row r="60" s="1" customFormat="1" spans="2:12">
      <c r="B60" s="19" t="s">
        <v>3456</v>
      </c>
      <c r="C60" s="19" t="s">
        <v>275</v>
      </c>
      <c r="D60" s="10" t="s">
        <v>3457</v>
      </c>
      <c r="E60" s="20"/>
      <c r="F60" s="19"/>
      <c r="G60" s="19" t="s">
        <v>3623</v>
      </c>
      <c r="H60" s="20"/>
      <c r="I60" s="23"/>
      <c r="J60" s="23"/>
      <c r="K60" s="23"/>
      <c r="L60" s="23"/>
    </row>
    <row r="61" s="1" customFormat="1" spans="2:12">
      <c r="B61" s="19" t="s">
        <v>3458</v>
      </c>
      <c r="C61" s="19" t="s">
        <v>275</v>
      </c>
      <c r="D61" s="10" t="s">
        <v>3459</v>
      </c>
      <c r="E61" s="20"/>
      <c r="F61" s="19"/>
      <c r="G61" s="19" t="s">
        <v>3624</v>
      </c>
      <c r="H61" s="20"/>
      <c r="I61" s="23"/>
      <c r="J61" s="23"/>
      <c r="K61" s="23"/>
      <c r="L61" s="23"/>
    </row>
    <row r="62" s="1" customFormat="1" spans="2:12">
      <c r="B62" s="19" t="s">
        <v>3460</v>
      </c>
      <c r="C62" s="19" t="s">
        <v>275</v>
      </c>
      <c r="D62" s="10" t="s">
        <v>3461</v>
      </c>
      <c r="E62" s="20"/>
      <c r="F62" s="19"/>
      <c r="G62" s="19" t="s">
        <v>3625</v>
      </c>
      <c r="H62" s="20"/>
      <c r="I62" s="23"/>
      <c r="J62" s="23"/>
      <c r="K62" s="23"/>
      <c r="L62" s="23"/>
    </row>
    <row r="63" s="1" customFormat="1" spans="2:12">
      <c r="B63" s="19" t="s">
        <v>3432</v>
      </c>
      <c r="C63" s="19" t="s">
        <v>275</v>
      </c>
      <c r="D63" s="10" t="s">
        <v>3433</v>
      </c>
      <c r="E63" s="20"/>
      <c r="F63" s="19"/>
      <c r="G63" s="19" t="s">
        <v>3626</v>
      </c>
      <c r="H63" s="20"/>
      <c r="I63" s="23"/>
      <c r="J63" s="23"/>
      <c r="K63" s="23"/>
      <c r="L63" s="23"/>
    </row>
    <row r="64" s="1" customFormat="1" spans="2:12">
      <c r="B64" s="19" t="s">
        <v>3434</v>
      </c>
      <c r="C64" s="19" t="s">
        <v>240</v>
      </c>
      <c r="D64" s="10" t="s">
        <v>3435</v>
      </c>
      <c r="E64" s="20"/>
      <c r="F64" s="19"/>
      <c r="G64" s="19" t="s">
        <v>3627</v>
      </c>
      <c r="H64" s="20"/>
      <c r="I64" s="23"/>
      <c r="J64" s="23"/>
      <c r="K64" s="23"/>
      <c r="L64" s="23"/>
    </row>
    <row r="65" s="1" customFormat="1" ht="26.4" spans="2:12">
      <c r="B65" s="19" t="s">
        <v>3436</v>
      </c>
      <c r="C65" s="19" t="s">
        <v>240</v>
      </c>
      <c r="D65" s="10" t="s">
        <v>3437</v>
      </c>
      <c r="E65" s="20"/>
      <c r="F65" s="19"/>
      <c r="G65" s="19" t="s">
        <v>3628</v>
      </c>
      <c r="H65" s="20"/>
      <c r="I65" s="23"/>
      <c r="J65" s="23"/>
      <c r="K65" s="23"/>
      <c r="L65" s="23"/>
    </row>
    <row r="66" s="33" customFormat="1" spans="2:12">
      <c r="B66" s="28" t="s">
        <v>3320</v>
      </c>
      <c r="C66" s="28" t="s">
        <v>275</v>
      </c>
      <c r="D66" s="29" t="s">
        <v>3321</v>
      </c>
      <c r="E66" s="30"/>
      <c r="F66" s="28"/>
      <c r="G66" s="28" t="s">
        <v>3322</v>
      </c>
      <c r="H66" s="30"/>
      <c r="I66" s="34" t="s">
        <v>1211</v>
      </c>
      <c r="J66" s="34" t="s">
        <v>345</v>
      </c>
      <c r="K66" s="34" t="s">
        <v>323</v>
      </c>
      <c r="L66" s="34" t="s">
        <v>339</v>
      </c>
    </row>
    <row r="67" s="33" customFormat="1" spans="2:12">
      <c r="B67" s="28" t="s">
        <v>3323</v>
      </c>
      <c r="C67" s="28" t="s">
        <v>275</v>
      </c>
      <c r="D67" s="29" t="s">
        <v>3324</v>
      </c>
      <c r="E67" s="30"/>
      <c r="F67" s="28"/>
      <c r="G67" s="28" t="s">
        <v>3325</v>
      </c>
      <c r="H67" s="30"/>
      <c r="I67" s="34" t="s">
        <v>1211</v>
      </c>
      <c r="J67" s="34" t="s">
        <v>345</v>
      </c>
      <c r="K67" s="34" t="s">
        <v>323</v>
      </c>
      <c r="L67" s="34" t="s">
        <v>339</v>
      </c>
    </row>
    <row r="68" s="33" customFormat="1" spans="2:12">
      <c r="B68" s="28" t="s">
        <v>3326</v>
      </c>
      <c r="C68" s="28" t="s">
        <v>275</v>
      </c>
      <c r="D68" s="29" t="s">
        <v>3327</v>
      </c>
      <c r="E68" s="30"/>
      <c r="F68" s="28"/>
      <c r="G68" s="28" t="s">
        <v>3629</v>
      </c>
      <c r="H68" s="30"/>
      <c r="I68" s="34" t="s">
        <v>1211</v>
      </c>
      <c r="J68" s="34" t="s">
        <v>345</v>
      </c>
      <c r="K68" s="34" t="s">
        <v>323</v>
      </c>
      <c r="L68" s="34" t="s">
        <v>339</v>
      </c>
    </row>
    <row r="69" s="33" customFormat="1" spans="2:12">
      <c r="B69" s="28" t="s">
        <v>1817</v>
      </c>
      <c r="C69" s="28" t="s">
        <v>216</v>
      </c>
      <c r="D69" s="28" t="s">
        <v>3209</v>
      </c>
      <c r="E69" s="30" t="s">
        <v>199</v>
      </c>
      <c r="F69" s="28"/>
      <c r="G69" s="28" t="s">
        <v>3210</v>
      </c>
      <c r="H69" s="30"/>
      <c r="I69" s="34" t="s">
        <v>1211</v>
      </c>
      <c r="J69" s="34" t="s">
        <v>345</v>
      </c>
      <c r="K69" s="34" t="s">
        <v>323</v>
      </c>
      <c r="L69" s="34" t="s">
        <v>3211</v>
      </c>
    </row>
    <row r="70" s="33" customFormat="1" spans="2:12">
      <c r="B70" s="28" t="s">
        <v>1820</v>
      </c>
      <c r="C70" s="28" t="s">
        <v>216</v>
      </c>
      <c r="D70" s="28" t="s">
        <v>3212</v>
      </c>
      <c r="E70" s="30" t="s">
        <v>199</v>
      </c>
      <c r="F70" s="28"/>
      <c r="G70" s="28" t="s">
        <v>3213</v>
      </c>
      <c r="H70" s="30"/>
      <c r="I70" s="34" t="s">
        <v>1211</v>
      </c>
      <c r="J70" s="34" t="s">
        <v>345</v>
      </c>
      <c r="K70" s="34" t="s">
        <v>323</v>
      </c>
      <c r="L70" s="34" t="s">
        <v>3211</v>
      </c>
    </row>
    <row r="71" s="2" customFormat="1" spans="1:12">
      <c r="A71" s="21"/>
      <c r="B71" s="22" t="s">
        <v>252</v>
      </c>
      <c r="C71" s="22" t="s">
        <v>220</v>
      </c>
      <c r="D71" s="22" t="s">
        <v>254</v>
      </c>
      <c r="E71" s="22"/>
      <c r="F71" s="22"/>
      <c r="G71" s="22"/>
      <c r="H71" s="22"/>
      <c r="I71" s="22"/>
      <c r="J71" s="22"/>
      <c r="K71" s="22"/>
      <c r="L71" s="22"/>
    </row>
    <row r="72" s="2" customFormat="1" spans="1:12">
      <c r="A72" s="21"/>
      <c r="B72" s="22" t="s">
        <v>255</v>
      </c>
      <c r="C72" s="22" t="s">
        <v>216</v>
      </c>
      <c r="D72" s="22" t="s">
        <v>256</v>
      </c>
      <c r="E72" s="22"/>
      <c r="F72" s="22"/>
      <c r="G72" s="22"/>
      <c r="H72" s="22"/>
      <c r="I72" s="22"/>
      <c r="J72" s="22"/>
      <c r="K72" s="22"/>
      <c r="L72" s="22"/>
    </row>
    <row r="73" s="2" customFormat="1" spans="1:12">
      <c r="A73" s="21"/>
      <c r="B73" s="22" t="s">
        <v>257</v>
      </c>
      <c r="C73" s="22" t="s">
        <v>220</v>
      </c>
      <c r="D73" s="22" t="s">
        <v>258</v>
      </c>
      <c r="E73" s="22"/>
      <c r="F73" s="22"/>
      <c r="G73" s="22"/>
      <c r="H73" s="22"/>
      <c r="I73" s="22"/>
      <c r="J73" s="22"/>
      <c r="K73" s="22"/>
      <c r="L73" s="22"/>
    </row>
  </sheetData>
  <autoFilter xmlns:etc="http://www.wps.cn/officeDocument/2017/etCustomData" ref="A13:N73" etc:filterBottomFollowUsedRange="0">
    <extLst/>
  </autoFilter>
  <mergeCells count="5">
    <mergeCell ref="B2:H2"/>
    <mergeCell ref="B3:H3"/>
    <mergeCell ref="B7:H7"/>
    <mergeCell ref="F9:G9"/>
    <mergeCell ref="B12:L12"/>
  </mergeCells>
  <pageMargins left="0.7" right="0.7" top="0.75" bottom="0.75" header="0.3" footer="0.3"/>
  <pageSetup paperSize="9" orientation="portrait"/>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2"/>
  <sheetViews>
    <sheetView zoomScale="85" zoomScaleNormal="85" workbookViewId="0">
      <pane ySplit="5" topLeftCell="A6" activePane="bottomLeft" state="frozen"/>
      <selection/>
      <selection pane="bottomLeft" activeCell="C10" sqref="C10"/>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165</v>
      </c>
      <c r="D5" s="10" t="s">
        <v>166</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3630</v>
      </c>
      <c r="D9" s="10" t="s">
        <v>3631</v>
      </c>
      <c r="E9" s="11" t="s">
        <v>199</v>
      </c>
      <c r="F9" s="11"/>
      <c r="G9" s="11"/>
      <c r="H9" s="15"/>
    </row>
    <row r="10" spans="2:8">
      <c r="B10" s="11"/>
      <c r="C10" s="10" t="s">
        <v>3632</v>
      </c>
      <c r="D10" s="10" t="s">
        <v>60</v>
      </c>
      <c r="E10" s="11" t="s">
        <v>287</v>
      </c>
      <c r="F10" s="11"/>
      <c r="G10" s="11"/>
      <c r="H10" s="15"/>
    </row>
    <row r="11" spans="2:8">
      <c r="B11" s="11"/>
      <c r="C11" s="10" t="s">
        <v>1029</v>
      </c>
      <c r="D11" s="10" t="s">
        <v>1030</v>
      </c>
      <c r="E11" s="11" t="s">
        <v>202</v>
      </c>
      <c r="F11" s="11"/>
      <c r="G11" s="11"/>
      <c r="H11" s="15"/>
    </row>
    <row r="12" spans="2:8">
      <c r="B12" s="11"/>
      <c r="C12" s="10" t="s">
        <v>1032</v>
      </c>
      <c r="D12" s="10" t="s">
        <v>1033</v>
      </c>
      <c r="E12" s="11" t="s">
        <v>1034</v>
      </c>
      <c r="F12" s="11"/>
      <c r="G12" s="11"/>
      <c r="H12" s="15"/>
    </row>
    <row r="13" spans="7:7">
      <c r="G13" s="17"/>
    </row>
    <row r="14" spans="2:2">
      <c r="B14" s="3" t="s">
        <v>204</v>
      </c>
    </row>
    <row r="15" spans="2:12">
      <c r="B15" s="7" t="s">
        <v>204</v>
      </c>
      <c r="C15" s="7"/>
      <c r="D15" s="7"/>
      <c r="E15" s="7"/>
      <c r="F15" s="7"/>
      <c r="G15" s="7"/>
      <c r="H15" s="7"/>
      <c r="I15" s="7"/>
      <c r="J15" s="7"/>
      <c r="K15" s="7"/>
      <c r="L15" s="7"/>
    </row>
    <row r="16" ht="24" spans="2:12">
      <c r="B16" s="18" t="s">
        <v>205</v>
      </c>
      <c r="C16" s="18" t="s">
        <v>206</v>
      </c>
      <c r="D16" s="18" t="s">
        <v>207</v>
      </c>
      <c r="E16" s="18" t="s">
        <v>208</v>
      </c>
      <c r="F16" s="18" t="s">
        <v>209</v>
      </c>
      <c r="G16" s="18" t="s">
        <v>210</v>
      </c>
      <c r="H16" s="18" t="s">
        <v>211</v>
      </c>
      <c r="I16" s="18" t="s">
        <v>17</v>
      </c>
      <c r="J16" s="18" t="s">
        <v>212</v>
      </c>
      <c r="K16" s="18" t="s">
        <v>213</v>
      </c>
      <c r="L16" s="18" t="s">
        <v>214</v>
      </c>
    </row>
    <row r="17" s="1" customFormat="1" spans="2:12">
      <c r="B17" s="19" t="s">
        <v>1864</v>
      </c>
      <c r="C17" s="19" t="s">
        <v>220</v>
      </c>
      <c r="D17" s="10" t="s">
        <v>3633</v>
      </c>
      <c r="E17" s="20"/>
      <c r="F17" s="19"/>
      <c r="G17" s="19"/>
      <c r="H17" s="20"/>
      <c r="I17" s="23"/>
      <c r="J17" s="23"/>
      <c r="K17" s="23"/>
      <c r="L17" s="23"/>
    </row>
    <row r="18" s="1" customFormat="1" spans="2:12">
      <c r="B18" s="19" t="s">
        <v>1302</v>
      </c>
      <c r="C18" s="19" t="s">
        <v>233</v>
      </c>
      <c r="D18" s="10" t="s">
        <v>2977</v>
      </c>
      <c r="E18" s="20"/>
      <c r="F18" s="19"/>
      <c r="G18" s="19"/>
      <c r="H18" s="20"/>
      <c r="I18" s="23"/>
      <c r="J18" s="23"/>
      <c r="K18" s="23"/>
      <c r="L18" s="23"/>
    </row>
    <row r="19" s="1" customFormat="1" spans="2:12">
      <c r="B19" s="19" t="s">
        <v>1048</v>
      </c>
      <c r="C19" s="19" t="s">
        <v>216</v>
      </c>
      <c r="D19" s="10" t="s">
        <v>3634</v>
      </c>
      <c r="E19" s="20"/>
      <c r="F19" s="19"/>
      <c r="G19" s="19"/>
      <c r="H19" s="20"/>
      <c r="I19" s="23"/>
      <c r="J19" s="23"/>
      <c r="K19" s="23"/>
      <c r="L19" s="23"/>
    </row>
    <row r="20" s="1" customFormat="1" spans="2:12">
      <c r="B20" s="19" t="s">
        <v>224</v>
      </c>
      <c r="C20" s="19" t="s">
        <v>216</v>
      </c>
      <c r="D20" s="10" t="s">
        <v>1869</v>
      </c>
      <c r="E20" s="20"/>
      <c r="F20" s="19"/>
      <c r="G20" s="19"/>
      <c r="H20" s="20"/>
      <c r="I20" s="23"/>
      <c r="J20" s="23"/>
      <c r="K20" s="23"/>
      <c r="L20" s="23"/>
    </row>
    <row r="21" s="1" customFormat="1" spans="2:12">
      <c r="B21" s="19" t="s">
        <v>1053</v>
      </c>
      <c r="C21" s="19" t="s">
        <v>216</v>
      </c>
      <c r="D21" s="10" t="s">
        <v>3635</v>
      </c>
      <c r="E21" s="20"/>
      <c r="F21" s="19"/>
      <c r="G21" s="19"/>
      <c r="H21" s="20"/>
      <c r="I21" s="23"/>
      <c r="J21" s="23"/>
      <c r="K21" s="23"/>
      <c r="L21" s="23"/>
    </row>
    <row r="22" s="1" customFormat="1" spans="2:12">
      <c r="B22" s="19" t="s">
        <v>267</v>
      </c>
      <c r="C22" s="19" t="s">
        <v>216</v>
      </c>
      <c r="D22" s="10" t="s">
        <v>3636</v>
      </c>
      <c r="E22" s="20"/>
      <c r="F22" s="19"/>
      <c r="G22" s="19"/>
      <c r="H22" s="20"/>
      <c r="I22" s="23"/>
      <c r="J22" s="23"/>
      <c r="K22" s="23"/>
      <c r="L22" s="23"/>
    </row>
    <row r="23" s="1" customFormat="1" spans="2:12">
      <c r="B23" s="19" t="s">
        <v>1050</v>
      </c>
      <c r="C23" s="19" t="s">
        <v>233</v>
      </c>
      <c r="D23" s="10" t="s">
        <v>3637</v>
      </c>
      <c r="E23" s="20"/>
      <c r="F23" s="19"/>
      <c r="G23" s="19"/>
      <c r="H23" s="20"/>
      <c r="I23" s="23"/>
      <c r="J23" s="23"/>
      <c r="K23" s="23"/>
      <c r="L23" s="23"/>
    </row>
    <row r="24" s="1" customFormat="1" spans="2:12">
      <c r="B24" s="19" t="s">
        <v>1808</v>
      </c>
      <c r="C24" s="19" t="s">
        <v>220</v>
      </c>
      <c r="D24" s="10" t="s">
        <v>1873</v>
      </c>
      <c r="E24" s="20"/>
      <c r="F24" s="19"/>
      <c r="G24" s="19"/>
      <c r="H24" s="20"/>
      <c r="I24" s="23"/>
      <c r="J24" s="23"/>
      <c r="K24" s="23"/>
      <c r="L24" s="23"/>
    </row>
    <row r="25" s="1" customFormat="1" spans="2:12">
      <c r="B25" s="19" t="s">
        <v>3638</v>
      </c>
      <c r="C25" s="19" t="s">
        <v>230</v>
      </c>
      <c r="D25" s="10" t="s">
        <v>3639</v>
      </c>
      <c r="E25" s="20"/>
      <c r="F25" s="19"/>
      <c r="G25" s="19"/>
      <c r="H25" s="20"/>
      <c r="I25" s="23"/>
      <c r="J25" s="23"/>
      <c r="K25" s="23"/>
      <c r="L25" s="23"/>
    </row>
    <row r="26" s="1" customFormat="1" spans="2:12">
      <c r="B26" s="19" t="s">
        <v>3640</v>
      </c>
      <c r="C26" s="19" t="s">
        <v>275</v>
      </c>
      <c r="D26" s="10" t="s">
        <v>3641</v>
      </c>
      <c r="E26" s="20"/>
      <c r="F26" s="19"/>
      <c r="G26" s="19"/>
      <c r="H26" s="20"/>
      <c r="I26" s="23"/>
      <c r="J26" s="23"/>
      <c r="K26" s="23"/>
      <c r="L26" s="23"/>
    </row>
    <row r="27" s="1" customFormat="1" spans="2:12">
      <c r="B27" s="19" t="s">
        <v>3642</v>
      </c>
      <c r="C27" s="19" t="s">
        <v>275</v>
      </c>
      <c r="D27" s="10" t="s">
        <v>3643</v>
      </c>
      <c r="E27" s="20"/>
      <c r="F27" s="19"/>
      <c r="G27" s="19"/>
      <c r="H27" s="20"/>
      <c r="I27" s="23"/>
      <c r="J27" s="23"/>
      <c r="K27" s="23"/>
      <c r="L27" s="23"/>
    </row>
    <row r="28" s="1" customFormat="1" spans="2:12">
      <c r="B28" s="19" t="s">
        <v>3644</v>
      </c>
      <c r="C28" s="19" t="s">
        <v>230</v>
      </c>
      <c r="D28" s="10" t="s">
        <v>3645</v>
      </c>
      <c r="E28" s="20"/>
      <c r="F28" s="19"/>
      <c r="G28" s="19"/>
      <c r="H28" s="20"/>
      <c r="I28" s="23"/>
      <c r="J28" s="23"/>
      <c r="K28" s="23"/>
      <c r="L28" s="23"/>
    </row>
    <row r="29" s="1" customFormat="1" spans="2:12">
      <c r="B29" s="19" t="s">
        <v>3646</v>
      </c>
      <c r="C29" s="19" t="s">
        <v>275</v>
      </c>
      <c r="D29" s="10" t="s">
        <v>3647</v>
      </c>
      <c r="E29" s="20"/>
      <c r="F29" s="19"/>
      <c r="G29" s="19"/>
      <c r="H29" s="20"/>
      <c r="I29" s="23"/>
      <c r="J29" s="23"/>
      <c r="K29" s="23"/>
      <c r="L29" s="23"/>
    </row>
    <row r="30" s="1" customFormat="1" spans="2:12">
      <c r="B30" s="19" t="s">
        <v>3648</v>
      </c>
      <c r="C30" s="19" t="s">
        <v>275</v>
      </c>
      <c r="D30" s="10" t="s">
        <v>3649</v>
      </c>
      <c r="E30" s="20"/>
      <c r="F30" s="19"/>
      <c r="G30" s="19"/>
      <c r="H30" s="20"/>
      <c r="I30" s="23"/>
      <c r="J30" s="23"/>
      <c r="K30" s="23"/>
      <c r="L30" s="23"/>
    </row>
    <row r="31" s="1" customFormat="1" spans="2:12">
      <c r="B31" s="19" t="s">
        <v>3650</v>
      </c>
      <c r="C31" s="19" t="s">
        <v>275</v>
      </c>
      <c r="D31" s="10" t="s">
        <v>3651</v>
      </c>
      <c r="E31" s="20"/>
      <c r="F31" s="19"/>
      <c r="G31" s="19"/>
      <c r="H31" s="20"/>
      <c r="I31" s="23"/>
      <c r="J31" s="23"/>
      <c r="K31" s="23"/>
      <c r="L31" s="23"/>
    </row>
    <row r="32" s="1" customFormat="1" spans="2:12">
      <c r="B32" s="19" t="s">
        <v>3652</v>
      </c>
      <c r="C32" s="19" t="s">
        <v>275</v>
      </c>
      <c r="D32" s="10" t="s">
        <v>3653</v>
      </c>
      <c r="E32" s="20"/>
      <c r="F32" s="19"/>
      <c r="G32" s="19"/>
      <c r="H32" s="20"/>
      <c r="I32" s="23"/>
      <c r="J32" s="23"/>
      <c r="K32" s="23"/>
      <c r="L32" s="23"/>
    </row>
    <row r="33" s="1" customFormat="1" spans="2:12">
      <c r="B33" s="19" t="s">
        <v>3654</v>
      </c>
      <c r="C33" s="19" t="s">
        <v>216</v>
      </c>
      <c r="D33" s="10" t="s">
        <v>3655</v>
      </c>
      <c r="E33" s="20"/>
      <c r="F33" s="19"/>
      <c r="G33" s="19"/>
      <c r="H33" s="20"/>
      <c r="I33" s="23"/>
      <c r="J33" s="23"/>
      <c r="K33" s="23"/>
      <c r="L33" s="23"/>
    </row>
    <row r="34" s="1" customFormat="1" spans="2:12">
      <c r="B34" s="19" t="s">
        <v>3656</v>
      </c>
      <c r="C34" s="19" t="s">
        <v>275</v>
      </c>
      <c r="D34" s="10" t="s">
        <v>3657</v>
      </c>
      <c r="E34" s="20"/>
      <c r="F34" s="19"/>
      <c r="G34" s="19"/>
      <c r="H34" s="20"/>
      <c r="I34" s="23"/>
      <c r="J34" s="23"/>
      <c r="K34" s="23"/>
      <c r="L34" s="23"/>
    </row>
    <row r="35" s="1" customFormat="1" spans="2:12">
      <c r="B35" s="19" t="s">
        <v>3658</v>
      </c>
      <c r="C35" s="19" t="s">
        <v>216</v>
      </c>
      <c r="D35" s="10" t="s">
        <v>3659</v>
      </c>
      <c r="E35" s="20"/>
      <c r="F35" s="19"/>
      <c r="G35" s="19"/>
      <c r="H35" s="20"/>
      <c r="I35" s="23"/>
      <c r="J35" s="23"/>
      <c r="K35" s="23"/>
      <c r="L35" s="23"/>
    </row>
    <row r="36" s="1" customFormat="1" spans="2:12">
      <c r="B36" s="19" t="s">
        <v>3660</v>
      </c>
      <c r="C36" s="19" t="s">
        <v>216</v>
      </c>
      <c r="D36" s="10" t="s">
        <v>3661</v>
      </c>
      <c r="E36" s="20"/>
      <c r="F36" s="19"/>
      <c r="G36" s="19"/>
      <c r="H36" s="20"/>
      <c r="I36" s="23"/>
      <c r="J36" s="23"/>
      <c r="K36" s="23"/>
      <c r="L36" s="23"/>
    </row>
    <row r="37" s="1" customFormat="1" spans="2:12">
      <c r="B37" s="19" t="s">
        <v>3662</v>
      </c>
      <c r="C37" s="19" t="s">
        <v>275</v>
      </c>
      <c r="D37" s="10" t="s">
        <v>3663</v>
      </c>
      <c r="E37" s="20"/>
      <c r="F37" s="19"/>
      <c r="G37" s="19"/>
      <c r="H37" s="20"/>
      <c r="I37" s="23"/>
      <c r="J37" s="23"/>
      <c r="K37" s="23"/>
      <c r="L37" s="23"/>
    </row>
    <row r="38" s="1" customFormat="1" spans="2:12">
      <c r="B38" s="19" t="s">
        <v>3664</v>
      </c>
      <c r="C38" s="19" t="s">
        <v>216</v>
      </c>
      <c r="D38" s="10" t="s">
        <v>3665</v>
      </c>
      <c r="E38" s="20"/>
      <c r="F38" s="19"/>
      <c r="G38" s="19"/>
      <c r="H38" s="20"/>
      <c r="I38" s="23"/>
      <c r="J38" s="23"/>
      <c r="K38" s="23"/>
      <c r="L38" s="23"/>
    </row>
    <row r="39" s="1" customFormat="1" spans="2:12">
      <c r="B39" s="19" t="s">
        <v>3666</v>
      </c>
      <c r="C39" s="19" t="s">
        <v>216</v>
      </c>
      <c r="D39" s="10" t="s">
        <v>3667</v>
      </c>
      <c r="E39" s="20"/>
      <c r="F39" s="19"/>
      <c r="G39" s="19"/>
      <c r="H39" s="20"/>
      <c r="I39" s="23"/>
      <c r="J39" s="23"/>
      <c r="K39" s="23"/>
      <c r="L39" s="23"/>
    </row>
    <row r="40" s="1" customFormat="1" spans="2:12">
      <c r="B40" s="19" t="s">
        <v>3668</v>
      </c>
      <c r="C40" s="19" t="s">
        <v>275</v>
      </c>
      <c r="D40" s="10" t="s">
        <v>3669</v>
      </c>
      <c r="E40" s="20"/>
      <c r="F40" s="19"/>
      <c r="G40" s="19"/>
      <c r="H40" s="20"/>
      <c r="I40" s="23"/>
      <c r="J40" s="23"/>
      <c r="K40" s="23"/>
      <c r="L40" s="23"/>
    </row>
    <row r="41" s="1" customFormat="1" spans="2:12">
      <c r="B41" s="19" t="s">
        <v>2507</v>
      </c>
      <c r="C41" s="19" t="s">
        <v>275</v>
      </c>
      <c r="D41" s="10" t="s">
        <v>3670</v>
      </c>
      <c r="E41" s="20"/>
      <c r="F41" s="19"/>
      <c r="G41" s="19"/>
      <c r="H41" s="20"/>
      <c r="I41" s="23"/>
      <c r="J41" s="23"/>
      <c r="K41" s="23"/>
      <c r="L41" s="23"/>
    </row>
    <row r="42" s="1" customFormat="1" spans="2:12">
      <c r="B42" s="19" t="s">
        <v>1306</v>
      </c>
      <c r="C42" s="19" t="s">
        <v>275</v>
      </c>
      <c r="D42" s="10" t="s">
        <v>3671</v>
      </c>
      <c r="E42" s="20"/>
      <c r="F42" s="19"/>
      <c r="G42" s="19"/>
      <c r="H42" s="20"/>
      <c r="I42" s="23"/>
      <c r="J42" s="23"/>
      <c r="K42" s="23"/>
      <c r="L42" s="23"/>
    </row>
    <row r="43" s="1" customFormat="1" spans="2:12">
      <c r="B43" s="19" t="s">
        <v>2490</v>
      </c>
      <c r="C43" s="19" t="s">
        <v>216</v>
      </c>
      <c r="D43" s="10" t="s">
        <v>3672</v>
      </c>
      <c r="E43" s="20"/>
      <c r="F43" s="19"/>
      <c r="G43" s="19"/>
      <c r="H43" s="20"/>
      <c r="I43" s="23"/>
      <c r="J43" s="23"/>
      <c r="K43" s="23"/>
      <c r="L43" s="23"/>
    </row>
    <row r="44" s="1" customFormat="1" spans="2:12">
      <c r="B44" s="19" t="s">
        <v>1069</v>
      </c>
      <c r="C44" s="19" t="s">
        <v>216</v>
      </c>
      <c r="D44" s="10" t="s">
        <v>2582</v>
      </c>
      <c r="E44" s="20"/>
      <c r="F44" s="19"/>
      <c r="G44" s="19"/>
      <c r="H44" s="20"/>
      <c r="I44" s="23"/>
      <c r="J44" s="23"/>
      <c r="K44" s="23"/>
      <c r="L44" s="23"/>
    </row>
    <row r="45" s="1" customFormat="1" spans="2:12">
      <c r="B45" s="19" t="s">
        <v>3673</v>
      </c>
      <c r="C45" s="19" t="s">
        <v>275</v>
      </c>
      <c r="D45" s="10" t="s">
        <v>3674</v>
      </c>
      <c r="E45" s="20"/>
      <c r="F45" s="19"/>
      <c r="G45" s="19"/>
      <c r="H45" s="20"/>
      <c r="I45" s="23"/>
      <c r="J45" s="23"/>
      <c r="K45" s="23"/>
      <c r="L45" s="23"/>
    </row>
    <row r="46" s="1" customFormat="1" spans="2:12">
      <c r="B46" s="19" t="s">
        <v>3675</v>
      </c>
      <c r="C46" s="19" t="s">
        <v>275</v>
      </c>
      <c r="D46" s="10" t="s">
        <v>3676</v>
      </c>
      <c r="E46" s="20"/>
      <c r="F46" s="19"/>
      <c r="G46" s="19"/>
      <c r="H46" s="20"/>
      <c r="I46" s="23"/>
      <c r="J46" s="23"/>
      <c r="K46" s="23"/>
      <c r="L46" s="23"/>
    </row>
    <row r="47" s="1" customFormat="1" spans="2:12">
      <c r="B47" s="19" t="s">
        <v>3677</v>
      </c>
      <c r="C47" s="19" t="s">
        <v>275</v>
      </c>
      <c r="D47" s="10" t="s">
        <v>3678</v>
      </c>
      <c r="E47" s="20"/>
      <c r="F47" s="19"/>
      <c r="G47" s="19"/>
      <c r="H47" s="20"/>
      <c r="I47" s="23"/>
      <c r="J47" s="23"/>
      <c r="K47" s="23"/>
      <c r="L47" s="23"/>
    </row>
    <row r="48" s="1" customFormat="1" spans="2:12">
      <c r="B48" s="19" t="s">
        <v>3679</v>
      </c>
      <c r="C48" s="19" t="s">
        <v>275</v>
      </c>
      <c r="D48" s="10" t="s">
        <v>3680</v>
      </c>
      <c r="E48" s="20"/>
      <c r="F48" s="19"/>
      <c r="G48" s="19"/>
      <c r="H48" s="20"/>
      <c r="I48" s="23"/>
      <c r="J48" s="23"/>
      <c r="K48" s="23"/>
      <c r="L48" s="23"/>
    </row>
    <row r="49" s="1" customFormat="1" spans="2:12">
      <c r="B49" s="19" t="s">
        <v>3681</v>
      </c>
      <c r="C49" s="19" t="s">
        <v>216</v>
      </c>
      <c r="D49" s="10" t="s">
        <v>3682</v>
      </c>
      <c r="E49" s="20"/>
      <c r="F49" s="19"/>
      <c r="G49" s="19"/>
      <c r="H49" s="20"/>
      <c r="I49" s="23"/>
      <c r="J49" s="23"/>
      <c r="K49" s="23"/>
      <c r="L49" s="23"/>
    </row>
    <row r="50" s="1" customFormat="1" spans="2:12">
      <c r="B50" s="19" t="s">
        <v>3683</v>
      </c>
      <c r="C50" s="19" t="s">
        <v>275</v>
      </c>
      <c r="D50" s="10" t="s">
        <v>3684</v>
      </c>
      <c r="E50" s="20"/>
      <c r="F50" s="19"/>
      <c r="G50" s="19"/>
      <c r="H50" s="20"/>
      <c r="I50" s="23"/>
      <c r="J50" s="23"/>
      <c r="K50" s="23"/>
      <c r="L50" s="23"/>
    </row>
    <row r="51" s="1" customFormat="1" spans="2:12">
      <c r="B51" s="19" t="s">
        <v>3685</v>
      </c>
      <c r="C51" s="19" t="s">
        <v>275</v>
      </c>
      <c r="D51" s="10" t="s">
        <v>3686</v>
      </c>
      <c r="E51" s="20"/>
      <c r="F51" s="19"/>
      <c r="G51" s="19"/>
      <c r="H51" s="20"/>
      <c r="I51" s="23"/>
      <c r="J51" s="23"/>
      <c r="K51" s="23"/>
      <c r="L51" s="23"/>
    </row>
    <row r="52" s="1" customFormat="1" spans="2:12">
      <c r="B52" s="19" t="s">
        <v>3687</v>
      </c>
      <c r="C52" s="19" t="s">
        <v>216</v>
      </c>
      <c r="D52" s="10" t="s">
        <v>3688</v>
      </c>
      <c r="E52" s="20"/>
      <c r="F52" s="19"/>
      <c r="G52" s="19"/>
      <c r="H52" s="20"/>
      <c r="I52" s="23"/>
      <c r="J52" s="23"/>
      <c r="K52" s="23"/>
      <c r="L52" s="23"/>
    </row>
    <row r="53" s="1" customFormat="1" spans="2:12">
      <c r="B53" s="19" t="s">
        <v>3689</v>
      </c>
      <c r="C53" s="19" t="s">
        <v>216</v>
      </c>
      <c r="D53" s="10" t="s">
        <v>3690</v>
      </c>
      <c r="E53" s="20"/>
      <c r="F53" s="19"/>
      <c r="G53" s="19"/>
      <c r="H53" s="20"/>
      <c r="I53" s="23"/>
      <c r="J53" s="23"/>
      <c r="K53" s="23"/>
      <c r="L53" s="23"/>
    </row>
    <row r="54" s="1" customFormat="1" spans="2:12">
      <c r="B54" s="19" t="s">
        <v>3691</v>
      </c>
      <c r="C54" s="19" t="s">
        <v>275</v>
      </c>
      <c r="D54" s="10" t="s">
        <v>3692</v>
      </c>
      <c r="E54" s="20"/>
      <c r="F54" s="19"/>
      <c r="G54" s="19"/>
      <c r="H54" s="20"/>
      <c r="I54" s="23"/>
      <c r="J54" s="23"/>
      <c r="K54" s="23"/>
      <c r="L54" s="23"/>
    </row>
    <row r="55" s="1" customFormat="1" spans="2:12">
      <c r="B55" s="19" t="s">
        <v>2515</v>
      </c>
      <c r="C55" s="19" t="s">
        <v>275</v>
      </c>
      <c r="D55" s="10" t="s">
        <v>3693</v>
      </c>
      <c r="E55" s="20"/>
      <c r="F55" s="19"/>
      <c r="G55" s="19"/>
      <c r="H55" s="20"/>
      <c r="I55" s="23"/>
      <c r="J55" s="23"/>
      <c r="K55" s="23"/>
      <c r="L55" s="23"/>
    </row>
    <row r="56" s="1" customFormat="1" spans="2:12">
      <c r="B56" s="19" t="s">
        <v>222</v>
      </c>
      <c r="C56" s="19" t="s">
        <v>216</v>
      </c>
      <c r="D56" s="10" t="s">
        <v>3694</v>
      </c>
      <c r="E56" s="20"/>
      <c r="F56" s="19"/>
      <c r="G56" s="19"/>
      <c r="H56" s="20"/>
      <c r="I56" s="23"/>
      <c r="J56" s="23"/>
      <c r="K56" s="23"/>
      <c r="L56" s="23"/>
    </row>
    <row r="57" s="1" customFormat="1" spans="2:12">
      <c r="B57" s="19" t="s">
        <v>3695</v>
      </c>
      <c r="C57" s="19" t="s">
        <v>275</v>
      </c>
      <c r="D57" s="10" t="s">
        <v>3696</v>
      </c>
      <c r="E57" s="20"/>
      <c r="F57" s="19"/>
      <c r="G57" s="19"/>
      <c r="H57" s="20"/>
      <c r="I57" s="23"/>
      <c r="J57" s="23"/>
      <c r="K57" s="23"/>
      <c r="L57" s="23"/>
    </row>
    <row r="58" s="1" customFormat="1" spans="2:12">
      <c r="B58" s="19" t="s">
        <v>3697</v>
      </c>
      <c r="C58" s="19" t="s">
        <v>275</v>
      </c>
      <c r="D58" s="10" t="s">
        <v>3698</v>
      </c>
      <c r="E58" s="20"/>
      <c r="F58" s="19"/>
      <c r="G58" s="19"/>
      <c r="H58" s="20"/>
      <c r="I58" s="23"/>
      <c r="J58" s="23"/>
      <c r="K58" s="23"/>
      <c r="L58" s="23"/>
    </row>
    <row r="59" s="1" customFormat="1" spans="2:12">
      <c r="B59" s="19" t="s">
        <v>3699</v>
      </c>
      <c r="C59" s="19" t="s">
        <v>275</v>
      </c>
      <c r="D59" s="10" t="s">
        <v>3700</v>
      </c>
      <c r="E59" s="20"/>
      <c r="F59" s="19"/>
      <c r="G59" s="19"/>
      <c r="H59" s="20"/>
      <c r="I59" s="23"/>
      <c r="J59" s="23"/>
      <c r="K59" s="23"/>
      <c r="L59" s="23"/>
    </row>
    <row r="60" s="1" customFormat="1" spans="2:12">
      <c r="B60" s="19" t="s">
        <v>3701</v>
      </c>
      <c r="C60" s="19" t="s">
        <v>275</v>
      </c>
      <c r="D60" s="10" t="s">
        <v>3702</v>
      </c>
      <c r="E60" s="20"/>
      <c r="F60" s="19"/>
      <c r="G60" s="19"/>
      <c r="H60" s="20"/>
      <c r="I60" s="23"/>
      <c r="J60" s="23"/>
      <c r="K60" s="23"/>
      <c r="L60" s="23"/>
    </row>
    <row r="61" s="1" customFormat="1" spans="2:12">
      <c r="B61" s="19" t="s">
        <v>3703</v>
      </c>
      <c r="C61" s="19" t="s">
        <v>275</v>
      </c>
      <c r="D61" s="10">
        <v>0</v>
      </c>
      <c r="E61" s="20"/>
      <c r="F61" s="19"/>
      <c r="G61" s="19"/>
      <c r="H61" s="20"/>
      <c r="I61" s="23"/>
      <c r="J61" s="23"/>
      <c r="K61" s="23"/>
      <c r="L61" s="23"/>
    </row>
    <row r="62" s="1" customFormat="1" spans="2:12">
      <c r="B62" s="19" t="s">
        <v>3704</v>
      </c>
      <c r="C62" s="19" t="s">
        <v>275</v>
      </c>
      <c r="D62" s="10">
        <v>0</v>
      </c>
      <c r="E62" s="20"/>
      <c r="F62" s="19"/>
      <c r="G62" s="19"/>
      <c r="H62" s="20"/>
      <c r="I62" s="23"/>
      <c r="J62" s="23"/>
      <c r="K62" s="23"/>
      <c r="L62" s="23"/>
    </row>
    <row r="63" s="1" customFormat="1" spans="2:12">
      <c r="B63" s="19" t="s">
        <v>3705</v>
      </c>
      <c r="C63" s="19" t="s">
        <v>275</v>
      </c>
      <c r="D63" s="10">
        <v>0</v>
      </c>
      <c r="E63" s="20"/>
      <c r="F63" s="19"/>
      <c r="G63" s="19"/>
      <c r="H63" s="20"/>
      <c r="I63" s="23"/>
      <c r="J63" s="23"/>
      <c r="K63" s="23"/>
      <c r="L63" s="23"/>
    </row>
    <row r="64" s="1" customFormat="1" spans="2:12">
      <c r="B64" s="19" t="s">
        <v>3706</v>
      </c>
      <c r="C64" s="19" t="s">
        <v>275</v>
      </c>
      <c r="D64" s="10" t="s">
        <v>3707</v>
      </c>
      <c r="E64" s="20"/>
      <c r="F64" s="19"/>
      <c r="G64" s="19"/>
      <c r="H64" s="20"/>
      <c r="I64" s="23"/>
      <c r="J64" s="23"/>
      <c r="K64" s="23"/>
      <c r="L64" s="23"/>
    </row>
    <row r="65" s="1" customFormat="1" spans="2:12">
      <c r="B65" s="19" t="s">
        <v>3708</v>
      </c>
      <c r="C65" s="19" t="s">
        <v>275</v>
      </c>
      <c r="D65" s="10" t="s">
        <v>3709</v>
      </c>
      <c r="E65" s="20"/>
      <c r="F65" s="19"/>
      <c r="G65" s="19"/>
      <c r="H65" s="20"/>
      <c r="I65" s="23"/>
      <c r="J65" s="23"/>
      <c r="K65" s="23"/>
      <c r="L65" s="23"/>
    </row>
    <row r="66" s="1" customFormat="1" spans="2:12">
      <c r="B66" s="19" t="s">
        <v>3710</v>
      </c>
      <c r="C66" s="19" t="s">
        <v>275</v>
      </c>
      <c r="D66" s="10" t="s">
        <v>3711</v>
      </c>
      <c r="E66" s="20"/>
      <c r="F66" s="19"/>
      <c r="G66" s="19"/>
      <c r="H66" s="20"/>
      <c r="I66" s="23"/>
      <c r="J66" s="23"/>
      <c r="K66" s="23"/>
      <c r="L66" s="23"/>
    </row>
    <row r="67" s="1" customFormat="1" spans="2:12">
      <c r="B67" s="19" t="s">
        <v>3712</v>
      </c>
      <c r="C67" s="19" t="s">
        <v>275</v>
      </c>
      <c r="D67" s="10" t="s">
        <v>3713</v>
      </c>
      <c r="E67" s="20"/>
      <c r="F67" s="19"/>
      <c r="G67" s="19"/>
      <c r="H67" s="20"/>
      <c r="I67" s="23"/>
      <c r="J67" s="23"/>
      <c r="K67" s="23"/>
      <c r="L67" s="23"/>
    </row>
    <row r="68" s="1" customFormat="1" spans="2:12">
      <c r="B68" s="19" t="s">
        <v>3714</v>
      </c>
      <c r="C68" s="19" t="s">
        <v>275</v>
      </c>
      <c r="D68" s="10" t="s">
        <v>3715</v>
      </c>
      <c r="E68" s="20"/>
      <c r="F68" s="19"/>
      <c r="G68" s="19"/>
      <c r="H68" s="20"/>
      <c r="I68" s="23"/>
      <c r="J68" s="23"/>
      <c r="K68" s="23"/>
      <c r="L68" s="23"/>
    </row>
    <row r="69" s="24" customFormat="1" spans="2:12">
      <c r="B69" s="19" t="s">
        <v>3716</v>
      </c>
      <c r="C69" s="19" t="s">
        <v>275</v>
      </c>
      <c r="D69" s="10" t="s">
        <v>3717</v>
      </c>
      <c r="E69" s="20"/>
      <c r="F69" s="19"/>
      <c r="G69" s="19"/>
      <c r="H69" s="20"/>
      <c r="I69" s="26"/>
      <c r="J69" s="26"/>
      <c r="K69" s="26"/>
      <c r="L69" s="26"/>
    </row>
    <row r="70" s="24" customFormat="1" spans="2:12">
      <c r="B70" s="19" t="s">
        <v>3718</v>
      </c>
      <c r="C70" s="19" t="s">
        <v>275</v>
      </c>
      <c r="D70" s="10" t="s">
        <v>3719</v>
      </c>
      <c r="E70" s="20"/>
      <c r="F70" s="19"/>
      <c r="G70" s="19"/>
      <c r="H70" s="20"/>
      <c r="I70" s="26"/>
      <c r="J70" s="26"/>
      <c r="K70" s="26"/>
      <c r="L70" s="26"/>
    </row>
    <row r="71" s="24" customFormat="1" ht="26.4" spans="2:12">
      <c r="B71" s="19" t="s">
        <v>3720</v>
      </c>
      <c r="C71" s="19" t="s">
        <v>275</v>
      </c>
      <c r="D71" s="10" t="s">
        <v>3721</v>
      </c>
      <c r="E71" s="20"/>
      <c r="F71" s="19"/>
      <c r="G71" s="19"/>
      <c r="H71" s="20"/>
      <c r="I71" s="26"/>
      <c r="J71" s="26"/>
      <c r="K71" s="26"/>
      <c r="L71" s="26"/>
    </row>
    <row r="72" s="24" customFormat="1" ht="26.4" spans="2:12">
      <c r="B72" s="19" t="s">
        <v>3722</v>
      </c>
      <c r="C72" s="19" t="s">
        <v>275</v>
      </c>
      <c r="D72" s="10" t="s">
        <v>3723</v>
      </c>
      <c r="E72" s="20"/>
      <c r="F72" s="19"/>
      <c r="G72" s="19"/>
      <c r="H72" s="20"/>
      <c r="I72" s="26"/>
      <c r="J72" s="26"/>
      <c r="K72" s="26"/>
      <c r="L72" s="26"/>
    </row>
    <row r="73" s="24" customFormat="1" ht="26.4" spans="2:12">
      <c r="B73" s="19" t="s">
        <v>3724</v>
      </c>
      <c r="C73" s="19" t="s">
        <v>275</v>
      </c>
      <c r="D73" s="10" t="s">
        <v>3725</v>
      </c>
      <c r="E73" s="20"/>
      <c r="F73" s="19"/>
      <c r="G73" s="19"/>
      <c r="H73" s="20"/>
      <c r="I73" s="26"/>
      <c r="J73" s="26"/>
      <c r="K73" s="26"/>
      <c r="L73" s="26"/>
    </row>
    <row r="74" s="24" customFormat="1" ht="26.4" spans="2:12">
      <c r="B74" s="19" t="s">
        <v>3726</v>
      </c>
      <c r="C74" s="19" t="s">
        <v>275</v>
      </c>
      <c r="D74" s="10" t="s">
        <v>3727</v>
      </c>
      <c r="E74" s="20"/>
      <c r="F74" s="19"/>
      <c r="G74" s="19"/>
      <c r="H74" s="20"/>
      <c r="I74" s="26"/>
      <c r="J74" s="26"/>
      <c r="K74" s="26"/>
      <c r="L74" s="26"/>
    </row>
    <row r="75" s="24" customFormat="1" spans="2:12">
      <c r="B75" s="19" t="s">
        <v>3728</v>
      </c>
      <c r="C75" s="19" t="s">
        <v>275</v>
      </c>
      <c r="D75" s="10" t="s">
        <v>3729</v>
      </c>
      <c r="E75" s="20"/>
      <c r="F75" s="19"/>
      <c r="G75" s="19"/>
      <c r="H75" s="20"/>
      <c r="I75" s="26"/>
      <c r="J75" s="26"/>
      <c r="K75" s="26"/>
      <c r="L75" s="26"/>
    </row>
    <row r="76" s="24" customFormat="1" spans="2:12">
      <c r="B76" s="19" t="s">
        <v>3730</v>
      </c>
      <c r="C76" s="19" t="s">
        <v>275</v>
      </c>
      <c r="D76" s="10" t="s">
        <v>3731</v>
      </c>
      <c r="E76" s="20"/>
      <c r="F76" s="19"/>
      <c r="G76" s="19"/>
      <c r="H76" s="20"/>
      <c r="I76" s="26"/>
      <c r="J76" s="26"/>
      <c r="K76" s="26"/>
      <c r="L76" s="26"/>
    </row>
    <row r="77" s="24" customFormat="1" spans="2:12">
      <c r="B77" s="19" t="s">
        <v>3732</v>
      </c>
      <c r="C77" s="19" t="s">
        <v>275</v>
      </c>
      <c r="D77" s="10" t="s">
        <v>3733</v>
      </c>
      <c r="E77" s="20"/>
      <c r="F77" s="19"/>
      <c r="G77" s="19"/>
      <c r="H77" s="20"/>
      <c r="I77" s="26"/>
      <c r="J77" s="26"/>
      <c r="K77" s="26"/>
      <c r="L77" s="26"/>
    </row>
    <row r="78" s="24" customFormat="1" spans="2:12">
      <c r="B78" s="19" t="s">
        <v>3734</v>
      </c>
      <c r="C78" s="19" t="s">
        <v>275</v>
      </c>
      <c r="D78" s="10">
        <v>0</v>
      </c>
      <c r="E78" s="20"/>
      <c r="F78" s="19"/>
      <c r="G78" s="19"/>
      <c r="H78" s="20"/>
      <c r="I78" s="26"/>
      <c r="J78" s="26"/>
      <c r="K78" s="26"/>
      <c r="L78" s="26"/>
    </row>
    <row r="79" s="24" customFormat="1" spans="2:12">
      <c r="B79" s="19" t="s">
        <v>3735</v>
      </c>
      <c r="C79" s="19" t="s">
        <v>275</v>
      </c>
      <c r="D79" s="10">
        <v>0</v>
      </c>
      <c r="E79" s="20"/>
      <c r="F79" s="19"/>
      <c r="G79" s="19"/>
      <c r="H79" s="20"/>
      <c r="I79" s="26"/>
      <c r="J79" s="26"/>
      <c r="K79" s="26"/>
      <c r="L79" s="26"/>
    </row>
    <row r="80" s="24" customFormat="1" spans="2:12">
      <c r="B80" s="19" t="s">
        <v>3736</v>
      </c>
      <c r="C80" s="19" t="s">
        <v>275</v>
      </c>
      <c r="D80" s="10">
        <v>0</v>
      </c>
      <c r="E80" s="20"/>
      <c r="F80" s="19"/>
      <c r="G80" s="19"/>
      <c r="H80" s="20"/>
      <c r="I80" s="26"/>
      <c r="J80" s="26"/>
      <c r="K80" s="26"/>
      <c r="L80" s="26"/>
    </row>
    <row r="81" s="24" customFormat="1" spans="2:12">
      <c r="B81" s="19" t="s">
        <v>3737</v>
      </c>
      <c r="C81" s="19" t="s">
        <v>216</v>
      </c>
      <c r="D81" s="10" t="s">
        <v>3738</v>
      </c>
      <c r="E81" s="20"/>
      <c r="F81" s="19"/>
      <c r="G81" s="19"/>
      <c r="H81" s="20"/>
      <c r="I81" s="26"/>
      <c r="J81" s="26"/>
      <c r="K81" s="26"/>
      <c r="L81" s="26"/>
    </row>
    <row r="82" s="24" customFormat="1" spans="2:12">
      <c r="B82" s="19" t="s">
        <v>3739</v>
      </c>
      <c r="C82" s="19" t="s">
        <v>275</v>
      </c>
      <c r="D82" s="10">
        <v>0</v>
      </c>
      <c r="E82" s="20"/>
      <c r="F82" s="19"/>
      <c r="G82" s="19"/>
      <c r="H82" s="20"/>
      <c r="I82" s="26"/>
      <c r="J82" s="26"/>
      <c r="K82" s="26"/>
      <c r="L82" s="26"/>
    </row>
    <row r="83" s="24" customFormat="1" spans="2:12">
      <c r="B83" s="19" t="s">
        <v>3740</v>
      </c>
      <c r="C83" s="19" t="s">
        <v>216</v>
      </c>
      <c r="D83" s="10">
        <v>0</v>
      </c>
      <c r="E83" s="20"/>
      <c r="F83" s="19"/>
      <c r="G83" s="19"/>
      <c r="H83" s="20"/>
      <c r="I83" s="26"/>
      <c r="J83" s="26"/>
      <c r="K83" s="26"/>
      <c r="L83" s="26"/>
    </row>
    <row r="84" s="24" customFormat="1" spans="2:12">
      <c r="B84" s="19" t="s">
        <v>3741</v>
      </c>
      <c r="C84" s="19" t="s">
        <v>216</v>
      </c>
      <c r="D84" s="10">
        <v>0</v>
      </c>
      <c r="E84" s="20"/>
      <c r="F84" s="19"/>
      <c r="G84" s="19"/>
      <c r="H84" s="20"/>
      <c r="I84" s="26"/>
      <c r="J84" s="26"/>
      <c r="K84" s="26"/>
      <c r="L84" s="26"/>
    </row>
    <row r="85" s="24" customFormat="1" spans="2:12">
      <c r="B85" s="19" t="s">
        <v>3742</v>
      </c>
      <c r="C85" s="19" t="s">
        <v>216</v>
      </c>
      <c r="D85" s="10">
        <v>0</v>
      </c>
      <c r="E85" s="20"/>
      <c r="F85" s="19"/>
      <c r="G85" s="19"/>
      <c r="H85" s="20"/>
      <c r="I85" s="26"/>
      <c r="J85" s="26"/>
      <c r="K85" s="26"/>
      <c r="L85" s="26"/>
    </row>
    <row r="86" s="24" customFormat="1" spans="2:12">
      <c r="B86" s="19" t="s">
        <v>3743</v>
      </c>
      <c r="C86" s="19" t="s">
        <v>275</v>
      </c>
      <c r="D86" s="10" t="s">
        <v>3744</v>
      </c>
      <c r="E86" s="20"/>
      <c r="F86" s="19"/>
      <c r="G86" s="19"/>
      <c r="H86" s="20"/>
      <c r="I86" s="26"/>
      <c r="J86" s="26"/>
      <c r="K86" s="26"/>
      <c r="L86" s="26"/>
    </row>
    <row r="87" s="24" customFormat="1" spans="2:12">
      <c r="B87" s="19" t="s">
        <v>3745</v>
      </c>
      <c r="C87" s="19" t="s">
        <v>220</v>
      </c>
      <c r="D87" s="10" t="s">
        <v>3746</v>
      </c>
      <c r="E87" s="20"/>
      <c r="F87" s="19"/>
      <c r="G87" s="19"/>
      <c r="H87" s="20"/>
      <c r="I87" s="26"/>
      <c r="J87" s="26"/>
      <c r="K87" s="26"/>
      <c r="L87" s="26"/>
    </row>
    <row r="88" s="24" customFormat="1" spans="2:12">
      <c r="B88" s="19" t="s">
        <v>3747</v>
      </c>
      <c r="C88" s="19" t="s">
        <v>216</v>
      </c>
      <c r="D88" s="10" t="s">
        <v>3748</v>
      </c>
      <c r="E88" s="20"/>
      <c r="F88" s="19"/>
      <c r="G88" s="19"/>
      <c r="H88" s="20"/>
      <c r="I88" s="26"/>
      <c r="J88" s="26"/>
      <c r="K88" s="26"/>
      <c r="L88" s="26"/>
    </row>
    <row r="89" s="24" customFormat="1" spans="2:12">
      <c r="B89" s="19" t="s">
        <v>3749</v>
      </c>
      <c r="C89" s="19" t="s">
        <v>275</v>
      </c>
      <c r="D89" s="10" t="s">
        <v>3750</v>
      </c>
      <c r="E89" s="20"/>
      <c r="F89" s="19"/>
      <c r="G89" s="19"/>
      <c r="H89" s="20"/>
      <c r="I89" s="26"/>
      <c r="J89" s="26"/>
      <c r="K89" s="26"/>
      <c r="L89" s="26"/>
    </row>
    <row r="90" s="24" customFormat="1" spans="2:12">
      <c r="B90" s="19" t="s">
        <v>1935</v>
      </c>
      <c r="C90" s="19" t="s">
        <v>275</v>
      </c>
      <c r="D90" s="10" t="s">
        <v>3751</v>
      </c>
      <c r="E90" s="20"/>
      <c r="F90" s="19"/>
      <c r="G90" s="19"/>
      <c r="H90" s="20"/>
      <c r="I90" s="26"/>
      <c r="J90" s="26"/>
      <c r="K90" s="26"/>
      <c r="L90" s="26"/>
    </row>
    <row r="91" s="24" customFormat="1" spans="2:12">
      <c r="B91" s="19" t="s">
        <v>3752</v>
      </c>
      <c r="C91" s="19" t="s">
        <v>275</v>
      </c>
      <c r="D91" s="10" t="s">
        <v>3753</v>
      </c>
      <c r="E91" s="20"/>
      <c r="F91" s="19"/>
      <c r="G91" s="19"/>
      <c r="H91" s="20"/>
      <c r="I91" s="26"/>
      <c r="J91" s="26"/>
      <c r="K91" s="26"/>
      <c r="L91" s="26"/>
    </row>
    <row r="92" s="24" customFormat="1" spans="2:12">
      <c r="B92" s="19" t="s">
        <v>3754</v>
      </c>
      <c r="C92" s="19" t="s">
        <v>275</v>
      </c>
      <c r="D92" s="10" t="s">
        <v>3755</v>
      </c>
      <c r="E92" s="20"/>
      <c r="F92" s="19"/>
      <c r="G92" s="19"/>
      <c r="H92" s="20"/>
      <c r="I92" s="26"/>
      <c r="J92" s="26"/>
      <c r="K92" s="26"/>
      <c r="L92" s="26"/>
    </row>
    <row r="93" s="24" customFormat="1" spans="2:12">
      <c r="B93" s="19" t="s">
        <v>3756</v>
      </c>
      <c r="C93" s="19" t="s">
        <v>275</v>
      </c>
      <c r="D93" s="10" t="s">
        <v>3757</v>
      </c>
      <c r="E93" s="20"/>
      <c r="F93" s="19"/>
      <c r="G93" s="19"/>
      <c r="H93" s="20"/>
      <c r="I93" s="26"/>
      <c r="J93" s="26"/>
      <c r="K93" s="26"/>
      <c r="L93" s="26"/>
    </row>
    <row r="94" s="24" customFormat="1" spans="2:12">
      <c r="B94" s="19" t="s">
        <v>3758</v>
      </c>
      <c r="C94" s="19" t="s">
        <v>275</v>
      </c>
      <c r="D94" s="10" t="s">
        <v>3759</v>
      </c>
      <c r="E94" s="20"/>
      <c r="F94" s="19"/>
      <c r="G94" s="19"/>
      <c r="H94" s="20"/>
      <c r="I94" s="26"/>
      <c r="J94" s="26"/>
      <c r="K94" s="26"/>
      <c r="L94" s="26"/>
    </row>
    <row r="95" s="24" customFormat="1" spans="2:12">
      <c r="B95" s="19" t="s">
        <v>3760</v>
      </c>
      <c r="C95" s="19" t="s">
        <v>275</v>
      </c>
      <c r="D95" s="10" t="s">
        <v>3761</v>
      </c>
      <c r="E95" s="20"/>
      <c r="F95" s="19"/>
      <c r="G95" s="19"/>
      <c r="H95" s="20"/>
      <c r="I95" s="26"/>
      <c r="J95" s="26"/>
      <c r="K95" s="26"/>
      <c r="L95" s="26"/>
    </row>
    <row r="96" s="24" customFormat="1" spans="2:12">
      <c r="B96" s="19" t="s">
        <v>3762</v>
      </c>
      <c r="C96" s="19" t="s">
        <v>275</v>
      </c>
      <c r="D96" s="10" t="s">
        <v>3763</v>
      </c>
      <c r="E96" s="20"/>
      <c r="F96" s="19"/>
      <c r="G96" s="19"/>
      <c r="H96" s="20"/>
      <c r="I96" s="26"/>
      <c r="J96" s="26"/>
      <c r="K96" s="26"/>
      <c r="L96" s="26"/>
    </row>
    <row r="97" s="25" customFormat="1" spans="2:12">
      <c r="B97" s="28" t="s">
        <v>1830</v>
      </c>
      <c r="C97" s="28" t="s">
        <v>220</v>
      </c>
      <c r="D97" s="29" t="s">
        <v>1831</v>
      </c>
      <c r="E97" s="30"/>
      <c r="F97" s="28" t="s">
        <v>252</v>
      </c>
      <c r="G97" s="28" t="s">
        <v>218</v>
      </c>
      <c r="H97" s="30"/>
      <c r="I97" s="31" t="s">
        <v>1039</v>
      </c>
      <c r="J97" s="31"/>
      <c r="K97" s="31"/>
      <c r="L97" s="31"/>
    </row>
    <row r="98" s="25" customFormat="1" ht="26.4" spans="2:12">
      <c r="B98" s="28" t="s">
        <v>1316</v>
      </c>
      <c r="C98" s="28" t="s">
        <v>216</v>
      </c>
      <c r="D98" s="29" t="s">
        <v>2019</v>
      </c>
      <c r="E98" s="30"/>
      <c r="F98" s="28" t="s">
        <v>2020</v>
      </c>
      <c r="G98" s="28" t="s">
        <v>218</v>
      </c>
      <c r="H98" s="30"/>
      <c r="I98" s="31" t="s">
        <v>1039</v>
      </c>
      <c r="J98" s="31"/>
      <c r="K98" s="31"/>
      <c r="L98" s="31"/>
    </row>
    <row r="99" s="25" customFormat="1" ht="26.4" spans="2:12">
      <c r="B99" s="28" t="s">
        <v>1832</v>
      </c>
      <c r="C99" s="28" t="s">
        <v>220</v>
      </c>
      <c r="D99" s="29" t="s">
        <v>3764</v>
      </c>
      <c r="E99" s="30"/>
      <c r="F99" s="28" t="s">
        <v>1038</v>
      </c>
      <c r="G99" s="28" t="s">
        <v>218</v>
      </c>
      <c r="H99" s="30"/>
      <c r="I99" s="31" t="s">
        <v>1039</v>
      </c>
      <c r="J99" s="31"/>
      <c r="K99" s="31"/>
      <c r="L99" s="31"/>
    </row>
    <row r="100" s="25" customFormat="1" ht="26.4" spans="2:12">
      <c r="B100" s="28" t="s">
        <v>1318</v>
      </c>
      <c r="C100" s="28" t="s">
        <v>216</v>
      </c>
      <c r="D100" s="29" t="s">
        <v>3765</v>
      </c>
      <c r="E100" s="30"/>
      <c r="F100" s="28" t="s">
        <v>2022</v>
      </c>
      <c r="G100" s="28" t="s">
        <v>218</v>
      </c>
      <c r="H100" s="30"/>
      <c r="I100" s="31" t="s">
        <v>1039</v>
      </c>
      <c r="J100" s="31"/>
      <c r="K100" s="31"/>
      <c r="L100" s="31"/>
    </row>
    <row r="101" s="25" customFormat="1" ht="26.4" spans="2:12">
      <c r="B101" s="28" t="s">
        <v>1834</v>
      </c>
      <c r="C101" s="28" t="s">
        <v>220</v>
      </c>
      <c r="D101" s="29" t="s">
        <v>1835</v>
      </c>
      <c r="E101" s="30"/>
      <c r="F101" s="28" t="s">
        <v>3766</v>
      </c>
      <c r="G101" s="28" t="s">
        <v>218</v>
      </c>
      <c r="H101" s="30"/>
      <c r="I101" s="31" t="s">
        <v>1039</v>
      </c>
      <c r="J101" s="31"/>
      <c r="K101" s="31"/>
      <c r="L101" s="31"/>
    </row>
    <row r="102" s="25" customFormat="1" ht="26.4" spans="2:12">
      <c r="B102" s="28" t="s">
        <v>2023</v>
      </c>
      <c r="C102" s="28" t="s">
        <v>216</v>
      </c>
      <c r="D102" s="29" t="s">
        <v>2024</v>
      </c>
      <c r="E102" s="30"/>
      <c r="F102" s="28" t="s">
        <v>2025</v>
      </c>
      <c r="G102" s="28" t="s">
        <v>218</v>
      </c>
      <c r="H102" s="30"/>
      <c r="I102" s="31" t="s">
        <v>1039</v>
      </c>
      <c r="J102" s="31"/>
      <c r="K102" s="31"/>
      <c r="L102" s="31"/>
    </row>
    <row r="103" s="25" customFormat="1" ht="26.4" spans="2:12">
      <c r="B103" s="28" t="s">
        <v>3767</v>
      </c>
      <c r="C103" s="28" t="s">
        <v>216</v>
      </c>
      <c r="D103" s="29" t="s">
        <v>3768</v>
      </c>
      <c r="E103" s="30"/>
      <c r="F103" s="28" t="s">
        <v>3769</v>
      </c>
      <c r="G103" s="28" t="s">
        <v>218</v>
      </c>
      <c r="H103" s="30"/>
      <c r="I103" s="31" t="s">
        <v>1039</v>
      </c>
      <c r="J103" s="31"/>
      <c r="K103" s="31"/>
      <c r="L103" s="31"/>
    </row>
    <row r="104" s="25" customFormat="1" ht="26.4" spans="2:12">
      <c r="B104" s="28" t="s">
        <v>2678</v>
      </c>
      <c r="C104" s="28" t="s">
        <v>216</v>
      </c>
      <c r="D104" s="29" t="s">
        <v>3770</v>
      </c>
      <c r="E104" s="30"/>
      <c r="F104" s="28" t="s">
        <v>2680</v>
      </c>
      <c r="G104" s="28" t="s">
        <v>218</v>
      </c>
      <c r="H104" s="30"/>
      <c r="I104" s="31" t="s">
        <v>1039</v>
      </c>
      <c r="J104" s="31"/>
      <c r="K104" s="31"/>
      <c r="L104" s="31"/>
    </row>
    <row r="105" s="25" customFormat="1" spans="2:12">
      <c r="B105" s="28" t="s">
        <v>3771</v>
      </c>
      <c r="C105" s="28" t="s">
        <v>220</v>
      </c>
      <c r="D105" s="29" t="s">
        <v>3772</v>
      </c>
      <c r="E105" s="30"/>
      <c r="F105" s="28"/>
      <c r="G105" s="28"/>
      <c r="H105" s="30"/>
      <c r="I105" s="31"/>
      <c r="J105" s="31"/>
      <c r="K105" s="31"/>
      <c r="L105" s="31"/>
    </row>
    <row r="106" s="25" customFormat="1" spans="2:12">
      <c r="B106" s="28" t="s">
        <v>3773</v>
      </c>
      <c r="C106" s="28" t="s">
        <v>220</v>
      </c>
      <c r="D106" s="29" t="s">
        <v>3774</v>
      </c>
      <c r="E106" s="30"/>
      <c r="F106" s="28"/>
      <c r="G106" s="28"/>
      <c r="H106" s="30"/>
      <c r="I106" s="31"/>
      <c r="J106" s="31"/>
      <c r="K106" s="31"/>
      <c r="L106" s="31"/>
    </row>
    <row r="107" s="24" customFormat="1" spans="2:12">
      <c r="B107" s="19" t="s">
        <v>3775</v>
      </c>
      <c r="C107" s="19" t="s">
        <v>220</v>
      </c>
      <c r="D107" s="10" t="s">
        <v>3776</v>
      </c>
      <c r="E107" s="20"/>
      <c r="F107" s="19"/>
      <c r="G107" s="19"/>
      <c r="H107" s="20"/>
      <c r="I107" s="26"/>
      <c r="J107" s="26"/>
      <c r="K107" s="26"/>
      <c r="L107" s="26"/>
    </row>
    <row r="108" s="24" customFormat="1" spans="2:12">
      <c r="B108" s="19" t="s">
        <v>3777</v>
      </c>
      <c r="C108" s="19" t="s">
        <v>220</v>
      </c>
      <c r="D108" s="10" t="s">
        <v>3778</v>
      </c>
      <c r="E108" s="20"/>
      <c r="F108" s="19"/>
      <c r="G108" s="19"/>
      <c r="H108" s="20"/>
      <c r="I108" s="26"/>
      <c r="J108" s="26"/>
      <c r="K108" s="26"/>
      <c r="L108" s="26"/>
    </row>
    <row r="109" s="24" customFormat="1" spans="2:12">
      <c r="B109" s="19" t="s">
        <v>3779</v>
      </c>
      <c r="C109" s="19" t="s">
        <v>275</v>
      </c>
      <c r="D109" s="10" t="s">
        <v>3780</v>
      </c>
      <c r="E109" s="20"/>
      <c r="F109" s="19"/>
      <c r="G109" s="19"/>
      <c r="H109" s="20"/>
      <c r="I109" s="26"/>
      <c r="J109" s="26"/>
      <c r="K109" s="26"/>
      <c r="L109" s="26"/>
    </row>
    <row r="110" s="24" customFormat="1" spans="2:12">
      <c r="B110" s="19" t="s">
        <v>3781</v>
      </c>
      <c r="C110" s="19" t="s">
        <v>220</v>
      </c>
      <c r="D110" s="10" t="s">
        <v>3782</v>
      </c>
      <c r="E110" s="20"/>
      <c r="F110" s="19"/>
      <c r="G110" s="19"/>
      <c r="H110" s="20"/>
      <c r="I110" s="26"/>
      <c r="J110" s="26"/>
      <c r="K110" s="26"/>
      <c r="L110" s="26"/>
    </row>
    <row r="111" s="24" customFormat="1" spans="2:12">
      <c r="B111" s="19" t="s">
        <v>3783</v>
      </c>
      <c r="C111" s="19" t="s">
        <v>220</v>
      </c>
      <c r="D111" s="10" t="s">
        <v>3784</v>
      </c>
      <c r="E111" s="20"/>
      <c r="F111" s="19"/>
      <c r="G111" s="19"/>
      <c r="H111" s="20"/>
      <c r="I111" s="26"/>
      <c r="J111" s="26"/>
      <c r="K111" s="26"/>
      <c r="L111" s="26"/>
    </row>
    <row r="112" s="24" customFormat="1" spans="2:12">
      <c r="B112" s="19" t="s">
        <v>3785</v>
      </c>
      <c r="C112" s="19" t="s">
        <v>220</v>
      </c>
      <c r="D112" s="10" t="s">
        <v>3786</v>
      </c>
      <c r="E112" s="20"/>
      <c r="F112" s="19"/>
      <c r="G112" s="19"/>
      <c r="H112" s="20"/>
      <c r="I112" s="26"/>
      <c r="J112" s="26"/>
      <c r="K112" s="26"/>
      <c r="L112" s="26"/>
    </row>
    <row r="113" s="24" customFormat="1" spans="2:12">
      <c r="B113" s="19" t="s">
        <v>3787</v>
      </c>
      <c r="C113" s="19" t="s">
        <v>220</v>
      </c>
      <c r="D113" s="10" t="s">
        <v>3788</v>
      </c>
      <c r="E113" s="20"/>
      <c r="F113" s="19"/>
      <c r="G113" s="19"/>
      <c r="H113" s="20"/>
      <c r="I113" s="26"/>
      <c r="J113" s="26"/>
      <c r="K113" s="26"/>
      <c r="L113" s="26"/>
    </row>
    <row r="114" s="24" customFormat="1" spans="2:12">
      <c r="B114" s="19" t="s">
        <v>3789</v>
      </c>
      <c r="C114" s="19" t="s">
        <v>275</v>
      </c>
      <c r="D114" s="10" t="s">
        <v>3790</v>
      </c>
      <c r="E114" s="20"/>
      <c r="F114" s="19"/>
      <c r="G114" s="19"/>
      <c r="H114" s="20"/>
      <c r="I114" s="26"/>
      <c r="J114" s="26"/>
      <c r="K114" s="26"/>
      <c r="L114" s="26"/>
    </row>
    <row r="115" s="24" customFormat="1" spans="2:12">
      <c r="B115" s="19" t="s">
        <v>3791</v>
      </c>
      <c r="C115" s="19" t="s">
        <v>220</v>
      </c>
      <c r="D115" s="10" t="s">
        <v>3792</v>
      </c>
      <c r="E115" s="20"/>
      <c r="F115" s="19"/>
      <c r="G115" s="19"/>
      <c r="H115" s="20"/>
      <c r="I115" s="26"/>
      <c r="J115" s="26"/>
      <c r="K115" s="26"/>
      <c r="L115" s="26"/>
    </row>
    <row r="116" s="24" customFormat="1" ht="26.4" spans="2:12">
      <c r="B116" s="19" t="s">
        <v>3793</v>
      </c>
      <c r="C116" s="19" t="s">
        <v>220</v>
      </c>
      <c r="D116" s="10" t="s">
        <v>3794</v>
      </c>
      <c r="E116" s="20"/>
      <c r="F116" s="19"/>
      <c r="G116" s="19"/>
      <c r="H116" s="20"/>
      <c r="I116" s="26"/>
      <c r="J116" s="26"/>
      <c r="K116" s="26"/>
      <c r="L116" s="26"/>
    </row>
    <row r="117" s="24" customFormat="1" ht="26.4" spans="2:12">
      <c r="B117" s="19" t="s">
        <v>3795</v>
      </c>
      <c r="C117" s="19" t="s">
        <v>220</v>
      </c>
      <c r="D117" s="10" t="s">
        <v>3796</v>
      </c>
      <c r="E117" s="20"/>
      <c r="F117" s="19"/>
      <c r="G117" s="19"/>
      <c r="H117" s="20"/>
      <c r="I117" s="26"/>
      <c r="J117" s="26"/>
      <c r="K117" s="26"/>
      <c r="L117" s="26"/>
    </row>
    <row r="118" s="24" customFormat="1" spans="2:12">
      <c r="B118" s="19" t="s">
        <v>3797</v>
      </c>
      <c r="C118" s="19" t="s">
        <v>220</v>
      </c>
      <c r="D118" s="10" t="s">
        <v>3798</v>
      </c>
      <c r="E118" s="20"/>
      <c r="F118" s="19"/>
      <c r="G118" s="19"/>
      <c r="H118" s="20"/>
      <c r="I118" s="26"/>
      <c r="J118" s="26"/>
      <c r="K118" s="26"/>
      <c r="L118" s="26"/>
    </row>
    <row r="119" s="24" customFormat="1" ht="26.4" spans="2:12">
      <c r="B119" s="19" t="s">
        <v>3799</v>
      </c>
      <c r="C119" s="19" t="s">
        <v>220</v>
      </c>
      <c r="D119" s="10" t="s">
        <v>3800</v>
      </c>
      <c r="E119" s="20"/>
      <c r="F119" s="19"/>
      <c r="G119" s="19"/>
      <c r="H119" s="20"/>
      <c r="I119" s="26"/>
      <c r="J119" s="26"/>
      <c r="K119" s="26"/>
      <c r="L119" s="26"/>
    </row>
    <row r="120" s="24" customFormat="1" ht="26.4" spans="2:12">
      <c r="B120" s="19" t="s">
        <v>3801</v>
      </c>
      <c r="C120" s="19" t="s">
        <v>275</v>
      </c>
      <c r="D120" s="10" t="s">
        <v>3802</v>
      </c>
      <c r="E120" s="20"/>
      <c r="F120" s="19"/>
      <c r="G120" s="19"/>
      <c r="H120" s="20"/>
      <c r="I120" s="26"/>
      <c r="J120" s="26"/>
      <c r="K120" s="26"/>
      <c r="L120" s="26"/>
    </row>
    <row r="121" s="24" customFormat="1" ht="26.4" spans="2:12">
      <c r="B121" s="19" t="s">
        <v>3803</v>
      </c>
      <c r="C121" s="19" t="s">
        <v>220</v>
      </c>
      <c r="D121" s="10" t="s">
        <v>3804</v>
      </c>
      <c r="E121" s="20"/>
      <c r="F121" s="19"/>
      <c r="G121" s="19"/>
      <c r="H121" s="20"/>
      <c r="I121" s="26"/>
      <c r="J121" s="26"/>
      <c r="K121" s="26"/>
      <c r="L121" s="26"/>
    </row>
    <row r="122" s="24" customFormat="1" spans="2:12">
      <c r="B122" s="19" t="s">
        <v>3805</v>
      </c>
      <c r="C122" s="19" t="s">
        <v>220</v>
      </c>
      <c r="D122" s="10" t="s">
        <v>3806</v>
      </c>
      <c r="E122" s="20"/>
      <c r="F122" s="19"/>
      <c r="G122" s="19"/>
      <c r="H122" s="20"/>
      <c r="I122" s="26"/>
      <c r="J122" s="26"/>
      <c r="K122" s="26"/>
      <c r="L122" s="26"/>
    </row>
    <row r="123" s="24" customFormat="1" spans="2:12">
      <c r="B123" s="19" t="s">
        <v>3807</v>
      </c>
      <c r="C123" s="19" t="s">
        <v>220</v>
      </c>
      <c r="D123" s="10" t="s">
        <v>3808</v>
      </c>
      <c r="E123" s="20"/>
      <c r="F123" s="19"/>
      <c r="G123" s="19"/>
      <c r="H123" s="20"/>
      <c r="I123" s="26"/>
      <c r="J123" s="26"/>
      <c r="K123" s="26"/>
      <c r="L123" s="26"/>
    </row>
    <row r="124" s="24" customFormat="1" spans="2:12">
      <c r="B124" s="19" t="s">
        <v>3809</v>
      </c>
      <c r="C124" s="19" t="s">
        <v>220</v>
      </c>
      <c r="D124" s="10" t="s">
        <v>3810</v>
      </c>
      <c r="E124" s="20"/>
      <c r="F124" s="19"/>
      <c r="G124" s="19"/>
      <c r="H124" s="20"/>
      <c r="I124" s="26"/>
      <c r="J124" s="26"/>
      <c r="K124" s="26"/>
      <c r="L124" s="26"/>
    </row>
    <row r="125" s="24" customFormat="1" spans="2:12">
      <c r="B125" s="19" t="s">
        <v>3811</v>
      </c>
      <c r="C125" s="19" t="s">
        <v>220</v>
      </c>
      <c r="D125" s="10" t="s">
        <v>3812</v>
      </c>
      <c r="E125" s="20"/>
      <c r="F125" s="19"/>
      <c r="G125" s="19"/>
      <c r="H125" s="20"/>
      <c r="I125" s="26"/>
      <c r="J125" s="26"/>
      <c r="K125" s="26"/>
      <c r="L125" s="26"/>
    </row>
    <row r="126" s="24" customFormat="1" spans="2:12">
      <c r="B126" s="19" t="s">
        <v>3813</v>
      </c>
      <c r="C126" s="19" t="s">
        <v>275</v>
      </c>
      <c r="D126" s="10" t="s">
        <v>3814</v>
      </c>
      <c r="E126" s="20"/>
      <c r="F126" s="19"/>
      <c r="G126" s="19"/>
      <c r="H126" s="20"/>
      <c r="I126" s="26"/>
      <c r="J126" s="26"/>
      <c r="K126" s="26"/>
      <c r="L126" s="26"/>
    </row>
    <row r="127" s="24" customFormat="1" spans="2:12">
      <c r="B127" s="19" t="s">
        <v>3815</v>
      </c>
      <c r="C127" s="19" t="s">
        <v>220</v>
      </c>
      <c r="D127" s="10" t="s">
        <v>3816</v>
      </c>
      <c r="E127" s="20"/>
      <c r="F127" s="19"/>
      <c r="G127" s="19"/>
      <c r="H127" s="20"/>
      <c r="I127" s="26"/>
      <c r="J127" s="26"/>
      <c r="K127" s="26"/>
      <c r="L127" s="26"/>
    </row>
    <row r="128" s="24" customFormat="1" spans="2:12">
      <c r="B128" s="19" t="s">
        <v>3817</v>
      </c>
      <c r="C128" s="19" t="s">
        <v>220</v>
      </c>
      <c r="D128" s="10" t="s">
        <v>3818</v>
      </c>
      <c r="E128" s="20"/>
      <c r="F128" s="19"/>
      <c r="G128" s="19"/>
      <c r="H128" s="20"/>
      <c r="I128" s="26"/>
      <c r="J128" s="26"/>
      <c r="K128" s="26"/>
      <c r="L128" s="26"/>
    </row>
    <row r="129" s="24" customFormat="1" spans="2:12">
      <c r="B129" s="19" t="s">
        <v>3819</v>
      </c>
      <c r="C129" s="19" t="s">
        <v>220</v>
      </c>
      <c r="D129" s="10" t="s">
        <v>3820</v>
      </c>
      <c r="E129" s="20"/>
      <c r="F129" s="19"/>
      <c r="G129" s="19"/>
      <c r="H129" s="20"/>
      <c r="I129" s="26"/>
      <c r="J129" s="26"/>
      <c r="K129" s="26"/>
      <c r="L129" s="26"/>
    </row>
    <row r="130" s="24" customFormat="1" spans="2:12">
      <c r="B130" s="19" t="s">
        <v>3821</v>
      </c>
      <c r="C130" s="19" t="s">
        <v>220</v>
      </c>
      <c r="D130" s="10" t="s">
        <v>3822</v>
      </c>
      <c r="E130" s="20"/>
      <c r="F130" s="19"/>
      <c r="G130" s="19"/>
      <c r="H130" s="20"/>
      <c r="I130" s="26"/>
      <c r="J130" s="26"/>
      <c r="K130" s="26"/>
      <c r="L130" s="26"/>
    </row>
    <row r="131" s="24" customFormat="1" spans="2:12">
      <c r="B131" s="19" t="s">
        <v>3823</v>
      </c>
      <c r="C131" s="19" t="s">
        <v>220</v>
      </c>
      <c r="D131" s="10" t="s">
        <v>3824</v>
      </c>
      <c r="E131" s="20"/>
      <c r="F131" s="19"/>
      <c r="G131" s="19"/>
      <c r="H131" s="20"/>
      <c r="I131" s="26"/>
      <c r="J131" s="26"/>
      <c r="K131" s="26"/>
      <c r="L131" s="26"/>
    </row>
    <row r="132" s="24" customFormat="1" spans="2:12">
      <c r="B132" s="19" t="s">
        <v>3825</v>
      </c>
      <c r="C132" s="19" t="s">
        <v>275</v>
      </c>
      <c r="D132" s="10" t="s">
        <v>3826</v>
      </c>
      <c r="E132" s="20"/>
      <c r="F132" s="19"/>
      <c r="G132" s="19"/>
      <c r="H132" s="20"/>
      <c r="I132" s="26"/>
      <c r="J132" s="26"/>
      <c r="K132" s="26"/>
      <c r="L132" s="26"/>
    </row>
    <row r="133" s="24" customFormat="1" spans="2:12">
      <c r="B133" s="19" t="s">
        <v>3827</v>
      </c>
      <c r="C133" s="19" t="s">
        <v>220</v>
      </c>
      <c r="D133" s="10" t="s">
        <v>3828</v>
      </c>
      <c r="E133" s="20"/>
      <c r="F133" s="19"/>
      <c r="G133" s="19"/>
      <c r="H133" s="20"/>
      <c r="I133" s="26"/>
      <c r="J133" s="26"/>
      <c r="K133" s="26"/>
      <c r="L133" s="26"/>
    </row>
    <row r="134" s="24" customFormat="1" spans="2:12">
      <c r="B134" s="19" t="s">
        <v>3829</v>
      </c>
      <c r="C134" s="19" t="s">
        <v>220</v>
      </c>
      <c r="D134" s="10" t="s">
        <v>3830</v>
      </c>
      <c r="E134" s="20"/>
      <c r="F134" s="19"/>
      <c r="G134" s="19"/>
      <c r="H134" s="20"/>
      <c r="I134" s="26"/>
      <c r="J134" s="26"/>
      <c r="K134" s="26"/>
      <c r="L134" s="26"/>
    </row>
    <row r="135" s="24" customFormat="1" spans="2:12">
      <c r="B135" s="19" t="s">
        <v>3831</v>
      </c>
      <c r="C135" s="19" t="s">
        <v>220</v>
      </c>
      <c r="D135" s="10" t="s">
        <v>3832</v>
      </c>
      <c r="E135" s="20"/>
      <c r="F135" s="19"/>
      <c r="G135" s="19"/>
      <c r="H135" s="20"/>
      <c r="I135" s="26"/>
      <c r="J135" s="26"/>
      <c r="K135" s="26"/>
      <c r="L135" s="26"/>
    </row>
    <row r="136" s="24" customFormat="1" spans="2:12">
      <c r="B136" s="19" t="s">
        <v>3833</v>
      </c>
      <c r="C136" s="19" t="s">
        <v>220</v>
      </c>
      <c r="D136" s="10" t="s">
        <v>3834</v>
      </c>
      <c r="E136" s="20"/>
      <c r="F136" s="19"/>
      <c r="G136" s="19"/>
      <c r="H136" s="20"/>
      <c r="I136" s="26"/>
      <c r="J136" s="26"/>
      <c r="K136" s="26"/>
      <c r="L136" s="26"/>
    </row>
    <row r="137" s="24" customFormat="1" spans="2:12">
      <c r="B137" s="19" t="s">
        <v>3835</v>
      </c>
      <c r="C137" s="19" t="s">
        <v>275</v>
      </c>
      <c r="D137" s="10" t="s">
        <v>3836</v>
      </c>
      <c r="E137" s="20"/>
      <c r="F137" s="19"/>
      <c r="G137" s="19"/>
      <c r="H137" s="20"/>
      <c r="I137" s="26"/>
      <c r="J137" s="26"/>
      <c r="K137" s="26"/>
      <c r="L137" s="26"/>
    </row>
    <row r="138" s="24" customFormat="1" spans="2:12">
      <c r="B138" s="19" t="s">
        <v>3837</v>
      </c>
      <c r="C138" s="19" t="s">
        <v>220</v>
      </c>
      <c r="D138" s="10" t="s">
        <v>3838</v>
      </c>
      <c r="E138" s="20"/>
      <c r="F138" s="19"/>
      <c r="G138" s="19"/>
      <c r="H138" s="20"/>
      <c r="I138" s="26"/>
      <c r="J138" s="26"/>
      <c r="K138" s="26"/>
      <c r="L138" s="26"/>
    </row>
    <row r="139" s="24" customFormat="1" spans="2:12">
      <c r="B139" s="19" t="s">
        <v>3839</v>
      </c>
      <c r="C139" s="19" t="s">
        <v>220</v>
      </c>
      <c r="D139" s="10" t="s">
        <v>3840</v>
      </c>
      <c r="E139" s="20"/>
      <c r="F139" s="19"/>
      <c r="G139" s="19"/>
      <c r="H139" s="20"/>
      <c r="I139" s="26"/>
      <c r="J139" s="26"/>
      <c r="K139" s="26"/>
      <c r="L139" s="26"/>
    </row>
    <row r="140" s="24" customFormat="1" spans="2:12">
      <c r="B140" s="19" t="s">
        <v>3841</v>
      </c>
      <c r="C140" s="19" t="s">
        <v>220</v>
      </c>
      <c r="D140" s="10" t="s">
        <v>3842</v>
      </c>
      <c r="E140" s="20"/>
      <c r="F140" s="19"/>
      <c r="G140" s="19"/>
      <c r="H140" s="20"/>
      <c r="I140" s="26"/>
      <c r="J140" s="26"/>
      <c r="K140" s="26"/>
      <c r="L140" s="26"/>
    </row>
    <row r="141" s="24" customFormat="1" spans="2:12">
      <c r="B141" s="19" t="s">
        <v>3843</v>
      </c>
      <c r="C141" s="19" t="s">
        <v>220</v>
      </c>
      <c r="D141" s="10" t="s">
        <v>3844</v>
      </c>
      <c r="E141" s="20"/>
      <c r="F141" s="19"/>
      <c r="G141" s="19"/>
      <c r="H141" s="20"/>
      <c r="I141" s="26"/>
      <c r="J141" s="26"/>
      <c r="K141" s="26"/>
      <c r="L141" s="26"/>
    </row>
    <row r="142" s="24" customFormat="1" spans="2:12">
      <c r="B142" s="19" t="s">
        <v>3845</v>
      </c>
      <c r="C142" s="19" t="s">
        <v>220</v>
      </c>
      <c r="D142" s="10" t="s">
        <v>3846</v>
      </c>
      <c r="E142" s="20"/>
      <c r="F142" s="19"/>
      <c r="G142" s="19"/>
      <c r="H142" s="20"/>
      <c r="I142" s="26"/>
      <c r="J142" s="26"/>
      <c r="K142" s="26"/>
      <c r="L142" s="26"/>
    </row>
    <row r="143" s="24" customFormat="1" spans="2:12">
      <c r="B143" s="19" t="s">
        <v>3847</v>
      </c>
      <c r="C143" s="19" t="s">
        <v>275</v>
      </c>
      <c r="D143" s="10" t="s">
        <v>3848</v>
      </c>
      <c r="E143" s="20"/>
      <c r="F143" s="19"/>
      <c r="G143" s="19"/>
      <c r="H143" s="20"/>
      <c r="I143" s="26"/>
      <c r="J143" s="26"/>
      <c r="K143" s="26"/>
      <c r="L143" s="26"/>
    </row>
    <row r="144" s="24" customFormat="1" spans="2:12">
      <c r="B144" s="19" t="s">
        <v>3849</v>
      </c>
      <c r="C144" s="19" t="s">
        <v>220</v>
      </c>
      <c r="D144" s="10" t="s">
        <v>3850</v>
      </c>
      <c r="E144" s="20"/>
      <c r="F144" s="19"/>
      <c r="G144" s="19"/>
      <c r="H144" s="20"/>
      <c r="I144" s="26"/>
      <c r="J144" s="26"/>
      <c r="K144" s="26"/>
      <c r="L144" s="26"/>
    </row>
    <row r="145" s="24" customFormat="1" spans="2:12">
      <c r="B145" s="19" t="s">
        <v>3851</v>
      </c>
      <c r="C145" s="19" t="s">
        <v>220</v>
      </c>
      <c r="D145" s="10" t="s">
        <v>3852</v>
      </c>
      <c r="E145" s="20"/>
      <c r="F145" s="19"/>
      <c r="G145" s="19"/>
      <c r="H145" s="20"/>
      <c r="I145" s="26"/>
      <c r="J145" s="26"/>
      <c r="K145" s="26"/>
      <c r="L145" s="26"/>
    </row>
    <row r="146" s="24" customFormat="1" spans="2:12">
      <c r="B146" s="19" t="s">
        <v>3853</v>
      </c>
      <c r="C146" s="19" t="s">
        <v>220</v>
      </c>
      <c r="D146" s="10" t="s">
        <v>3854</v>
      </c>
      <c r="E146" s="20"/>
      <c r="F146" s="19"/>
      <c r="G146" s="19"/>
      <c r="H146" s="20"/>
      <c r="I146" s="26"/>
      <c r="J146" s="26"/>
      <c r="K146" s="26"/>
      <c r="L146" s="26"/>
    </row>
    <row r="147" s="24" customFormat="1" spans="2:12">
      <c r="B147" s="19" t="s">
        <v>3855</v>
      </c>
      <c r="C147" s="19" t="s">
        <v>220</v>
      </c>
      <c r="D147" s="10" t="s">
        <v>3856</v>
      </c>
      <c r="E147" s="20"/>
      <c r="F147" s="19"/>
      <c r="G147" s="19"/>
      <c r="H147" s="20"/>
      <c r="I147" s="26"/>
      <c r="J147" s="26"/>
      <c r="K147" s="26"/>
      <c r="L147" s="26"/>
    </row>
    <row r="148" s="24" customFormat="1" spans="2:12">
      <c r="B148" s="19" t="s">
        <v>3857</v>
      </c>
      <c r="C148" s="19" t="s">
        <v>220</v>
      </c>
      <c r="D148" s="10" t="s">
        <v>3858</v>
      </c>
      <c r="E148" s="20"/>
      <c r="F148" s="19"/>
      <c r="G148" s="19"/>
      <c r="H148" s="20"/>
      <c r="I148" s="26"/>
      <c r="J148" s="26"/>
      <c r="K148" s="26"/>
      <c r="L148" s="26"/>
    </row>
    <row r="149" s="24" customFormat="1" spans="2:12">
      <c r="B149" s="19" t="s">
        <v>3859</v>
      </c>
      <c r="C149" s="19" t="s">
        <v>275</v>
      </c>
      <c r="D149" s="10" t="s">
        <v>3860</v>
      </c>
      <c r="E149" s="20"/>
      <c r="F149" s="19"/>
      <c r="G149" s="19"/>
      <c r="H149" s="20"/>
      <c r="I149" s="26"/>
      <c r="J149" s="26"/>
      <c r="K149" s="26"/>
      <c r="L149" s="26"/>
    </row>
    <row r="150" s="24" customFormat="1" spans="2:12">
      <c r="B150" s="19" t="s">
        <v>3861</v>
      </c>
      <c r="C150" s="19" t="s">
        <v>220</v>
      </c>
      <c r="D150" s="10" t="s">
        <v>3862</v>
      </c>
      <c r="E150" s="20"/>
      <c r="F150" s="19"/>
      <c r="G150" s="19"/>
      <c r="H150" s="20"/>
      <c r="I150" s="26"/>
      <c r="J150" s="26"/>
      <c r="K150" s="26"/>
      <c r="L150" s="26"/>
    </row>
    <row r="151" s="24" customFormat="1" spans="2:12">
      <c r="B151" s="19" t="s">
        <v>3863</v>
      </c>
      <c r="C151" s="19" t="s">
        <v>220</v>
      </c>
      <c r="D151" s="10" t="s">
        <v>3864</v>
      </c>
      <c r="E151" s="20"/>
      <c r="F151" s="19"/>
      <c r="G151" s="19"/>
      <c r="H151" s="20"/>
      <c r="I151" s="26"/>
      <c r="J151" s="26"/>
      <c r="K151" s="26"/>
      <c r="L151" s="26"/>
    </row>
    <row r="152" s="24" customFormat="1" spans="2:12">
      <c r="B152" s="19" t="s">
        <v>3865</v>
      </c>
      <c r="C152" s="19" t="s">
        <v>220</v>
      </c>
      <c r="D152" s="10" t="s">
        <v>3866</v>
      </c>
      <c r="E152" s="20"/>
      <c r="F152" s="19"/>
      <c r="G152" s="19"/>
      <c r="H152" s="20"/>
      <c r="I152" s="26"/>
      <c r="J152" s="26"/>
      <c r="K152" s="26"/>
      <c r="L152" s="26"/>
    </row>
    <row r="153" s="24" customFormat="1" spans="2:12">
      <c r="B153" s="19" t="s">
        <v>3867</v>
      </c>
      <c r="C153" s="19" t="s">
        <v>220</v>
      </c>
      <c r="D153" s="10" t="s">
        <v>3868</v>
      </c>
      <c r="E153" s="20"/>
      <c r="F153" s="19"/>
      <c r="G153" s="19"/>
      <c r="H153" s="20"/>
      <c r="I153" s="26"/>
      <c r="J153" s="26"/>
      <c r="K153" s="26"/>
      <c r="L153" s="26"/>
    </row>
    <row r="154" s="24" customFormat="1" spans="2:12">
      <c r="B154" s="19" t="s">
        <v>3869</v>
      </c>
      <c r="C154" s="19" t="s">
        <v>220</v>
      </c>
      <c r="D154" s="10" t="s">
        <v>3870</v>
      </c>
      <c r="E154" s="20"/>
      <c r="F154" s="19"/>
      <c r="G154" s="19"/>
      <c r="H154" s="20"/>
      <c r="I154" s="26"/>
      <c r="J154" s="26"/>
      <c r="K154" s="26"/>
      <c r="L154" s="26"/>
    </row>
    <row r="155" s="24" customFormat="1" spans="2:12">
      <c r="B155" s="19" t="s">
        <v>3871</v>
      </c>
      <c r="C155" s="19" t="s">
        <v>275</v>
      </c>
      <c r="D155" s="10" t="s">
        <v>3872</v>
      </c>
      <c r="E155" s="20"/>
      <c r="F155" s="19"/>
      <c r="G155" s="19"/>
      <c r="H155" s="20"/>
      <c r="I155" s="26"/>
      <c r="J155" s="26"/>
      <c r="K155" s="26"/>
      <c r="L155" s="26"/>
    </row>
    <row r="156" s="24" customFormat="1" spans="2:12">
      <c r="B156" s="19" t="s">
        <v>3873</v>
      </c>
      <c r="C156" s="19" t="s">
        <v>220</v>
      </c>
      <c r="D156" s="10" t="s">
        <v>3874</v>
      </c>
      <c r="E156" s="20"/>
      <c r="F156" s="19"/>
      <c r="G156" s="19"/>
      <c r="H156" s="20"/>
      <c r="I156" s="26"/>
      <c r="J156" s="26"/>
      <c r="K156" s="26"/>
      <c r="L156" s="26"/>
    </row>
    <row r="157" s="24" customFormat="1" spans="2:12">
      <c r="B157" s="19" t="s">
        <v>3875</v>
      </c>
      <c r="C157" s="19" t="s">
        <v>220</v>
      </c>
      <c r="D157" s="10" t="s">
        <v>3876</v>
      </c>
      <c r="E157" s="20"/>
      <c r="F157" s="19"/>
      <c r="G157" s="19"/>
      <c r="H157" s="20"/>
      <c r="I157" s="26"/>
      <c r="J157" s="26"/>
      <c r="K157" s="26"/>
      <c r="L157" s="26"/>
    </row>
    <row r="158" s="24" customFormat="1" spans="2:12">
      <c r="B158" s="19" t="s">
        <v>3877</v>
      </c>
      <c r="C158" s="19" t="s">
        <v>220</v>
      </c>
      <c r="D158" s="10" t="s">
        <v>3878</v>
      </c>
      <c r="E158" s="20"/>
      <c r="F158" s="19"/>
      <c r="G158" s="19"/>
      <c r="H158" s="20"/>
      <c r="I158" s="26"/>
      <c r="J158" s="26"/>
      <c r="K158" s="26"/>
      <c r="L158" s="26"/>
    </row>
    <row r="159" s="24" customFormat="1" spans="2:12">
      <c r="B159" s="19" t="s">
        <v>3879</v>
      </c>
      <c r="C159" s="19" t="s">
        <v>220</v>
      </c>
      <c r="D159" s="10" t="s">
        <v>3880</v>
      </c>
      <c r="E159" s="20"/>
      <c r="F159" s="19"/>
      <c r="G159" s="19"/>
      <c r="H159" s="20"/>
      <c r="I159" s="26"/>
      <c r="J159" s="26"/>
      <c r="K159" s="26"/>
      <c r="L159" s="26"/>
    </row>
    <row r="160" s="24" customFormat="1" spans="2:12">
      <c r="B160" s="19" t="s">
        <v>3881</v>
      </c>
      <c r="C160" s="19" t="s">
        <v>275</v>
      </c>
      <c r="D160" s="10" t="s">
        <v>3882</v>
      </c>
      <c r="E160" s="20"/>
      <c r="F160" s="19"/>
      <c r="G160" s="19"/>
      <c r="H160" s="20"/>
      <c r="I160" s="26"/>
      <c r="J160" s="26"/>
      <c r="K160" s="26"/>
      <c r="L160" s="26"/>
    </row>
    <row r="161" s="24" customFormat="1" spans="2:12">
      <c r="B161" s="19" t="s">
        <v>3883</v>
      </c>
      <c r="C161" s="19" t="s">
        <v>220</v>
      </c>
      <c r="D161" s="10" t="s">
        <v>3884</v>
      </c>
      <c r="E161" s="20"/>
      <c r="F161" s="19"/>
      <c r="G161" s="19"/>
      <c r="H161" s="20"/>
      <c r="I161" s="26"/>
      <c r="J161" s="26"/>
      <c r="K161" s="26"/>
      <c r="L161" s="26"/>
    </row>
    <row r="162" s="24" customFormat="1" spans="2:12">
      <c r="B162" s="19" t="s">
        <v>3885</v>
      </c>
      <c r="C162" s="19" t="s">
        <v>220</v>
      </c>
      <c r="D162" s="10" t="s">
        <v>3886</v>
      </c>
      <c r="E162" s="20"/>
      <c r="F162" s="19"/>
      <c r="G162" s="19"/>
      <c r="H162" s="20"/>
      <c r="I162" s="26"/>
      <c r="J162" s="26"/>
      <c r="K162" s="26"/>
      <c r="L162" s="26"/>
    </row>
    <row r="163" s="24" customFormat="1" spans="2:12">
      <c r="B163" s="19" t="s">
        <v>3887</v>
      </c>
      <c r="C163" s="19" t="s">
        <v>220</v>
      </c>
      <c r="D163" s="10" t="s">
        <v>3888</v>
      </c>
      <c r="E163" s="20"/>
      <c r="F163" s="19"/>
      <c r="G163" s="19"/>
      <c r="H163" s="20"/>
      <c r="I163" s="26"/>
      <c r="J163" s="26"/>
      <c r="K163" s="26"/>
      <c r="L163" s="26"/>
    </row>
    <row r="164" s="24" customFormat="1" spans="2:12">
      <c r="B164" s="19" t="s">
        <v>3889</v>
      </c>
      <c r="C164" s="19" t="s">
        <v>220</v>
      </c>
      <c r="D164" s="10" t="s">
        <v>3890</v>
      </c>
      <c r="E164" s="20"/>
      <c r="F164" s="19"/>
      <c r="G164" s="19"/>
      <c r="H164" s="20"/>
      <c r="I164" s="26"/>
      <c r="J164" s="26"/>
      <c r="K164" s="26"/>
      <c r="L164" s="26"/>
    </row>
    <row r="165" s="24" customFormat="1" spans="2:12">
      <c r="B165" s="19" t="s">
        <v>3891</v>
      </c>
      <c r="C165" s="19" t="s">
        <v>275</v>
      </c>
      <c r="D165" s="10" t="s">
        <v>3892</v>
      </c>
      <c r="E165" s="20"/>
      <c r="F165" s="19"/>
      <c r="G165" s="19"/>
      <c r="H165" s="20"/>
      <c r="I165" s="26"/>
      <c r="J165" s="26"/>
      <c r="K165" s="26"/>
      <c r="L165" s="26"/>
    </row>
    <row r="166" s="24" customFormat="1" spans="2:12">
      <c r="B166" s="19" t="s">
        <v>3893</v>
      </c>
      <c r="C166" s="19" t="s">
        <v>220</v>
      </c>
      <c r="D166" s="10" t="s">
        <v>3894</v>
      </c>
      <c r="E166" s="20"/>
      <c r="F166" s="19"/>
      <c r="G166" s="19"/>
      <c r="H166" s="20"/>
      <c r="I166" s="26"/>
      <c r="J166" s="26"/>
      <c r="K166" s="26"/>
      <c r="L166" s="26"/>
    </row>
    <row r="167" s="24" customFormat="1" spans="2:12">
      <c r="B167" s="19" t="s">
        <v>3895</v>
      </c>
      <c r="C167" s="19" t="s">
        <v>220</v>
      </c>
      <c r="D167" s="10" t="s">
        <v>3896</v>
      </c>
      <c r="E167" s="20"/>
      <c r="F167" s="19"/>
      <c r="G167" s="19"/>
      <c r="H167" s="20"/>
      <c r="I167" s="26"/>
      <c r="J167" s="26"/>
      <c r="K167" s="26"/>
      <c r="L167" s="26"/>
    </row>
    <row r="168" s="24" customFormat="1" spans="2:12">
      <c r="B168" s="19" t="s">
        <v>3897</v>
      </c>
      <c r="C168" s="19" t="s">
        <v>220</v>
      </c>
      <c r="D168" s="10" t="s">
        <v>3898</v>
      </c>
      <c r="E168" s="20"/>
      <c r="F168" s="19"/>
      <c r="G168" s="19"/>
      <c r="H168" s="20"/>
      <c r="I168" s="26"/>
      <c r="J168" s="26"/>
      <c r="K168" s="26"/>
      <c r="L168" s="26"/>
    </row>
    <row r="169" s="24" customFormat="1" spans="2:12">
      <c r="B169" s="19" t="s">
        <v>3899</v>
      </c>
      <c r="C169" s="19" t="s">
        <v>220</v>
      </c>
      <c r="D169" s="10" t="s">
        <v>3900</v>
      </c>
      <c r="E169" s="20"/>
      <c r="F169" s="19"/>
      <c r="G169" s="19"/>
      <c r="H169" s="20"/>
      <c r="I169" s="26"/>
      <c r="J169" s="26"/>
      <c r="K169" s="26"/>
      <c r="L169" s="26"/>
    </row>
    <row r="170" s="24" customFormat="1" spans="2:12">
      <c r="B170" s="19" t="s">
        <v>3901</v>
      </c>
      <c r="C170" s="19" t="s">
        <v>275</v>
      </c>
      <c r="D170" s="10" t="s">
        <v>3902</v>
      </c>
      <c r="E170" s="20"/>
      <c r="F170" s="19"/>
      <c r="G170" s="19"/>
      <c r="H170" s="20"/>
      <c r="I170" s="26"/>
      <c r="J170" s="26"/>
      <c r="K170" s="26"/>
      <c r="L170" s="26"/>
    </row>
    <row r="171" s="24" customFormat="1" spans="2:12">
      <c r="B171" s="19" t="s">
        <v>3903</v>
      </c>
      <c r="C171" s="19" t="s">
        <v>220</v>
      </c>
      <c r="D171" s="10" t="s">
        <v>3904</v>
      </c>
      <c r="E171" s="20"/>
      <c r="F171" s="19"/>
      <c r="G171" s="19"/>
      <c r="H171" s="20"/>
      <c r="I171" s="26"/>
      <c r="J171" s="26"/>
      <c r="K171" s="26"/>
      <c r="L171" s="26"/>
    </row>
    <row r="172" s="24" customFormat="1" ht="26.4" spans="2:12">
      <c r="B172" s="19" t="s">
        <v>3905</v>
      </c>
      <c r="C172" s="19" t="s">
        <v>220</v>
      </c>
      <c r="D172" s="10" t="s">
        <v>3906</v>
      </c>
      <c r="E172" s="20"/>
      <c r="F172" s="19"/>
      <c r="G172" s="19"/>
      <c r="H172" s="20"/>
      <c r="I172" s="26"/>
      <c r="J172" s="26"/>
      <c r="K172" s="26"/>
      <c r="L172" s="26"/>
    </row>
    <row r="173" s="24" customFormat="1" ht="26.4" spans="2:12">
      <c r="B173" s="19" t="s">
        <v>3907</v>
      </c>
      <c r="C173" s="19" t="s">
        <v>220</v>
      </c>
      <c r="D173" s="10" t="s">
        <v>3908</v>
      </c>
      <c r="E173" s="20"/>
      <c r="F173" s="19"/>
      <c r="G173" s="19"/>
      <c r="H173" s="20"/>
      <c r="I173" s="26"/>
      <c r="J173" s="26"/>
      <c r="K173" s="26"/>
      <c r="L173" s="26"/>
    </row>
    <row r="174" s="24" customFormat="1" ht="26.4" spans="2:12">
      <c r="B174" s="19" t="s">
        <v>3909</v>
      </c>
      <c r="C174" s="19" t="s">
        <v>220</v>
      </c>
      <c r="D174" s="10" t="s">
        <v>3910</v>
      </c>
      <c r="E174" s="20"/>
      <c r="F174" s="19"/>
      <c r="G174" s="19"/>
      <c r="H174" s="20"/>
      <c r="I174" s="26"/>
      <c r="J174" s="26"/>
      <c r="K174" s="26"/>
      <c r="L174" s="26"/>
    </row>
    <row r="175" s="24" customFormat="1" ht="26.4" spans="2:12">
      <c r="B175" s="19" t="s">
        <v>3911</v>
      </c>
      <c r="C175" s="19" t="s">
        <v>220</v>
      </c>
      <c r="D175" s="10" t="s">
        <v>3912</v>
      </c>
      <c r="E175" s="20"/>
      <c r="F175" s="19"/>
      <c r="G175" s="19"/>
      <c r="H175" s="20"/>
      <c r="I175" s="26"/>
      <c r="J175" s="26"/>
      <c r="K175" s="26"/>
      <c r="L175" s="26"/>
    </row>
    <row r="176" s="24" customFormat="1" ht="26.4" spans="2:12">
      <c r="B176" s="19" t="s">
        <v>3913</v>
      </c>
      <c r="C176" s="19" t="s">
        <v>275</v>
      </c>
      <c r="D176" s="10" t="s">
        <v>3914</v>
      </c>
      <c r="E176" s="20"/>
      <c r="F176" s="19"/>
      <c r="G176" s="19"/>
      <c r="H176" s="20"/>
      <c r="I176" s="26"/>
      <c r="J176" s="26"/>
      <c r="K176" s="26"/>
      <c r="L176" s="26"/>
    </row>
    <row r="177" s="24" customFormat="1" ht="26.4" spans="2:12">
      <c r="B177" s="19" t="s">
        <v>3915</v>
      </c>
      <c r="C177" s="19" t="s">
        <v>220</v>
      </c>
      <c r="D177" s="10" t="s">
        <v>3916</v>
      </c>
      <c r="E177" s="20"/>
      <c r="F177" s="19"/>
      <c r="G177" s="19"/>
      <c r="H177" s="20"/>
      <c r="I177" s="26"/>
      <c r="J177" s="26"/>
      <c r="K177" s="26"/>
      <c r="L177" s="26"/>
    </row>
    <row r="178" s="24" customFormat="1" ht="26.4" spans="2:12">
      <c r="B178" s="19" t="s">
        <v>3917</v>
      </c>
      <c r="C178" s="19" t="s">
        <v>220</v>
      </c>
      <c r="D178" s="10" t="s">
        <v>3918</v>
      </c>
      <c r="E178" s="20"/>
      <c r="F178" s="19"/>
      <c r="G178" s="19"/>
      <c r="H178" s="20"/>
      <c r="I178" s="26"/>
      <c r="J178" s="26"/>
      <c r="K178" s="26"/>
      <c r="L178" s="26"/>
    </row>
    <row r="179" s="24" customFormat="1" ht="26.4" spans="2:12">
      <c r="B179" s="19" t="s">
        <v>3919</v>
      </c>
      <c r="C179" s="19" t="s">
        <v>220</v>
      </c>
      <c r="D179" s="10" t="s">
        <v>3920</v>
      </c>
      <c r="E179" s="20"/>
      <c r="F179" s="19"/>
      <c r="G179" s="19"/>
      <c r="H179" s="20"/>
      <c r="I179" s="26"/>
      <c r="J179" s="26"/>
      <c r="K179" s="26"/>
      <c r="L179" s="26"/>
    </row>
    <row r="180" s="24" customFormat="1" ht="26.4" spans="2:12">
      <c r="B180" s="19" t="s">
        <v>3921</v>
      </c>
      <c r="C180" s="19" t="s">
        <v>220</v>
      </c>
      <c r="D180" s="10" t="s">
        <v>3922</v>
      </c>
      <c r="E180" s="20"/>
      <c r="F180" s="19"/>
      <c r="G180" s="19"/>
      <c r="H180" s="20"/>
      <c r="I180" s="26"/>
      <c r="J180" s="26"/>
      <c r="K180" s="26"/>
      <c r="L180" s="26"/>
    </row>
    <row r="181" s="24" customFormat="1" ht="26.4" spans="2:12">
      <c r="B181" s="19" t="s">
        <v>3923</v>
      </c>
      <c r="C181" s="19" t="s">
        <v>275</v>
      </c>
      <c r="D181" s="10" t="s">
        <v>3924</v>
      </c>
      <c r="E181" s="20"/>
      <c r="F181" s="19"/>
      <c r="G181" s="19"/>
      <c r="H181" s="20"/>
      <c r="I181" s="26"/>
      <c r="J181" s="26"/>
      <c r="K181" s="26"/>
      <c r="L181" s="26"/>
    </row>
    <row r="182" s="25" customFormat="1" spans="2:12">
      <c r="B182" s="28" t="s">
        <v>3925</v>
      </c>
      <c r="C182" s="28" t="s">
        <v>220</v>
      </c>
      <c r="D182" s="29" t="s">
        <v>3926</v>
      </c>
      <c r="E182" s="30"/>
      <c r="F182" s="28"/>
      <c r="G182" s="28"/>
      <c r="H182" s="30"/>
      <c r="I182" s="31"/>
      <c r="J182" s="31"/>
      <c r="K182" s="31"/>
      <c r="L182" s="31"/>
    </row>
    <row r="183" s="25" customFormat="1" spans="2:12">
      <c r="B183" s="28" t="s">
        <v>3927</v>
      </c>
      <c r="C183" s="28" t="s">
        <v>220</v>
      </c>
      <c r="D183" s="29" t="s">
        <v>3928</v>
      </c>
      <c r="E183" s="30"/>
      <c r="F183" s="28"/>
      <c r="G183" s="28"/>
      <c r="H183" s="30"/>
      <c r="I183" s="31"/>
      <c r="J183" s="31"/>
      <c r="K183" s="31"/>
      <c r="L183" s="31"/>
    </row>
    <row r="184" s="24" customFormat="1" spans="2:12">
      <c r="B184" s="19" t="s">
        <v>3929</v>
      </c>
      <c r="C184" s="19" t="s">
        <v>220</v>
      </c>
      <c r="D184" s="10" t="s">
        <v>3930</v>
      </c>
      <c r="E184" s="20"/>
      <c r="F184" s="19"/>
      <c r="G184" s="19"/>
      <c r="H184" s="20"/>
      <c r="I184" s="26"/>
      <c r="J184" s="26"/>
      <c r="K184" s="26"/>
      <c r="L184" s="26"/>
    </row>
    <row r="185" s="24" customFormat="1" spans="2:12">
      <c r="B185" s="19" t="s">
        <v>3931</v>
      </c>
      <c r="C185" s="19" t="s">
        <v>220</v>
      </c>
      <c r="D185" s="10" t="s">
        <v>3932</v>
      </c>
      <c r="E185" s="20"/>
      <c r="F185" s="19"/>
      <c r="G185" s="19"/>
      <c r="H185" s="20"/>
      <c r="I185" s="26"/>
      <c r="J185" s="26"/>
      <c r="K185" s="26"/>
      <c r="L185" s="26"/>
    </row>
    <row r="186" s="24" customFormat="1" spans="2:12">
      <c r="B186" s="19" t="s">
        <v>3933</v>
      </c>
      <c r="C186" s="19" t="s">
        <v>275</v>
      </c>
      <c r="D186" s="10" t="s">
        <v>3934</v>
      </c>
      <c r="E186" s="20"/>
      <c r="F186" s="19"/>
      <c r="G186" s="19"/>
      <c r="H186" s="20"/>
      <c r="I186" s="26"/>
      <c r="J186" s="26"/>
      <c r="K186" s="26"/>
      <c r="L186" s="26"/>
    </row>
    <row r="187" s="25" customFormat="1" spans="2:12">
      <c r="B187" s="28" t="s">
        <v>3935</v>
      </c>
      <c r="C187" s="28" t="s">
        <v>220</v>
      </c>
      <c r="D187" s="29" t="s">
        <v>3936</v>
      </c>
      <c r="E187" s="30"/>
      <c r="F187" s="28"/>
      <c r="G187" s="28"/>
      <c r="H187" s="30"/>
      <c r="I187" s="31"/>
      <c r="J187" s="31"/>
      <c r="K187" s="31"/>
      <c r="L187" s="31"/>
    </row>
    <row r="188" s="25" customFormat="1" spans="2:12">
      <c r="B188" s="28" t="s">
        <v>3937</v>
      </c>
      <c r="C188" s="28" t="s">
        <v>220</v>
      </c>
      <c r="D188" s="29" t="s">
        <v>3938</v>
      </c>
      <c r="E188" s="30"/>
      <c r="F188" s="28"/>
      <c r="G188" s="28"/>
      <c r="H188" s="30"/>
      <c r="I188" s="31"/>
      <c r="J188" s="31"/>
      <c r="K188" s="31"/>
      <c r="L188" s="31"/>
    </row>
    <row r="189" s="24" customFormat="1" spans="2:12">
      <c r="B189" s="19" t="s">
        <v>3939</v>
      </c>
      <c r="C189" s="19" t="s">
        <v>220</v>
      </c>
      <c r="D189" s="10" t="s">
        <v>3940</v>
      </c>
      <c r="E189" s="20"/>
      <c r="F189" s="19"/>
      <c r="G189" s="19"/>
      <c r="H189" s="20"/>
      <c r="I189" s="26"/>
      <c r="J189" s="26"/>
      <c r="K189" s="26"/>
      <c r="L189" s="26"/>
    </row>
    <row r="190" s="24" customFormat="1" spans="2:12">
      <c r="B190" s="19" t="s">
        <v>3941</v>
      </c>
      <c r="C190" s="19" t="s">
        <v>220</v>
      </c>
      <c r="D190" s="10" t="s">
        <v>3942</v>
      </c>
      <c r="E190" s="20"/>
      <c r="F190" s="19"/>
      <c r="G190" s="19"/>
      <c r="H190" s="20"/>
      <c r="I190" s="26"/>
      <c r="J190" s="26"/>
      <c r="K190" s="26"/>
      <c r="L190" s="26"/>
    </row>
    <row r="191" s="24" customFormat="1" spans="2:12">
      <c r="B191" s="19" t="s">
        <v>3943</v>
      </c>
      <c r="C191" s="19" t="s">
        <v>275</v>
      </c>
      <c r="D191" s="10" t="s">
        <v>3944</v>
      </c>
      <c r="E191" s="20"/>
      <c r="F191" s="19"/>
      <c r="G191" s="19"/>
      <c r="H191" s="20"/>
      <c r="I191" s="26"/>
      <c r="J191" s="26"/>
      <c r="K191" s="26"/>
      <c r="L191" s="26"/>
    </row>
    <row r="192" s="24" customFormat="1" spans="2:12">
      <c r="B192" s="19" t="s">
        <v>3945</v>
      </c>
      <c r="C192" s="19" t="s">
        <v>220</v>
      </c>
      <c r="D192" s="10" t="s">
        <v>3946</v>
      </c>
      <c r="E192" s="20"/>
      <c r="F192" s="19"/>
      <c r="G192" s="19"/>
      <c r="H192" s="20"/>
      <c r="I192" s="26"/>
      <c r="J192" s="26"/>
      <c r="K192" s="26"/>
      <c r="L192" s="26"/>
    </row>
    <row r="193" s="24" customFormat="1" spans="2:12">
      <c r="B193" s="19" t="s">
        <v>3947</v>
      </c>
      <c r="C193" s="19" t="s">
        <v>220</v>
      </c>
      <c r="D193" s="10" t="s">
        <v>3948</v>
      </c>
      <c r="E193" s="20"/>
      <c r="F193" s="19"/>
      <c r="G193" s="19"/>
      <c r="H193" s="20"/>
      <c r="I193" s="26"/>
      <c r="J193" s="26"/>
      <c r="K193" s="26"/>
      <c r="L193" s="26"/>
    </row>
    <row r="194" s="24" customFormat="1" spans="2:12">
      <c r="B194" s="19" t="s">
        <v>3949</v>
      </c>
      <c r="C194" s="19" t="s">
        <v>220</v>
      </c>
      <c r="D194" s="10" t="s">
        <v>3950</v>
      </c>
      <c r="E194" s="20"/>
      <c r="F194" s="19"/>
      <c r="G194" s="19"/>
      <c r="H194" s="20"/>
      <c r="I194" s="26"/>
      <c r="J194" s="26"/>
      <c r="K194" s="26"/>
      <c r="L194" s="26"/>
    </row>
    <row r="195" s="24" customFormat="1" spans="2:12">
      <c r="B195" s="19" t="s">
        <v>3951</v>
      </c>
      <c r="C195" s="19" t="s">
        <v>220</v>
      </c>
      <c r="D195" s="10" t="s">
        <v>3952</v>
      </c>
      <c r="E195" s="20"/>
      <c r="F195" s="19"/>
      <c r="G195" s="19"/>
      <c r="H195" s="20"/>
      <c r="I195" s="26"/>
      <c r="J195" s="26"/>
      <c r="K195" s="26"/>
      <c r="L195" s="26"/>
    </row>
    <row r="196" s="24" customFormat="1" spans="2:12">
      <c r="B196" s="19" t="s">
        <v>3953</v>
      </c>
      <c r="C196" s="19" t="s">
        <v>275</v>
      </c>
      <c r="D196" s="10" t="s">
        <v>3954</v>
      </c>
      <c r="E196" s="20"/>
      <c r="F196" s="19"/>
      <c r="G196" s="19"/>
      <c r="H196" s="20"/>
      <c r="I196" s="26"/>
      <c r="J196" s="26"/>
      <c r="K196" s="26"/>
      <c r="L196" s="26"/>
    </row>
    <row r="197" s="24" customFormat="1" spans="2:12">
      <c r="B197" s="19" t="s">
        <v>3955</v>
      </c>
      <c r="C197" s="19" t="s">
        <v>220</v>
      </c>
      <c r="D197" s="10" t="s">
        <v>3956</v>
      </c>
      <c r="E197" s="20"/>
      <c r="F197" s="19"/>
      <c r="G197" s="19"/>
      <c r="H197" s="20"/>
      <c r="I197" s="26"/>
      <c r="J197" s="26"/>
      <c r="K197" s="26"/>
      <c r="L197" s="26"/>
    </row>
    <row r="198" s="24" customFormat="1" spans="2:12">
      <c r="B198" s="19" t="s">
        <v>3957</v>
      </c>
      <c r="C198" s="19" t="s">
        <v>220</v>
      </c>
      <c r="D198" s="10" t="s">
        <v>3958</v>
      </c>
      <c r="E198" s="20"/>
      <c r="F198" s="19"/>
      <c r="G198" s="19"/>
      <c r="H198" s="20"/>
      <c r="I198" s="26"/>
      <c r="J198" s="26"/>
      <c r="K198" s="26"/>
      <c r="L198" s="26"/>
    </row>
    <row r="199" s="24" customFormat="1" spans="2:12">
      <c r="B199" s="19" t="s">
        <v>3959</v>
      </c>
      <c r="C199" s="19" t="s">
        <v>220</v>
      </c>
      <c r="D199" s="10" t="s">
        <v>3960</v>
      </c>
      <c r="E199" s="20"/>
      <c r="F199" s="19"/>
      <c r="G199" s="19"/>
      <c r="H199" s="20"/>
      <c r="I199" s="26"/>
      <c r="J199" s="26"/>
      <c r="K199" s="26"/>
      <c r="L199" s="26"/>
    </row>
    <row r="200" s="24" customFormat="1" spans="2:12">
      <c r="B200" s="19" t="s">
        <v>3961</v>
      </c>
      <c r="C200" s="19" t="s">
        <v>220</v>
      </c>
      <c r="D200" s="10" t="s">
        <v>3962</v>
      </c>
      <c r="E200" s="20"/>
      <c r="F200" s="19"/>
      <c r="G200" s="19"/>
      <c r="H200" s="20"/>
      <c r="I200" s="26"/>
      <c r="J200" s="26"/>
      <c r="K200" s="26"/>
      <c r="L200" s="26"/>
    </row>
    <row r="201" s="24" customFormat="1" spans="2:12">
      <c r="B201" s="19" t="s">
        <v>3963</v>
      </c>
      <c r="C201" s="19" t="s">
        <v>275</v>
      </c>
      <c r="D201" s="10" t="s">
        <v>3964</v>
      </c>
      <c r="E201" s="20"/>
      <c r="F201" s="19"/>
      <c r="G201" s="19"/>
      <c r="H201" s="20"/>
      <c r="I201" s="26"/>
      <c r="J201" s="26"/>
      <c r="K201" s="26"/>
      <c r="L201" s="26"/>
    </row>
    <row r="202" s="24" customFormat="1" ht="26.4" spans="2:12">
      <c r="B202" s="19" t="s">
        <v>3965</v>
      </c>
      <c r="C202" s="19" t="s">
        <v>220</v>
      </c>
      <c r="D202" s="10" t="s">
        <v>3966</v>
      </c>
      <c r="E202" s="20"/>
      <c r="F202" s="19"/>
      <c r="G202" s="19"/>
      <c r="H202" s="20"/>
      <c r="I202" s="26"/>
      <c r="J202" s="26"/>
      <c r="K202" s="26"/>
      <c r="L202" s="26"/>
    </row>
    <row r="203" s="24" customFormat="1" ht="26.4" spans="2:12">
      <c r="B203" s="19" t="s">
        <v>3967</v>
      </c>
      <c r="C203" s="19" t="s">
        <v>220</v>
      </c>
      <c r="D203" s="10" t="s">
        <v>3968</v>
      </c>
      <c r="E203" s="20"/>
      <c r="F203" s="19"/>
      <c r="G203" s="19"/>
      <c r="H203" s="20"/>
      <c r="I203" s="26"/>
      <c r="J203" s="26"/>
      <c r="K203" s="26"/>
      <c r="L203" s="26"/>
    </row>
    <row r="204" s="24" customFormat="1" spans="2:12">
      <c r="B204" s="19" t="s">
        <v>3969</v>
      </c>
      <c r="C204" s="19" t="s">
        <v>220</v>
      </c>
      <c r="D204" s="10" t="s">
        <v>3970</v>
      </c>
      <c r="E204" s="20"/>
      <c r="F204" s="19"/>
      <c r="G204" s="19"/>
      <c r="H204" s="20"/>
      <c r="I204" s="26"/>
      <c r="J204" s="26"/>
      <c r="K204" s="26"/>
      <c r="L204" s="26"/>
    </row>
    <row r="205" s="24" customFormat="1" ht="26.4" spans="2:12">
      <c r="B205" s="19" t="s">
        <v>3971</v>
      </c>
      <c r="C205" s="19" t="s">
        <v>220</v>
      </c>
      <c r="D205" s="10" t="s">
        <v>3972</v>
      </c>
      <c r="E205" s="20"/>
      <c r="F205" s="19"/>
      <c r="G205" s="19"/>
      <c r="H205" s="20"/>
      <c r="I205" s="26"/>
      <c r="J205" s="26"/>
      <c r="K205" s="26"/>
      <c r="L205" s="26"/>
    </row>
    <row r="206" s="24" customFormat="1" spans="2:12">
      <c r="B206" s="19" t="s">
        <v>3973</v>
      </c>
      <c r="C206" s="19" t="s">
        <v>275</v>
      </c>
      <c r="D206" s="10" t="s">
        <v>3974</v>
      </c>
      <c r="E206" s="20"/>
      <c r="F206" s="19"/>
      <c r="G206" s="19"/>
      <c r="H206" s="20"/>
      <c r="I206" s="26"/>
      <c r="J206" s="26"/>
      <c r="K206" s="26"/>
      <c r="L206" s="26"/>
    </row>
    <row r="207" s="24" customFormat="1" spans="2:12">
      <c r="B207" s="19" t="s">
        <v>3975</v>
      </c>
      <c r="C207" s="19" t="s">
        <v>220</v>
      </c>
      <c r="D207" s="10" t="s">
        <v>3976</v>
      </c>
      <c r="E207" s="20"/>
      <c r="F207" s="19"/>
      <c r="G207" s="19"/>
      <c r="H207" s="20"/>
      <c r="I207" s="26"/>
      <c r="J207" s="26"/>
      <c r="K207" s="26"/>
      <c r="L207" s="26"/>
    </row>
    <row r="208" s="24" customFormat="1" spans="2:12">
      <c r="B208" s="19" t="s">
        <v>3977</v>
      </c>
      <c r="C208" s="19" t="s">
        <v>220</v>
      </c>
      <c r="D208" s="10" t="s">
        <v>3978</v>
      </c>
      <c r="E208" s="20"/>
      <c r="F208" s="19"/>
      <c r="G208" s="19"/>
      <c r="H208" s="20"/>
      <c r="I208" s="26"/>
      <c r="J208" s="26"/>
      <c r="K208" s="26"/>
      <c r="L208" s="26"/>
    </row>
    <row r="209" s="24" customFormat="1" spans="2:12">
      <c r="B209" s="19" t="s">
        <v>3979</v>
      </c>
      <c r="C209" s="19" t="s">
        <v>220</v>
      </c>
      <c r="D209" s="10" t="s">
        <v>3980</v>
      </c>
      <c r="E209" s="20"/>
      <c r="F209" s="19"/>
      <c r="G209" s="19"/>
      <c r="H209" s="20"/>
      <c r="I209" s="26"/>
      <c r="J209" s="26"/>
      <c r="K209" s="26"/>
      <c r="L209" s="26"/>
    </row>
    <row r="210" s="24" customFormat="1" spans="2:12">
      <c r="B210" s="19" t="s">
        <v>3981</v>
      </c>
      <c r="C210" s="19" t="s">
        <v>220</v>
      </c>
      <c r="D210" s="10" t="s">
        <v>3982</v>
      </c>
      <c r="E210" s="20"/>
      <c r="F210" s="19"/>
      <c r="G210" s="19"/>
      <c r="H210" s="20"/>
      <c r="I210" s="26"/>
      <c r="J210" s="26"/>
      <c r="K210" s="26"/>
      <c r="L210" s="26"/>
    </row>
    <row r="211" s="24" customFormat="1" spans="2:12">
      <c r="B211" s="19" t="s">
        <v>3983</v>
      </c>
      <c r="C211" s="19" t="s">
        <v>275</v>
      </c>
      <c r="D211" s="10" t="s">
        <v>3984</v>
      </c>
      <c r="E211" s="20"/>
      <c r="F211" s="19"/>
      <c r="G211" s="19"/>
      <c r="H211" s="20"/>
      <c r="I211" s="26"/>
      <c r="J211" s="26"/>
      <c r="K211" s="26"/>
      <c r="L211" s="26"/>
    </row>
    <row r="212" s="24" customFormat="1" spans="2:12">
      <c r="B212" s="19" t="s">
        <v>3985</v>
      </c>
      <c r="C212" s="19" t="s">
        <v>220</v>
      </c>
      <c r="D212" s="10" t="s">
        <v>3986</v>
      </c>
      <c r="E212" s="20"/>
      <c r="F212" s="19"/>
      <c r="G212" s="19"/>
      <c r="H212" s="20"/>
      <c r="I212" s="26"/>
      <c r="J212" s="26"/>
      <c r="K212" s="26"/>
      <c r="L212" s="26"/>
    </row>
    <row r="213" s="24" customFormat="1" spans="2:12">
      <c r="B213" s="19" t="s">
        <v>3987</v>
      </c>
      <c r="C213" s="19" t="s">
        <v>220</v>
      </c>
      <c r="D213" s="10" t="s">
        <v>3988</v>
      </c>
      <c r="E213" s="20"/>
      <c r="F213" s="19"/>
      <c r="G213" s="19"/>
      <c r="H213" s="20"/>
      <c r="I213" s="26"/>
      <c r="J213" s="26"/>
      <c r="K213" s="26"/>
      <c r="L213" s="26"/>
    </row>
    <row r="214" s="24" customFormat="1" spans="2:12">
      <c r="B214" s="19" t="s">
        <v>3989</v>
      </c>
      <c r="C214" s="19" t="s">
        <v>220</v>
      </c>
      <c r="D214" s="10" t="s">
        <v>3990</v>
      </c>
      <c r="E214" s="20"/>
      <c r="F214" s="19"/>
      <c r="G214" s="19"/>
      <c r="H214" s="20"/>
      <c r="I214" s="26"/>
      <c r="J214" s="26"/>
      <c r="K214" s="26"/>
      <c r="L214" s="26"/>
    </row>
    <row r="215" s="24" customFormat="1" spans="2:12">
      <c r="B215" s="19" t="s">
        <v>3991</v>
      </c>
      <c r="C215" s="19" t="s">
        <v>220</v>
      </c>
      <c r="D215" s="10" t="s">
        <v>3992</v>
      </c>
      <c r="E215" s="20"/>
      <c r="F215" s="19"/>
      <c r="G215" s="19"/>
      <c r="H215" s="20"/>
      <c r="I215" s="26"/>
      <c r="J215" s="26"/>
      <c r="K215" s="26"/>
      <c r="L215" s="26"/>
    </row>
    <row r="216" s="24" customFormat="1" spans="2:12">
      <c r="B216" s="19" t="s">
        <v>3993</v>
      </c>
      <c r="C216" s="19" t="s">
        <v>220</v>
      </c>
      <c r="D216" s="10" t="s">
        <v>3994</v>
      </c>
      <c r="E216" s="20"/>
      <c r="F216" s="19"/>
      <c r="G216" s="19"/>
      <c r="H216" s="20"/>
      <c r="I216" s="26"/>
      <c r="J216" s="26"/>
      <c r="K216" s="26"/>
      <c r="L216" s="26"/>
    </row>
    <row r="217" s="24" customFormat="1" spans="2:12">
      <c r="B217" s="19" t="s">
        <v>3995</v>
      </c>
      <c r="C217" s="19" t="s">
        <v>220</v>
      </c>
      <c r="D217" s="10" t="s">
        <v>3996</v>
      </c>
      <c r="E217" s="20"/>
      <c r="F217" s="19"/>
      <c r="G217" s="19"/>
      <c r="H217" s="20"/>
      <c r="I217" s="26"/>
      <c r="J217" s="26"/>
      <c r="K217" s="26"/>
      <c r="L217" s="26"/>
    </row>
    <row r="218" s="24" customFormat="1" spans="2:12">
      <c r="B218" s="19" t="s">
        <v>3997</v>
      </c>
      <c r="C218" s="19" t="s">
        <v>220</v>
      </c>
      <c r="D218" s="10" t="s">
        <v>3998</v>
      </c>
      <c r="E218" s="20"/>
      <c r="F218" s="19"/>
      <c r="G218" s="19"/>
      <c r="H218" s="20"/>
      <c r="I218" s="26"/>
      <c r="J218" s="26"/>
      <c r="K218" s="26"/>
      <c r="L218" s="26"/>
    </row>
    <row r="219" s="24" customFormat="1" spans="2:12">
      <c r="B219" s="19" t="s">
        <v>3999</v>
      </c>
      <c r="C219" s="19" t="s">
        <v>220</v>
      </c>
      <c r="D219" s="10" t="s">
        <v>4000</v>
      </c>
      <c r="E219" s="20"/>
      <c r="F219" s="19"/>
      <c r="G219" s="19"/>
      <c r="H219" s="20"/>
      <c r="I219" s="26"/>
      <c r="J219" s="26"/>
      <c r="K219" s="26"/>
      <c r="L219" s="26"/>
    </row>
    <row r="220" s="24" customFormat="1" ht="26.4" spans="2:12">
      <c r="B220" s="19" t="s">
        <v>4001</v>
      </c>
      <c r="C220" s="19" t="s">
        <v>220</v>
      </c>
      <c r="D220" s="10" t="s">
        <v>4002</v>
      </c>
      <c r="E220" s="20"/>
      <c r="F220" s="19"/>
      <c r="G220" s="19"/>
      <c r="H220" s="20"/>
      <c r="I220" s="26"/>
      <c r="J220" s="26"/>
      <c r="K220" s="26"/>
      <c r="L220" s="26"/>
    </row>
    <row r="221" s="24" customFormat="1" spans="2:12">
      <c r="B221" s="19" t="s">
        <v>4003</v>
      </c>
      <c r="C221" s="19" t="s">
        <v>275</v>
      </c>
      <c r="D221" s="10" t="s">
        <v>4004</v>
      </c>
      <c r="E221" s="20"/>
      <c r="F221" s="19"/>
      <c r="G221" s="19"/>
      <c r="H221" s="20"/>
      <c r="I221" s="26"/>
      <c r="J221" s="26"/>
      <c r="K221" s="26"/>
      <c r="L221" s="26"/>
    </row>
    <row r="222" s="24" customFormat="1" spans="2:12">
      <c r="B222" s="19" t="s">
        <v>4005</v>
      </c>
      <c r="C222" s="19" t="s">
        <v>220</v>
      </c>
      <c r="D222" s="10" t="s">
        <v>4006</v>
      </c>
      <c r="E222" s="20"/>
      <c r="F222" s="19"/>
      <c r="G222" s="19"/>
      <c r="H222" s="20"/>
      <c r="I222" s="26"/>
      <c r="J222" s="26"/>
      <c r="K222" s="26"/>
      <c r="L222" s="26"/>
    </row>
    <row r="223" s="24" customFormat="1" spans="2:12">
      <c r="B223" s="19" t="s">
        <v>4007</v>
      </c>
      <c r="C223" s="19" t="s">
        <v>220</v>
      </c>
      <c r="D223" s="10" t="s">
        <v>4008</v>
      </c>
      <c r="E223" s="20"/>
      <c r="F223" s="19"/>
      <c r="G223" s="19"/>
      <c r="H223" s="20"/>
      <c r="I223" s="26"/>
      <c r="J223" s="26"/>
      <c r="K223" s="26"/>
      <c r="L223" s="26"/>
    </row>
    <row r="224" s="24" customFormat="1" spans="2:12">
      <c r="B224" s="19" t="s">
        <v>4009</v>
      </c>
      <c r="C224" s="19" t="s">
        <v>220</v>
      </c>
      <c r="D224" s="10" t="s">
        <v>4010</v>
      </c>
      <c r="E224" s="20"/>
      <c r="F224" s="19"/>
      <c r="G224" s="19"/>
      <c r="H224" s="20"/>
      <c r="I224" s="26"/>
      <c r="J224" s="26"/>
      <c r="K224" s="26"/>
      <c r="L224" s="26"/>
    </row>
    <row r="225" s="24" customFormat="1" spans="2:12">
      <c r="B225" s="19" t="s">
        <v>4011</v>
      </c>
      <c r="C225" s="19" t="s">
        <v>220</v>
      </c>
      <c r="D225" s="10" t="s">
        <v>4012</v>
      </c>
      <c r="E225" s="20"/>
      <c r="F225" s="19"/>
      <c r="G225" s="19"/>
      <c r="H225" s="20"/>
      <c r="I225" s="26"/>
      <c r="J225" s="26"/>
      <c r="K225" s="26"/>
      <c r="L225" s="26"/>
    </row>
    <row r="226" s="24" customFormat="1" spans="2:12">
      <c r="B226" s="19" t="s">
        <v>4013</v>
      </c>
      <c r="C226" s="19" t="s">
        <v>275</v>
      </c>
      <c r="D226" s="10" t="s">
        <v>4014</v>
      </c>
      <c r="E226" s="20"/>
      <c r="F226" s="19"/>
      <c r="G226" s="19"/>
      <c r="H226" s="20"/>
      <c r="I226" s="26"/>
      <c r="J226" s="26"/>
      <c r="K226" s="26"/>
      <c r="L226" s="26"/>
    </row>
    <row r="227" s="24" customFormat="1" spans="2:12">
      <c r="B227" s="19" t="s">
        <v>4015</v>
      </c>
      <c r="C227" s="19" t="s">
        <v>220</v>
      </c>
      <c r="D227" s="10" t="s">
        <v>4016</v>
      </c>
      <c r="E227" s="20"/>
      <c r="F227" s="19"/>
      <c r="G227" s="19"/>
      <c r="H227" s="20"/>
      <c r="I227" s="26"/>
      <c r="J227" s="26"/>
      <c r="K227" s="26"/>
      <c r="L227" s="26"/>
    </row>
    <row r="228" s="24" customFormat="1" spans="2:12">
      <c r="B228" s="19" t="s">
        <v>4017</v>
      </c>
      <c r="C228" s="19" t="s">
        <v>220</v>
      </c>
      <c r="D228" s="10" t="s">
        <v>4018</v>
      </c>
      <c r="E228" s="20"/>
      <c r="F228" s="19"/>
      <c r="G228" s="19"/>
      <c r="H228" s="20"/>
      <c r="I228" s="26"/>
      <c r="J228" s="26"/>
      <c r="K228" s="26"/>
      <c r="L228" s="26"/>
    </row>
    <row r="229" s="24" customFormat="1" spans="2:12">
      <c r="B229" s="19" t="s">
        <v>4019</v>
      </c>
      <c r="C229" s="19" t="s">
        <v>220</v>
      </c>
      <c r="D229" s="10" t="s">
        <v>4020</v>
      </c>
      <c r="E229" s="20"/>
      <c r="F229" s="19"/>
      <c r="G229" s="19"/>
      <c r="H229" s="20"/>
      <c r="I229" s="26"/>
      <c r="J229" s="26"/>
      <c r="K229" s="26"/>
      <c r="L229" s="26"/>
    </row>
    <row r="230" s="24" customFormat="1" spans="2:12">
      <c r="B230" s="19" t="s">
        <v>4021</v>
      </c>
      <c r="C230" s="19" t="s">
        <v>220</v>
      </c>
      <c r="D230" s="10" t="s">
        <v>4022</v>
      </c>
      <c r="E230" s="20"/>
      <c r="F230" s="19"/>
      <c r="G230" s="19"/>
      <c r="H230" s="20"/>
      <c r="I230" s="26"/>
      <c r="J230" s="26"/>
      <c r="K230" s="26"/>
      <c r="L230" s="26"/>
    </row>
    <row r="231" s="24" customFormat="1" spans="2:12">
      <c r="B231" s="19" t="s">
        <v>4023</v>
      </c>
      <c r="C231" s="19" t="s">
        <v>275</v>
      </c>
      <c r="D231" s="10" t="s">
        <v>4024</v>
      </c>
      <c r="E231" s="20"/>
      <c r="F231" s="19"/>
      <c r="G231" s="19"/>
      <c r="H231" s="20"/>
      <c r="I231" s="26"/>
      <c r="J231" s="26"/>
      <c r="K231" s="26"/>
      <c r="L231" s="26"/>
    </row>
    <row r="232" s="24" customFormat="1" spans="2:12">
      <c r="B232" s="19" t="s">
        <v>4025</v>
      </c>
      <c r="C232" s="19" t="s">
        <v>220</v>
      </c>
      <c r="D232" s="10" t="s">
        <v>4026</v>
      </c>
      <c r="E232" s="20"/>
      <c r="F232" s="19"/>
      <c r="G232" s="19"/>
      <c r="H232" s="20"/>
      <c r="I232" s="26"/>
      <c r="J232" s="26"/>
      <c r="K232" s="26"/>
      <c r="L232" s="26"/>
    </row>
    <row r="233" s="24" customFormat="1" spans="2:12">
      <c r="B233" s="19" t="s">
        <v>4027</v>
      </c>
      <c r="C233" s="19" t="s">
        <v>220</v>
      </c>
      <c r="D233" s="10" t="s">
        <v>4028</v>
      </c>
      <c r="E233" s="20"/>
      <c r="F233" s="19"/>
      <c r="G233" s="19"/>
      <c r="H233" s="20"/>
      <c r="I233" s="26"/>
      <c r="J233" s="26"/>
      <c r="K233" s="26"/>
      <c r="L233" s="26"/>
    </row>
    <row r="234" s="24" customFormat="1" spans="2:12">
      <c r="B234" s="19" t="s">
        <v>4029</v>
      </c>
      <c r="C234" s="19" t="s">
        <v>220</v>
      </c>
      <c r="D234" s="10" t="s">
        <v>4030</v>
      </c>
      <c r="E234" s="20"/>
      <c r="F234" s="19"/>
      <c r="G234" s="19"/>
      <c r="H234" s="20"/>
      <c r="I234" s="26"/>
      <c r="J234" s="26"/>
      <c r="K234" s="26"/>
      <c r="L234" s="26"/>
    </row>
    <row r="235" s="24" customFormat="1" spans="2:12">
      <c r="B235" s="19" t="s">
        <v>4031</v>
      </c>
      <c r="C235" s="19" t="s">
        <v>220</v>
      </c>
      <c r="D235" s="10" t="s">
        <v>4032</v>
      </c>
      <c r="E235" s="20"/>
      <c r="F235" s="19"/>
      <c r="G235" s="19"/>
      <c r="H235" s="20"/>
      <c r="I235" s="26"/>
      <c r="J235" s="26"/>
      <c r="K235" s="26"/>
      <c r="L235" s="26"/>
    </row>
    <row r="236" s="24" customFormat="1" spans="2:12">
      <c r="B236" s="19" t="s">
        <v>4033</v>
      </c>
      <c r="C236" s="19" t="s">
        <v>275</v>
      </c>
      <c r="D236" s="10" t="s">
        <v>4034</v>
      </c>
      <c r="E236" s="20"/>
      <c r="F236" s="19"/>
      <c r="G236" s="19"/>
      <c r="H236" s="20"/>
      <c r="I236" s="26"/>
      <c r="J236" s="26"/>
      <c r="K236" s="26"/>
      <c r="L236" s="26"/>
    </row>
    <row r="237" s="24" customFormat="1" spans="2:12">
      <c r="B237" s="19" t="s">
        <v>4035</v>
      </c>
      <c r="C237" s="19" t="s">
        <v>220</v>
      </c>
      <c r="D237" s="10" t="s">
        <v>4036</v>
      </c>
      <c r="E237" s="20"/>
      <c r="F237" s="19"/>
      <c r="G237" s="19"/>
      <c r="H237" s="20"/>
      <c r="I237" s="26"/>
      <c r="J237" s="26"/>
      <c r="K237" s="26"/>
      <c r="L237" s="26"/>
    </row>
    <row r="238" s="24" customFormat="1" spans="2:12">
      <c r="B238" s="19" t="s">
        <v>4037</v>
      </c>
      <c r="C238" s="19" t="s">
        <v>220</v>
      </c>
      <c r="D238" s="10" t="s">
        <v>4038</v>
      </c>
      <c r="E238" s="20"/>
      <c r="F238" s="19"/>
      <c r="G238" s="19"/>
      <c r="H238" s="20"/>
      <c r="I238" s="26"/>
      <c r="J238" s="26"/>
      <c r="K238" s="26"/>
      <c r="L238" s="26"/>
    </row>
    <row r="239" s="24" customFormat="1" spans="2:12">
      <c r="B239" s="19" t="s">
        <v>4039</v>
      </c>
      <c r="C239" s="19" t="s">
        <v>220</v>
      </c>
      <c r="D239" s="10" t="s">
        <v>4040</v>
      </c>
      <c r="E239" s="20"/>
      <c r="F239" s="19"/>
      <c r="G239" s="19"/>
      <c r="H239" s="20"/>
      <c r="I239" s="26"/>
      <c r="J239" s="26"/>
      <c r="K239" s="26"/>
      <c r="L239" s="26"/>
    </row>
    <row r="240" s="24" customFormat="1" spans="2:12">
      <c r="B240" s="19" t="s">
        <v>4041</v>
      </c>
      <c r="C240" s="19" t="s">
        <v>220</v>
      </c>
      <c r="D240" s="10" t="s">
        <v>4042</v>
      </c>
      <c r="E240" s="20"/>
      <c r="F240" s="19"/>
      <c r="G240" s="19"/>
      <c r="H240" s="20"/>
      <c r="I240" s="26"/>
      <c r="J240" s="26"/>
      <c r="K240" s="26"/>
      <c r="L240" s="26"/>
    </row>
    <row r="241" s="24" customFormat="1" spans="2:12">
      <c r="B241" s="19" t="s">
        <v>4043</v>
      </c>
      <c r="C241" s="19" t="s">
        <v>275</v>
      </c>
      <c r="D241" s="10" t="s">
        <v>4044</v>
      </c>
      <c r="E241" s="20"/>
      <c r="F241" s="19"/>
      <c r="G241" s="19"/>
      <c r="H241" s="20"/>
      <c r="I241" s="26"/>
      <c r="J241" s="26"/>
      <c r="K241" s="26"/>
      <c r="L241" s="26"/>
    </row>
    <row r="242" s="24" customFormat="1" spans="2:12">
      <c r="B242" s="19" t="s">
        <v>4045</v>
      </c>
      <c r="C242" s="19" t="s">
        <v>220</v>
      </c>
      <c r="D242" s="10" t="s">
        <v>4046</v>
      </c>
      <c r="E242" s="20"/>
      <c r="F242" s="19"/>
      <c r="G242" s="19"/>
      <c r="H242" s="20"/>
      <c r="I242" s="26"/>
      <c r="J242" s="26"/>
      <c r="K242" s="26"/>
      <c r="L242" s="26"/>
    </row>
    <row r="243" s="24" customFormat="1" spans="2:12">
      <c r="B243" s="19" t="s">
        <v>4047</v>
      </c>
      <c r="C243" s="19" t="s">
        <v>220</v>
      </c>
      <c r="D243" s="10" t="s">
        <v>4048</v>
      </c>
      <c r="E243" s="20"/>
      <c r="F243" s="19"/>
      <c r="G243" s="19"/>
      <c r="H243" s="20"/>
      <c r="I243" s="26"/>
      <c r="J243" s="26"/>
      <c r="K243" s="26"/>
      <c r="L243" s="26"/>
    </row>
    <row r="244" s="24" customFormat="1" spans="2:12">
      <c r="B244" s="19" t="s">
        <v>4049</v>
      </c>
      <c r="C244" s="19" t="s">
        <v>220</v>
      </c>
      <c r="D244" s="10" t="s">
        <v>4050</v>
      </c>
      <c r="E244" s="20"/>
      <c r="F244" s="19"/>
      <c r="G244" s="19"/>
      <c r="H244" s="20"/>
      <c r="I244" s="26"/>
      <c r="J244" s="26"/>
      <c r="K244" s="26"/>
      <c r="L244" s="26"/>
    </row>
    <row r="245" s="24" customFormat="1" spans="2:12">
      <c r="B245" s="19" t="s">
        <v>4051</v>
      </c>
      <c r="C245" s="19" t="s">
        <v>220</v>
      </c>
      <c r="D245" s="10" t="s">
        <v>4052</v>
      </c>
      <c r="E245" s="20"/>
      <c r="F245" s="19"/>
      <c r="G245" s="19"/>
      <c r="H245" s="20"/>
      <c r="I245" s="26"/>
      <c r="J245" s="26"/>
      <c r="K245" s="26"/>
      <c r="L245" s="26"/>
    </row>
    <row r="246" s="24" customFormat="1" spans="2:12">
      <c r="B246" s="19" t="s">
        <v>4053</v>
      </c>
      <c r="C246" s="19" t="s">
        <v>275</v>
      </c>
      <c r="D246" s="10" t="s">
        <v>4054</v>
      </c>
      <c r="E246" s="20"/>
      <c r="F246" s="19"/>
      <c r="G246" s="19"/>
      <c r="H246" s="20"/>
      <c r="I246" s="26"/>
      <c r="J246" s="26"/>
      <c r="K246" s="26"/>
      <c r="L246" s="26"/>
    </row>
    <row r="247" s="24" customFormat="1" ht="26.4" spans="2:12">
      <c r="B247" s="19" t="s">
        <v>4055</v>
      </c>
      <c r="C247" s="19" t="s">
        <v>220</v>
      </c>
      <c r="D247" s="10" t="s">
        <v>4056</v>
      </c>
      <c r="E247" s="20"/>
      <c r="F247" s="19"/>
      <c r="G247" s="19"/>
      <c r="H247" s="20"/>
      <c r="I247" s="26"/>
      <c r="J247" s="26"/>
      <c r="K247" s="26"/>
      <c r="L247" s="26"/>
    </row>
    <row r="248" s="24" customFormat="1" ht="26.4" spans="2:12">
      <c r="B248" s="19" t="s">
        <v>4057</v>
      </c>
      <c r="C248" s="19" t="s">
        <v>220</v>
      </c>
      <c r="D248" s="10" t="s">
        <v>4058</v>
      </c>
      <c r="E248" s="20"/>
      <c r="F248" s="19"/>
      <c r="G248" s="19"/>
      <c r="H248" s="20"/>
      <c r="I248" s="26"/>
      <c r="J248" s="26"/>
      <c r="K248" s="26"/>
      <c r="L248" s="26"/>
    </row>
    <row r="249" s="24" customFormat="1" ht="26.4" spans="2:12">
      <c r="B249" s="19" t="s">
        <v>4059</v>
      </c>
      <c r="C249" s="19" t="s">
        <v>220</v>
      </c>
      <c r="D249" s="10" t="s">
        <v>4060</v>
      </c>
      <c r="E249" s="20"/>
      <c r="F249" s="19"/>
      <c r="G249" s="19"/>
      <c r="H249" s="20"/>
      <c r="I249" s="26"/>
      <c r="J249" s="26"/>
      <c r="K249" s="26"/>
      <c r="L249" s="26"/>
    </row>
    <row r="250" s="24" customFormat="1" ht="26.4" spans="2:12">
      <c r="B250" s="19" t="s">
        <v>4061</v>
      </c>
      <c r="C250" s="19" t="s">
        <v>220</v>
      </c>
      <c r="D250" s="10" t="s">
        <v>4062</v>
      </c>
      <c r="E250" s="20"/>
      <c r="F250" s="19"/>
      <c r="G250" s="19"/>
      <c r="H250" s="20"/>
      <c r="I250" s="26"/>
      <c r="J250" s="26"/>
      <c r="K250" s="26"/>
      <c r="L250" s="26"/>
    </row>
    <row r="251" s="24" customFormat="1" ht="26.4" spans="2:12">
      <c r="B251" s="19" t="s">
        <v>4063</v>
      </c>
      <c r="C251" s="19" t="s">
        <v>275</v>
      </c>
      <c r="D251" s="10" t="s">
        <v>4064</v>
      </c>
      <c r="E251" s="20"/>
      <c r="F251" s="19"/>
      <c r="G251" s="19"/>
      <c r="H251" s="20"/>
      <c r="I251" s="26"/>
      <c r="J251" s="26"/>
      <c r="K251" s="26"/>
      <c r="L251" s="26"/>
    </row>
    <row r="252" s="24" customFormat="1" spans="2:12">
      <c r="B252" s="19" t="s">
        <v>4065</v>
      </c>
      <c r="C252" s="19" t="s">
        <v>220</v>
      </c>
      <c r="D252" s="10" t="s">
        <v>4066</v>
      </c>
      <c r="E252" s="20"/>
      <c r="F252" s="19"/>
      <c r="G252" s="19"/>
      <c r="H252" s="20"/>
      <c r="I252" s="26"/>
      <c r="J252" s="26"/>
      <c r="K252" s="26"/>
      <c r="L252" s="26"/>
    </row>
    <row r="253" s="24" customFormat="1" spans="2:12">
      <c r="B253" s="19" t="s">
        <v>4067</v>
      </c>
      <c r="C253" s="19" t="s">
        <v>220</v>
      </c>
      <c r="D253" s="10" t="s">
        <v>4068</v>
      </c>
      <c r="E253" s="20"/>
      <c r="F253" s="19"/>
      <c r="G253" s="19"/>
      <c r="H253" s="20"/>
      <c r="I253" s="26"/>
      <c r="J253" s="26"/>
      <c r="K253" s="26"/>
      <c r="L253" s="26"/>
    </row>
    <row r="254" s="24" customFormat="1" spans="2:12">
      <c r="B254" s="19" t="s">
        <v>4069</v>
      </c>
      <c r="C254" s="19" t="s">
        <v>220</v>
      </c>
      <c r="D254" s="10" t="s">
        <v>4070</v>
      </c>
      <c r="E254" s="20"/>
      <c r="F254" s="19"/>
      <c r="G254" s="19"/>
      <c r="H254" s="20"/>
      <c r="I254" s="26"/>
      <c r="J254" s="26"/>
      <c r="K254" s="26"/>
      <c r="L254" s="26"/>
    </row>
    <row r="255" s="24" customFormat="1" spans="2:12">
      <c r="B255" s="19" t="s">
        <v>4071</v>
      </c>
      <c r="C255" s="19" t="s">
        <v>220</v>
      </c>
      <c r="D255" s="10" t="s">
        <v>4072</v>
      </c>
      <c r="E255" s="20"/>
      <c r="F255" s="19"/>
      <c r="G255" s="19"/>
      <c r="H255" s="20"/>
      <c r="I255" s="26"/>
      <c r="J255" s="26"/>
      <c r="K255" s="26"/>
      <c r="L255" s="26"/>
    </row>
    <row r="256" s="24" customFormat="1" spans="2:12">
      <c r="B256" s="19" t="s">
        <v>4073</v>
      </c>
      <c r="C256" s="19" t="s">
        <v>275</v>
      </c>
      <c r="D256" s="10" t="s">
        <v>4074</v>
      </c>
      <c r="E256" s="20"/>
      <c r="F256" s="19"/>
      <c r="G256" s="19"/>
      <c r="H256" s="20"/>
      <c r="I256" s="26"/>
      <c r="J256" s="26"/>
      <c r="K256" s="26"/>
      <c r="L256" s="26"/>
    </row>
    <row r="257" s="24" customFormat="1" spans="2:12">
      <c r="B257" s="19" t="s">
        <v>4075</v>
      </c>
      <c r="C257" s="19" t="s">
        <v>220</v>
      </c>
      <c r="D257" s="10" t="s">
        <v>4076</v>
      </c>
      <c r="E257" s="20"/>
      <c r="F257" s="19"/>
      <c r="G257" s="19"/>
      <c r="H257" s="20"/>
      <c r="I257" s="26"/>
      <c r="J257" s="26"/>
      <c r="K257" s="26"/>
      <c r="L257" s="26"/>
    </row>
    <row r="258" s="24" customFormat="1" spans="2:12">
      <c r="B258" s="19" t="s">
        <v>4077</v>
      </c>
      <c r="C258" s="19" t="s">
        <v>220</v>
      </c>
      <c r="D258" s="10" t="s">
        <v>4078</v>
      </c>
      <c r="E258" s="20"/>
      <c r="F258" s="19"/>
      <c r="G258" s="19"/>
      <c r="H258" s="20"/>
      <c r="I258" s="26"/>
      <c r="J258" s="26"/>
      <c r="K258" s="26"/>
      <c r="L258" s="26"/>
    </row>
    <row r="259" s="24" customFormat="1" spans="2:12">
      <c r="B259" s="19" t="s">
        <v>4079</v>
      </c>
      <c r="C259" s="19" t="s">
        <v>220</v>
      </c>
      <c r="D259" s="10" t="s">
        <v>4080</v>
      </c>
      <c r="E259" s="20"/>
      <c r="F259" s="19"/>
      <c r="G259" s="19"/>
      <c r="H259" s="20"/>
      <c r="I259" s="26"/>
      <c r="J259" s="26"/>
      <c r="K259" s="26"/>
      <c r="L259" s="26"/>
    </row>
    <row r="260" s="24" customFormat="1" spans="2:12">
      <c r="B260" s="19" t="s">
        <v>4081</v>
      </c>
      <c r="C260" s="19" t="s">
        <v>220</v>
      </c>
      <c r="D260" s="10" t="s">
        <v>4082</v>
      </c>
      <c r="E260" s="20"/>
      <c r="F260" s="19"/>
      <c r="G260" s="19"/>
      <c r="H260" s="20"/>
      <c r="I260" s="26"/>
      <c r="J260" s="26"/>
      <c r="K260" s="26"/>
      <c r="L260" s="26"/>
    </row>
    <row r="261" s="24" customFormat="1" spans="2:12">
      <c r="B261" s="19" t="s">
        <v>4083</v>
      </c>
      <c r="C261" s="19" t="s">
        <v>275</v>
      </c>
      <c r="D261" s="10" t="s">
        <v>4084</v>
      </c>
      <c r="E261" s="20"/>
      <c r="F261" s="19"/>
      <c r="G261" s="19"/>
      <c r="H261" s="20"/>
      <c r="I261" s="26"/>
      <c r="J261" s="26"/>
      <c r="K261" s="26"/>
      <c r="L261" s="26"/>
    </row>
    <row r="262" s="24" customFormat="1" spans="2:12">
      <c r="B262" s="19" t="s">
        <v>4085</v>
      </c>
      <c r="C262" s="19" t="s">
        <v>220</v>
      </c>
      <c r="D262" s="10" t="s">
        <v>4086</v>
      </c>
      <c r="E262" s="20"/>
      <c r="F262" s="19"/>
      <c r="G262" s="19"/>
      <c r="H262" s="20"/>
      <c r="I262" s="26"/>
      <c r="J262" s="26"/>
      <c r="K262" s="26"/>
      <c r="L262" s="26"/>
    </row>
    <row r="263" s="24" customFormat="1" spans="2:12">
      <c r="B263" s="19" t="s">
        <v>4087</v>
      </c>
      <c r="C263" s="19" t="s">
        <v>220</v>
      </c>
      <c r="D263" s="10" t="s">
        <v>4088</v>
      </c>
      <c r="E263" s="20"/>
      <c r="F263" s="19"/>
      <c r="G263" s="19"/>
      <c r="H263" s="20"/>
      <c r="I263" s="26"/>
      <c r="J263" s="26"/>
      <c r="K263" s="26"/>
      <c r="L263" s="26"/>
    </row>
    <row r="264" s="24" customFormat="1" spans="2:12">
      <c r="B264" s="19" t="s">
        <v>4089</v>
      </c>
      <c r="C264" s="19" t="s">
        <v>220</v>
      </c>
      <c r="D264" s="10" t="s">
        <v>4090</v>
      </c>
      <c r="E264" s="20"/>
      <c r="F264" s="19"/>
      <c r="G264" s="19"/>
      <c r="H264" s="20"/>
      <c r="I264" s="26"/>
      <c r="J264" s="26"/>
      <c r="K264" s="26"/>
      <c r="L264" s="26"/>
    </row>
    <row r="265" s="24" customFormat="1" spans="2:12">
      <c r="B265" s="19" t="s">
        <v>4091</v>
      </c>
      <c r="C265" s="19" t="s">
        <v>220</v>
      </c>
      <c r="D265" s="10" t="s">
        <v>4092</v>
      </c>
      <c r="E265" s="20"/>
      <c r="F265" s="19"/>
      <c r="G265" s="19"/>
      <c r="H265" s="20"/>
      <c r="I265" s="26"/>
      <c r="J265" s="26"/>
      <c r="K265" s="26"/>
      <c r="L265" s="26"/>
    </row>
    <row r="266" s="24" customFormat="1" spans="2:12">
      <c r="B266" s="19" t="s">
        <v>4093</v>
      </c>
      <c r="C266" s="19" t="s">
        <v>275</v>
      </c>
      <c r="D266" s="10" t="s">
        <v>4094</v>
      </c>
      <c r="E266" s="20"/>
      <c r="F266" s="19"/>
      <c r="G266" s="19"/>
      <c r="H266" s="20"/>
      <c r="I266" s="26"/>
      <c r="J266" s="26"/>
      <c r="K266" s="26"/>
      <c r="L266" s="26"/>
    </row>
    <row r="267" s="25" customFormat="1" ht="79.2" spans="2:12">
      <c r="B267" s="28" t="s">
        <v>4095</v>
      </c>
      <c r="C267" s="28" t="s">
        <v>220</v>
      </c>
      <c r="D267" s="29" t="s">
        <v>4096</v>
      </c>
      <c r="E267" s="30" t="s">
        <v>199</v>
      </c>
      <c r="F267" s="28"/>
      <c r="G267" s="28" t="s">
        <v>4097</v>
      </c>
      <c r="H267" s="30"/>
      <c r="I267" s="31" t="s">
        <v>1211</v>
      </c>
      <c r="J267" s="31" t="s">
        <v>345</v>
      </c>
      <c r="K267" s="31" t="s">
        <v>323</v>
      </c>
      <c r="L267" s="31" t="s">
        <v>339</v>
      </c>
    </row>
    <row r="268" s="25" customFormat="1" ht="79.2" spans="2:12">
      <c r="B268" s="28" t="s">
        <v>4098</v>
      </c>
      <c r="C268" s="28" t="s">
        <v>220</v>
      </c>
      <c r="D268" s="29" t="s">
        <v>4099</v>
      </c>
      <c r="E268" s="30" t="s">
        <v>4100</v>
      </c>
      <c r="F268" s="28"/>
      <c r="G268" s="28" t="s">
        <v>4101</v>
      </c>
      <c r="H268" s="30"/>
      <c r="I268" s="31" t="s">
        <v>1211</v>
      </c>
      <c r="J268" s="31" t="s">
        <v>345</v>
      </c>
      <c r="K268" s="31" t="s">
        <v>323</v>
      </c>
      <c r="L268" s="31" t="s">
        <v>339</v>
      </c>
    </row>
    <row r="269" s="24" customFormat="1" spans="2:12">
      <c r="B269" s="19"/>
      <c r="C269" s="19"/>
      <c r="D269" s="10"/>
      <c r="E269" s="20"/>
      <c r="F269" s="19"/>
      <c r="G269" s="19"/>
      <c r="H269" s="20"/>
      <c r="I269" s="26"/>
      <c r="J269" s="26"/>
      <c r="K269" s="26"/>
      <c r="L269" s="26"/>
    </row>
    <row r="270" s="2" customFormat="1" spans="1:12">
      <c r="A270" s="21"/>
      <c r="B270" s="22" t="s">
        <v>252</v>
      </c>
      <c r="C270" s="22" t="s">
        <v>220</v>
      </c>
      <c r="D270" s="22" t="s">
        <v>254</v>
      </c>
      <c r="E270" s="22"/>
      <c r="F270" s="22"/>
      <c r="G270" s="22"/>
      <c r="H270" s="22"/>
      <c r="I270" s="22"/>
      <c r="J270" s="22"/>
      <c r="K270" s="22"/>
      <c r="L270" s="22"/>
    </row>
    <row r="271" s="2" customFormat="1" spans="1:12">
      <c r="A271" s="21"/>
      <c r="B271" s="22" t="s">
        <v>255</v>
      </c>
      <c r="C271" s="22" t="s">
        <v>216</v>
      </c>
      <c r="D271" s="22" t="s">
        <v>256</v>
      </c>
      <c r="E271" s="22"/>
      <c r="F271" s="22"/>
      <c r="G271" s="22"/>
      <c r="H271" s="22"/>
      <c r="I271" s="22"/>
      <c r="J271" s="22"/>
      <c r="K271" s="22"/>
      <c r="L271" s="22"/>
    </row>
    <row r="272" s="2" customFormat="1" spans="1:12">
      <c r="A272" s="21"/>
      <c r="B272" s="22" t="s">
        <v>257</v>
      </c>
      <c r="C272" s="22" t="s">
        <v>220</v>
      </c>
      <c r="D272" s="22" t="s">
        <v>258</v>
      </c>
      <c r="E272" s="22"/>
      <c r="F272" s="22"/>
      <c r="G272" s="22"/>
      <c r="H272" s="22"/>
      <c r="I272" s="22"/>
      <c r="J272" s="22"/>
      <c r="K272" s="22"/>
      <c r="L272" s="22"/>
    </row>
  </sheetData>
  <autoFilter xmlns:etc="http://www.wps.cn/officeDocument/2017/etCustomData" ref="A16:N268" etc:filterBottomFollowUsedRange="0">
    <extLst/>
  </autoFilter>
  <mergeCells count="7">
    <mergeCell ref="B2:H2"/>
    <mergeCell ref="B3:H3"/>
    <mergeCell ref="B7:H7"/>
    <mergeCell ref="F9:G9"/>
    <mergeCell ref="F11:G11"/>
    <mergeCell ref="F12:G12"/>
    <mergeCell ref="B15:L15"/>
  </mergeCells>
  <pageMargins left="0.7" right="0.7" top="0.75" bottom="0.75" header="0.3" footer="0.3"/>
  <pageSetup paperSize="9" orientation="portrait"/>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2"/>
  <sheetViews>
    <sheetView zoomScale="85" zoomScaleNormal="85" workbookViewId="0">
      <pane ySplit="5" topLeftCell="A6" activePane="bottomLeft" state="frozen"/>
      <selection/>
      <selection pane="bottomLeft" activeCell="C9" sqref="C9"/>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58</v>
      </c>
      <c r="C5" s="10" t="s">
        <v>168</v>
      </c>
      <c r="D5" s="10" t="s">
        <v>169</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165</v>
      </c>
      <c r="D9" s="10" t="s">
        <v>166</v>
      </c>
      <c r="E9" s="11" t="s">
        <v>199</v>
      </c>
      <c r="F9" s="11"/>
      <c r="G9" s="11"/>
      <c r="H9" s="15"/>
    </row>
    <row r="10" spans="7:7">
      <c r="G10" s="17"/>
    </row>
    <row r="11" spans="2:2">
      <c r="B11" s="3" t="s">
        <v>204</v>
      </c>
    </row>
    <row r="12" spans="2:12">
      <c r="B12" s="7" t="s">
        <v>204</v>
      </c>
      <c r="C12" s="7"/>
      <c r="D12" s="7"/>
      <c r="E12" s="7"/>
      <c r="F12" s="7"/>
      <c r="G12" s="7"/>
      <c r="H12" s="7"/>
      <c r="I12" s="7"/>
      <c r="J12" s="7"/>
      <c r="K12" s="7"/>
      <c r="L12" s="7"/>
    </row>
    <row r="13" ht="24" spans="2:12">
      <c r="B13" s="18" t="s">
        <v>205</v>
      </c>
      <c r="C13" s="18" t="s">
        <v>206</v>
      </c>
      <c r="D13" s="18" t="s">
        <v>207</v>
      </c>
      <c r="E13" s="18" t="s">
        <v>208</v>
      </c>
      <c r="F13" s="18" t="s">
        <v>209</v>
      </c>
      <c r="G13" s="18" t="s">
        <v>210</v>
      </c>
      <c r="H13" s="18" t="s">
        <v>211</v>
      </c>
      <c r="I13" s="18" t="s">
        <v>17</v>
      </c>
      <c r="J13" s="18" t="s">
        <v>212</v>
      </c>
      <c r="K13" s="18" t="s">
        <v>213</v>
      </c>
      <c r="L13" s="18" t="s">
        <v>214</v>
      </c>
    </row>
    <row r="14" s="1" customFormat="1" spans="2:12">
      <c r="B14" s="19" t="s">
        <v>1828</v>
      </c>
      <c r="C14" s="19" t="s">
        <v>216</v>
      </c>
      <c r="D14" s="10" t="s">
        <v>1829</v>
      </c>
      <c r="E14" s="20"/>
      <c r="F14" s="19"/>
      <c r="G14" s="19"/>
      <c r="H14" s="20"/>
      <c r="I14" s="23"/>
      <c r="J14" s="23"/>
      <c r="K14" s="23"/>
      <c r="L14" s="23"/>
    </row>
    <row r="15" s="1" customFormat="1" spans="2:12">
      <c r="B15" s="19" t="s">
        <v>1026</v>
      </c>
      <c r="C15" s="19" t="s">
        <v>233</v>
      </c>
      <c r="D15" s="10" t="s">
        <v>66</v>
      </c>
      <c r="E15" s="20"/>
      <c r="F15" s="19"/>
      <c r="G15" s="19"/>
      <c r="H15" s="20"/>
      <c r="I15" s="23"/>
      <c r="J15" s="23"/>
      <c r="K15" s="23"/>
      <c r="L15" s="23"/>
    </row>
    <row r="16" s="1" customFormat="1" spans="2:12">
      <c r="B16" s="19" t="s">
        <v>1830</v>
      </c>
      <c r="C16" s="19" t="s">
        <v>220</v>
      </c>
      <c r="D16" s="10" t="s">
        <v>1831</v>
      </c>
      <c r="E16" s="20"/>
      <c r="F16" s="19"/>
      <c r="G16" s="19"/>
      <c r="H16" s="20"/>
      <c r="I16" s="23"/>
      <c r="J16" s="23"/>
      <c r="K16" s="23"/>
      <c r="L16" s="23"/>
    </row>
    <row r="17" s="1" customFormat="1" spans="2:12">
      <c r="B17" s="19" t="s">
        <v>1316</v>
      </c>
      <c r="C17" s="19" t="s">
        <v>216</v>
      </c>
      <c r="D17" s="10" t="s">
        <v>2019</v>
      </c>
      <c r="E17" s="20"/>
      <c r="F17" s="19"/>
      <c r="G17" s="19"/>
      <c r="H17" s="20"/>
      <c r="I17" s="23"/>
      <c r="J17" s="23"/>
      <c r="K17" s="23"/>
      <c r="L17" s="23"/>
    </row>
    <row r="18" s="1" customFormat="1" spans="2:12">
      <c r="B18" s="19" t="s">
        <v>1832</v>
      </c>
      <c r="C18" s="19" t="s">
        <v>220</v>
      </c>
      <c r="D18" s="10" t="s">
        <v>3764</v>
      </c>
      <c r="E18" s="20"/>
      <c r="F18" s="19"/>
      <c r="G18" s="19"/>
      <c r="H18" s="20"/>
      <c r="I18" s="23"/>
      <c r="J18" s="23"/>
      <c r="K18" s="23"/>
      <c r="L18" s="23"/>
    </row>
    <row r="19" s="1" customFormat="1" spans="2:12">
      <c r="B19" s="19" t="s">
        <v>1318</v>
      </c>
      <c r="C19" s="19" t="s">
        <v>216</v>
      </c>
      <c r="D19" s="10" t="s">
        <v>3765</v>
      </c>
      <c r="E19" s="20"/>
      <c r="F19" s="19"/>
      <c r="G19" s="19"/>
      <c r="H19" s="20"/>
      <c r="I19" s="23"/>
      <c r="J19" s="23"/>
      <c r="K19" s="23"/>
      <c r="L19" s="23"/>
    </row>
    <row r="20" s="1" customFormat="1" spans="2:12">
      <c r="B20" s="19" t="s">
        <v>1834</v>
      </c>
      <c r="C20" s="19" t="s">
        <v>220</v>
      </c>
      <c r="D20" s="10" t="s">
        <v>1835</v>
      </c>
      <c r="E20" s="20"/>
      <c r="F20" s="19"/>
      <c r="G20" s="19"/>
      <c r="H20" s="20"/>
      <c r="I20" s="23"/>
      <c r="J20" s="23"/>
      <c r="K20" s="23"/>
      <c r="L20" s="23"/>
    </row>
    <row r="21" s="1" customFormat="1" spans="2:12">
      <c r="B21" s="19" t="s">
        <v>2023</v>
      </c>
      <c r="C21" s="19" t="s">
        <v>216</v>
      </c>
      <c r="D21" s="10" t="s">
        <v>2024</v>
      </c>
      <c r="E21" s="20"/>
      <c r="F21" s="19"/>
      <c r="G21" s="19"/>
      <c r="H21" s="20"/>
      <c r="I21" s="23"/>
      <c r="J21" s="23"/>
      <c r="K21" s="23"/>
      <c r="L21" s="23"/>
    </row>
    <row r="22" s="1" customFormat="1" spans="2:12">
      <c r="B22" s="19" t="s">
        <v>2515</v>
      </c>
      <c r="C22" s="19" t="s">
        <v>220</v>
      </c>
      <c r="D22" s="10" t="s">
        <v>4102</v>
      </c>
      <c r="E22" s="20"/>
      <c r="F22" s="19"/>
      <c r="G22" s="19"/>
      <c r="H22" s="20"/>
      <c r="I22" s="23"/>
      <c r="J22" s="23"/>
      <c r="K22" s="23"/>
      <c r="L22" s="23"/>
    </row>
    <row r="23" s="1" customFormat="1" spans="2:12">
      <c r="B23" s="19" t="s">
        <v>3767</v>
      </c>
      <c r="C23" s="19" t="s">
        <v>216</v>
      </c>
      <c r="D23" s="10" t="s">
        <v>3768</v>
      </c>
      <c r="E23" s="20"/>
      <c r="F23" s="19"/>
      <c r="G23" s="19"/>
      <c r="H23" s="20"/>
      <c r="I23" s="23"/>
      <c r="J23" s="23"/>
      <c r="K23" s="23"/>
      <c r="L23" s="23"/>
    </row>
    <row r="24" s="1" customFormat="1" spans="2:12">
      <c r="B24" s="19" t="s">
        <v>222</v>
      </c>
      <c r="C24" s="19" t="s">
        <v>220</v>
      </c>
      <c r="D24" s="10" t="s">
        <v>4103</v>
      </c>
      <c r="E24" s="20"/>
      <c r="F24" s="19"/>
      <c r="G24" s="19"/>
      <c r="H24" s="20"/>
      <c r="I24" s="23"/>
      <c r="J24" s="23"/>
      <c r="K24" s="23"/>
      <c r="L24" s="23"/>
    </row>
    <row r="25" s="1" customFormat="1" spans="2:12">
      <c r="B25" s="19" t="s">
        <v>2678</v>
      </c>
      <c r="C25" s="19" t="s">
        <v>216</v>
      </c>
      <c r="D25" s="10" t="s">
        <v>3770</v>
      </c>
      <c r="E25" s="20"/>
      <c r="F25" s="19"/>
      <c r="G25" s="19"/>
      <c r="H25" s="20"/>
      <c r="I25" s="23"/>
      <c r="J25" s="23"/>
      <c r="K25" s="23"/>
      <c r="L25" s="23"/>
    </row>
    <row r="26" s="1" customFormat="1" spans="2:12">
      <c r="B26" s="19" t="s">
        <v>224</v>
      </c>
      <c r="C26" s="19" t="s">
        <v>216</v>
      </c>
      <c r="D26" s="10" t="s">
        <v>4104</v>
      </c>
      <c r="E26" s="20"/>
      <c r="F26" s="19"/>
      <c r="G26" s="19"/>
      <c r="H26" s="20"/>
      <c r="I26" s="23"/>
      <c r="J26" s="23"/>
      <c r="K26" s="23"/>
      <c r="L26" s="23"/>
    </row>
    <row r="27" s="1" customFormat="1" spans="2:12">
      <c r="B27" s="19" t="s">
        <v>1053</v>
      </c>
      <c r="C27" s="19" t="s">
        <v>216</v>
      </c>
      <c r="D27" s="10" t="s">
        <v>4105</v>
      </c>
      <c r="E27" s="20"/>
      <c r="F27" s="19"/>
      <c r="G27" s="19"/>
      <c r="H27" s="20"/>
      <c r="I27" s="23"/>
      <c r="J27" s="23"/>
      <c r="K27" s="23"/>
      <c r="L27" s="23"/>
    </row>
    <row r="28" s="1" customFormat="1" spans="2:12">
      <c r="B28" s="19" t="s">
        <v>267</v>
      </c>
      <c r="C28" s="19" t="s">
        <v>216</v>
      </c>
      <c r="D28" s="10" t="s">
        <v>4106</v>
      </c>
      <c r="E28" s="20"/>
      <c r="F28" s="19"/>
      <c r="G28" s="19"/>
      <c r="H28" s="20"/>
      <c r="I28" s="23"/>
      <c r="J28" s="23"/>
      <c r="K28" s="23"/>
      <c r="L28" s="23"/>
    </row>
    <row r="29" s="1" customFormat="1" spans="2:12">
      <c r="B29" s="19" t="s">
        <v>1050</v>
      </c>
      <c r="C29" s="19" t="s">
        <v>233</v>
      </c>
      <c r="D29" s="10" t="s">
        <v>3637</v>
      </c>
      <c r="E29" s="20"/>
      <c r="F29" s="19"/>
      <c r="G29" s="19"/>
      <c r="H29" s="20"/>
      <c r="I29" s="23"/>
      <c r="J29" s="23"/>
      <c r="K29" s="23"/>
      <c r="L29" s="23"/>
    </row>
    <row r="30" s="1" customFormat="1" spans="2:12">
      <c r="B30" s="19" t="s">
        <v>1306</v>
      </c>
      <c r="C30" s="19" t="s">
        <v>275</v>
      </c>
      <c r="D30" s="10" t="s">
        <v>3671</v>
      </c>
      <c r="E30" s="20"/>
      <c r="F30" s="19"/>
      <c r="G30" s="19"/>
      <c r="H30" s="20"/>
      <c r="I30" s="23"/>
      <c r="J30" s="23"/>
      <c r="K30" s="23"/>
      <c r="L30" s="23"/>
    </row>
    <row r="31" s="1" customFormat="1" spans="2:12">
      <c r="B31" s="19" t="s">
        <v>2490</v>
      </c>
      <c r="C31" s="19" t="s">
        <v>216</v>
      </c>
      <c r="D31" s="10" t="s">
        <v>3672</v>
      </c>
      <c r="E31" s="20"/>
      <c r="F31" s="19"/>
      <c r="G31" s="19"/>
      <c r="H31" s="20"/>
      <c r="I31" s="23"/>
      <c r="J31" s="23"/>
      <c r="K31" s="23"/>
      <c r="L31" s="23"/>
    </row>
    <row r="32" s="1" customFormat="1" spans="2:12">
      <c r="B32" s="19" t="s">
        <v>1069</v>
      </c>
      <c r="C32" s="19" t="s">
        <v>216</v>
      </c>
      <c r="D32" s="10" t="s">
        <v>2582</v>
      </c>
      <c r="E32" s="20"/>
      <c r="F32" s="19"/>
      <c r="G32" s="19"/>
      <c r="H32" s="20"/>
      <c r="I32" s="23"/>
      <c r="J32" s="23"/>
      <c r="K32" s="23"/>
      <c r="L32" s="23"/>
    </row>
    <row r="33" s="1" customFormat="1" spans="2:12">
      <c r="B33" s="19" t="s">
        <v>3675</v>
      </c>
      <c r="C33" s="19" t="s">
        <v>275</v>
      </c>
      <c r="D33" s="10" t="s">
        <v>3676</v>
      </c>
      <c r="E33" s="20"/>
      <c r="F33" s="19"/>
      <c r="G33" s="19"/>
      <c r="H33" s="20"/>
      <c r="I33" s="23"/>
      <c r="J33" s="23"/>
      <c r="K33" s="23"/>
      <c r="L33" s="23"/>
    </row>
    <row r="34" s="1" customFormat="1" spans="2:12">
      <c r="B34" s="19" t="s">
        <v>1808</v>
      </c>
      <c r="C34" s="19" t="s">
        <v>216</v>
      </c>
      <c r="D34" s="10" t="s">
        <v>1873</v>
      </c>
      <c r="E34" s="20"/>
      <c r="F34" s="19"/>
      <c r="G34" s="19"/>
      <c r="H34" s="20"/>
      <c r="I34" s="23"/>
      <c r="J34" s="23"/>
      <c r="K34" s="23"/>
      <c r="L34" s="23"/>
    </row>
    <row r="35" s="1" customFormat="1" spans="2:12">
      <c r="B35" s="19" t="s">
        <v>3664</v>
      </c>
      <c r="C35" s="19" t="s">
        <v>216</v>
      </c>
      <c r="D35" s="10" t="s">
        <v>4107</v>
      </c>
      <c r="E35" s="20"/>
      <c r="F35" s="19"/>
      <c r="G35" s="19"/>
      <c r="H35" s="20"/>
      <c r="I35" s="23"/>
      <c r="J35" s="23"/>
      <c r="K35" s="23"/>
      <c r="L35" s="23"/>
    </row>
    <row r="36" s="1" customFormat="1" spans="2:12">
      <c r="B36" s="19" t="s">
        <v>3666</v>
      </c>
      <c r="C36" s="19" t="s">
        <v>216</v>
      </c>
      <c r="D36" s="10" t="s">
        <v>4108</v>
      </c>
      <c r="E36" s="20"/>
      <c r="F36" s="19"/>
      <c r="G36" s="19"/>
      <c r="H36" s="20"/>
      <c r="I36" s="23"/>
      <c r="J36" s="23"/>
      <c r="K36" s="23"/>
      <c r="L36" s="23"/>
    </row>
    <row r="37" s="1" customFormat="1" spans="2:12">
      <c r="B37" s="19" t="s">
        <v>3762</v>
      </c>
      <c r="C37" s="19" t="s">
        <v>275</v>
      </c>
      <c r="D37" s="10" t="s">
        <v>3763</v>
      </c>
      <c r="E37" s="20"/>
      <c r="F37" s="19"/>
      <c r="G37" s="19"/>
      <c r="H37" s="20"/>
      <c r="I37" s="23"/>
      <c r="J37" s="23"/>
      <c r="K37" s="23"/>
      <c r="L37" s="23"/>
    </row>
    <row r="38" s="1" customFormat="1" spans="2:12">
      <c r="B38" s="19" t="s">
        <v>3736</v>
      </c>
      <c r="C38" s="19" t="s">
        <v>275</v>
      </c>
      <c r="D38" s="10" t="s">
        <v>3736</v>
      </c>
      <c r="E38" s="20"/>
      <c r="F38" s="19"/>
      <c r="G38" s="19"/>
      <c r="H38" s="20"/>
      <c r="I38" s="23"/>
      <c r="J38" s="23"/>
      <c r="K38" s="23"/>
      <c r="L38" s="23"/>
    </row>
    <row r="39" s="1" customFormat="1" spans="2:12">
      <c r="B39" s="19" t="s">
        <v>3745</v>
      </c>
      <c r="C39" s="19" t="s">
        <v>220</v>
      </c>
      <c r="D39" s="10" t="s">
        <v>3746</v>
      </c>
      <c r="E39" s="20"/>
      <c r="F39" s="19"/>
      <c r="G39" s="19"/>
      <c r="H39" s="20"/>
      <c r="I39" s="23"/>
      <c r="J39" s="23"/>
      <c r="K39" s="23"/>
      <c r="L39" s="23"/>
    </row>
    <row r="40" s="1" customFormat="1" spans="2:12">
      <c r="B40" s="19" t="s">
        <v>4109</v>
      </c>
      <c r="C40" s="19" t="s">
        <v>275</v>
      </c>
      <c r="D40" s="10" t="s">
        <v>3772</v>
      </c>
      <c r="E40" s="20"/>
      <c r="F40" s="19"/>
      <c r="G40" s="19"/>
      <c r="H40" s="20"/>
      <c r="I40" s="23"/>
      <c r="J40" s="23"/>
      <c r="K40" s="23"/>
      <c r="L40" s="23"/>
    </row>
    <row r="41" s="1" customFormat="1" spans="2:12">
      <c r="B41" s="19" t="s">
        <v>4110</v>
      </c>
      <c r="C41" s="19" t="s">
        <v>275</v>
      </c>
      <c r="D41" s="10" t="s">
        <v>3774</v>
      </c>
      <c r="E41" s="20"/>
      <c r="F41" s="19"/>
      <c r="G41" s="19"/>
      <c r="H41" s="20"/>
      <c r="I41" s="23"/>
      <c r="J41" s="23"/>
      <c r="K41" s="23"/>
      <c r="L41" s="23"/>
    </row>
    <row r="42" s="1" customFormat="1" spans="2:12">
      <c r="B42" s="19" t="s">
        <v>4111</v>
      </c>
      <c r="C42" s="19" t="s">
        <v>275</v>
      </c>
      <c r="D42" s="10" t="s">
        <v>3776</v>
      </c>
      <c r="E42" s="20"/>
      <c r="F42" s="19"/>
      <c r="G42" s="19"/>
      <c r="H42" s="20"/>
      <c r="I42" s="23"/>
      <c r="J42" s="23"/>
      <c r="K42" s="23"/>
      <c r="L42" s="23"/>
    </row>
    <row r="43" s="1" customFormat="1" spans="2:12">
      <c r="B43" s="19" t="s">
        <v>4112</v>
      </c>
      <c r="C43" s="19" t="s">
        <v>275</v>
      </c>
      <c r="D43" s="10" t="s">
        <v>3778</v>
      </c>
      <c r="E43" s="20"/>
      <c r="F43" s="19"/>
      <c r="G43" s="19"/>
      <c r="H43" s="20"/>
      <c r="I43" s="23"/>
      <c r="J43" s="23"/>
      <c r="K43" s="23"/>
      <c r="L43" s="23"/>
    </row>
    <row r="44" s="1" customFormat="1" spans="2:12">
      <c r="B44" s="19" t="s">
        <v>4113</v>
      </c>
      <c r="C44" s="19" t="s">
        <v>240</v>
      </c>
      <c r="D44" s="10" t="s">
        <v>4114</v>
      </c>
      <c r="E44" s="20"/>
      <c r="F44" s="19"/>
      <c r="G44" s="19"/>
      <c r="H44" s="20"/>
      <c r="I44" s="23"/>
      <c r="J44" s="23"/>
      <c r="K44" s="23"/>
      <c r="L44" s="23"/>
    </row>
    <row r="45" s="1" customFormat="1" spans="2:12">
      <c r="B45" s="19" t="s">
        <v>4115</v>
      </c>
      <c r="C45" s="19" t="s">
        <v>275</v>
      </c>
      <c r="D45" s="10" t="s">
        <v>3782</v>
      </c>
      <c r="E45" s="20"/>
      <c r="F45" s="19"/>
      <c r="G45" s="19"/>
      <c r="H45" s="20"/>
      <c r="I45" s="23"/>
      <c r="J45" s="23"/>
      <c r="K45" s="23"/>
      <c r="L45" s="23"/>
    </row>
    <row r="46" s="1" customFormat="1" spans="2:12">
      <c r="B46" s="19" t="s">
        <v>4116</v>
      </c>
      <c r="C46" s="19" t="s">
        <v>275</v>
      </c>
      <c r="D46" s="10" t="s">
        <v>3784</v>
      </c>
      <c r="E46" s="20"/>
      <c r="F46" s="19"/>
      <c r="G46" s="19"/>
      <c r="H46" s="20"/>
      <c r="I46" s="23"/>
      <c r="J46" s="23"/>
      <c r="K46" s="23"/>
      <c r="L46" s="23"/>
    </row>
    <row r="47" s="1" customFormat="1" spans="2:12">
      <c r="B47" s="19" t="s">
        <v>4117</v>
      </c>
      <c r="C47" s="19" t="s">
        <v>275</v>
      </c>
      <c r="D47" s="10" t="s">
        <v>3786</v>
      </c>
      <c r="E47" s="20"/>
      <c r="F47" s="19"/>
      <c r="G47" s="19"/>
      <c r="H47" s="20"/>
      <c r="I47" s="23"/>
      <c r="J47" s="23"/>
      <c r="K47" s="23"/>
      <c r="L47" s="23"/>
    </row>
    <row r="48" s="1" customFormat="1" spans="2:12">
      <c r="B48" s="19" t="s">
        <v>4118</v>
      </c>
      <c r="C48" s="19" t="s">
        <v>275</v>
      </c>
      <c r="D48" s="10" t="s">
        <v>3788</v>
      </c>
      <c r="E48" s="20"/>
      <c r="F48" s="19"/>
      <c r="G48" s="19"/>
      <c r="H48" s="20"/>
      <c r="I48" s="23"/>
      <c r="J48" s="23"/>
      <c r="K48" s="23"/>
      <c r="L48" s="23"/>
    </row>
    <row r="49" s="1" customFormat="1" spans="2:12">
      <c r="B49" s="19" t="s">
        <v>4119</v>
      </c>
      <c r="C49" s="19" t="s">
        <v>240</v>
      </c>
      <c r="D49" s="10" t="s">
        <v>4120</v>
      </c>
      <c r="E49" s="20"/>
      <c r="F49" s="19"/>
      <c r="G49" s="19"/>
      <c r="H49" s="20"/>
      <c r="I49" s="23"/>
      <c r="J49" s="23"/>
      <c r="K49" s="23"/>
      <c r="L49" s="23"/>
    </row>
    <row r="50" s="1" customFormat="1" spans="2:12">
      <c r="B50" s="19" t="s">
        <v>4121</v>
      </c>
      <c r="C50" s="19" t="s">
        <v>275</v>
      </c>
      <c r="D50" s="10" t="s">
        <v>3792</v>
      </c>
      <c r="E50" s="20"/>
      <c r="F50" s="19"/>
      <c r="G50" s="19"/>
      <c r="H50" s="20"/>
      <c r="I50" s="23"/>
      <c r="J50" s="23"/>
      <c r="K50" s="23"/>
      <c r="L50" s="23"/>
    </row>
    <row r="51" s="1" customFormat="1" ht="26.4" spans="2:12">
      <c r="B51" s="19" t="s">
        <v>4122</v>
      </c>
      <c r="C51" s="19" t="s">
        <v>275</v>
      </c>
      <c r="D51" s="10" t="s">
        <v>3794</v>
      </c>
      <c r="E51" s="20"/>
      <c r="F51" s="19"/>
      <c r="G51" s="19"/>
      <c r="H51" s="20"/>
      <c r="I51" s="23"/>
      <c r="J51" s="23"/>
      <c r="K51" s="23"/>
      <c r="L51" s="23"/>
    </row>
    <row r="52" s="1" customFormat="1" ht="26.4" spans="2:12">
      <c r="B52" s="19" t="s">
        <v>4123</v>
      </c>
      <c r="C52" s="19" t="s">
        <v>275</v>
      </c>
      <c r="D52" s="10" t="s">
        <v>3796</v>
      </c>
      <c r="E52" s="20"/>
      <c r="F52" s="19"/>
      <c r="G52" s="19"/>
      <c r="H52" s="20"/>
      <c r="I52" s="23"/>
      <c r="J52" s="23"/>
      <c r="K52" s="23"/>
      <c r="L52" s="23"/>
    </row>
    <row r="53" s="1" customFormat="1" ht="26.4" spans="2:12">
      <c r="B53" s="19" t="s">
        <v>4124</v>
      </c>
      <c r="C53" s="19" t="s">
        <v>275</v>
      </c>
      <c r="D53" s="10" t="s">
        <v>3798</v>
      </c>
      <c r="E53" s="20"/>
      <c r="F53" s="19"/>
      <c r="G53" s="19"/>
      <c r="H53" s="20"/>
      <c r="I53" s="23"/>
      <c r="J53" s="23"/>
      <c r="K53" s="23"/>
      <c r="L53" s="23"/>
    </row>
    <row r="54" s="1" customFormat="1" ht="26.4" spans="2:12">
      <c r="B54" s="19" t="s">
        <v>4125</v>
      </c>
      <c r="C54" s="19" t="s">
        <v>275</v>
      </c>
      <c r="D54" s="10" t="s">
        <v>3800</v>
      </c>
      <c r="E54" s="20"/>
      <c r="F54" s="19"/>
      <c r="G54" s="19"/>
      <c r="H54" s="20"/>
      <c r="I54" s="23"/>
      <c r="J54" s="23"/>
      <c r="K54" s="23"/>
      <c r="L54" s="23"/>
    </row>
    <row r="55" s="1" customFormat="1" ht="26.4" spans="2:12">
      <c r="B55" s="19" t="s">
        <v>4126</v>
      </c>
      <c r="C55" s="19" t="s">
        <v>240</v>
      </c>
      <c r="D55" s="10" t="s">
        <v>4127</v>
      </c>
      <c r="E55" s="20"/>
      <c r="F55" s="19"/>
      <c r="G55" s="19"/>
      <c r="H55" s="20"/>
      <c r="I55" s="23"/>
      <c r="J55" s="23"/>
      <c r="K55" s="23"/>
      <c r="L55" s="23"/>
    </row>
    <row r="56" s="1" customFormat="1" ht="26.4" spans="2:12">
      <c r="B56" s="19" t="s">
        <v>4128</v>
      </c>
      <c r="C56" s="19" t="s">
        <v>275</v>
      </c>
      <c r="D56" s="10" t="s">
        <v>3804</v>
      </c>
      <c r="E56" s="20"/>
      <c r="F56" s="19"/>
      <c r="G56" s="19"/>
      <c r="H56" s="20"/>
      <c r="I56" s="23"/>
      <c r="J56" s="23"/>
      <c r="K56" s="23"/>
      <c r="L56" s="23"/>
    </row>
    <row r="57" s="1" customFormat="1" spans="2:12">
      <c r="B57" s="19" t="s">
        <v>4129</v>
      </c>
      <c r="C57" s="19" t="s">
        <v>275</v>
      </c>
      <c r="D57" s="10" t="s">
        <v>3806</v>
      </c>
      <c r="E57" s="20"/>
      <c r="F57" s="19"/>
      <c r="G57" s="19"/>
      <c r="H57" s="20"/>
      <c r="I57" s="23"/>
      <c r="J57" s="23"/>
      <c r="K57" s="23"/>
      <c r="L57" s="23"/>
    </row>
    <row r="58" s="1" customFormat="1" spans="2:12">
      <c r="B58" s="19" t="s">
        <v>4130</v>
      </c>
      <c r="C58" s="19" t="s">
        <v>275</v>
      </c>
      <c r="D58" s="10" t="s">
        <v>3808</v>
      </c>
      <c r="E58" s="20"/>
      <c r="F58" s="19"/>
      <c r="G58" s="19"/>
      <c r="H58" s="20"/>
      <c r="I58" s="23"/>
      <c r="J58" s="23"/>
      <c r="K58" s="23"/>
      <c r="L58" s="23"/>
    </row>
    <row r="59" s="1" customFormat="1" spans="2:12">
      <c r="B59" s="19" t="s">
        <v>4131</v>
      </c>
      <c r="C59" s="19" t="s">
        <v>275</v>
      </c>
      <c r="D59" s="10" t="s">
        <v>3810</v>
      </c>
      <c r="E59" s="20"/>
      <c r="F59" s="19"/>
      <c r="G59" s="19"/>
      <c r="H59" s="20"/>
      <c r="I59" s="23"/>
      <c r="J59" s="23"/>
      <c r="K59" s="23"/>
      <c r="L59" s="23"/>
    </row>
    <row r="60" s="1" customFormat="1" spans="2:12">
      <c r="B60" s="19" t="s">
        <v>4132</v>
      </c>
      <c r="C60" s="19" t="s">
        <v>275</v>
      </c>
      <c r="D60" s="10" t="s">
        <v>3812</v>
      </c>
      <c r="E60" s="20"/>
      <c r="F60" s="19"/>
      <c r="G60" s="19"/>
      <c r="H60" s="20"/>
      <c r="I60" s="23"/>
      <c r="J60" s="23"/>
      <c r="K60" s="23"/>
      <c r="L60" s="23"/>
    </row>
    <row r="61" s="1" customFormat="1" spans="2:12">
      <c r="B61" s="19" t="s">
        <v>4133</v>
      </c>
      <c r="C61" s="19" t="s">
        <v>240</v>
      </c>
      <c r="D61" s="10" t="s">
        <v>4134</v>
      </c>
      <c r="E61" s="20"/>
      <c r="F61" s="19"/>
      <c r="G61" s="19"/>
      <c r="H61" s="20"/>
      <c r="I61" s="23"/>
      <c r="J61" s="23"/>
      <c r="K61" s="23"/>
      <c r="L61" s="23"/>
    </row>
    <row r="62" s="1" customFormat="1" spans="2:12">
      <c r="B62" s="19" t="s">
        <v>4135</v>
      </c>
      <c r="C62" s="19" t="s">
        <v>275</v>
      </c>
      <c r="D62" s="10" t="s">
        <v>3816</v>
      </c>
      <c r="E62" s="20"/>
      <c r="F62" s="19"/>
      <c r="G62" s="19"/>
      <c r="H62" s="20"/>
      <c r="I62" s="23"/>
      <c r="J62" s="23"/>
      <c r="K62" s="23"/>
      <c r="L62" s="23"/>
    </row>
    <row r="63" s="1" customFormat="1" spans="2:12">
      <c r="B63" s="19" t="s">
        <v>4136</v>
      </c>
      <c r="C63" s="19" t="s">
        <v>275</v>
      </c>
      <c r="D63" s="10" t="s">
        <v>3818</v>
      </c>
      <c r="E63" s="20"/>
      <c r="F63" s="19"/>
      <c r="G63" s="19"/>
      <c r="H63" s="20"/>
      <c r="I63" s="23"/>
      <c r="J63" s="23"/>
      <c r="K63" s="23"/>
      <c r="L63" s="23"/>
    </row>
    <row r="64" s="1" customFormat="1" spans="2:12">
      <c r="B64" s="19" t="s">
        <v>4137</v>
      </c>
      <c r="C64" s="19" t="s">
        <v>275</v>
      </c>
      <c r="D64" s="10" t="s">
        <v>3820</v>
      </c>
      <c r="E64" s="20"/>
      <c r="F64" s="19"/>
      <c r="G64" s="19"/>
      <c r="H64" s="20"/>
      <c r="I64" s="23"/>
      <c r="J64" s="23"/>
      <c r="K64" s="23"/>
      <c r="L64" s="23"/>
    </row>
    <row r="65" s="1" customFormat="1" spans="2:12">
      <c r="B65" s="19" t="s">
        <v>4138</v>
      </c>
      <c r="C65" s="19" t="s">
        <v>275</v>
      </c>
      <c r="D65" s="10" t="s">
        <v>3822</v>
      </c>
      <c r="E65" s="20"/>
      <c r="F65" s="19"/>
      <c r="G65" s="19"/>
      <c r="H65" s="20"/>
      <c r="I65" s="23"/>
      <c r="J65" s="23"/>
      <c r="K65" s="23"/>
      <c r="L65" s="23"/>
    </row>
    <row r="66" s="24" customFormat="1" spans="2:12">
      <c r="B66" s="19" t="s">
        <v>4139</v>
      </c>
      <c r="C66" s="19" t="s">
        <v>275</v>
      </c>
      <c r="D66" s="10" t="s">
        <v>3824</v>
      </c>
      <c r="E66" s="20"/>
      <c r="F66" s="19"/>
      <c r="G66" s="19"/>
      <c r="H66" s="20"/>
      <c r="I66" s="26"/>
      <c r="J66" s="26"/>
      <c r="K66" s="26"/>
      <c r="L66" s="26"/>
    </row>
    <row r="67" s="24" customFormat="1" spans="2:12">
      <c r="B67" s="19" t="s">
        <v>4140</v>
      </c>
      <c r="C67" s="19" t="s">
        <v>240</v>
      </c>
      <c r="D67" s="10" t="s">
        <v>4141</v>
      </c>
      <c r="E67" s="20"/>
      <c r="F67" s="19"/>
      <c r="G67" s="19"/>
      <c r="H67" s="20"/>
      <c r="I67" s="26"/>
      <c r="J67" s="26"/>
      <c r="K67" s="26"/>
      <c r="L67" s="26"/>
    </row>
    <row r="68" s="24" customFormat="1" spans="2:12">
      <c r="B68" s="19" t="s">
        <v>4142</v>
      </c>
      <c r="C68" s="19" t="s">
        <v>275</v>
      </c>
      <c r="D68" s="10" t="s">
        <v>3828</v>
      </c>
      <c r="E68" s="20"/>
      <c r="F68" s="19"/>
      <c r="G68" s="19"/>
      <c r="H68" s="20"/>
      <c r="I68" s="26"/>
      <c r="J68" s="26"/>
      <c r="K68" s="26"/>
      <c r="L68" s="26"/>
    </row>
    <row r="69" s="24" customFormat="1" spans="2:12">
      <c r="B69" s="19" t="s">
        <v>4143</v>
      </c>
      <c r="C69" s="19" t="s">
        <v>275</v>
      </c>
      <c r="D69" s="10" t="s">
        <v>3830</v>
      </c>
      <c r="E69" s="20"/>
      <c r="F69" s="19"/>
      <c r="G69" s="19"/>
      <c r="H69" s="20"/>
      <c r="I69" s="26"/>
      <c r="J69" s="26"/>
      <c r="K69" s="26"/>
      <c r="L69" s="26"/>
    </row>
    <row r="70" s="24" customFormat="1" spans="2:12">
      <c r="B70" s="19" t="s">
        <v>4144</v>
      </c>
      <c r="C70" s="19" t="s">
        <v>275</v>
      </c>
      <c r="D70" s="10" t="s">
        <v>3832</v>
      </c>
      <c r="E70" s="20"/>
      <c r="F70" s="19"/>
      <c r="G70" s="19"/>
      <c r="H70" s="20"/>
      <c r="I70" s="26"/>
      <c r="J70" s="26"/>
      <c r="K70" s="26"/>
      <c r="L70" s="26"/>
    </row>
    <row r="71" s="24" customFormat="1" spans="2:12">
      <c r="B71" s="19" t="s">
        <v>4145</v>
      </c>
      <c r="C71" s="19" t="s">
        <v>275</v>
      </c>
      <c r="D71" s="10" t="s">
        <v>3834</v>
      </c>
      <c r="E71" s="20"/>
      <c r="F71" s="19"/>
      <c r="G71" s="19"/>
      <c r="H71" s="20"/>
      <c r="I71" s="26"/>
      <c r="J71" s="26"/>
      <c r="K71" s="26"/>
      <c r="L71" s="26"/>
    </row>
    <row r="72" s="24" customFormat="1" spans="2:12">
      <c r="B72" s="19" t="s">
        <v>4146</v>
      </c>
      <c r="C72" s="19" t="s">
        <v>240</v>
      </c>
      <c r="D72" s="10" t="s">
        <v>4147</v>
      </c>
      <c r="E72" s="20"/>
      <c r="F72" s="19"/>
      <c r="G72" s="19"/>
      <c r="H72" s="20"/>
      <c r="I72" s="26"/>
      <c r="J72" s="26"/>
      <c r="K72" s="26"/>
      <c r="L72" s="26"/>
    </row>
    <row r="73" s="24" customFormat="1" spans="2:12">
      <c r="B73" s="19" t="s">
        <v>4148</v>
      </c>
      <c r="C73" s="19" t="s">
        <v>275</v>
      </c>
      <c r="D73" s="10" t="s">
        <v>3838</v>
      </c>
      <c r="E73" s="20"/>
      <c r="F73" s="19"/>
      <c r="G73" s="19"/>
      <c r="H73" s="20"/>
      <c r="I73" s="26"/>
      <c r="J73" s="26"/>
      <c r="K73" s="26"/>
      <c r="L73" s="26"/>
    </row>
    <row r="74" s="24" customFormat="1" spans="2:12">
      <c r="B74" s="19" t="s">
        <v>4149</v>
      </c>
      <c r="C74" s="19" t="s">
        <v>275</v>
      </c>
      <c r="D74" s="10" t="s">
        <v>3840</v>
      </c>
      <c r="E74" s="20"/>
      <c r="F74" s="19"/>
      <c r="G74" s="19"/>
      <c r="H74" s="20"/>
      <c r="I74" s="26"/>
      <c r="J74" s="26"/>
      <c r="K74" s="26"/>
      <c r="L74" s="26"/>
    </row>
    <row r="75" s="24" customFormat="1" spans="2:12">
      <c r="B75" s="19" t="s">
        <v>4150</v>
      </c>
      <c r="C75" s="19" t="s">
        <v>275</v>
      </c>
      <c r="D75" s="10" t="s">
        <v>3842</v>
      </c>
      <c r="E75" s="20"/>
      <c r="F75" s="19"/>
      <c r="G75" s="19"/>
      <c r="H75" s="20"/>
      <c r="I75" s="26"/>
      <c r="J75" s="26"/>
      <c r="K75" s="26"/>
      <c r="L75" s="26"/>
    </row>
    <row r="76" s="24" customFormat="1" spans="2:12">
      <c r="B76" s="19" t="s">
        <v>4151</v>
      </c>
      <c r="C76" s="19" t="s">
        <v>275</v>
      </c>
      <c r="D76" s="10" t="s">
        <v>3844</v>
      </c>
      <c r="E76" s="20"/>
      <c r="F76" s="19"/>
      <c r="G76" s="19"/>
      <c r="H76" s="20"/>
      <c r="I76" s="26"/>
      <c r="J76" s="26"/>
      <c r="K76" s="26"/>
      <c r="L76" s="26"/>
    </row>
    <row r="77" s="24" customFormat="1" spans="2:12">
      <c r="B77" s="19" t="s">
        <v>4152</v>
      </c>
      <c r="C77" s="19" t="s">
        <v>275</v>
      </c>
      <c r="D77" s="10" t="s">
        <v>3846</v>
      </c>
      <c r="E77" s="20"/>
      <c r="F77" s="19"/>
      <c r="G77" s="19"/>
      <c r="H77" s="20"/>
      <c r="I77" s="26"/>
      <c r="J77" s="26"/>
      <c r="K77" s="26"/>
      <c r="L77" s="26"/>
    </row>
    <row r="78" s="24" customFormat="1" spans="2:12">
      <c r="B78" s="19" t="s">
        <v>4153</v>
      </c>
      <c r="C78" s="19" t="s">
        <v>240</v>
      </c>
      <c r="D78" s="10" t="s">
        <v>4154</v>
      </c>
      <c r="E78" s="20"/>
      <c r="F78" s="19"/>
      <c r="G78" s="19"/>
      <c r="H78" s="20"/>
      <c r="I78" s="26"/>
      <c r="J78" s="26"/>
      <c r="K78" s="26"/>
      <c r="L78" s="26"/>
    </row>
    <row r="79" s="24" customFormat="1" spans="2:12">
      <c r="B79" s="19" t="s">
        <v>4155</v>
      </c>
      <c r="C79" s="19" t="s">
        <v>275</v>
      </c>
      <c r="D79" s="10" t="s">
        <v>3850</v>
      </c>
      <c r="E79" s="20"/>
      <c r="F79" s="19"/>
      <c r="G79" s="19"/>
      <c r="H79" s="20"/>
      <c r="I79" s="26"/>
      <c r="J79" s="26"/>
      <c r="K79" s="26"/>
      <c r="L79" s="26"/>
    </row>
    <row r="80" s="24" customFormat="1" spans="2:12">
      <c r="B80" s="19" t="s">
        <v>4156</v>
      </c>
      <c r="C80" s="19" t="s">
        <v>275</v>
      </c>
      <c r="D80" s="10" t="s">
        <v>3852</v>
      </c>
      <c r="E80" s="20"/>
      <c r="F80" s="19"/>
      <c r="G80" s="19"/>
      <c r="H80" s="20"/>
      <c r="I80" s="26"/>
      <c r="J80" s="26"/>
      <c r="K80" s="26"/>
      <c r="L80" s="26"/>
    </row>
    <row r="81" s="24" customFormat="1" spans="2:12">
      <c r="B81" s="19" t="s">
        <v>4157</v>
      </c>
      <c r="C81" s="19" t="s">
        <v>275</v>
      </c>
      <c r="D81" s="10" t="s">
        <v>3854</v>
      </c>
      <c r="E81" s="20"/>
      <c r="F81" s="19"/>
      <c r="G81" s="19"/>
      <c r="H81" s="20"/>
      <c r="I81" s="26"/>
      <c r="J81" s="26"/>
      <c r="K81" s="26"/>
      <c r="L81" s="26"/>
    </row>
    <row r="82" s="24" customFormat="1" spans="2:12">
      <c r="B82" s="19" t="s">
        <v>4158</v>
      </c>
      <c r="C82" s="19" t="s">
        <v>275</v>
      </c>
      <c r="D82" s="10" t="s">
        <v>3856</v>
      </c>
      <c r="E82" s="20"/>
      <c r="F82" s="19"/>
      <c r="G82" s="19"/>
      <c r="H82" s="20"/>
      <c r="I82" s="26"/>
      <c r="J82" s="26"/>
      <c r="K82" s="26"/>
      <c r="L82" s="26"/>
    </row>
    <row r="83" s="24" customFormat="1" spans="2:12">
      <c r="B83" s="19" t="s">
        <v>4159</v>
      </c>
      <c r="C83" s="19" t="s">
        <v>275</v>
      </c>
      <c r="D83" s="10" t="s">
        <v>3858</v>
      </c>
      <c r="E83" s="20"/>
      <c r="F83" s="19"/>
      <c r="G83" s="19"/>
      <c r="H83" s="20"/>
      <c r="I83" s="26"/>
      <c r="J83" s="26"/>
      <c r="K83" s="26"/>
      <c r="L83" s="26"/>
    </row>
    <row r="84" s="24" customFormat="1" spans="2:12">
      <c r="B84" s="19" t="s">
        <v>4160</v>
      </c>
      <c r="C84" s="19" t="s">
        <v>240</v>
      </c>
      <c r="D84" s="10" t="s">
        <v>4161</v>
      </c>
      <c r="E84" s="20"/>
      <c r="F84" s="19"/>
      <c r="G84" s="19"/>
      <c r="H84" s="20"/>
      <c r="I84" s="26"/>
      <c r="J84" s="26"/>
      <c r="K84" s="26"/>
      <c r="L84" s="26"/>
    </row>
    <row r="85" s="24" customFormat="1" spans="2:12">
      <c r="B85" s="19" t="s">
        <v>4162</v>
      </c>
      <c r="C85" s="19" t="s">
        <v>275</v>
      </c>
      <c r="D85" s="10" t="s">
        <v>3862</v>
      </c>
      <c r="E85" s="20"/>
      <c r="F85" s="19"/>
      <c r="G85" s="19"/>
      <c r="H85" s="20"/>
      <c r="I85" s="26"/>
      <c r="J85" s="26"/>
      <c r="K85" s="26"/>
      <c r="L85" s="26"/>
    </row>
    <row r="86" s="24" customFormat="1" spans="2:12">
      <c r="B86" s="19" t="s">
        <v>4163</v>
      </c>
      <c r="C86" s="19" t="s">
        <v>275</v>
      </c>
      <c r="D86" s="10" t="s">
        <v>3864</v>
      </c>
      <c r="E86" s="20"/>
      <c r="F86" s="19"/>
      <c r="G86" s="19"/>
      <c r="H86" s="20"/>
      <c r="I86" s="26"/>
      <c r="J86" s="26"/>
      <c r="K86" s="26"/>
      <c r="L86" s="26"/>
    </row>
    <row r="87" s="24" customFormat="1" spans="2:12">
      <c r="B87" s="19" t="s">
        <v>4164</v>
      </c>
      <c r="C87" s="19" t="s">
        <v>275</v>
      </c>
      <c r="D87" s="10" t="s">
        <v>3866</v>
      </c>
      <c r="E87" s="20"/>
      <c r="F87" s="19"/>
      <c r="G87" s="19"/>
      <c r="H87" s="20"/>
      <c r="I87" s="26"/>
      <c r="J87" s="26"/>
      <c r="K87" s="26"/>
      <c r="L87" s="26"/>
    </row>
    <row r="88" s="24" customFormat="1" spans="2:12">
      <c r="B88" s="19" t="s">
        <v>4165</v>
      </c>
      <c r="C88" s="19" t="s">
        <v>275</v>
      </c>
      <c r="D88" s="10" t="s">
        <v>3868</v>
      </c>
      <c r="E88" s="20"/>
      <c r="F88" s="19"/>
      <c r="G88" s="19"/>
      <c r="H88" s="20"/>
      <c r="I88" s="26"/>
      <c r="J88" s="26"/>
      <c r="K88" s="26"/>
      <c r="L88" s="26"/>
    </row>
    <row r="89" s="24" customFormat="1" spans="2:12">
      <c r="B89" s="19" t="s">
        <v>4166</v>
      </c>
      <c r="C89" s="19" t="s">
        <v>275</v>
      </c>
      <c r="D89" s="10" t="s">
        <v>3870</v>
      </c>
      <c r="E89" s="20"/>
      <c r="F89" s="19"/>
      <c r="G89" s="19"/>
      <c r="H89" s="20"/>
      <c r="I89" s="26"/>
      <c r="J89" s="26"/>
      <c r="K89" s="26"/>
      <c r="L89" s="26"/>
    </row>
    <row r="90" s="24" customFormat="1" spans="2:12">
      <c r="B90" s="19" t="s">
        <v>4167</v>
      </c>
      <c r="C90" s="19" t="s">
        <v>240</v>
      </c>
      <c r="D90" s="10" t="s">
        <v>4168</v>
      </c>
      <c r="E90" s="20"/>
      <c r="F90" s="19"/>
      <c r="G90" s="19"/>
      <c r="H90" s="20"/>
      <c r="I90" s="26"/>
      <c r="J90" s="26"/>
      <c r="K90" s="26"/>
      <c r="L90" s="26"/>
    </row>
    <row r="91" s="24" customFormat="1" spans="2:12">
      <c r="B91" s="19" t="s">
        <v>4169</v>
      </c>
      <c r="C91" s="19" t="s">
        <v>275</v>
      </c>
      <c r="D91" s="10" t="s">
        <v>3874</v>
      </c>
      <c r="E91" s="20"/>
      <c r="F91" s="19"/>
      <c r="G91" s="19"/>
      <c r="H91" s="20"/>
      <c r="I91" s="26"/>
      <c r="J91" s="26"/>
      <c r="K91" s="26"/>
      <c r="L91" s="26"/>
    </row>
    <row r="92" s="24" customFormat="1" spans="2:12">
      <c r="B92" s="19" t="s">
        <v>4170</v>
      </c>
      <c r="C92" s="19" t="s">
        <v>275</v>
      </c>
      <c r="D92" s="10" t="s">
        <v>3876</v>
      </c>
      <c r="E92" s="20"/>
      <c r="F92" s="19"/>
      <c r="G92" s="19"/>
      <c r="H92" s="20"/>
      <c r="I92" s="26"/>
      <c r="J92" s="26"/>
      <c r="K92" s="26"/>
      <c r="L92" s="26"/>
    </row>
    <row r="93" s="24" customFormat="1" spans="2:12">
      <c r="B93" s="19" t="s">
        <v>4171</v>
      </c>
      <c r="C93" s="19" t="s">
        <v>275</v>
      </c>
      <c r="D93" s="10" t="s">
        <v>3878</v>
      </c>
      <c r="E93" s="20"/>
      <c r="F93" s="19"/>
      <c r="G93" s="19"/>
      <c r="H93" s="20"/>
      <c r="I93" s="26"/>
      <c r="J93" s="26"/>
      <c r="K93" s="26"/>
      <c r="L93" s="26"/>
    </row>
    <row r="94" s="24" customFormat="1" spans="2:12">
      <c r="B94" s="19" t="s">
        <v>4172</v>
      </c>
      <c r="C94" s="19" t="s">
        <v>275</v>
      </c>
      <c r="D94" s="10" t="s">
        <v>3880</v>
      </c>
      <c r="E94" s="20"/>
      <c r="F94" s="19"/>
      <c r="G94" s="19"/>
      <c r="H94" s="20"/>
      <c r="I94" s="26"/>
      <c r="J94" s="26"/>
      <c r="K94" s="26"/>
      <c r="L94" s="26"/>
    </row>
    <row r="95" s="24" customFormat="1" spans="2:12">
      <c r="B95" s="19" t="s">
        <v>4173</v>
      </c>
      <c r="C95" s="19" t="s">
        <v>240</v>
      </c>
      <c r="D95" s="10" t="s">
        <v>4174</v>
      </c>
      <c r="E95" s="20"/>
      <c r="F95" s="19"/>
      <c r="G95" s="19"/>
      <c r="H95" s="20"/>
      <c r="I95" s="26"/>
      <c r="J95" s="26"/>
      <c r="K95" s="26"/>
      <c r="L95" s="26"/>
    </row>
    <row r="96" s="24" customFormat="1" spans="2:12">
      <c r="B96" s="19" t="s">
        <v>4175</v>
      </c>
      <c r="C96" s="19" t="s">
        <v>275</v>
      </c>
      <c r="D96" s="10" t="s">
        <v>3884</v>
      </c>
      <c r="E96" s="20"/>
      <c r="F96" s="19"/>
      <c r="G96" s="19"/>
      <c r="H96" s="20"/>
      <c r="I96" s="26"/>
      <c r="J96" s="26"/>
      <c r="K96" s="26"/>
      <c r="L96" s="26"/>
    </row>
    <row r="97" s="24" customFormat="1" spans="2:12">
      <c r="B97" s="19" t="s">
        <v>4176</v>
      </c>
      <c r="C97" s="19" t="s">
        <v>275</v>
      </c>
      <c r="D97" s="10" t="s">
        <v>3886</v>
      </c>
      <c r="E97" s="20"/>
      <c r="F97" s="19"/>
      <c r="G97" s="19"/>
      <c r="H97" s="20"/>
      <c r="I97" s="26"/>
      <c r="J97" s="26"/>
      <c r="K97" s="26"/>
      <c r="L97" s="26"/>
    </row>
    <row r="98" s="24" customFormat="1" spans="2:12">
      <c r="B98" s="19" t="s">
        <v>4177</v>
      </c>
      <c r="C98" s="19" t="s">
        <v>275</v>
      </c>
      <c r="D98" s="10" t="s">
        <v>3888</v>
      </c>
      <c r="E98" s="20"/>
      <c r="F98" s="19"/>
      <c r="G98" s="19"/>
      <c r="H98" s="20"/>
      <c r="I98" s="26"/>
      <c r="J98" s="26"/>
      <c r="K98" s="26"/>
      <c r="L98" s="26"/>
    </row>
    <row r="99" s="24" customFormat="1" spans="2:12">
      <c r="B99" s="19" t="s">
        <v>4178</v>
      </c>
      <c r="C99" s="19" t="s">
        <v>275</v>
      </c>
      <c r="D99" s="10" t="s">
        <v>3890</v>
      </c>
      <c r="E99" s="20"/>
      <c r="F99" s="19"/>
      <c r="G99" s="19"/>
      <c r="H99" s="20"/>
      <c r="I99" s="26"/>
      <c r="J99" s="26"/>
      <c r="K99" s="26"/>
      <c r="L99" s="26"/>
    </row>
    <row r="100" s="24" customFormat="1" spans="2:12">
      <c r="B100" s="19" t="s">
        <v>4179</v>
      </c>
      <c r="C100" s="19" t="s">
        <v>240</v>
      </c>
      <c r="D100" s="10" t="s">
        <v>4180</v>
      </c>
      <c r="E100" s="20"/>
      <c r="F100" s="19"/>
      <c r="G100" s="19"/>
      <c r="H100" s="20"/>
      <c r="I100" s="26"/>
      <c r="J100" s="26"/>
      <c r="K100" s="26"/>
      <c r="L100" s="26"/>
    </row>
    <row r="101" s="24" customFormat="1" ht="26.4" spans="2:12">
      <c r="B101" s="19" t="s">
        <v>4181</v>
      </c>
      <c r="C101" s="19" t="s">
        <v>275</v>
      </c>
      <c r="D101" s="10" t="s">
        <v>3894</v>
      </c>
      <c r="E101" s="20"/>
      <c r="F101" s="19"/>
      <c r="G101" s="19"/>
      <c r="H101" s="20"/>
      <c r="I101" s="26"/>
      <c r="J101" s="26"/>
      <c r="K101" s="26"/>
      <c r="L101" s="26"/>
    </row>
    <row r="102" s="24" customFormat="1" ht="26.4" spans="2:12">
      <c r="B102" s="19" t="s">
        <v>4182</v>
      </c>
      <c r="C102" s="19" t="s">
        <v>275</v>
      </c>
      <c r="D102" s="10" t="s">
        <v>3896</v>
      </c>
      <c r="E102" s="20"/>
      <c r="F102" s="19"/>
      <c r="G102" s="19"/>
      <c r="H102" s="20"/>
      <c r="I102" s="26"/>
      <c r="J102" s="26"/>
      <c r="K102" s="26"/>
      <c r="L102" s="26"/>
    </row>
    <row r="103" s="24" customFormat="1" spans="2:12">
      <c r="B103" s="19" t="s">
        <v>4183</v>
      </c>
      <c r="C103" s="19" t="s">
        <v>275</v>
      </c>
      <c r="D103" s="10" t="s">
        <v>3898</v>
      </c>
      <c r="E103" s="20"/>
      <c r="F103" s="19"/>
      <c r="G103" s="19"/>
      <c r="H103" s="20"/>
      <c r="I103" s="26"/>
      <c r="J103" s="26"/>
      <c r="K103" s="26"/>
      <c r="L103" s="26"/>
    </row>
    <row r="104" s="24" customFormat="1" ht="26.4" spans="2:12">
      <c r="B104" s="19" t="s">
        <v>4184</v>
      </c>
      <c r="C104" s="19" t="s">
        <v>275</v>
      </c>
      <c r="D104" s="10" t="s">
        <v>3900</v>
      </c>
      <c r="E104" s="20"/>
      <c r="F104" s="19"/>
      <c r="G104" s="19"/>
      <c r="H104" s="20"/>
      <c r="I104" s="26"/>
      <c r="J104" s="26"/>
      <c r="K104" s="26"/>
      <c r="L104" s="26"/>
    </row>
    <row r="105" s="24" customFormat="1" spans="2:12">
      <c r="B105" s="19" t="s">
        <v>4185</v>
      </c>
      <c r="C105" s="19" t="s">
        <v>240</v>
      </c>
      <c r="D105" s="10" t="s">
        <v>4186</v>
      </c>
      <c r="E105" s="20"/>
      <c r="F105" s="19"/>
      <c r="G105" s="19"/>
      <c r="H105" s="20"/>
      <c r="I105" s="26"/>
      <c r="J105" s="26"/>
      <c r="K105" s="26"/>
      <c r="L105" s="26"/>
    </row>
    <row r="106" s="24" customFormat="1" ht="26.4" spans="2:12">
      <c r="B106" s="19" t="s">
        <v>4187</v>
      </c>
      <c r="C106" s="19" t="s">
        <v>275</v>
      </c>
      <c r="D106" s="10" t="s">
        <v>3904</v>
      </c>
      <c r="E106" s="20"/>
      <c r="F106" s="19"/>
      <c r="G106" s="19"/>
      <c r="H106" s="20"/>
      <c r="I106" s="26"/>
      <c r="J106" s="26"/>
      <c r="K106" s="26"/>
      <c r="L106" s="26"/>
    </row>
    <row r="107" s="24" customFormat="1" ht="26.4" spans="2:12">
      <c r="B107" s="19" t="s">
        <v>4188</v>
      </c>
      <c r="C107" s="19" t="s">
        <v>275</v>
      </c>
      <c r="D107" s="10" t="s">
        <v>3906</v>
      </c>
      <c r="E107" s="20"/>
      <c r="F107" s="19"/>
      <c r="G107" s="19"/>
      <c r="H107" s="20"/>
      <c r="I107" s="26"/>
      <c r="J107" s="26"/>
      <c r="K107" s="26"/>
      <c r="L107" s="26"/>
    </row>
    <row r="108" s="24" customFormat="1" ht="26.4" spans="2:12">
      <c r="B108" s="19" t="s">
        <v>4189</v>
      </c>
      <c r="C108" s="19" t="s">
        <v>275</v>
      </c>
      <c r="D108" s="10" t="s">
        <v>3908</v>
      </c>
      <c r="E108" s="20"/>
      <c r="F108" s="19"/>
      <c r="G108" s="19"/>
      <c r="H108" s="20"/>
      <c r="I108" s="26"/>
      <c r="J108" s="26"/>
      <c r="K108" s="26"/>
      <c r="L108" s="26"/>
    </row>
    <row r="109" s="24" customFormat="1" ht="26.4" spans="2:12">
      <c r="B109" s="19" t="s">
        <v>4190</v>
      </c>
      <c r="C109" s="19" t="s">
        <v>275</v>
      </c>
      <c r="D109" s="10" t="s">
        <v>3910</v>
      </c>
      <c r="E109" s="20"/>
      <c r="F109" s="19"/>
      <c r="G109" s="19"/>
      <c r="H109" s="20"/>
      <c r="I109" s="26"/>
      <c r="J109" s="26"/>
      <c r="K109" s="26"/>
      <c r="L109" s="26"/>
    </row>
    <row r="110" s="24" customFormat="1" ht="26.4" spans="2:12">
      <c r="B110" s="19" t="s">
        <v>4191</v>
      </c>
      <c r="C110" s="19" t="s">
        <v>275</v>
      </c>
      <c r="D110" s="10" t="s">
        <v>3912</v>
      </c>
      <c r="E110" s="20"/>
      <c r="F110" s="19"/>
      <c r="G110" s="19"/>
      <c r="H110" s="20"/>
      <c r="I110" s="26"/>
      <c r="J110" s="26"/>
      <c r="K110" s="26"/>
      <c r="L110" s="26"/>
    </row>
    <row r="111" s="24" customFormat="1" ht="26.4" spans="2:12">
      <c r="B111" s="19" t="s">
        <v>4192</v>
      </c>
      <c r="C111" s="19" t="s">
        <v>240</v>
      </c>
      <c r="D111" s="10" t="s">
        <v>4193</v>
      </c>
      <c r="E111" s="20"/>
      <c r="F111" s="19"/>
      <c r="G111" s="19"/>
      <c r="H111" s="20"/>
      <c r="I111" s="26"/>
      <c r="J111" s="26"/>
      <c r="K111" s="26"/>
      <c r="L111" s="26"/>
    </row>
    <row r="112" s="24" customFormat="1" ht="26.4" spans="2:12">
      <c r="B112" s="19" t="s">
        <v>4194</v>
      </c>
      <c r="C112" s="19" t="s">
        <v>275</v>
      </c>
      <c r="D112" s="10" t="s">
        <v>3916</v>
      </c>
      <c r="E112" s="20"/>
      <c r="F112" s="19"/>
      <c r="G112" s="19"/>
      <c r="H112" s="20"/>
      <c r="I112" s="26"/>
      <c r="J112" s="26"/>
      <c r="K112" s="26"/>
      <c r="L112" s="26"/>
    </row>
    <row r="113" s="24" customFormat="1" ht="26.4" spans="2:12">
      <c r="B113" s="19" t="s">
        <v>4195</v>
      </c>
      <c r="C113" s="19" t="s">
        <v>275</v>
      </c>
      <c r="D113" s="10" t="s">
        <v>3918</v>
      </c>
      <c r="E113" s="20"/>
      <c r="F113" s="19"/>
      <c r="G113" s="19"/>
      <c r="H113" s="20"/>
      <c r="I113" s="26"/>
      <c r="J113" s="26"/>
      <c r="K113" s="26"/>
      <c r="L113" s="26"/>
    </row>
    <row r="114" s="24" customFormat="1" ht="26.4" spans="2:12">
      <c r="B114" s="19" t="s">
        <v>4196</v>
      </c>
      <c r="C114" s="19" t="s">
        <v>275</v>
      </c>
      <c r="D114" s="10" t="s">
        <v>3920</v>
      </c>
      <c r="E114" s="20"/>
      <c r="F114" s="19"/>
      <c r="G114" s="19"/>
      <c r="H114" s="20"/>
      <c r="I114" s="26"/>
      <c r="J114" s="26"/>
      <c r="K114" s="26"/>
      <c r="L114" s="26"/>
    </row>
    <row r="115" s="24" customFormat="1" ht="26.4" spans="2:12">
      <c r="B115" s="19" t="s">
        <v>4197</v>
      </c>
      <c r="C115" s="19" t="s">
        <v>275</v>
      </c>
      <c r="D115" s="10" t="s">
        <v>3922</v>
      </c>
      <c r="E115" s="20"/>
      <c r="F115" s="19"/>
      <c r="G115" s="19"/>
      <c r="H115" s="20"/>
      <c r="I115" s="26"/>
      <c r="J115" s="26"/>
      <c r="K115" s="26"/>
      <c r="L115" s="26"/>
    </row>
    <row r="116" s="24" customFormat="1" ht="26.4" spans="2:12">
      <c r="B116" s="19" t="s">
        <v>4198</v>
      </c>
      <c r="C116" s="19" t="s">
        <v>240</v>
      </c>
      <c r="D116" s="10" t="s">
        <v>4199</v>
      </c>
      <c r="E116" s="20"/>
      <c r="F116" s="19"/>
      <c r="G116" s="19"/>
      <c r="H116" s="20"/>
      <c r="I116" s="26"/>
      <c r="J116" s="26"/>
      <c r="K116" s="26"/>
      <c r="L116" s="26"/>
    </row>
    <row r="117" s="24" customFormat="1" spans="2:12">
      <c r="B117" s="19" t="s">
        <v>4200</v>
      </c>
      <c r="C117" s="19" t="s">
        <v>275</v>
      </c>
      <c r="D117" s="10" t="s">
        <v>3926</v>
      </c>
      <c r="E117" s="20"/>
      <c r="F117" s="19"/>
      <c r="G117" s="19"/>
      <c r="H117" s="20"/>
      <c r="I117" s="26"/>
      <c r="J117" s="26"/>
      <c r="K117" s="26"/>
      <c r="L117" s="26"/>
    </row>
    <row r="118" s="24" customFormat="1" spans="2:12">
      <c r="B118" s="19" t="s">
        <v>4201</v>
      </c>
      <c r="C118" s="19" t="s">
        <v>275</v>
      </c>
      <c r="D118" s="10" t="s">
        <v>3928</v>
      </c>
      <c r="E118" s="20"/>
      <c r="F118" s="19"/>
      <c r="G118" s="19"/>
      <c r="H118" s="20"/>
      <c r="I118" s="26"/>
      <c r="J118" s="26"/>
      <c r="K118" s="26"/>
      <c r="L118" s="26"/>
    </row>
    <row r="119" s="24" customFormat="1" spans="2:12">
      <c r="B119" s="19" t="s">
        <v>4202</v>
      </c>
      <c r="C119" s="19" t="s">
        <v>275</v>
      </c>
      <c r="D119" s="10" t="s">
        <v>3930</v>
      </c>
      <c r="E119" s="20"/>
      <c r="F119" s="19"/>
      <c r="G119" s="19"/>
      <c r="H119" s="20"/>
      <c r="I119" s="26"/>
      <c r="J119" s="26"/>
      <c r="K119" s="26"/>
      <c r="L119" s="26"/>
    </row>
    <row r="120" s="24" customFormat="1" spans="2:12">
      <c r="B120" s="19" t="s">
        <v>4203</v>
      </c>
      <c r="C120" s="19" t="s">
        <v>275</v>
      </c>
      <c r="D120" s="10" t="s">
        <v>3932</v>
      </c>
      <c r="E120" s="20"/>
      <c r="F120" s="19"/>
      <c r="G120" s="19"/>
      <c r="H120" s="20"/>
      <c r="I120" s="26"/>
      <c r="J120" s="26"/>
      <c r="K120" s="26"/>
      <c r="L120" s="26"/>
    </row>
    <row r="121" s="24" customFormat="1" spans="2:12">
      <c r="B121" s="19" t="s">
        <v>4204</v>
      </c>
      <c r="C121" s="19" t="s">
        <v>240</v>
      </c>
      <c r="D121" s="10" t="s">
        <v>4205</v>
      </c>
      <c r="E121" s="20"/>
      <c r="F121" s="19"/>
      <c r="G121" s="19"/>
      <c r="H121" s="20"/>
      <c r="I121" s="26"/>
      <c r="J121" s="26"/>
      <c r="K121" s="26"/>
      <c r="L121" s="26"/>
    </row>
    <row r="122" s="24" customFormat="1" spans="2:12">
      <c r="B122" s="19" t="s">
        <v>4206</v>
      </c>
      <c r="C122" s="19" t="s">
        <v>275</v>
      </c>
      <c r="D122" s="10" t="s">
        <v>3936</v>
      </c>
      <c r="E122" s="20"/>
      <c r="F122" s="19"/>
      <c r="G122" s="19"/>
      <c r="H122" s="20"/>
      <c r="I122" s="26"/>
      <c r="J122" s="26"/>
      <c r="K122" s="26"/>
      <c r="L122" s="26"/>
    </row>
    <row r="123" s="24" customFormat="1" spans="2:12">
      <c r="B123" s="19" t="s">
        <v>4207</v>
      </c>
      <c r="C123" s="19" t="s">
        <v>275</v>
      </c>
      <c r="D123" s="10" t="s">
        <v>3938</v>
      </c>
      <c r="E123" s="20"/>
      <c r="F123" s="19"/>
      <c r="G123" s="19"/>
      <c r="H123" s="20"/>
      <c r="I123" s="26"/>
      <c r="J123" s="26"/>
      <c r="K123" s="26"/>
      <c r="L123" s="26"/>
    </row>
    <row r="124" s="24" customFormat="1" spans="2:12">
      <c r="B124" s="19" t="s">
        <v>4208</v>
      </c>
      <c r="C124" s="19" t="s">
        <v>275</v>
      </c>
      <c r="D124" s="10" t="s">
        <v>3940</v>
      </c>
      <c r="E124" s="20"/>
      <c r="F124" s="19"/>
      <c r="G124" s="19"/>
      <c r="H124" s="20"/>
      <c r="I124" s="26"/>
      <c r="J124" s="26"/>
      <c r="K124" s="26"/>
      <c r="L124" s="26"/>
    </row>
    <row r="125" s="24" customFormat="1" spans="2:12">
      <c r="B125" s="19" t="s">
        <v>4209</v>
      </c>
      <c r="C125" s="19" t="s">
        <v>275</v>
      </c>
      <c r="D125" s="10" t="s">
        <v>3942</v>
      </c>
      <c r="E125" s="20"/>
      <c r="F125" s="19"/>
      <c r="G125" s="19"/>
      <c r="H125" s="20"/>
      <c r="I125" s="26"/>
      <c r="J125" s="26"/>
      <c r="K125" s="26"/>
      <c r="L125" s="26"/>
    </row>
    <row r="126" s="24" customFormat="1" spans="2:12">
      <c r="B126" s="19" t="s">
        <v>4210</v>
      </c>
      <c r="C126" s="19" t="s">
        <v>240</v>
      </c>
      <c r="D126" s="10" t="s">
        <v>4211</v>
      </c>
      <c r="E126" s="20"/>
      <c r="F126" s="19"/>
      <c r="G126" s="19"/>
      <c r="H126" s="20"/>
      <c r="I126" s="26"/>
      <c r="J126" s="26"/>
      <c r="K126" s="26"/>
      <c r="L126" s="26"/>
    </row>
    <row r="127" s="24" customFormat="1" spans="2:12">
      <c r="B127" s="19" t="s">
        <v>4212</v>
      </c>
      <c r="C127" s="19" t="s">
        <v>275</v>
      </c>
      <c r="D127" s="10" t="s">
        <v>3946</v>
      </c>
      <c r="E127" s="20"/>
      <c r="F127" s="19"/>
      <c r="G127" s="19"/>
      <c r="H127" s="20"/>
      <c r="I127" s="26"/>
      <c r="J127" s="26"/>
      <c r="K127" s="26"/>
      <c r="L127" s="26"/>
    </row>
    <row r="128" s="24" customFormat="1" spans="2:12">
      <c r="B128" s="19" t="s">
        <v>4213</v>
      </c>
      <c r="C128" s="19" t="s">
        <v>275</v>
      </c>
      <c r="D128" s="10" t="s">
        <v>3948</v>
      </c>
      <c r="E128" s="20"/>
      <c r="F128" s="19"/>
      <c r="G128" s="19"/>
      <c r="H128" s="20"/>
      <c r="I128" s="26"/>
      <c r="J128" s="26"/>
      <c r="K128" s="26"/>
      <c r="L128" s="26"/>
    </row>
    <row r="129" s="24" customFormat="1" spans="2:12">
      <c r="B129" s="19" t="s">
        <v>4214</v>
      </c>
      <c r="C129" s="19" t="s">
        <v>275</v>
      </c>
      <c r="D129" s="10" t="s">
        <v>3950</v>
      </c>
      <c r="E129" s="20"/>
      <c r="F129" s="19"/>
      <c r="G129" s="19"/>
      <c r="H129" s="20"/>
      <c r="I129" s="26"/>
      <c r="J129" s="26"/>
      <c r="K129" s="26"/>
      <c r="L129" s="26"/>
    </row>
    <row r="130" s="24" customFormat="1" spans="2:12">
      <c r="B130" s="19" t="s">
        <v>4215</v>
      </c>
      <c r="C130" s="19" t="s">
        <v>275</v>
      </c>
      <c r="D130" s="10" t="s">
        <v>3952</v>
      </c>
      <c r="E130" s="20"/>
      <c r="F130" s="19"/>
      <c r="G130" s="19"/>
      <c r="H130" s="20"/>
      <c r="I130" s="26"/>
      <c r="J130" s="26"/>
      <c r="K130" s="26"/>
      <c r="L130" s="26"/>
    </row>
    <row r="131" s="24" customFormat="1" spans="2:12">
      <c r="B131" s="19" t="s">
        <v>4216</v>
      </c>
      <c r="C131" s="19" t="s">
        <v>240</v>
      </c>
      <c r="D131" s="10" t="s">
        <v>4217</v>
      </c>
      <c r="E131" s="20"/>
      <c r="F131" s="19"/>
      <c r="G131" s="19"/>
      <c r="H131" s="20"/>
      <c r="I131" s="26"/>
      <c r="J131" s="26"/>
      <c r="K131" s="26"/>
      <c r="L131" s="26"/>
    </row>
    <row r="132" s="24" customFormat="1" spans="2:12">
      <c r="B132" s="19" t="s">
        <v>4218</v>
      </c>
      <c r="C132" s="19" t="s">
        <v>275</v>
      </c>
      <c r="D132" s="10" t="s">
        <v>3956</v>
      </c>
      <c r="E132" s="20"/>
      <c r="F132" s="19"/>
      <c r="G132" s="19"/>
      <c r="H132" s="20"/>
      <c r="I132" s="26"/>
      <c r="J132" s="26"/>
      <c r="K132" s="26"/>
      <c r="L132" s="26"/>
    </row>
    <row r="133" s="24" customFormat="1" spans="2:12">
      <c r="B133" s="19" t="s">
        <v>4219</v>
      </c>
      <c r="C133" s="19" t="s">
        <v>275</v>
      </c>
      <c r="D133" s="10" t="s">
        <v>3958</v>
      </c>
      <c r="E133" s="20"/>
      <c r="F133" s="19"/>
      <c r="G133" s="19"/>
      <c r="H133" s="20"/>
      <c r="I133" s="26"/>
      <c r="J133" s="26"/>
      <c r="K133" s="26"/>
      <c r="L133" s="26"/>
    </row>
    <row r="134" s="24" customFormat="1" spans="2:12">
      <c r="B134" s="19" t="s">
        <v>4220</v>
      </c>
      <c r="C134" s="19" t="s">
        <v>275</v>
      </c>
      <c r="D134" s="10" t="s">
        <v>3960</v>
      </c>
      <c r="E134" s="20"/>
      <c r="F134" s="19"/>
      <c r="G134" s="19"/>
      <c r="H134" s="20"/>
      <c r="I134" s="26"/>
      <c r="J134" s="26"/>
      <c r="K134" s="26"/>
      <c r="L134" s="26"/>
    </row>
    <row r="135" s="24" customFormat="1" spans="2:12">
      <c r="B135" s="19" t="s">
        <v>4221</v>
      </c>
      <c r="C135" s="19" t="s">
        <v>275</v>
      </c>
      <c r="D135" s="10" t="s">
        <v>3962</v>
      </c>
      <c r="E135" s="20"/>
      <c r="F135" s="19"/>
      <c r="G135" s="19"/>
      <c r="H135" s="20"/>
      <c r="I135" s="26"/>
      <c r="J135" s="26"/>
      <c r="K135" s="26"/>
      <c r="L135" s="26"/>
    </row>
    <row r="136" s="24" customFormat="1" spans="2:12">
      <c r="B136" s="19" t="s">
        <v>4222</v>
      </c>
      <c r="C136" s="19" t="s">
        <v>240</v>
      </c>
      <c r="D136" s="10" t="s">
        <v>4223</v>
      </c>
      <c r="E136" s="20"/>
      <c r="F136" s="19"/>
      <c r="G136" s="19"/>
      <c r="H136" s="20"/>
      <c r="I136" s="26"/>
      <c r="J136" s="26"/>
      <c r="K136" s="26"/>
      <c r="L136" s="26"/>
    </row>
    <row r="137" s="24" customFormat="1" ht="26.4" spans="2:12">
      <c r="B137" s="19" t="s">
        <v>4224</v>
      </c>
      <c r="C137" s="19" t="s">
        <v>275</v>
      </c>
      <c r="D137" s="10" t="s">
        <v>3966</v>
      </c>
      <c r="E137" s="20"/>
      <c r="F137" s="19"/>
      <c r="G137" s="19"/>
      <c r="H137" s="20"/>
      <c r="I137" s="26"/>
      <c r="J137" s="26"/>
      <c r="K137" s="26"/>
      <c r="L137" s="26"/>
    </row>
    <row r="138" s="24" customFormat="1" ht="26.4" spans="2:12">
      <c r="B138" s="19" t="s">
        <v>4225</v>
      </c>
      <c r="C138" s="19" t="s">
        <v>275</v>
      </c>
      <c r="D138" s="10" t="s">
        <v>3968</v>
      </c>
      <c r="E138" s="20"/>
      <c r="F138" s="19"/>
      <c r="G138" s="19"/>
      <c r="H138" s="20"/>
      <c r="I138" s="26"/>
      <c r="J138" s="26"/>
      <c r="K138" s="26"/>
      <c r="L138" s="26"/>
    </row>
    <row r="139" s="24" customFormat="1" ht="26.4" spans="2:12">
      <c r="B139" s="19" t="s">
        <v>4226</v>
      </c>
      <c r="C139" s="19" t="s">
        <v>275</v>
      </c>
      <c r="D139" s="10" t="s">
        <v>3970</v>
      </c>
      <c r="E139" s="20"/>
      <c r="F139" s="19"/>
      <c r="G139" s="19"/>
      <c r="H139" s="20"/>
      <c r="I139" s="26"/>
      <c r="J139" s="26"/>
      <c r="K139" s="26"/>
      <c r="L139" s="26"/>
    </row>
    <row r="140" s="24" customFormat="1" ht="26.4" spans="2:12">
      <c r="B140" s="19" t="s">
        <v>4227</v>
      </c>
      <c r="C140" s="19" t="s">
        <v>275</v>
      </c>
      <c r="D140" s="10" t="s">
        <v>3972</v>
      </c>
      <c r="E140" s="20"/>
      <c r="F140" s="19"/>
      <c r="G140" s="19"/>
      <c r="H140" s="20"/>
      <c r="I140" s="26"/>
      <c r="J140" s="26"/>
      <c r="K140" s="26"/>
      <c r="L140" s="26"/>
    </row>
    <row r="141" s="24" customFormat="1" ht="26.4" spans="2:12">
      <c r="B141" s="19" t="s">
        <v>4228</v>
      </c>
      <c r="C141" s="19" t="s">
        <v>240</v>
      </c>
      <c r="D141" s="10" t="s">
        <v>4229</v>
      </c>
      <c r="E141" s="20"/>
      <c r="F141" s="19"/>
      <c r="G141" s="19"/>
      <c r="H141" s="20"/>
      <c r="I141" s="26"/>
      <c r="J141" s="26"/>
      <c r="K141" s="26"/>
      <c r="L141" s="26"/>
    </row>
    <row r="142" s="24" customFormat="1" ht="26.4" spans="2:12">
      <c r="B142" s="19" t="s">
        <v>4230</v>
      </c>
      <c r="C142" s="19" t="s">
        <v>275</v>
      </c>
      <c r="D142" s="10" t="s">
        <v>3976</v>
      </c>
      <c r="E142" s="20"/>
      <c r="F142" s="19"/>
      <c r="G142" s="19"/>
      <c r="H142" s="20"/>
      <c r="I142" s="26"/>
      <c r="J142" s="26"/>
      <c r="K142" s="26"/>
      <c r="L142" s="26"/>
    </row>
    <row r="143" s="24" customFormat="1" ht="26.4" spans="2:12">
      <c r="B143" s="19" t="s">
        <v>4231</v>
      </c>
      <c r="C143" s="19" t="s">
        <v>275</v>
      </c>
      <c r="D143" s="10" t="s">
        <v>3978</v>
      </c>
      <c r="E143" s="20"/>
      <c r="F143" s="19"/>
      <c r="G143" s="19"/>
      <c r="H143" s="20"/>
      <c r="I143" s="26"/>
      <c r="J143" s="26"/>
      <c r="K143" s="26"/>
      <c r="L143" s="26"/>
    </row>
    <row r="144" s="24" customFormat="1" spans="2:12">
      <c r="B144" s="19" t="s">
        <v>4232</v>
      </c>
      <c r="C144" s="19" t="s">
        <v>275</v>
      </c>
      <c r="D144" s="10" t="s">
        <v>3980</v>
      </c>
      <c r="E144" s="20"/>
      <c r="F144" s="19"/>
      <c r="G144" s="19"/>
      <c r="H144" s="20"/>
      <c r="I144" s="26"/>
      <c r="J144" s="26"/>
      <c r="K144" s="26"/>
      <c r="L144" s="26"/>
    </row>
    <row r="145" s="24" customFormat="1" ht="26.4" spans="2:12">
      <c r="B145" s="19" t="s">
        <v>4233</v>
      </c>
      <c r="C145" s="19" t="s">
        <v>275</v>
      </c>
      <c r="D145" s="10" t="s">
        <v>3982</v>
      </c>
      <c r="E145" s="20"/>
      <c r="F145" s="19"/>
      <c r="G145" s="19"/>
      <c r="H145" s="20"/>
      <c r="I145" s="26"/>
      <c r="J145" s="26"/>
      <c r="K145" s="26"/>
      <c r="L145" s="26"/>
    </row>
    <row r="146" s="24" customFormat="1" ht="26.4" spans="2:12">
      <c r="B146" s="19" t="s">
        <v>4234</v>
      </c>
      <c r="C146" s="19" t="s">
        <v>240</v>
      </c>
      <c r="D146" s="10" t="s">
        <v>4235</v>
      </c>
      <c r="E146" s="20"/>
      <c r="F146" s="19"/>
      <c r="G146" s="19"/>
      <c r="H146" s="20"/>
      <c r="I146" s="26"/>
      <c r="J146" s="26"/>
      <c r="K146" s="26"/>
      <c r="L146" s="26"/>
    </row>
    <row r="147" s="24" customFormat="1" spans="2:12">
      <c r="B147" s="19" t="s">
        <v>4236</v>
      </c>
      <c r="C147" s="19" t="s">
        <v>275</v>
      </c>
      <c r="D147" s="10" t="s">
        <v>3986</v>
      </c>
      <c r="E147" s="20"/>
      <c r="F147" s="19"/>
      <c r="G147" s="19"/>
      <c r="H147" s="20"/>
      <c r="I147" s="26"/>
      <c r="J147" s="26"/>
      <c r="K147" s="26"/>
      <c r="L147" s="26"/>
    </row>
    <row r="148" s="24" customFormat="1" spans="2:12">
      <c r="B148" s="19" t="s">
        <v>4237</v>
      </c>
      <c r="C148" s="19" t="s">
        <v>275</v>
      </c>
      <c r="D148" s="10" t="s">
        <v>3988</v>
      </c>
      <c r="E148" s="20"/>
      <c r="F148" s="19"/>
      <c r="G148" s="19"/>
      <c r="H148" s="20"/>
      <c r="I148" s="26"/>
      <c r="J148" s="26"/>
      <c r="K148" s="26"/>
      <c r="L148" s="26"/>
    </row>
    <row r="149" s="24" customFormat="1" spans="2:12">
      <c r="B149" s="19" t="s">
        <v>4238</v>
      </c>
      <c r="C149" s="19" t="s">
        <v>275</v>
      </c>
      <c r="D149" s="10" t="s">
        <v>3990</v>
      </c>
      <c r="E149" s="20"/>
      <c r="F149" s="19"/>
      <c r="G149" s="19"/>
      <c r="H149" s="20"/>
      <c r="I149" s="26"/>
      <c r="J149" s="26"/>
      <c r="K149" s="26"/>
      <c r="L149" s="26"/>
    </row>
    <row r="150" s="24" customFormat="1" spans="2:12">
      <c r="B150" s="19" t="s">
        <v>4239</v>
      </c>
      <c r="C150" s="19" t="s">
        <v>275</v>
      </c>
      <c r="D150" s="10" t="s">
        <v>3992</v>
      </c>
      <c r="E150" s="20"/>
      <c r="F150" s="19"/>
      <c r="G150" s="19"/>
      <c r="H150" s="20"/>
      <c r="I150" s="26"/>
      <c r="J150" s="26"/>
      <c r="K150" s="26"/>
      <c r="L150" s="26"/>
    </row>
    <row r="151" s="24" customFormat="1" spans="2:12">
      <c r="B151" s="19" t="s">
        <v>4240</v>
      </c>
      <c r="C151" s="19" t="s">
        <v>240</v>
      </c>
      <c r="D151" s="10" t="s">
        <v>4241</v>
      </c>
      <c r="E151" s="20"/>
      <c r="F151" s="19"/>
      <c r="G151" s="19"/>
      <c r="H151" s="20"/>
      <c r="I151" s="26"/>
      <c r="J151" s="26"/>
      <c r="K151" s="26"/>
      <c r="L151" s="26"/>
    </row>
    <row r="152" s="24" customFormat="1" ht="26.4" spans="2:12">
      <c r="B152" s="19" t="s">
        <v>4242</v>
      </c>
      <c r="C152" s="19" t="s">
        <v>275</v>
      </c>
      <c r="D152" s="10" t="s">
        <v>3996</v>
      </c>
      <c r="E152" s="20"/>
      <c r="F152" s="19"/>
      <c r="G152" s="19"/>
      <c r="H152" s="20"/>
      <c r="I152" s="26"/>
      <c r="J152" s="26"/>
      <c r="K152" s="26"/>
      <c r="L152" s="26"/>
    </row>
    <row r="153" s="24" customFormat="1" ht="26.4" spans="2:12">
      <c r="B153" s="19" t="s">
        <v>4243</v>
      </c>
      <c r="C153" s="19" t="s">
        <v>275</v>
      </c>
      <c r="D153" s="10" t="s">
        <v>3998</v>
      </c>
      <c r="E153" s="20"/>
      <c r="F153" s="19"/>
      <c r="G153" s="19"/>
      <c r="H153" s="20"/>
      <c r="I153" s="26"/>
      <c r="J153" s="26"/>
      <c r="K153" s="26"/>
      <c r="L153" s="26"/>
    </row>
    <row r="154" s="24" customFormat="1" ht="26.4" spans="2:12">
      <c r="B154" s="19" t="s">
        <v>4244</v>
      </c>
      <c r="C154" s="19" t="s">
        <v>275</v>
      </c>
      <c r="D154" s="10" t="s">
        <v>4000</v>
      </c>
      <c r="E154" s="20"/>
      <c r="F154" s="19"/>
      <c r="G154" s="19"/>
      <c r="H154" s="20"/>
      <c r="I154" s="26"/>
      <c r="J154" s="26"/>
      <c r="K154" s="26"/>
      <c r="L154" s="26"/>
    </row>
    <row r="155" s="24" customFormat="1" ht="26.4" spans="2:12">
      <c r="B155" s="19" t="s">
        <v>4245</v>
      </c>
      <c r="C155" s="19" t="s">
        <v>275</v>
      </c>
      <c r="D155" s="10" t="s">
        <v>4002</v>
      </c>
      <c r="E155" s="20"/>
      <c r="F155" s="19"/>
      <c r="G155" s="19"/>
      <c r="H155" s="20"/>
      <c r="I155" s="26"/>
      <c r="J155" s="26"/>
      <c r="K155" s="26"/>
      <c r="L155" s="26"/>
    </row>
    <row r="156" s="24" customFormat="1" ht="26.4" spans="2:12">
      <c r="B156" s="19" t="s">
        <v>4246</v>
      </c>
      <c r="C156" s="19" t="s">
        <v>240</v>
      </c>
      <c r="D156" s="10" t="s">
        <v>4247</v>
      </c>
      <c r="E156" s="20"/>
      <c r="F156" s="19"/>
      <c r="G156" s="19"/>
      <c r="H156" s="20"/>
      <c r="I156" s="26"/>
      <c r="J156" s="26"/>
      <c r="K156" s="26"/>
      <c r="L156" s="26"/>
    </row>
    <row r="157" s="24" customFormat="1" spans="2:12">
      <c r="B157" s="19" t="s">
        <v>4248</v>
      </c>
      <c r="C157" s="19" t="s">
        <v>275</v>
      </c>
      <c r="D157" s="10" t="s">
        <v>4006</v>
      </c>
      <c r="E157" s="20"/>
      <c r="F157" s="19"/>
      <c r="G157" s="19"/>
      <c r="H157" s="20"/>
      <c r="I157" s="26"/>
      <c r="J157" s="26"/>
      <c r="K157" s="26"/>
      <c r="L157" s="26"/>
    </row>
    <row r="158" s="24" customFormat="1" spans="2:12">
      <c r="B158" s="19" t="s">
        <v>4249</v>
      </c>
      <c r="C158" s="19" t="s">
        <v>275</v>
      </c>
      <c r="D158" s="10" t="s">
        <v>4008</v>
      </c>
      <c r="E158" s="20"/>
      <c r="F158" s="19"/>
      <c r="G158" s="19"/>
      <c r="H158" s="20"/>
      <c r="I158" s="26"/>
      <c r="J158" s="26"/>
      <c r="K158" s="26"/>
      <c r="L158" s="26"/>
    </row>
    <row r="159" s="24" customFormat="1" spans="2:12">
      <c r="B159" s="19" t="s">
        <v>4250</v>
      </c>
      <c r="C159" s="19" t="s">
        <v>275</v>
      </c>
      <c r="D159" s="10" t="s">
        <v>4010</v>
      </c>
      <c r="E159" s="20"/>
      <c r="F159" s="19"/>
      <c r="G159" s="19"/>
      <c r="H159" s="20"/>
      <c r="I159" s="26"/>
      <c r="J159" s="26"/>
      <c r="K159" s="26"/>
      <c r="L159" s="26"/>
    </row>
    <row r="160" s="24" customFormat="1" ht="26.4" spans="2:12">
      <c r="B160" s="19" t="s">
        <v>4251</v>
      </c>
      <c r="C160" s="19" t="s">
        <v>275</v>
      </c>
      <c r="D160" s="10" t="s">
        <v>4012</v>
      </c>
      <c r="E160" s="20"/>
      <c r="F160" s="19"/>
      <c r="G160" s="19"/>
      <c r="H160" s="20"/>
      <c r="I160" s="26"/>
      <c r="J160" s="26"/>
      <c r="K160" s="26"/>
      <c r="L160" s="26"/>
    </row>
    <row r="161" s="24" customFormat="1" spans="2:12">
      <c r="B161" s="19" t="s">
        <v>4252</v>
      </c>
      <c r="C161" s="19" t="s">
        <v>240</v>
      </c>
      <c r="D161" s="10" t="s">
        <v>4253</v>
      </c>
      <c r="E161" s="20"/>
      <c r="F161" s="19"/>
      <c r="G161" s="19"/>
      <c r="H161" s="20"/>
      <c r="I161" s="26"/>
      <c r="J161" s="26"/>
      <c r="K161" s="26"/>
      <c r="L161" s="26"/>
    </row>
    <row r="162" s="24" customFormat="1" ht="26.4" spans="2:12">
      <c r="B162" s="19" t="s">
        <v>4254</v>
      </c>
      <c r="C162" s="19" t="s">
        <v>275</v>
      </c>
      <c r="D162" s="10" t="s">
        <v>4016</v>
      </c>
      <c r="E162" s="20"/>
      <c r="F162" s="19"/>
      <c r="G162" s="19"/>
      <c r="H162" s="20"/>
      <c r="I162" s="26"/>
      <c r="J162" s="26"/>
      <c r="K162" s="26"/>
      <c r="L162" s="26"/>
    </row>
    <row r="163" s="24" customFormat="1" ht="26.4" spans="2:12">
      <c r="B163" s="19" t="s">
        <v>4255</v>
      </c>
      <c r="C163" s="19" t="s">
        <v>275</v>
      </c>
      <c r="D163" s="10" t="s">
        <v>4018</v>
      </c>
      <c r="E163" s="20"/>
      <c r="F163" s="19"/>
      <c r="G163" s="19"/>
      <c r="H163" s="20"/>
      <c r="I163" s="26"/>
      <c r="J163" s="26"/>
      <c r="K163" s="26"/>
      <c r="L163" s="26"/>
    </row>
    <row r="164" s="24" customFormat="1" spans="2:12">
      <c r="B164" s="19" t="s">
        <v>4256</v>
      </c>
      <c r="C164" s="19" t="s">
        <v>275</v>
      </c>
      <c r="D164" s="10" t="s">
        <v>4020</v>
      </c>
      <c r="E164" s="20"/>
      <c r="F164" s="19"/>
      <c r="G164" s="19"/>
      <c r="H164" s="20"/>
      <c r="I164" s="26"/>
      <c r="J164" s="26"/>
      <c r="K164" s="26"/>
      <c r="L164" s="26"/>
    </row>
    <row r="165" s="24" customFormat="1" ht="26.4" spans="2:12">
      <c r="B165" s="19" t="s">
        <v>4257</v>
      </c>
      <c r="C165" s="19" t="s">
        <v>275</v>
      </c>
      <c r="D165" s="10" t="s">
        <v>4022</v>
      </c>
      <c r="E165" s="20"/>
      <c r="F165" s="19"/>
      <c r="G165" s="19"/>
      <c r="H165" s="20"/>
      <c r="I165" s="26"/>
      <c r="J165" s="26"/>
      <c r="K165" s="26"/>
      <c r="L165" s="26"/>
    </row>
    <row r="166" s="24" customFormat="1" ht="26.4" spans="2:12">
      <c r="B166" s="19" t="s">
        <v>4258</v>
      </c>
      <c r="C166" s="19" t="s">
        <v>240</v>
      </c>
      <c r="D166" s="10" t="s">
        <v>4259</v>
      </c>
      <c r="E166" s="20"/>
      <c r="F166" s="19"/>
      <c r="G166" s="19"/>
      <c r="H166" s="20"/>
      <c r="I166" s="26"/>
      <c r="J166" s="26"/>
      <c r="K166" s="26"/>
      <c r="L166" s="26"/>
    </row>
    <row r="167" s="24" customFormat="1" spans="2:12">
      <c r="B167" s="19" t="s">
        <v>4260</v>
      </c>
      <c r="C167" s="19" t="s">
        <v>275</v>
      </c>
      <c r="D167" s="10" t="s">
        <v>4026</v>
      </c>
      <c r="E167" s="20"/>
      <c r="F167" s="19"/>
      <c r="G167" s="19"/>
      <c r="H167" s="20"/>
      <c r="I167" s="26"/>
      <c r="J167" s="26"/>
      <c r="K167" s="26"/>
      <c r="L167" s="26"/>
    </row>
    <row r="168" s="24" customFormat="1" spans="2:12">
      <c r="B168" s="19" t="s">
        <v>4261</v>
      </c>
      <c r="C168" s="19" t="s">
        <v>275</v>
      </c>
      <c r="D168" s="10" t="s">
        <v>4028</v>
      </c>
      <c r="E168" s="20"/>
      <c r="F168" s="19"/>
      <c r="G168" s="19"/>
      <c r="H168" s="20"/>
      <c r="I168" s="26"/>
      <c r="J168" s="26"/>
      <c r="K168" s="26"/>
      <c r="L168" s="26"/>
    </row>
    <row r="169" s="24" customFormat="1" spans="2:12">
      <c r="B169" s="19" t="s">
        <v>4262</v>
      </c>
      <c r="C169" s="19" t="s">
        <v>275</v>
      </c>
      <c r="D169" s="10" t="s">
        <v>4030</v>
      </c>
      <c r="E169" s="20"/>
      <c r="F169" s="19"/>
      <c r="G169" s="19"/>
      <c r="H169" s="20"/>
      <c r="I169" s="26"/>
      <c r="J169" s="26"/>
      <c r="K169" s="26"/>
      <c r="L169" s="26"/>
    </row>
    <row r="170" s="24" customFormat="1" spans="2:12">
      <c r="B170" s="19" t="s">
        <v>4263</v>
      </c>
      <c r="C170" s="19" t="s">
        <v>275</v>
      </c>
      <c r="D170" s="10" t="s">
        <v>4032</v>
      </c>
      <c r="E170" s="20"/>
      <c r="F170" s="19"/>
      <c r="G170" s="19"/>
      <c r="H170" s="20"/>
      <c r="I170" s="26"/>
      <c r="J170" s="26"/>
      <c r="K170" s="26"/>
      <c r="L170" s="26"/>
    </row>
    <row r="171" s="24" customFormat="1" spans="2:12">
      <c r="B171" s="19" t="s">
        <v>4264</v>
      </c>
      <c r="C171" s="19" t="s">
        <v>240</v>
      </c>
      <c r="D171" s="10" t="s">
        <v>4265</v>
      </c>
      <c r="E171" s="20"/>
      <c r="F171" s="19"/>
      <c r="G171" s="19"/>
      <c r="H171" s="20"/>
      <c r="I171" s="26"/>
      <c r="J171" s="26"/>
      <c r="K171" s="26"/>
      <c r="L171" s="26"/>
    </row>
    <row r="172" s="24" customFormat="1" spans="2:12">
      <c r="B172" s="19" t="s">
        <v>4266</v>
      </c>
      <c r="C172" s="19" t="s">
        <v>275</v>
      </c>
      <c r="D172" s="10" t="s">
        <v>4036</v>
      </c>
      <c r="E172" s="20"/>
      <c r="F172" s="19"/>
      <c r="G172" s="19"/>
      <c r="H172" s="20"/>
      <c r="I172" s="26"/>
      <c r="J172" s="26"/>
      <c r="K172" s="26"/>
      <c r="L172" s="26"/>
    </row>
    <row r="173" s="24" customFormat="1" spans="2:12">
      <c r="B173" s="19" t="s">
        <v>4267</v>
      </c>
      <c r="C173" s="19" t="s">
        <v>275</v>
      </c>
      <c r="D173" s="10" t="s">
        <v>4038</v>
      </c>
      <c r="E173" s="20"/>
      <c r="F173" s="19"/>
      <c r="G173" s="19"/>
      <c r="H173" s="20"/>
      <c r="I173" s="26"/>
      <c r="J173" s="26"/>
      <c r="K173" s="26"/>
      <c r="L173" s="26"/>
    </row>
    <row r="174" s="24" customFormat="1" spans="2:12">
      <c r="B174" s="19" t="s">
        <v>4268</v>
      </c>
      <c r="C174" s="19" t="s">
        <v>275</v>
      </c>
      <c r="D174" s="10" t="s">
        <v>4040</v>
      </c>
      <c r="E174" s="20"/>
      <c r="F174" s="19"/>
      <c r="G174" s="19"/>
      <c r="H174" s="20"/>
      <c r="I174" s="26"/>
      <c r="J174" s="26"/>
      <c r="K174" s="26"/>
      <c r="L174" s="26"/>
    </row>
    <row r="175" s="24" customFormat="1" spans="2:12">
      <c r="B175" s="19" t="s">
        <v>4269</v>
      </c>
      <c r="C175" s="19" t="s">
        <v>275</v>
      </c>
      <c r="D175" s="10" t="s">
        <v>4042</v>
      </c>
      <c r="E175" s="20"/>
      <c r="F175" s="19"/>
      <c r="G175" s="19"/>
      <c r="H175" s="20"/>
      <c r="I175" s="26"/>
      <c r="J175" s="26"/>
      <c r="K175" s="26"/>
      <c r="L175" s="26"/>
    </row>
    <row r="176" s="24" customFormat="1" spans="2:12">
      <c r="B176" s="19" t="s">
        <v>4270</v>
      </c>
      <c r="C176" s="19" t="s">
        <v>240</v>
      </c>
      <c r="D176" s="10" t="s">
        <v>4271</v>
      </c>
      <c r="E176" s="20"/>
      <c r="F176" s="19"/>
      <c r="G176" s="19"/>
      <c r="H176" s="20"/>
      <c r="I176" s="26"/>
      <c r="J176" s="26"/>
      <c r="K176" s="26"/>
      <c r="L176" s="26"/>
    </row>
    <row r="177" s="24" customFormat="1" spans="2:12">
      <c r="B177" s="19" t="s">
        <v>4272</v>
      </c>
      <c r="C177" s="19" t="s">
        <v>275</v>
      </c>
      <c r="D177" s="10" t="s">
        <v>4046</v>
      </c>
      <c r="E177" s="20"/>
      <c r="F177" s="19"/>
      <c r="G177" s="19"/>
      <c r="H177" s="20"/>
      <c r="I177" s="26"/>
      <c r="J177" s="26"/>
      <c r="K177" s="26"/>
      <c r="L177" s="26"/>
    </row>
    <row r="178" s="24" customFormat="1" spans="2:12">
      <c r="B178" s="19" t="s">
        <v>4273</v>
      </c>
      <c r="C178" s="19" t="s">
        <v>275</v>
      </c>
      <c r="D178" s="10" t="s">
        <v>4048</v>
      </c>
      <c r="E178" s="20"/>
      <c r="F178" s="19"/>
      <c r="G178" s="19"/>
      <c r="H178" s="20"/>
      <c r="I178" s="26"/>
      <c r="J178" s="26"/>
      <c r="K178" s="26"/>
      <c r="L178" s="26"/>
    </row>
    <row r="179" s="24" customFormat="1" spans="2:12">
      <c r="B179" s="19" t="s">
        <v>4274</v>
      </c>
      <c r="C179" s="19" t="s">
        <v>275</v>
      </c>
      <c r="D179" s="10" t="s">
        <v>4050</v>
      </c>
      <c r="E179" s="20"/>
      <c r="F179" s="19"/>
      <c r="G179" s="19"/>
      <c r="H179" s="20"/>
      <c r="I179" s="26"/>
      <c r="J179" s="26"/>
      <c r="K179" s="26"/>
      <c r="L179" s="26"/>
    </row>
    <row r="180" s="24" customFormat="1" spans="2:12">
      <c r="B180" s="19" t="s">
        <v>4275</v>
      </c>
      <c r="C180" s="19" t="s">
        <v>275</v>
      </c>
      <c r="D180" s="10" t="s">
        <v>4052</v>
      </c>
      <c r="E180" s="20"/>
      <c r="F180" s="19"/>
      <c r="G180" s="19"/>
      <c r="H180" s="20"/>
      <c r="I180" s="26"/>
      <c r="J180" s="26"/>
      <c r="K180" s="26"/>
      <c r="L180" s="26"/>
    </row>
    <row r="181" s="24" customFormat="1" spans="2:12">
      <c r="B181" s="19" t="s">
        <v>4276</v>
      </c>
      <c r="C181" s="19" t="s">
        <v>240</v>
      </c>
      <c r="D181" s="10" t="s">
        <v>4277</v>
      </c>
      <c r="E181" s="20"/>
      <c r="F181" s="19"/>
      <c r="G181" s="19"/>
      <c r="H181" s="20"/>
      <c r="I181" s="26"/>
      <c r="J181" s="26"/>
      <c r="K181" s="26"/>
      <c r="L181" s="26"/>
    </row>
    <row r="182" s="24" customFormat="1" ht="26.4" spans="2:12">
      <c r="B182" s="19" t="s">
        <v>4278</v>
      </c>
      <c r="C182" s="19" t="s">
        <v>275</v>
      </c>
      <c r="D182" s="10" t="s">
        <v>4056</v>
      </c>
      <c r="E182" s="20"/>
      <c r="F182" s="19"/>
      <c r="G182" s="19"/>
      <c r="H182" s="20"/>
      <c r="I182" s="26"/>
      <c r="J182" s="26"/>
      <c r="K182" s="26"/>
      <c r="L182" s="26"/>
    </row>
    <row r="183" s="24" customFormat="1" ht="26.4" spans="2:12">
      <c r="B183" s="19" t="s">
        <v>4279</v>
      </c>
      <c r="C183" s="19" t="s">
        <v>275</v>
      </c>
      <c r="D183" s="10" t="s">
        <v>4058</v>
      </c>
      <c r="E183" s="20"/>
      <c r="F183" s="19"/>
      <c r="G183" s="19"/>
      <c r="H183" s="20"/>
      <c r="I183" s="26"/>
      <c r="J183" s="26"/>
      <c r="K183" s="26"/>
      <c r="L183" s="26"/>
    </row>
    <row r="184" s="24" customFormat="1" ht="26.4" spans="2:12">
      <c r="B184" s="19" t="s">
        <v>4280</v>
      </c>
      <c r="C184" s="19" t="s">
        <v>275</v>
      </c>
      <c r="D184" s="10" t="s">
        <v>4060</v>
      </c>
      <c r="E184" s="20"/>
      <c r="F184" s="19"/>
      <c r="G184" s="19"/>
      <c r="H184" s="20"/>
      <c r="I184" s="26"/>
      <c r="J184" s="26"/>
      <c r="K184" s="26"/>
      <c r="L184" s="26"/>
    </row>
    <row r="185" s="24" customFormat="1" ht="26.4" spans="2:12">
      <c r="B185" s="19" t="s">
        <v>4281</v>
      </c>
      <c r="C185" s="19" t="s">
        <v>275</v>
      </c>
      <c r="D185" s="10" t="s">
        <v>4062</v>
      </c>
      <c r="E185" s="20"/>
      <c r="F185" s="19"/>
      <c r="G185" s="19"/>
      <c r="H185" s="20"/>
      <c r="I185" s="26"/>
      <c r="J185" s="26"/>
      <c r="K185" s="26"/>
      <c r="L185" s="26"/>
    </row>
    <row r="186" s="24" customFormat="1" ht="26.4" spans="2:12">
      <c r="B186" s="19" t="s">
        <v>4282</v>
      </c>
      <c r="C186" s="19" t="s">
        <v>240</v>
      </c>
      <c r="D186" s="10" t="s">
        <v>4283</v>
      </c>
      <c r="E186" s="20"/>
      <c r="F186" s="19"/>
      <c r="G186" s="19"/>
      <c r="H186" s="20"/>
      <c r="I186" s="26"/>
      <c r="J186" s="26"/>
      <c r="K186" s="26"/>
      <c r="L186" s="26"/>
    </row>
    <row r="187" s="24" customFormat="1" spans="2:12">
      <c r="B187" s="19" t="s">
        <v>4284</v>
      </c>
      <c r="C187" s="19" t="s">
        <v>275</v>
      </c>
      <c r="D187" s="10" t="s">
        <v>4066</v>
      </c>
      <c r="E187" s="20"/>
      <c r="F187" s="19"/>
      <c r="G187" s="19"/>
      <c r="H187" s="20"/>
      <c r="I187" s="26"/>
      <c r="J187" s="26"/>
      <c r="K187" s="26"/>
      <c r="L187" s="26"/>
    </row>
    <row r="188" s="24" customFormat="1" spans="2:12">
      <c r="B188" s="19" t="s">
        <v>4285</v>
      </c>
      <c r="C188" s="19" t="s">
        <v>275</v>
      </c>
      <c r="D188" s="10" t="s">
        <v>4068</v>
      </c>
      <c r="E188" s="20"/>
      <c r="F188" s="19"/>
      <c r="G188" s="19"/>
      <c r="H188" s="20"/>
      <c r="I188" s="26"/>
      <c r="J188" s="26"/>
      <c r="K188" s="26"/>
      <c r="L188" s="26"/>
    </row>
    <row r="189" s="24" customFormat="1" spans="2:12">
      <c r="B189" s="19" t="s">
        <v>4286</v>
      </c>
      <c r="C189" s="19" t="s">
        <v>275</v>
      </c>
      <c r="D189" s="10" t="s">
        <v>4070</v>
      </c>
      <c r="E189" s="20"/>
      <c r="F189" s="19"/>
      <c r="G189" s="19"/>
      <c r="H189" s="20"/>
      <c r="I189" s="26"/>
      <c r="J189" s="26"/>
      <c r="K189" s="26"/>
      <c r="L189" s="26"/>
    </row>
    <row r="190" s="24" customFormat="1" spans="2:12">
      <c r="B190" s="19" t="s">
        <v>4287</v>
      </c>
      <c r="C190" s="19" t="s">
        <v>275</v>
      </c>
      <c r="D190" s="10" t="s">
        <v>4072</v>
      </c>
      <c r="E190" s="20"/>
      <c r="F190" s="19"/>
      <c r="G190" s="19"/>
      <c r="H190" s="20"/>
      <c r="I190" s="26"/>
      <c r="J190" s="26"/>
      <c r="K190" s="26"/>
      <c r="L190" s="26"/>
    </row>
    <row r="191" s="24" customFormat="1" spans="2:12">
      <c r="B191" s="19" t="s">
        <v>4288</v>
      </c>
      <c r="C191" s="19" t="s">
        <v>240</v>
      </c>
      <c r="D191" s="10" t="s">
        <v>4289</v>
      </c>
      <c r="E191" s="20"/>
      <c r="F191" s="19"/>
      <c r="G191" s="19"/>
      <c r="H191" s="20"/>
      <c r="I191" s="26"/>
      <c r="J191" s="26"/>
      <c r="K191" s="26"/>
      <c r="L191" s="26"/>
    </row>
    <row r="192" s="24" customFormat="1" spans="2:12">
      <c r="B192" s="19" t="s">
        <v>4290</v>
      </c>
      <c r="C192" s="19" t="s">
        <v>220</v>
      </c>
      <c r="D192" s="10" t="s">
        <v>4076</v>
      </c>
      <c r="E192" s="20"/>
      <c r="F192" s="19"/>
      <c r="G192" s="19"/>
      <c r="H192" s="20"/>
      <c r="I192" s="26"/>
      <c r="J192" s="26"/>
      <c r="K192" s="26"/>
      <c r="L192" s="26"/>
    </row>
    <row r="193" s="24" customFormat="1" spans="2:12">
      <c r="B193" s="19" t="s">
        <v>4291</v>
      </c>
      <c r="C193" s="19" t="s">
        <v>220</v>
      </c>
      <c r="D193" s="10" t="s">
        <v>4078</v>
      </c>
      <c r="E193" s="20"/>
      <c r="F193" s="19"/>
      <c r="G193" s="19"/>
      <c r="H193" s="20"/>
      <c r="I193" s="26"/>
      <c r="J193" s="26"/>
      <c r="K193" s="26"/>
      <c r="L193" s="26"/>
    </row>
    <row r="194" s="24" customFormat="1" spans="2:12">
      <c r="B194" s="19" t="s">
        <v>4292</v>
      </c>
      <c r="C194" s="19" t="s">
        <v>220</v>
      </c>
      <c r="D194" s="10" t="s">
        <v>4080</v>
      </c>
      <c r="E194" s="20"/>
      <c r="F194" s="19"/>
      <c r="G194" s="19"/>
      <c r="H194" s="20"/>
      <c r="I194" s="26"/>
      <c r="J194" s="26"/>
      <c r="K194" s="26"/>
      <c r="L194" s="26"/>
    </row>
    <row r="195" s="24" customFormat="1" spans="2:12">
      <c r="B195" s="19" t="s">
        <v>4293</v>
      </c>
      <c r="C195" s="19" t="s">
        <v>220</v>
      </c>
      <c r="D195" s="10" t="s">
        <v>4082</v>
      </c>
      <c r="E195" s="20"/>
      <c r="F195" s="19"/>
      <c r="G195" s="19"/>
      <c r="H195" s="20"/>
      <c r="I195" s="26"/>
      <c r="J195" s="26"/>
      <c r="K195" s="26"/>
      <c r="L195" s="26"/>
    </row>
    <row r="196" s="24" customFormat="1" spans="2:12">
      <c r="B196" s="19" t="s">
        <v>4294</v>
      </c>
      <c r="C196" s="19" t="s">
        <v>240</v>
      </c>
      <c r="D196" s="10" t="s">
        <v>4295</v>
      </c>
      <c r="E196" s="20"/>
      <c r="F196" s="19"/>
      <c r="G196" s="19"/>
      <c r="H196" s="20"/>
      <c r="I196" s="26"/>
      <c r="J196" s="26"/>
      <c r="K196" s="26"/>
      <c r="L196" s="26"/>
    </row>
    <row r="197" s="24" customFormat="1" ht="26.4" spans="2:12">
      <c r="B197" s="19" t="s">
        <v>4296</v>
      </c>
      <c r="C197" s="19" t="s">
        <v>220</v>
      </c>
      <c r="D197" s="10" t="s">
        <v>4086</v>
      </c>
      <c r="E197" s="20"/>
      <c r="F197" s="19"/>
      <c r="G197" s="19"/>
      <c r="H197" s="20"/>
      <c r="I197" s="26"/>
      <c r="J197" s="26"/>
      <c r="K197" s="26"/>
      <c r="L197" s="26"/>
    </row>
    <row r="198" s="24" customFormat="1" ht="26.4" spans="2:12">
      <c r="B198" s="19" t="s">
        <v>4297</v>
      </c>
      <c r="C198" s="19" t="s">
        <v>220</v>
      </c>
      <c r="D198" s="10" t="s">
        <v>4088</v>
      </c>
      <c r="E198" s="20"/>
      <c r="F198" s="19"/>
      <c r="G198" s="19"/>
      <c r="H198" s="20"/>
      <c r="I198" s="26"/>
      <c r="J198" s="26"/>
      <c r="K198" s="26"/>
      <c r="L198" s="26"/>
    </row>
    <row r="199" s="24" customFormat="1" spans="2:12">
      <c r="B199" s="19" t="s">
        <v>4298</v>
      </c>
      <c r="C199" s="19" t="s">
        <v>220</v>
      </c>
      <c r="D199" s="10" t="s">
        <v>4090</v>
      </c>
      <c r="E199" s="20"/>
      <c r="F199" s="19"/>
      <c r="G199" s="19"/>
      <c r="H199" s="20"/>
      <c r="I199" s="26"/>
      <c r="J199" s="26"/>
      <c r="K199" s="26"/>
      <c r="L199" s="26"/>
    </row>
    <row r="200" s="24" customFormat="1" ht="26.4" spans="2:12">
      <c r="B200" s="19" t="s">
        <v>4299</v>
      </c>
      <c r="C200" s="19" t="s">
        <v>220</v>
      </c>
      <c r="D200" s="10" t="s">
        <v>4092</v>
      </c>
      <c r="E200" s="20"/>
      <c r="F200" s="19"/>
      <c r="G200" s="19"/>
      <c r="H200" s="20"/>
      <c r="I200" s="26"/>
      <c r="J200" s="26"/>
      <c r="K200" s="26"/>
      <c r="L200" s="26"/>
    </row>
    <row r="201" s="24" customFormat="1" spans="2:12">
      <c r="B201" s="19" t="s">
        <v>4300</v>
      </c>
      <c r="C201" s="19" t="s">
        <v>275</v>
      </c>
      <c r="D201" s="10" t="s">
        <v>4301</v>
      </c>
      <c r="E201" s="20"/>
      <c r="F201" s="19"/>
      <c r="G201" s="19"/>
      <c r="H201" s="20"/>
      <c r="I201" s="26"/>
      <c r="J201" s="26"/>
      <c r="K201" s="26"/>
      <c r="L201" s="26"/>
    </row>
    <row r="202" s="24" customFormat="1" spans="2:12">
      <c r="B202" s="19" t="s">
        <v>4302</v>
      </c>
      <c r="C202" s="19" t="s">
        <v>275</v>
      </c>
      <c r="D202" s="10" t="s">
        <v>4303</v>
      </c>
      <c r="E202" s="20"/>
      <c r="F202" s="19"/>
      <c r="G202" s="19"/>
      <c r="H202" s="20"/>
      <c r="I202" s="26"/>
      <c r="J202" s="26"/>
      <c r="K202" s="26"/>
      <c r="L202" s="26"/>
    </row>
    <row r="203" s="24" customFormat="1" spans="2:12">
      <c r="B203" s="19" t="s">
        <v>4304</v>
      </c>
      <c r="C203" s="19" t="s">
        <v>275</v>
      </c>
      <c r="D203" s="10" t="s">
        <v>4305</v>
      </c>
      <c r="E203" s="20"/>
      <c r="F203" s="19"/>
      <c r="G203" s="19"/>
      <c r="H203" s="20"/>
      <c r="I203" s="26"/>
      <c r="J203" s="26"/>
      <c r="K203" s="26"/>
      <c r="L203" s="26"/>
    </row>
    <row r="204" s="24" customFormat="1" spans="2:12">
      <c r="B204" s="19" t="s">
        <v>4306</v>
      </c>
      <c r="C204" s="19" t="s">
        <v>275</v>
      </c>
      <c r="D204" s="10" t="s">
        <v>4307</v>
      </c>
      <c r="E204" s="20"/>
      <c r="F204" s="19"/>
      <c r="G204" s="19"/>
      <c r="H204" s="20"/>
      <c r="I204" s="26"/>
      <c r="J204" s="26"/>
      <c r="K204" s="26"/>
      <c r="L204" s="26"/>
    </row>
    <row r="205" s="24" customFormat="1" spans="2:12">
      <c r="B205" s="19" t="s">
        <v>4308</v>
      </c>
      <c r="C205" s="19" t="s">
        <v>275</v>
      </c>
      <c r="D205" s="10" t="s">
        <v>4309</v>
      </c>
      <c r="E205" s="20"/>
      <c r="F205" s="19"/>
      <c r="G205" s="19"/>
      <c r="H205" s="20"/>
      <c r="I205" s="26"/>
      <c r="J205" s="26"/>
      <c r="K205" s="26"/>
      <c r="L205" s="26"/>
    </row>
    <row r="206" s="25" customFormat="1" spans="2:12">
      <c r="B206" s="28" t="s">
        <v>4310</v>
      </c>
      <c r="C206" s="28" t="s">
        <v>275</v>
      </c>
      <c r="D206" s="29" t="s">
        <v>4096</v>
      </c>
      <c r="E206" s="30" t="s">
        <v>199</v>
      </c>
      <c r="F206" s="28"/>
      <c r="G206" s="28" t="s">
        <v>4311</v>
      </c>
      <c r="H206" s="30"/>
      <c r="I206" s="31" t="s">
        <v>1211</v>
      </c>
      <c r="J206" s="31" t="s">
        <v>345</v>
      </c>
      <c r="K206" s="31" t="s">
        <v>323</v>
      </c>
      <c r="L206" s="31" t="s">
        <v>339</v>
      </c>
    </row>
    <row r="207" s="25" customFormat="1" spans="2:12">
      <c r="B207" s="28" t="s">
        <v>4312</v>
      </c>
      <c r="C207" s="28" t="s">
        <v>275</v>
      </c>
      <c r="D207" s="29" t="s">
        <v>4099</v>
      </c>
      <c r="E207" s="30" t="s">
        <v>199</v>
      </c>
      <c r="F207" s="28"/>
      <c r="G207" s="28" t="s">
        <v>4313</v>
      </c>
      <c r="H207" s="30"/>
      <c r="I207" s="31" t="s">
        <v>1211</v>
      </c>
      <c r="J207" s="31" t="s">
        <v>345</v>
      </c>
      <c r="K207" s="31" t="s">
        <v>323</v>
      </c>
      <c r="L207" s="31" t="s">
        <v>339</v>
      </c>
    </row>
    <row r="208" s="25" customFormat="1" spans="2:12">
      <c r="B208" s="28" t="s">
        <v>1817</v>
      </c>
      <c r="C208" s="28" t="s">
        <v>216</v>
      </c>
      <c r="D208" s="29" t="s">
        <v>1818</v>
      </c>
      <c r="E208" s="30" t="s">
        <v>199</v>
      </c>
      <c r="F208" s="28"/>
      <c r="G208" s="28" t="s">
        <v>4314</v>
      </c>
      <c r="H208" s="30"/>
      <c r="I208" s="31" t="s">
        <v>1211</v>
      </c>
      <c r="J208" s="31" t="s">
        <v>345</v>
      </c>
      <c r="K208" s="31" t="s">
        <v>323</v>
      </c>
      <c r="L208" s="31" t="s">
        <v>339</v>
      </c>
    </row>
    <row r="209" s="25" customFormat="1" spans="2:12">
      <c r="B209" s="28" t="s">
        <v>1820</v>
      </c>
      <c r="C209" s="28" t="s">
        <v>216</v>
      </c>
      <c r="D209" s="29" t="s">
        <v>1821</v>
      </c>
      <c r="E209" s="30" t="s">
        <v>199</v>
      </c>
      <c r="F209" s="28"/>
      <c r="G209" s="28" t="s">
        <v>4315</v>
      </c>
      <c r="H209" s="30"/>
      <c r="I209" s="31" t="s">
        <v>1211</v>
      </c>
      <c r="J209" s="31" t="s">
        <v>345</v>
      </c>
      <c r="K209" s="31" t="s">
        <v>323</v>
      </c>
      <c r="L209" s="31" t="s">
        <v>339</v>
      </c>
    </row>
    <row r="210" s="2" customFormat="1" spans="1:12">
      <c r="A210" s="21"/>
      <c r="B210" s="22" t="s">
        <v>252</v>
      </c>
      <c r="C210" s="22" t="s">
        <v>220</v>
      </c>
      <c r="D210" s="22" t="s">
        <v>254</v>
      </c>
      <c r="E210" s="22"/>
      <c r="F210" s="22"/>
      <c r="G210" s="22"/>
      <c r="H210" s="22"/>
      <c r="I210" s="22"/>
      <c r="J210" s="22"/>
      <c r="K210" s="22"/>
      <c r="L210" s="22"/>
    </row>
    <row r="211" s="2" customFormat="1" spans="1:12">
      <c r="A211" s="21"/>
      <c r="B211" s="22" t="s">
        <v>255</v>
      </c>
      <c r="C211" s="22" t="s">
        <v>216</v>
      </c>
      <c r="D211" s="22" t="s">
        <v>256</v>
      </c>
      <c r="E211" s="22"/>
      <c r="F211" s="22"/>
      <c r="G211" s="22"/>
      <c r="H211" s="22"/>
      <c r="I211" s="22"/>
      <c r="J211" s="22"/>
      <c r="K211" s="22"/>
      <c r="L211" s="22"/>
    </row>
    <row r="212" s="2" customFormat="1" spans="1:12">
      <c r="A212" s="21"/>
      <c r="B212" s="22" t="s">
        <v>257</v>
      </c>
      <c r="C212" s="22" t="s">
        <v>220</v>
      </c>
      <c r="D212" s="22" t="s">
        <v>258</v>
      </c>
      <c r="E212" s="22"/>
      <c r="F212" s="22"/>
      <c r="G212" s="22"/>
      <c r="H212" s="22"/>
      <c r="I212" s="22"/>
      <c r="J212" s="22"/>
      <c r="K212" s="22"/>
      <c r="L212" s="22"/>
    </row>
  </sheetData>
  <autoFilter xmlns:etc="http://www.wps.cn/officeDocument/2017/etCustomData" ref="A13:N212" etc:filterBottomFollowUsedRange="0">
    <extLst/>
  </autoFilter>
  <mergeCells count="5">
    <mergeCell ref="B2:H2"/>
    <mergeCell ref="B3:H3"/>
    <mergeCell ref="B7:H7"/>
    <mergeCell ref="F9:G9"/>
    <mergeCell ref="B12:L12"/>
  </mergeCells>
  <pageMargins left="0.7" right="0.7" top="0.75" bottom="0.75" header="0.3" footer="0.3"/>
  <pageSetup paperSize="9" orientation="portrait"/>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zoomScale="85" zoomScaleNormal="85" workbookViewId="0">
      <pane ySplit="5" topLeftCell="A6" activePane="bottomLeft" state="frozen"/>
      <selection/>
      <selection pane="bottomLeft" activeCell="C10" sqref="C10"/>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6" width="24.8888888888889" style="3" customWidth="1"/>
    <col min="7" max="7" width="25.7777777777778"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58</v>
      </c>
      <c r="C5" s="10" t="s">
        <v>171</v>
      </c>
      <c r="D5" s="10" t="s">
        <v>172</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168</v>
      </c>
      <c r="D9" s="10" t="s">
        <v>169</v>
      </c>
      <c r="E9" s="11" t="s">
        <v>199</v>
      </c>
      <c r="F9" s="11"/>
      <c r="G9" s="11"/>
      <c r="H9" s="15"/>
    </row>
    <row r="10" ht="25.8" customHeight="1" spans="2:8">
      <c r="B10" s="11"/>
      <c r="C10" s="10" t="s">
        <v>200</v>
      </c>
      <c r="D10" s="10" t="s">
        <v>201</v>
      </c>
      <c r="E10" s="11" t="s">
        <v>202</v>
      </c>
      <c r="F10" s="32" t="s">
        <v>266</v>
      </c>
      <c r="G10" s="32"/>
      <c r="H10" s="11"/>
    </row>
    <row r="11" spans="7:7">
      <c r="G11" s="17"/>
    </row>
    <row r="12" spans="2:2">
      <c r="B12" s="3" t="s">
        <v>204</v>
      </c>
    </row>
    <row r="13" spans="2:12">
      <c r="B13" s="7" t="s">
        <v>204</v>
      </c>
      <c r="C13" s="7"/>
      <c r="D13" s="7"/>
      <c r="E13" s="7"/>
      <c r="F13" s="7"/>
      <c r="G13" s="7"/>
      <c r="H13" s="7"/>
      <c r="I13" s="7"/>
      <c r="J13" s="7"/>
      <c r="K13" s="7"/>
      <c r="L13" s="7"/>
    </row>
    <row r="14" ht="24" spans="2:12">
      <c r="B14" s="18" t="s">
        <v>205</v>
      </c>
      <c r="C14" s="18" t="s">
        <v>206</v>
      </c>
      <c r="D14" s="18" t="s">
        <v>207</v>
      </c>
      <c r="E14" s="18" t="s">
        <v>208</v>
      </c>
      <c r="F14" s="18" t="s">
        <v>209</v>
      </c>
      <c r="G14" s="18" t="s">
        <v>210</v>
      </c>
      <c r="H14" s="18" t="s">
        <v>211</v>
      </c>
      <c r="I14" s="18" t="s">
        <v>17</v>
      </c>
      <c r="J14" s="18" t="s">
        <v>212</v>
      </c>
      <c r="K14" s="18" t="s">
        <v>213</v>
      </c>
      <c r="L14" s="18" t="s">
        <v>214</v>
      </c>
    </row>
    <row r="15" s="1" customFormat="1" spans="2:12">
      <c r="B15" s="19" t="s">
        <v>1828</v>
      </c>
      <c r="C15" s="19" t="s">
        <v>216</v>
      </c>
      <c r="D15" s="19" t="s">
        <v>1829</v>
      </c>
      <c r="E15" s="20"/>
      <c r="F15" s="19" t="s">
        <v>255</v>
      </c>
      <c r="G15" s="19" t="s">
        <v>1829</v>
      </c>
      <c r="H15" s="20"/>
      <c r="I15" s="23"/>
      <c r="J15" s="23" t="s">
        <v>322</v>
      </c>
      <c r="K15" s="23" t="s">
        <v>323</v>
      </c>
      <c r="L15" s="23" t="s">
        <v>323</v>
      </c>
    </row>
    <row r="16" s="1" customFormat="1" spans="2:12">
      <c r="B16" s="19" t="s">
        <v>1026</v>
      </c>
      <c r="C16" s="19" t="s">
        <v>220</v>
      </c>
      <c r="D16" s="19" t="s">
        <v>66</v>
      </c>
      <c r="E16" s="20"/>
      <c r="F16" s="19" t="s">
        <v>257</v>
      </c>
      <c r="G16" s="19" t="s">
        <v>66</v>
      </c>
      <c r="H16" s="20"/>
      <c r="I16" s="23"/>
      <c r="J16" s="23" t="s">
        <v>322</v>
      </c>
      <c r="K16" s="23" t="s">
        <v>323</v>
      </c>
      <c r="L16" s="23" t="s">
        <v>323</v>
      </c>
    </row>
    <row r="17" s="1" customFormat="1" spans="2:12">
      <c r="B17" s="19" t="s">
        <v>1836</v>
      </c>
      <c r="C17" s="19" t="s">
        <v>216</v>
      </c>
      <c r="D17" s="10" t="s">
        <v>1876</v>
      </c>
      <c r="E17" s="20" t="s">
        <v>199</v>
      </c>
      <c r="F17" s="19" t="s">
        <v>1836</v>
      </c>
      <c r="G17" s="19" t="s">
        <v>218</v>
      </c>
      <c r="H17" s="20"/>
      <c r="I17" s="23"/>
      <c r="J17" s="23" t="s">
        <v>322</v>
      </c>
      <c r="K17" s="23" t="s">
        <v>323</v>
      </c>
      <c r="L17" s="23" t="s">
        <v>323</v>
      </c>
    </row>
    <row r="18" s="1" customFormat="1" spans="2:12">
      <c r="B18" s="19" t="s">
        <v>224</v>
      </c>
      <c r="C18" s="19" t="s">
        <v>216</v>
      </c>
      <c r="D18" s="10" t="s">
        <v>1869</v>
      </c>
      <c r="E18" s="20" t="s">
        <v>199</v>
      </c>
      <c r="F18" s="19" t="s">
        <v>224</v>
      </c>
      <c r="G18" s="19" t="s">
        <v>218</v>
      </c>
      <c r="H18" s="20"/>
      <c r="I18" s="23"/>
      <c r="J18" s="23" t="s">
        <v>322</v>
      </c>
      <c r="K18" s="23" t="s">
        <v>323</v>
      </c>
      <c r="L18" s="23" t="s">
        <v>323</v>
      </c>
    </row>
    <row r="19" s="1" customFormat="1" spans="2:12">
      <c r="B19" s="19" t="s">
        <v>267</v>
      </c>
      <c r="C19" s="19" t="s">
        <v>216</v>
      </c>
      <c r="D19" s="10" t="s">
        <v>294</v>
      </c>
      <c r="E19" s="20" t="s">
        <v>199</v>
      </c>
      <c r="F19" s="19" t="s">
        <v>267</v>
      </c>
      <c r="G19" s="19" t="s">
        <v>218</v>
      </c>
      <c r="H19" s="20"/>
      <c r="I19" s="23"/>
      <c r="J19" s="23" t="s">
        <v>322</v>
      </c>
      <c r="K19" s="23" t="s">
        <v>323</v>
      </c>
      <c r="L19" s="23" t="s">
        <v>323</v>
      </c>
    </row>
    <row r="20" s="1" customFormat="1" spans="2:12">
      <c r="B20" s="19" t="s">
        <v>1817</v>
      </c>
      <c r="C20" s="19" t="s">
        <v>216</v>
      </c>
      <c r="D20" s="10" t="s">
        <v>3209</v>
      </c>
      <c r="E20" s="20" t="s">
        <v>199</v>
      </c>
      <c r="F20" s="19"/>
      <c r="G20" s="19" t="s">
        <v>1846</v>
      </c>
      <c r="H20" s="20"/>
      <c r="I20" s="23"/>
      <c r="J20" s="23" t="s">
        <v>345</v>
      </c>
      <c r="K20" s="23" t="s">
        <v>323</v>
      </c>
      <c r="L20" s="23" t="s">
        <v>3211</v>
      </c>
    </row>
    <row r="21" s="1" customFormat="1" spans="2:12">
      <c r="B21" s="19" t="s">
        <v>1820</v>
      </c>
      <c r="C21" s="19" t="s">
        <v>216</v>
      </c>
      <c r="D21" s="10" t="s">
        <v>3212</v>
      </c>
      <c r="E21" s="20" t="s">
        <v>199</v>
      </c>
      <c r="F21" s="19"/>
      <c r="G21" s="19" t="s">
        <v>1847</v>
      </c>
      <c r="H21" s="20"/>
      <c r="I21" s="23"/>
      <c r="J21" s="23" t="s">
        <v>345</v>
      </c>
      <c r="K21" s="23" t="s">
        <v>323</v>
      </c>
      <c r="L21" s="23" t="s">
        <v>3211</v>
      </c>
    </row>
    <row r="22" s="1" customFormat="1" spans="2:12">
      <c r="B22" s="19" t="s">
        <v>4316</v>
      </c>
      <c r="C22" s="19" t="s">
        <v>275</v>
      </c>
      <c r="D22" s="10" t="s">
        <v>4317</v>
      </c>
      <c r="E22" s="20" t="s">
        <v>199</v>
      </c>
      <c r="F22" s="19"/>
      <c r="G22" s="19" t="s">
        <v>4318</v>
      </c>
      <c r="H22" s="20"/>
      <c r="I22" s="23"/>
      <c r="J22" s="23" t="s">
        <v>345</v>
      </c>
      <c r="K22" s="23" t="s">
        <v>323</v>
      </c>
      <c r="L22" s="23" t="s">
        <v>339</v>
      </c>
    </row>
    <row r="23" s="1" customFormat="1" spans="2:12">
      <c r="B23" s="19" t="s">
        <v>4319</v>
      </c>
      <c r="C23" s="19" t="s">
        <v>275</v>
      </c>
      <c r="D23" s="10" t="s">
        <v>4320</v>
      </c>
      <c r="E23" s="20" t="s">
        <v>199</v>
      </c>
      <c r="F23" s="19"/>
      <c r="G23" s="19" t="s">
        <v>4321</v>
      </c>
      <c r="H23" s="20"/>
      <c r="I23" s="23"/>
      <c r="J23" s="23" t="s">
        <v>345</v>
      </c>
      <c r="K23" s="23" t="s">
        <v>323</v>
      </c>
      <c r="L23" s="23" t="s">
        <v>339</v>
      </c>
    </row>
    <row r="24" s="1" customFormat="1" ht="26.4" spans="2:12">
      <c r="B24" s="19" t="s">
        <v>4322</v>
      </c>
      <c r="C24" s="19" t="s">
        <v>240</v>
      </c>
      <c r="D24" s="10" t="s">
        <v>4323</v>
      </c>
      <c r="E24" s="20" t="s">
        <v>199</v>
      </c>
      <c r="F24" s="19"/>
      <c r="G24" s="19" t="s">
        <v>4324</v>
      </c>
      <c r="H24" s="20"/>
      <c r="I24" s="23"/>
      <c r="J24" s="23" t="s">
        <v>345</v>
      </c>
      <c r="K24" s="23" t="s">
        <v>323</v>
      </c>
      <c r="L24" s="23" t="s">
        <v>1856</v>
      </c>
    </row>
    <row r="25" s="1" customFormat="1" ht="26.4" spans="2:12">
      <c r="B25" s="19" t="s">
        <v>4325</v>
      </c>
      <c r="C25" s="19" t="s">
        <v>275</v>
      </c>
      <c r="D25" s="10" t="s">
        <v>4326</v>
      </c>
      <c r="E25" s="20" t="s">
        <v>199</v>
      </c>
      <c r="F25" s="19"/>
      <c r="G25" s="19" t="s">
        <v>4327</v>
      </c>
      <c r="H25" s="20"/>
      <c r="I25" s="23"/>
      <c r="J25" s="23" t="s">
        <v>345</v>
      </c>
      <c r="K25" s="23" t="s">
        <v>323</v>
      </c>
      <c r="L25" s="23" t="s">
        <v>339</v>
      </c>
    </row>
    <row r="26" s="1" customFormat="1" ht="26.4" spans="2:12">
      <c r="B26" s="19" t="s">
        <v>4328</v>
      </c>
      <c r="C26" s="19" t="s">
        <v>275</v>
      </c>
      <c r="D26" s="10" t="s">
        <v>4329</v>
      </c>
      <c r="E26" s="20" t="s">
        <v>199</v>
      </c>
      <c r="F26" s="19"/>
      <c r="G26" s="19" t="s">
        <v>4330</v>
      </c>
      <c r="H26" s="20"/>
      <c r="I26" s="23"/>
      <c r="J26" s="23" t="s">
        <v>345</v>
      </c>
      <c r="K26" s="23" t="s">
        <v>323</v>
      </c>
      <c r="L26" s="23" t="s">
        <v>339</v>
      </c>
    </row>
    <row r="27" s="1" customFormat="1" spans="2:12">
      <c r="B27" s="19" t="s">
        <v>4310</v>
      </c>
      <c r="C27" s="19" t="s">
        <v>275</v>
      </c>
      <c r="D27" s="10" t="s">
        <v>4096</v>
      </c>
      <c r="E27" s="20" t="s">
        <v>199</v>
      </c>
      <c r="F27" s="19"/>
      <c r="G27" s="19" t="s">
        <v>4331</v>
      </c>
      <c r="H27" s="20"/>
      <c r="I27" s="23"/>
      <c r="J27" s="23" t="s">
        <v>345</v>
      </c>
      <c r="K27" s="23" t="s">
        <v>323</v>
      </c>
      <c r="L27" s="23" t="s">
        <v>339</v>
      </c>
    </row>
    <row r="28" s="1" customFormat="1" spans="2:12">
      <c r="B28" s="19" t="s">
        <v>4312</v>
      </c>
      <c r="C28" s="19" t="s">
        <v>275</v>
      </c>
      <c r="D28" s="10" t="s">
        <v>4332</v>
      </c>
      <c r="E28" s="20" t="s">
        <v>199</v>
      </c>
      <c r="F28" s="19"/>
      <c r="G28" s="19" t="s">
        <v>4333</v>
      </c>
      <c r="H28" s="20"/>
      <c r="I28" s="23"/>
      <c r="J28" s="23" t="s">
        <v>345</v>
      </c>
      <c r="K28" s="23" t="s">
        <v>323</v>
      </c>
      <c r="L28" s="23" t="s">
        <v>339</v>
      </c>
    </row>
    <row r="29" s="2" customFormat="1" spans="1:12">
      <c r="A29" s="21"/>
      <c r="B29" s="22" t="s">
        <v>252</v>
      </c>
      <c r="C29" s="22" t="s">
        <v>220</v>
      </c>
      <c r="D29" s="22" t="s">
        <v>254</v>
      </c>
      <c r="E29" s="22"/>
      <c r="F29" s="22"/>
      <c r="G29" s="22"/>
      <c r="H29" s="22"/>
      <c r="I29" s="22"/>
      <c r="J29" s="22"/>
      <c r="K29" s="22"/>
      <c r="L29" s="22"/>
    </row>
    <row r="30" s="2" customFormat="1" spans="1:12">
      <c r="A30" s="21"/>
      <c r="B30" s="22" t="s">
        <v>255</v>
      </c>
      <c r="C30" s="22" t="s">
        <v>216</v>
      </c>
      <c r="D30" s="22" t="s">
        <v>256</v>
      </c>
      <c r="E30" s="22"/>
      <c r="F30" s="22"/>
      <c r="G30" s="22"/>
      <c r="H30" s="22"/>
      <c r="I30" s="22"/>
      <c r="J30" s="22"/>
      <c r="K30" s="22"/>
      <c r="L30" s="22"/>
    </row>
    <row r="31" s="2" customFormat="1" spans="1:12">
      <c r="A31" s="21"/>
      <c r="B31" s="22" t="s">
        <v>257</v>
      </c>
      <c r="C31" s="22" t="s">
        <v>220</v>
      </c>
      <c r="D31" s="22" t="s">
        <v>258</v>
      </c>
      <c r="E31" s="22"/>
      <c r="F31" s="22"/>
      <c r="G31" s="22"/>
      <c r="H31" s="22"/>
      <c r="I31" s="22"/>
      <c r="J31" s="22"/>
      <c r="K31" s="22"/>
      <c r="L31" s="22"/>
    </row>
  </sheetData>
  <autoFilter xmlns:etc="http://www.wps.cn/officeDocument/2017/etCustomData" ref="A14:N31" etc:filterBottomFollowUsedRange="0">
    <extLst/>
  </autoFilter>
  <mergeCells count="6">
    <mergeCell ref="B2:H2"/>
    <mergeCell ref="B3:H3"/>
    <mergeCell ref="B7:H7"/>
    <mergeCell ref="F9:G9"/>
    <mergeCell ref="F10:G10"/>
    <mergeCell ref="B13:L13"/>
  </mergeCells>
  <pageMargins left="0.7" right="0.7" top="0.75" bottom="0.75" header="0.3" footer="0.3"/>
  <pageSetup paperSize="9" orientation="portrait"/>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4"/>
  <sheetViews>
    <sheetView zoomScale="85" zoomScaleNormal="85" workbookViewId="0">
      <pane ySplit="5" topLeftCell="A6" activePane="bottomLeft" state="frozen"/>
      <selection/>
      <selection pane="bottomLeft" activeCell="C9" sqref="C9"/>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c r="C5" s="10" t="s">
        <v>174</v>
      </c>
      <c r="D5" s="10" t="s">
        <v>175</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4334</v>
      </c>
      <c r="D9" s="10" t="s">
        <v>4335</v>
      </c>
      <c r="E9" s="11" t="s">
        <v>199</v>
      </c>
      <c r="F9" s="11"/>
      <c r="G9" s="11"/>
      <c r="H9" s="15"/>
    </row>
    <row r="10" spans="2:8">
      <c r="B10" s="11"/>
      <c r="C10" s="10" t="s">
        <v>3632</v>
      </c>
      <c r="D10" s="10" t="s">
        <v>63</v>
      </c>
      <c r="E10" s="11" t="s">
        <v>287</v>
      </c>
      <c r="F10" s="11"/>
      <c r="G10" s="11"/>
      <c r="H10" s="15"/>
    </row>
    <row r="11" spans="2:8">
      <c r="B11" s="11"/>
      <c r="C11" s="10" t="s">
        <v>2810</v>
      </c>
      <c r="D11" s="10" t="s">
        <v>4336</v>
      </c>
      <c r="E11" s="11" t="s">
        <v>202</v>
      </c>
      <c r="F11" s="11"/>
      <c r="G11" s="11"/>
      <c r="H11" s="15"/>
    </row>
    <row r="12" spans="7:7">
      <c r="G12" s="17"/>
    </row>
    <row r="13" spans="2:2">
      <c r="B13" s="3" t="s">
        <v>204</v>
      </c>
    </row>
    <row r="14" spans="2:12">
      <c r="B14" s="7" t="s">
        <v>204</v>
      </c>
      <c r="C14" s="7"/>
      <c r="D14" s="7"/>
      <c r="E14" s="7"/>
      <c r="F14" s="7"/>
      <c r="G14" s="7"/>
      <c r="H14" s="7"/>
      <c r="I14" s="7"/>
      <c r="J14" s="7"/>
      <c r="K14" s="7"/>
      <c r="L14" s="7"/>
    </row>
    <row r="15" ht="24" spans="2:12">
      <c r="B15" s="18" t="s">
        <v>205</v>
      </c>
      <c r="C15" s="18" t="s">
        <v>206</v>
      </c>
      <c r="D15" s="18" t="s">
        <v>207</v>
      </c>
      <c r="E15" s="18" t="s">
        <v>208</v>
      </c>
      <c r="F15" s="18" t="s">
        <v>209</v>
      </c>
      <c r="G15" s="18" t="s">
        <v>210</v>
      </c>
      <c r="H15" s="18" t="s">
        <v>211</v>
      </c>
      <c r="I15" s="18" t="s">
        <v>17</v>
      </c>
      <c r="J15" s="18" t="s">
        <v>212</v>
      </c>
      <c r="K15" s="18" t="s">
        <v>213</v>
      </c>
      <c r="L15" s="18" t="s">
        <v>214</v>
      </c>
    </row>
    <row r="16" s="1" customFormat="1" spans="2:12">
      <c r="B16" s="19" t="s">
        <v>1302</v>
      </c>
      <c r="C16" s="19" t="s">
        <v>220</v>
      </c>
      <c r="D16" s="10" t="s">
        <v>4337</v>
      </c>
      <c r="E16" s="20"/>
      <c r="F16" s="19"/>
      <c r="G16" s="19"/>
      <c r="H16" s="20"/>
      <c r="I16" s="23"/>
      <c r="J16" s="23"/>
      <c r="K16" s="23"/>
      <c r="L16" s="23"/>
    </row>
    <row r="17" s="1" customFormat="1" spans="2:12">
      <c r="B17" s="19" t="s">
        <v>1048</v>
      </c>
      <c r="C17" s="19" t="s">
        <v>216</v>
      </c>
      <c r="D17" s="10" t="s">
        <v>4338</v>
      </c>
      <c r="E17" s="20"/>
      <c r="F17" s="19"/>
      <c r="G17" s="19"/>
      <c r="H17" s="20"/>
      <c r="I17" s="23"/>
      <c r="J17" s="23"/>
      <c r="K17" s="23"/>
      <c r="L17" s="23"/>
    </row>
    <row r="18" s="1" customFormat="1" spans="2:12">
      <c r="B18" s="19" t="s">
        <v>2588</v>
      </c>
      <c r="C18" s="19" t="s">
        <v>216</v>
      </c>
      <c r="D18" s="10" t="s">
        <v>4339</v>
      </c>
      <c r="E18" s="20"/>
      <c r="F18" s="19"/>
      <c r="G18" s="19"/>
      <c r="H18" s="20"/>
      <c r="I18" s="23"/>
      <c r="J18" s="23"/>
      <c r="K18" s="23"/>
      <c r="L18" s="23"/>
    </row>
    <row r="19" s="1" customFormat="1" spans="2:12">
      <c r="B19" s="19" t="s">
        <v>2589</v>
      </c>
      <c r="C19" s="19" t="s">
        <v>216</v>
      </c>
      <c r="D19" s="10" t="s">
        <v>4340</v>
      </c>
      <c r="E19" s="20"/>
      <c r="F19" s="19"/>
      <c r="G19" s="19"/>
      <c r="H19" s="20"/>
      <c r="I19" s="23"/>
      <c r="J19" s="23"/>
      <c r="K19" s="23"/>
      <c r="L19" s="23"/>
    </row>
    <row r="20" s="1" customFormat="1" spans="2:12">
      <c r="B20" s="19" t="s">
        <v>267</v>
      </c>
      <c r="C20" s="19" t="s">
        <v>216</v>
      </c>
      <c r="D20" s="10" t="s">
        <v>4341</v>
      </c>
      <c r="E20" s="20"/>
      <c r="F20" s="19"/>
      <c r="G20" s="19"/>
      <c r="H20" s="20"/>
      <c r="I20" s="23"/>
      <c r="J20" s="23"/>
      <c r="K20" s="23"/>
      <c r="L20" s="23"/>
    </row>
    <row r="21" s="1" customFormat="1" spans="2:12">
      <c r="B21" s="19" t="s">
        <v>1050</v>
      </c>
      <c r="C21" s="19" t="s">
        <v>220</v>
      </c>
      <c r="D21" s="10" t="s">
        <v>4342</v>
      </c>
      <c r="E21" s="20"/>
      <c r="F21" s="19"/>
      <c r="G21" s="19"/>
      <c r="H21" s="20"/>
      <c r="I21" s="23"/>
      <c r="J21" s="23"/>
      <c r="K21" s="23"/>
      <c r="L21" s="23"/>
    </row>
    <row r="22" s="1" customFormat="1" spans="2:12">
      <c r="B22" s="19" t="s">
        <v>1808</v>
      </c>
      <c r="C22" s="19" t="s">
        <v>216</v>
      </c>
      <c r="D22" s="10" t="s">
        <v>4343</v>
      </c>
      <c r="E22" s="20"/>
      <c r="F22" s="19"/>
      <c r="G22" s="19"/>
      <c r="H22" s="20"/>
      <c r="I22" s="23"/>
      <c r="J22" s="23"/>
      <c r="K22" s="23"/>
      <c r="L22" s="23"/>
    </row>
    <row r="23" s="1" customFormat="1" spans="2:12">
      <c r="B23" s="19" t="s">
        <v>3638</v>
      </c>
      <c r="C23" s="19" t="s">
        <v>220</v>
      </c>
      <c r="D23" s="10" t="s">
        <v>4344</v>
      </c>
      <c r="E23" s="20"/>
      <c r="F23" s="19"/>
      <c r="G23" s="19"/>
      <c r="H23" s="20"/>
      <c r="I23" s="23"/>
      <c r="J23" s="23"/>
      <c r="K23" s="23"/>
      <c r="L23" s="23"/>
    </row>
    <row r="24" s="1" customFormat="1" spans="2:12">
      <c r="B24" s="19" t="s">
        <v>4345</v>
      </c>
      <c r="C24" s="19" t="s">
        <v>275</v>
      </c>
      <c r="D24" s="10" t="s">
        <v>3641</v>
      </c>
      <c r="E24" s="20"/>
      <c r="F24" s="19"/>
      <c r="G24" s="19"/>
      <c r="H24" s="20"/>
      <c r="I24" s="23"/>
      <c r="J24" s="23"/>
      <c r="K24" s="23"/>
      <c r="L24" s="23"/>
    </row>
    <row r="25" s="1" customFormat="1" spans="2:12">
      <c r="B25" s="19" t="s">
        <v>4346</v>
      </c>
      <c r="C25" s="19" t="s">
        <v>275</v>
      </c>
      <c r="D25" s="10" t="s">
        <v>3643</v>
      </c>
      <c r="E25" s="20"/>
      <c r="F25" s="19"/>
      <c r="G25" s="19"/>
      <c r="H25" s="20"/>
      <c r="I25" s="23"/>
      <c r="J25" s="23"/>
      <c r="K25" s="23"/>
      <c r="L25" s="23"/>
    </row>
    <row r="26" s="1" customFormat="1" spans="2:12">
      <c r="B26" s="19" t="s">
        <v>3644</v>
      </c>
      <c r="C26" s="19" t="s">
        <v>220</v>
      </c>
      <c r="D26" s="10" t="s">
        <v>4347</v>
      </c>
      <c r="E26" s="20"/>
      <c r="F26" s="19"/>
      <c r="G26" s="19"/>
      <c r="H26" s="20"/>
      <c r="I26" s="23"/>
      <c r="J26" s="23"/>
      <c r="K26" s="23"/>
      <c r="L26" s="23"/>
    </row>
    <row r="27" s="1" customFormat="1" spans="2:12">
      <c r="B27" s="19" t="s">
        <v>4348</v>
      </c>
      <c r="C27" s="19" t="s">
        <v>220</v>
      </c>
      <c r="D27" s="10" t="s">
        <v>4349</v>
      </c>
      <c r="E27" s="20"/>
      <c r="F27" s="19"/>
      <c r="G27" s="19"/>
      <c r="H27" s="20"/>
      <c r="I27" s="23"/>
      <c r="J27" s="23"/>
      <c r="K27" s="23"/>
      <c r="L27" s="23"/>
    </row>
    <row r="28" s="1" customFormat="1" spans="2:12">
      <c r="B28" s="19" t="s">
        <v>3646</v>
      </c>
      <c r="C28" s="19" t="s">
        <v>220</v>
      </c>
      <c r="D28" s="10" t="s">
        <v>4350</v>
      </c>
      <c r="E28" s="20"/>
      <c r="F28" s="19"/>
      <c r="G28" s="19"/>
      <c r="H28" s="20"/>
      <c r="I28" s="23"/>
      <c r="J28" s="23"/>
      <c r="K28" s="23"/>
      <c r="L28" s="23"/>
    </row>
    <row r="29" s="1" customFormat="1" spans="2:12">
      <c r="B29" s="19" t="s">
        <v>4351</v>
      </c>
      <c r="C29" s="19" t="s">
        <v>220</v>
      </c>
      <c r="D29" s="10" t="s">
        <v>4352</v>
      </c>
      <c r="E29" s="20"/>
      <c r="F29" s="19"/>
      <c r="G29" s="19"/>
      <c r="H29" s="20"/>
      <c r="I29" s="23"/>
      <c r="J29" s="23"/>
      <c r="K29" s="23"/>
      <c r="L29" s="23"/>
    </row>
    <row r="30" s="1" customFormat="1" spans="2:12">
      <c r="B30" s="19" t="s">
        <v>3648</v>
      </c>
      <c r="C30" s="19" t="s">
        <v>220</v>
      </c>
      <c r="D30" s="10" t="s">
        <v>4353</v>
      </c>
      <c r="E30" s="20"/>
      <c r="F30" s="19"/>
      <c r="G30" s="19"/>
      <c r="H30" s="20"/>
      <c r="I30" s="23"/>
      <c r="J30" s="23"/>
      <c r="K30" s="23"/>
      <c r="L30" s="23"/>
    </row>
    <row r="31" s="1" customFormat="1" spans="2:12">
      <c r="B31" s="19" t="s">
        <v>3650</v>
      </c>
      <c r="C31" s="19" t="s">
        <v>220</v>
      </c>
      <c r="D31" s="10" t="s">
        <v>4354</v>
      </c>
      <c r="E31" s="20"/>
      <c r="F31" s="19"/>
      <c r="G31" s="19"/>
      <c r="H31" s="20"/>
      <c r="I31" s="23"/>
      <c r="J31" s="23"/>
      <c r="K31" s="23"/>
      <c r="L31" s="23"/>
    </row>
    <row r="32" s="1" customFormat="1" spans="2:12">
      <c r="B32" s="19" t="s">
        <v>4355</v>
      </c>
      <c r="C32" s="19" t="s">
        <v>275</v>
      </c>
      <c r="D32" s="10" t="s">
        <v>4356</v>
      </c>
      <c r="E32" s="20"/>
      <c r="F32" s="19"/>
      <c r="G32" s="19"/>
      <c r="H32" s="20"/>
      <c r="I32" s="23"/>
      <c r="J32" s="23"/>
      <c r="K32" s="23"/>
      <c r="L32" s="23"/>
    </row>
    <row r="33" s="1" customFormat="1" spans="2:12">
      <c r="B33" s="19" t="s">
        <v>4357</v>
      </c>
      <c r="C33" s="19" t="s">
        <v>220</v>
      </c>
      <c r="D33" s="10" t="s">
        <v>4358</v>
      </c>
      <c r="E33" s="20"/>
      <c r="F33" s="19"/>
      <c r="G33" s="19"/>
      <c r="H33" s="20"/>
      <c r="I33" s="23"/>
      <c r="J33" s="23"/>
      <c r="K33" s="23"/>
      <c r="L33" s="23"/>
    </row>
    <row r="34" s="1" customFormat="1" spans="2:12">
      <c r="B34" s="19" t="s">
        <v>4359</v>
      </c>
      <c r="C34" s="19" t="s">
        <v>216</v>
      </c>
      <c r="D34" s="10" t="s">
        <v>4360</v>
      </c>
      <c r="E34" s="20"/>
      <c r="F34" s="19"/>
      <c r="G34" s="19"/>
      <c r="H34" s="20"/>
      <c r="I34" s="23"/>
      <c r="J34" s="23"/>
      <c r="K34" s="23"/>
      <c r="L34" s="23"/>
    </row>
    <row r="35" s="1" customFormat="1" spans="2:12">
      <c r="B35" s="19" t="s">
        <v>3662</v>
      </c>
      <c r="C35" s="19" t="s">
        <v>220</v>
      </c>
      <c r="D35" s="10" t="s">
        <v>4361</v>
      </c>
      <c r="E35" s="20"/>
      <c r="F35" s="19"/>
      <c r="G35" s="19"/>
      <c r="H35" s="20"/>
      <c r="I35" s="23"/>
      <c r="J35" s="23"/>
      <c r="K35" s="23"/>
      <c r="L35" s="23"/>
    </row>
    <row r="36" s="1" customFormat="1" spans="2:12">
      <c r="B36" s="19" t="s">
        <v>4362</v>
      </c>
      <c r="C36" s="19" t="s">
        <v>216</v>
      </c>
      <c r="D36" s="10" t="s">
        <v>4363</v>
      </c>
      <c r="E36" s="20"/>
      <c r="F36" s="19"/>
      <c r="G36" s="19"/>
      <c r="H36" s="20"/>
      <c r="I36" s="23"/>
      <c r="J36" s="23"/>
      <c r="K36" s="23"/>
      <c r="L36" s="23"/>
    </row>
    <row r="37" s="1" customFormat="1" spans="2:12">
      <c r="B37" s="19" t="s">
        <v>4364</v>
      </c>
      <c r="C37" s="19" t="s">
        <v>216</v>
      </c>
      <c r="D37" s="10" t="s">
        <v>4365</v>
      </c>
      <c r="E37" s="20"/>
      <c r="F37" s="19"/>
      <c r="G37" s="19"/>
      <c r="H37" s="20"/>
      <c r="I37" s="23"/>
      <c r="J37" s="23"/>
      <c r="K37" s="23"/>
      <c r="L37" s="23"/>
    </row>
    <row r="38" s="1" customFormat="1" spans="2:12">
      <c r="B38" s="19" t="s">
        <v>4366</v>
      </c>
      <c r="C38" s="19" t="s">
        <v>220</v>
      </c>
      <c r="D38" s="10" t="s">
        <v>4367</v>
      </c>
      <c r="E38" s="20"/>
      <c r="F38" s="19"/>
      <c r="G38" s="19"/>
      <c r="H38" s="20"/>
      <c r="I38" s="23"/>
      <c r="J38" s="23"/>
      <c r="K38" s="23"/>
      <c r="L38" s="23"/>
    </row>
    <row r="39" s="1" customFormat="1" spans="2:12">
      <c r="B39" s="19" t="s">
        <v>4368</v>
      </c>
      <c r="C39" s="19" t="s">
        <v>220</v>
      </c>
      <c r="D39" s="10" t="s">
        <v>4369</v>
      </c>
      <c r="E39" s="20"/>
      <c r="F39" s="19"/>
      <c r="G39" s="19"/>
      <c r="H39" s="20"/>
      <c r="I39" s="23"/>
      <c r="J39" s="23"/>
      <c r="K39" s="23"/>
      <c r="L39" s="23"/>
    </row>
    <row r="40" s="1" customFormat="1" spans="2:12">
      <c r="B40" s="19" t="s">
        <v>4370</v>
      </c>
      <c r="C40" s="19" t="s">
        <v>220</v>
      </c>
      <c r="D40" s="10" t="s">
        <v>4371</v>
      </c>
      <c r="E40" s="20"/>
      <c r="F40" s="19"/>
      <c r="G40" s="19"/>
      <c r="H40" s="20"/>
      <c r="I40" s="23"/>
      <c r="J40" s="23"/>
      <c r="K40" s="23"/>
      <c r="L40" s="23"/>
    </row>
    <row r="41" s="1" customFormat="1" spans="2:12">
      <c r="B41" s="19" t="s">
        <v>4372</v>
      </c>
      <c r="C41" s="19" t="s">
        <v>220</v>
      </c>
      <c r="D41" s="10" t="s">
        <v>4373</v>
      </c>
      <c r="E41" s="20"/>
      <c r="F41" s="19"/>
      <c r="G41" s="19"/>
      <c r="H41" s="20"/>
      <c r="I41" s="23"/>
      <c r="J41" s="23"/>
      <c r="K41" s="23"/>
      <c r="L41" s="23"/>
    </row>
    <row r="42" s="1" customFormat="1" spans="2:12">
      <c r="B42" s="19" t="s">
        <v>4374</v>
      </c>
      <c r="C42" s="19" t="s">
        <v>220</v>
      </c>
      <c r="D42" s="10" t="s">
        <v>4375</v>
      </c>
      <c r="E42" s="20"/>
      <c r="F42" s="19"/>
      <c r="G42" s="19"/>
      <c r="H42" s="20"/>
      <c r="I42" s="23"/>
      <c r="J42" s="23"/>
      <c r="K42" s="23"/>
      <c r="L42" s="23"/>
    </row>
    <row r="43" s="1" customFormat="1" spans="2:12">
      <c r="B43" s="19" t="s">
        <v>4376</v>
      </c>
      <c r="C43" s="19" t="s">
        <v>220</v>
      </c>
      <c r="D43" s="10" t="s">
        <v>4377</v>
      </c>
      <c r="E43" s="20"/>
      <c r="F43" s="19"/>
      <c r="G43" s="19"/>
      <c r="H43" s="20"/>
      <c r="I43" s="23"/>
      <c r="J43" s="23"/>
      <c r="K43" s="23"/>
      <c r="L43" s="23"/>
    </row>
    <row r="44" s="1" customFormat="1" spans="2:12">
      <c r="B44" s="19" t="s">
        <v>4378</v>
      </c>
      <c r="C44" s="19" t="s">
        <v>220</v>
      </c>
      <c r="D44" s="10" t="s">
        <v>4379</v>
      </c>
      <c r="E44" s="20"/>
      <c r="F44" s="19"/>
      <c r="G44" s="19"/>
      <c r="H44" s="20"/>
      <c r="I44" s="23"/>
      <c r="J44" s="23"/>
      <c r="K44" s="23"/>
      <c r="L44" s="23"/>
    </row>
    <row r="45" s="1" customFormat="1" spans="2:12">
      <c r="B45" s="19" t="s">
        <v>4380</v>
      </c>
      <c r="C45" s="19" t="s">
        <v>220</v>
      </c>
      <c r="D45" s="10" t="s">
        <v>4381</v>
      </c>
      <c r="E45" s="20"/>
      <c r="F45" s="19"/>
      <c r="G45" s="19"/>
      <c r="H45" s="20"/>
      <c r="I45" s="23"/>
      <c r="J45" s="23"/>
      <c r="K45" s="23"/>
      <c r="L45" s="23"/>
    </row>
    <row r="46" s="1" customFormat="1" spans="2:12">
      <c r="B46" s="19" t="s">
        <v>4382</v>
      </c>
      <c r="C46" s="19" t="s">
        <v>220</v>
      </c>
      <c r="D46" s="10" t="s">
        <v>4383</v>
      </c>
      <c r="E46" s="20"/>
      <c r="F46" s="19"/>
      <c r="G46" s="19"/>
      <c r="H46" s="20"/>
      <c r="I46" s="23"/>
      <c r="J46" s="23"/>
      <c r="K46" s="23"/>
      <c r="L46" s="23"/>
    </row>
    <row r="47" s="1" customFormat="1" spans="2:12">
      <c r="B47" s="19" t="s">
        <v>4384</v>
      </c>
      <c r="C47" s="19" t="s">
        <v>220</v>
      </c>
      <c r="D47" s="10" t="s">
        <v>4385</v>
      </c>
      <c r="E47" s="20"/>
      <c r="F47" s="19"/>
      <c r="G47" s="19"/>
      <c r="H47" s="20"/>
      <c r="I47" s="23"/>
      <c r="J47" s="23"/>
      <c r="K47" s="23"/>
      <c r="L47" s="23"/>
    </row>
    <row r="48" s="1" customFormat="1" spans="2:12">
      <c r="B48" s="19" t="s">
        <v>4386</v>
      </c>
      <c r="C48" s="19" t="s">
        <v>220</v>
      </c>
      <c r="D48" s="10" t="s">
        <v>4387</v>
      </c>
      <c r="E48" s="20"/>
      <c r="F48" s="19"/>
      <c r="G48" s="19"/>
      <c r="H48" s="20"/>
      <c r="I48" s="23"/>
      <c r="J48" s="23"/>
      <c r="K48" s="23"/>
      <c r="L48" s="23"/>
    </row>
    <row r="49" s="1" customFormat="1" spans="2:12">
      <c r="B49" s="19" t="s">
        <v>3673</v>
      </c>
      <c r="C49" s="19" t="s">
        <v>220</v>
      </c>
      <c r="D49" s="10" t="s">
        <v>4388</v>
      </c>
      <c r="E49" s="20"/>
      <c r="F49" s="19"/>
      <c r="G49" s="19"/>
      <c r="H49" s="20"/>
      <c r="I49" s="23"/>
      <c r="J49" s="23"/>
      <c r="K49" s="23"/>
      <c r="L49" s="23"/>
    </row>
    <row r="50" s="1" customFormat="1" spans="2:12">
      <c r="B50" s="19" t="s">
        <v>4389</v>
      </c>
      <c r="C50" s="19" t="s">
        <v>275</v>
      </c>
      <c r="D50" s="10" t="s">
        <v>4390</v>
      </c>
      <c r="E50" s="20"/>
      <c r="F50" s="19"/>
      <c r="G50" s="19"/>
      <c r="H50" s="20"/>
      <c r="I50" s="23"/>
      <c r="J50" s="23"/>
      <c r="K50" s="23"/>
      <c r="L50" s="23"/>
    </row>
    <row r="51" s="1" customFormat="1" spans="2:12">
      <c r="B51" s="19" t="s">
        <v>4391</v>
      </c>
      <c r="C51" s="19" t="s">
        <v>220</v>
      </c>
      <c r="D51" s="10" t="s">
        <v>4392</v>
      </c>
      <c r="E51" s="20"/>
      <c r="F51" s="19"/>
      <c r="G51" s="19"/>
      <c r="H51" s="20"/>
      <c r="I51" s="23"/>
      <c r="J51" s="23"/>
      <c r="K51" s="23"/>
      <c r="L51" s="23"/>
    </row>
    <row r="52" s="1" customFormat="1" spans="2:12">
      <c r="B52" s="19" t="s">
        <v>4393</v>
      </c>
      <c r="C52" s="19" t="s">
        <v>220</v>
      </c>
      <c r="D52" s="10" t="s">
        <v>4394</v>
      </c>
      <c r="E52" s="20"/>
      <c r="F52" s="19"/>
      <c r="G52" s="19"/>
      <c r="H52" s="20"/>
      <c r="I52" s="23"/>
      <c r="J52" s="23"/>
      <c r="K52" s="23"/>
      <c r="L52" s="23"/>
    </row>
    <row r="53" s="1" customFormat="1" ht="26.4" spans="2:12">
      <c r="B53" s="19" t="s">
        <v>4395</v>
      </c>
      <c r="C53" s="19" t="s">
        <v>220</v>
      </c>
      <c r="D53" s="10" t="s">
        <v>4396</v>
      </c>
      <c r="E53" s="20"/>
      <c r="F53" s="19"/>
      <c r="G53" s="19"/>
      <c r="H53" s="20"/>
      <c r="I53" s="23"/>
      <c r="J53" s="23"/>
      <c r="K53" s="23"/>
      <c r="L53" s="23"/>
    </row>
    <row r="54" s="1" customFormat="1" spans="2:12">
      <c r="B54" s="19" t="s">
        <v>4397</v>
      </c>
      <c r="C54" s="19" t="s">
        <v>220</v>
      </c>
      <c r="D54" s="10" t="s">
        <v>4398</v>
      </c>
      <c r="E54" s="20"/>
      <c r="F54" s="19"/>
      <c r="G54" s="19"/>
      <c r="H54" s="20"/>
      <c r="I54" s="23"/>
      <c r="J54" s="23"/>
      <c r="K54" s="23"/>
      <c r="L54" s="23"/>
    </row>
    <row r="55" s="1" customFormat="1" spans="2:12">
      <c r="B55" s="19" t="s">
        <v>4399</v>
      </c>
      <c r="C55" s="19" t="s">
        <v>220</v>
      </c>
      <c r="D55" s="10" t="s">
        <v>4400</v>
      </c>
      <c r="E55" s="20"/>
      <c r="F55" s="19"/>
      <c r="G55" s="19"/>
      <c r="H55" s="20"/>
      <c r="I55" s="23"/>
      <c r="J55" s="23"/>
      <c r="K55" s="23"/>
      <c r="L55" s="23"/>
    </row>
    <row r="56" s="1" customFormat="1" spans="2:12">
      <c r="B56" s="19" t="s">
        <v>4401</v>
      </c>
      <c r="C56" s="19" t="s">
        <v>220</v>
      </c>
      <c r="D56" s="10" t="s">
        <v>4402</v>
      </c>
      <c r="E56" s="20"/>
      <c r="F56" s="19"/>
      <c r="G56" s="19"/>
      <c r="H56" s="20"/>
      <c r="I56" s="23"/>
      <c r="J56" s="23"/>
      <c r="K56" s="23"/>
      <c r="L56" s="23"/>
    </row>
    <row r="57" s="1" customFormat="1" ht="26.4" spans="2:12">
      <c r="B57" s="19" t="s">
        <v>4403</v>
      </c>
      <c r="C57" s="19" t="s">
        <v>220</v>
      </c>
      <c r="D57" s="10" t="s">
        <v>4404</v>
      </c>
      <c r="E57" s="20"/>
      <c r="F57" s="19"/>
      <c r="G57" s="19"/>
      <c r="H57" s="20"/>
      <c r="I57" s="23"/>
      <c r="J57" s="23"/>
      <c r="K57" s="23"/>
      <c r="L57" s="23"/>
    </row>
    <row r="58" s="1" customFormat="1" spans="2:12">
      <c r="B58" s="19" t="s">
        <v>4405</v>
      </c>
      <c r="C58" s="19" t="s">
        <v>220</v>
      </c>
      <c r="D58" s="10" t="s">
        <v>4406</v>
      </c>
      <c r="E58" s="20"/>
      <c r="F58" s="19"/>
      <c r="G58" s="19"/>
      <c r="H58" s="20"/>
      <c r="I58" s="23"/>
      <c r="J58" s="23"/>
      <c r="K58" s="23"/>
      <c r="L58" s="23"/>
    </row>
    <row r="59" s="1" customFormat="1" spans="2:12">
      <c r="B59" s="19" t="s">
        <v>4407</v>
      </c>
      <c r="C59" s="19" t="s">
        <v>220</v>
      </c>
      <c r="D59" s="10" t="s">
        <v>4408</v>
      </c>
      <c r="E59" s="20"/>
      <c r="F59" s="19"/>
      <c r="G59" s="19"/>
      <c r="H59" s="20"/>
      <c r="I59" s="23"/>
      <c r="J59" s="23"/>
      <c r="K59" s="23"/>
      <c r="L59" s="23"/>
    </row>
    <row r="60" s="1" customFormat="1" spans="2:12">
      <c r="B60" s="19" t="s">
        <v>4409</v>
      </c>
      <c r="C60" s="19" t="s">
        <v>220</v>
      </c>
      <c r="D60" s="10" t="s">
        <v>4410</v>
      </c>
      <c r="E60" s="20"/>
      <c r="F60" s="19"/>
      <c r="G60" s="19"/>
      <c r="H60" s="20"/>
      <c r="I60" s="23"/>
      <c r="J60" s="23"/>
      <c r="K60" s="23"/>
      <c r="L60" s="23"/>
    </row>
    <row r="61" s="1" customFormat="1" spans="2:12">
      <c r="B61" s="19" t="s">
        <v>4411</v>
      </c>
      <c r="C61" s="19" t="s">
        <v>220</v>
      </c>
      <c r="D61" s="10" t="s">
        <v>4412</v>
      </c>
      <c r="E61" s="20"/>
      <c r="F61" s="19"/>
      <c r="G61" s="19"/>
      <c r="H61" s="20"/>
      <c r="I61" s="23"/>
      <c r="J61" s="23"/>
      <c r="K61" s="23"/>
      <c r="L61" s="23"/>
    </row>
    <row r="62" s="1" customFormat="1" spans="2:12">
      <c r="B62" s="19" t="s">
        <v>4413</v>
      </c>
      <c r="C62" s="19" t="s">
        <v>220</v>
      </c>
      <c r="D62" s="10" t="s">
        <v>4414</v>
      </c>
      <c r="E62" s="20"/>
      <c r="F62" s="19"/>
      <c r="G62" s="19"/>
      <c r="H62" s="20"/>
      <c r="I62" s="23"/>
      <c r="J62" s="23"/>
      <c r="K62" s="23"/>
      <c r="L62" s="23"/>
    </row>
    <row r="63" s="1" customFormat="1" spans="2:12">
      <c r="B63" s="19" t="s">
        <v>4415</v>
      </c>
      <c r="C63" s="19" t="s">
        <v>220</v>
      </c>
      <c r="D63" s="10" t="s">
        <v>4416</v>
      </c>
      <c r="E63" s="20"/>
      <c r="F63" s="19"/>
      <c r="G63" s="19"/>
      <c r="H63" s="20"/>
      <c r="I63" s="23"/>
      <c r="J63" s="23"/>
      <c r="K63" s="23"/>
      <c r="L63" s="23"/>
    </row>
    <row r="64" s="1" customFormat="1" spans="2:12">
      <c r="B64" s="19" t="s">
        <v>2616</v>
      </c>
      <c r="C64" s="19" t="s">
        <v>275</v>
      </c>
      <c r="D64" s="10" t="s">
        <v>4417</v>
      </c>
      <c r="E64" s="20"/>
      <c r="F64" s="19"/>
      <c r="G64" s="19"/>
      <c r="H64" s="20"/>
      <c r="I64" s="23"/>
      <c r="J64" s="23"/>
      <c r="K64" s="23"/>
      <c r="L64" s="23"/>
    </row>
    <row r="65" s="1" customFormat="1" spans="2:12">
      <c r="B65" s="19" t="s">
        <v>2617</v>
      </c>
      <c r="C65" s="19" t="s">
        <v>275</v>
      </c>
      <c r="D65" s="10" t="s">
        <v>4418</v>
      </c>
      <c r="E65" s="20"/>
      <c r="F65" s="19"/>
      <c r="G65" s="19"/>
      <c r="H65" s="20"/>
      <c r="I65" s="23"/>
      <c r="J65" s="23"/>
      <c r="K65" s="23"/>
      <c r="L65" s="23"/>
    </row>
    <row r="66" s="1" customFormat="1" spans="2:12">
      <c r="B66" s="19" t="s">
        <v>3339</v>
      </c>
      <c r="C66" s="19" t="s">
        <v>216</v>
      </c>
      <c r="D66" s="10" t="s">
        <v>2738</v>
      </c>
      <c r="E66" s="20"/>
      <c r="F66" s="19"/>
      <c r="G66" s="19"/>
      <c r="H66" s="20"/>
      <c r="I66" s="23"/>
      <c r="J66" s="23"/>
      <c r="K66" s="23"/>
      <c r="L66" s="23"/>
    </row>
    <row r="67" s="1" customFormat="1" spans="2:12">
      <c r="B67" s="19" t="s">
        <v>3341</v>
      </c>
      <c r="C67" s="19" t="s">
        <v>216</v>
      </c>
      <c r="D67" s="10" t="s">
        <v>2739</v>
      </c>
      <c r="E67" s="20"/>
      <c r="F67" s="19"/>
      <c r="G67" s="19"/>
      <c r="H67" s="20"/>
      <c r="I67" s="23"/>
      <c r="J67" s="23"/>
      <c r="K67" s="23"/>
      <c r="L67" s="23"/>
    </row>
    <row r="68" s="24" customFormat="1" spans="2:12">
      <c r="B68" s="19" t="s">
        <v>4419</v>
      </c>
      <c r="C68" s="19" t="s">
        <v>220</v>
      </c>
      <c r="D68" s="10" t="s">
        <v>4387</v>
      </c>
      <c r="E68" s="20"/>
      <c r="F68" s="19"/>
      <c r="G68" s="19"/>
      <c r="H68" s="20"/>
      <c r="I68" s="26"/>
      <c r="J68" s="26"/>
      <c r="K68" s="26"/>
      <c r="L68" s="26"/>
    </row>
    <row r="69" s="24" customFormat="1" spans="2:12">
      <c r="B69" s="19" t="s">
        <v>4420</v>
      </c>
      <c r="C69" s="19" t="s">
        <v>220</v>
      </c>
      <c r="D69" s="10" t="s">
        <v>4421</v>
      </c>
      <c r="E69" s="20"/>
      <c r="F69" s="19"/>
      <c r="G69" s="19"/>
      <c r="H69" s="20"/>
      <c r="I69" s="26"/>
      <c r="J69" s="26"/>
      <c r="K69" s="26"/>
      <c r="L69" s="26"/>
    </row>
    <row r="70" s="24" customFormat="1" spans="2:12">
      <c r="B70" s="19" t="s">
        <v>4422</v>
      </c>
      <c r="C70" s="19" t="s">
        <v>275</v>
      </c>
      <c r="D70" s="10" t="s">
        <v>4423</v>
      </c>
      <c r="E70" s="20"/>
      <c r="F70" s="19"/>
      <c r="G70" s="19"/>
      <c r="H70" s="20"/>
      <c r="I70" s="26"/>
      <c r="J70" s="26"/>
      <c r="K70" s="26"/>
      <c r="L70" s="26"/>
    </row>
    <row r="71" s="24" customFormat="1" spans="2:12">
      <c r="B71" s="19" t="s">
        <v>4424</v>
      </c>
      <c r="C71" s="19" t="s">
        <v>220</v>
      </c>
      <c r="D71" s="10" t="s">
        <v>4425</v>
      </c>
      <c r="E71" s="20"/>
      <c r="F71" s="19"/>
      <c r="G71" s="19"/>
      <c r="H71" s="20"/>
      <c r="I71" s="26"/>
      <c r="J71" s="26"/>
      <c r="K71" s="26"/>
      <c r="L71" s="26"/>
    </row>
    <row r="72" s="24" customFormat="1" spans="2:12">
      <c r="B72" s="19" t="s">
        <v>4426</v>
      </c>
      <c r="C72" s="19" t="s">
        <v>220</v>
      </c>
      <c r="D72" s="10" t="s">
        <v>4427</v>
      </c>
      <c r="E72" s="20"/>
      <c r="F72" s="19"/>
      <c r="G72" s="19"/>
      <c r="H72" s="20"/>
      <c r="I72" s="26"/>
      <c r="J72" s="26"/>
      <c r="K72" s="26"/>
      <c r="L72" s="26"/>
    </row>
    <row r="73" s="24" customFormat="1" spans="2:12">
      <c r="B73" s="19" t="s">
        <v>4428</v>
      </c>
      <c r="C73" s="19" t="s">
        <v>220</v>
      </c>
      <c r="D73" s="10" t="s">
        <v>4429</v>
      </c>
      <c r="E73" s="20"/>
      <c r="F73" s="19"/>
      <c r="G73" s="19"/>
      <c r="H73" s="20"/>
      <c r="I73" s="26"/>
      <c r="J73" s="26"/>
      <c r="K73" s="26"/>
      <c r="L73" s="26"/>
    </row>
    <row r="74" s="24" customFormat="1" spans="2:12">
      <c r="B74" s="19" t="s">
        <v>4430</v>
      </c>
      <c r="C74" s="19" t="s">
        <v>220</v>
      </c>
      <c r="D74" s="10" t="s">
        <v>4431</v>
      </c>
      <c r="E74" s="20"/>
      <c r="F74" s="19"/>
      <c r="G74" s="19"/>
      <c r="H74" s="20"/>
      <c r="I74" s="26"/>
      <c r="J74" s="26"/>
      <c r="K74" s="26"/>
      <c r="L74" s="26"/>
    </row>
    <row r="75" s="24" customFormat="1" spans="2:12">
      <c r="B75" s="19" t="s">
        <v>4432</v>
      </c>
      <c r="C75" s="19" t="s">
        <v>220</v>
      </c>
      <c r="D75" s="10" t="s">
        <v>4433</v>
      </c>
      <c r="E75" s="20"/>
      <c r="F75" s="19"/>
      <c r="G75" s="19"/>
      <c r="H75" s="20"/>
      <c r="I75" s="26"/>
      <c r="J75" s="26"/>
      <c r="K75" s="26"/>
      <c r="L75" s="26"/>
    </row>
    <row r="76" s="24" customFormat="1" spans="2:12">
      <c r="B76" s="19" t="s">
        <v>4434</v>
      </c>
      <c r="C76" s="19" t="s">
        <v>220</v>
      </c>
      <c r="D76" s="10" t="s">
        <v>4435</v>
      </c>
      <c r="E76" s="20"/>
      <c r="F76" s="19"/>
      <c r="G76" s="19"/>
      <c r="H76" s="20"/>
      <c r="I76" s="26"/>
      <c r="J76" s="26"/>
      <c r="K76" s="26"/>
      <c r="L76" s="26"/>
    </row>
    <row r="77" s="24" customFormat="1" spans="2:12">
      <c r="B77" s="19" t="s">
        <v>4436</v>
      </c>
      <c r="C77" s="19" t="s">
        <v>220</v>
      </c>
      <c r="D77" s="10" t="s">
        <v>4437</v>
      </c>
      <c r="E77" s="20"/>
      <c r="F77" s="19"/>
      <c r="G77" s="19"/>
      <c r="H77" s="20"/>
      <c r="I77" s="26"/>
      <c r="J77" s="26"/>
      <c r="K77" s="26"/>
      <c r="L77" s="26"/>
    </row>
    <row r="78" s="24" customFormat="1" spans="2:12">
      <c r="B78" s="19" t="s">
        <v>4438</v>
      </c>
      <c r="C78" s="19" t="s">
        <v>220</v>
      </c>
      <c r="D78" s="10" t="s">
        <v>4439</v>
      </c>
      <c r="E78" s="20"/>
      <c r="F78" s="19"/>
      <c r="G78" s="19"/>
      <c r="H78" s="20"/>
      <c r="I78" s="26"/>
      <c r="J78" s="26"/>
      <c r="K78" s="26"/>
      <c r="L78" s="26"/>
    </row>
    <row r="79" s="24" customFormat="1" spans="2:12">
      <c r="B79" s="19" t="s">
        <v>4440</v>
      </c>
      <c r="C79" s="19" t="s">
        <v>220</v>
      </c>
      <c r="D79" s="10" t="s">
        <v>4441</v>
      </c>
      <c r="E79" s="20"/>
      <c r="F79" s="19"/>
      <c r="G79" s="19"/>
      <c r="H79" s="20"/>
      <c r="I79" s="26"/>
      <c r="J79" s="26"/>
      <c r="K79" s="26"/>
      <c r="L79" s="26"/>
    </row>
    <row r="80" s="24" customFormat="1" spans="2:12">
      <c r="B80" s="19" t="s">
        <v>4442</v>
      </c>
      <c r="C80" s="19" t="s">
        <v>220</v>
      </c>
      <c r="D80" s="10" t="s">
        <v>4443</v>
      </c>
      <c r="E80" s="20"/>
      <c r="F80" s="19"/>
      <c r="G80" s="19"/>
      <c r="H80" s="20"/>
      <c r="I80" s="26"/>
      <c r="J80" s="26"/>
      <c r="K80" s="26"/>
      <c r="L80" s="26"/>
    </row>
    <row r="81" s="24" customFormat="1" spans="2:12">
      <c r="B81" s="19" t="s">
        <v>4444</v>
      </c>
      <c r="C81" s="19" t="s">
        <v>220</v>
      </c>
      <c r="D81" s="10" t="s">
        <v>4445</v>
      </c>
      <c r="E81" s="20"/>
      <c r="F81" s="19"/>
      <c r="G81" s="19"/>
      <c r="H81" s="20"/>
      <c r="I81" s="26"/>
      <c r="J81" s="26"/>
      <c r="K81" s="26"/>
      <c r="L81" s="26"/>
    </row>
    <row r="82" s="24" customFormat="1" spans="2:12">
      <c r="B82" s="19" t="s">
        <v>4446</v>
      </c>
      <c r="C82" s="19" t="s">
        <v>220</v>
      </c>
      <c r="D82" s="10" t="s">
        <v>4447</v>
      </c>
      <c r="E82" s="20"/>
      <c r="F82" s="19"/>
      <c r="G82" s="19"/>
      <c r="H82" s="20"/>
      <c r="I82" s="26"/>
      <c r="J82" s="26"/>
      <c r="K82" s="26"/>
      <c r="L82" s="26"/>
    </row>
    <row r="83" s="24" customFormat="1" spans="2:12">
      <c r="B83" s="19" t="s">
        <v>4448</v>
      </c>
      <c r="C83" s="19" t="s">
        <v>220</v>
      </c>
      <c r="D83" s="10" t="s">
        <v>4449</v>
      </c>
      <c r="E83" s="20"/>
      <c r="F83" s="19"/>
      <c r="G83" s="19"/>
      <c r="H83" s="20"/>
      <c r="I83" s="26"/>
      <c r="J83" s="26"/>
      <c r="K83" s="26"/>
      <c r="L83" s="26"/>
    </row>
    <row r="84" s="24" customFormat="1" spans="2:12">
      <c r="B84" s="19" t="s">
        <v>4450</v>
      </c>
      <c r="C84" s="19" t="s">
        <v>216</v>
      </c>
      <c r="D84" s="10" t="s">
        <v>4451</v>
      </c>
      <c r="E84" s="20"/>
      <c r="F84" s="19"/>
      <c r="G84" s="19"/>
      <c r="H84" s="20"/>
      <c r="I84" s="26"/>
      <c r="J84" s="26"/>
      <c r="K84" s="26"/>
      <c r="L84" s="26"/>
    </row>
    <row r="85" s="24" customFormat="1" spans="2:12">
      <c r="B85" s="19" t="s">
        <v>4452</v>
      </c>
      <c r="C85" s="19" t="s">
        <v>220</v>
      </c>
      <c r="D85" s="10" t="s">
        <v>4453</v>
      </c>
      <c r="E85" s="20"/>
      <c r="F85" s="19"/>
      <c r="G85" s="19"/>
      <c r="H85" s="20"/>
      <c r="I85" s="26"/>
      <c r="J85" s="26"/>
      <c r="K85" s="26"/>
      <c r="L85" s="26"/>
    </row>
    <row r="86" s="24" customFormat="1" spans="2:12">
      <c r="B86" s="19" t="s">
        <v>4454</v>
      </c>
      <c r="C86" s="19" t="s">
        <v>220</v>
      </c>
      <c r="D86" s="10" t="s">
        <v>4455</v>
      </c>
      <c r="E86" s="20"/>
      <c r="F86" s="19"/>
      <c r="G86" s="19"/>
      <c r="H86" s="20"/>
      <c r="I86" s="26"/>
      <c r="J86" s="26"/>
      <c r="K86" s="26"/>
      <c r="L86" s="26"/>
    </row>
    <row r="87" s="24" customFormat="1" spans="2:12">
      <c r="B87" s="19" t="s">
        <v>4456</v>
      </c>
      <c r="C87" s="19" t="s">
        <v>216</v>
      </c>
      <c r="D87" s="19" t="s">
        <v>4456</v>
      </c>
      <c r="E87" s="20"/>
      <c r="F87" s="19"/>
      <c r="G87" s="19"/>
      <c r="H87" s="20"/>
      <c r="I87" s="26"/>
      <c r="J87" s="26"/>
      <c r="K87" s="26"/>
      <c r="L87" s="26"/>
    </row>
    <row r="88" s="24" customFormat="1" spans="2:12">
      <c r="B88" s="19" t="s">
        <v>4457</v>
      </c>
      <c r="C88" s="19" t="s">
        <v>216</v>
      </c>
      <c r="D88" s="19" t="s">
        <v>4457</v>
      </c>
      <c r="E88" s="20"/>
      <c r="F88" s="19"/>
      <c r="G88" s="19"/>
      <c r="H88" s="20"/>
      <c r="I88" s="26"/>
      <c r="J88" s="26"/>
      <c r="K88" s="26"/>
      <c r="L88" s="26"/>
    </row>
    <row r="89" s="24" customFormat="1" ht="26.4" spans="2:12">
      <c r="B89" s="19" t="s">
        <v>4458</v>
      </c>
      <c r="C89" s="19" t="s">
        <v>220</v>
      </c>
      <c r="D89" s="10" t="s">
        <v>4459</v>
      </c>
      <c r="E89" s="20"/>
      <c r="F89" s="19"/>
      <c r="G89" s="19"/>
      <c r="H89" s="20"/>
      <c r="I89" s="26"/>
      <c r="J89" s="26"/>
      <c r="K89" s="26"/>
      <c r="L89" s="26"/>
    </row>
    <row r="90" s="24" customFormat="1" spans="2:12">
      <c r="B90" s="19" t="s">
        <v>4460</v>
      </c>
      <c r="C90" s="19" t="s">
        <v>220</v>
      </c>
      <c r="D90" s="10" t="s">
        <v>4461</v>
      </c>
      <c r="E90" s="20"/>
      <c r="F90" s="19"/>
      <c r="G90" s="19"/>
      <c r="H90" s="20"/>
      <c r="I90" s="26"/>
      <c r="J90" s="26"/>
      <c r="K90" s="26"/>
      <c r="L90" s="26"/>
    </row>
    <row r="91" s="24" customFormat="1" spans="2:12">
      <c r="B91" s="19" t="s">
        <v>4462</v>
      </c>
      <c r="C91" s="19" t="s">
        <v>220</v>
      </c>
      <c r="D91" s="10" t="s">
        <v>4463</v>
      </c>
      <c r="E91" s="20"/>
      <c r="F91" s="19"/>
      <c r="G91" s="19"/>
      <c r="H91" s="20"/>
      <c r="I91" s="26"/>
      <c r="J91" s="26"/>
      <c r="K91" s="26"/>
      <c r="L91" s="26"/>
    </row>
    <row r="92" s="24" customFormat="1" spans="2:12">
      <c r="B92" s="19" t="s">
        <v>4464</v>
      </c>
      <c r="C92" s="19" t="s">
        <v>220</v>
      </c>
      <c r="D92" s="10" t="s">
        <v>4465</v>
      </c>
      <c r="E92" s="20"/>
      <c r="F92" s="19"/>
      <c r="G92" s="19"/>
      <c r="H92" s="20"/>
      <c r="I92" s="26"/>
      <c r="J92" s="26"/>
      <c r="K92" s="26"/>
      <c r="L92" s="26"/>
    </row>
    <row r="93" s="24" customFormat="1" spans="2:12">
      <c r="B93" s="19" t="s">
        <v>4466</v>
      </c>
      <c r="C93" s="19" t="s">
        <v>216</v>
      </c>
      <c r="D93" s="10" t="s">
        <v>4467</v>
      </c>
      <c r="E93" s="20"/>
      <c r="F93" s="19"/>
      <c r="G93" s="19"/>
      <c r="H93" s="20"/>
      <c r="I93" s="26"/>
      <c r="J93" s="26"/>
      <c r="K93" s="26"/>
      <c r="L93" s="26"/>
    </row>
    <row r="94" s="24" customFormat="1" spans="2:12">
      <c r="B94" s="19" t="s">
        <v>4468</v>
      </c>
      <c r="C94" s="19" t="s">
        <v>216</v>
      </c>
      <c r="D94" s="10" t="s">
        <v>4469</v>
      </c>
      <c r="E94" s="20"/>
      <c r="F94" s="19"/>
      <c r="G94" s="19"/>
      <c r="H94" s="20"/>
      <c r="I94" s="26"/>
      <c r="J94" s="26"/>
      <c r="K94" s="26"/>
      <c r="L94" s="26"/>
    </row>
    <row r="95" s="24" customFormat="1" spans="2:12">
      <c r="B95" s="19" t="s">
        <v>4470</v>
      </c>
      <c r="C95" s="19" t="s">
        <v>220</v>
      </c>
      <c r="D95" s="10" t="s">
        <v>4471</v>
      </c>
      <c r="E95" s="20"/>
      <c r="F95" s="19"/>
      <c r="G95" s="19"/>
      <c r="H95" s="20"/>
      <c r="I95" s="26"/>
      <c r="J95" s="26"/>
      <c r="K95" s="26"/>
      <c r="L95" s="26"/>
    </row>
    <row r="96" s="24" customFormat="1" spans="2:12">
      <c r="B96" s="19" t="s">
        <v>4472</v>
      </c>
      <c r="C96" s="19" t="s">
        <v>220</v>
      </c>
      <c r="D96" s="10" t="s">
        <v>4473</v>
      </c>
      <c r="E96" s="20"/>
      <c r="F96" s="19"/>
      <c r="G96" s="19"/>
      <c r="H96" s="20"/>
      <c r="I96" s="26"/>
      <c r="J96" s="26"/>
      <c r="K96" s="26"/>
      <c r="L96" s="26"/>
    </row>
    <row r="97" s="24" customFormat="1" spans="2:12">
      <c r="B97" s="19" t="s">
        <v>4474</v>
      </c>
      <c r="C97" s="19" t="s">
        <v>220</v>
      </c>
      <c r="D97" s="10" t="s">
        <v>4475</v>
      </c>
      <c r="E97" s="20"/>
      <c r="F97" s="19"/>
      <c r="G97" s="19"/>
      <c r="H97" s="20"/>
      <c r="I97" s="26"/>
      <c r="J97" s="26"/>
      <c r="K97" s="26"/>
      <c r="L97" s="26"/>
    </row>
    <row r="98" s="24" customFormat="1" spans="2:12">
      <c r="B98" s="19" t="s">
        <v>4476</v>
      </c>
      <c r="C98" s="19" t="s">
        <v>220</v>
      </c>
      <c r="D98" s="10" t="s">
        <v>4477</v>
      </c>
      <c r="E98" s="20"/>
      <c r="F98" s="19"/>
      <c r="G98" s="19"/>
      <c r="H98" s="20"/>
      <c r="I98" s="26"/>
      <c r="J98" s="26"/>
      <c r="K98" s="26"/>
      <c r="L98" s="26"/>
    </row>
    <row r="99" s="24" customFormat="1" spans="2:12">
      <c r="B99" s="19" t="s">
        <v>4478</v>
      </c>
      <c r="C99" s="19" t="s">
        <v>220</v>
      </c>
      <c r="D99" s="10" t="s">
        <v>4479</v>
      </c>
      <c r="E99" s="20"/>
      <c r="F99" s="19"/>
      <c r="G99" s="19"/>
      <c r="H99" s="20"/>
      <c r="I99" s="26"/>
      <c r="J99" s="26"/>
      <c r="K99" s="26"/>
      <c r="L99" s="26"/>
    </row>
    <row r="100" s="24" customFormat="1" spans="2:12">
      <c r="B100" s="19" t="s">
        <v>4480</v>
      </c>
      <c r="C100" s="19" t="s">
        <v>220</v>
      </c>
      <c r="D100" s="10" t="s">
        <v>4481</v>
      </c>
      <c r="E100" s="20"/>
      <c r="F100" s="19"/>
      <c r="G100" s="19"/>
      <c r="H100" s="20"/>
      <c r="I100" s="26"/>
      <c r="J100" s="26"/>
      <c r="K100" s="26"/>
      <c r="L100" s="26"/>
    </row>
    <row r="101" s="24" customFormat="1" spans="2:12">
      <c r="B101" s="19" t="s">
        <v>4482</v>
      </c>
      <c r="C101" s="19" t="s">
        <v>216</v>
      </c>
      <c r="D101" s="10" t="s">
        <v>4483</v>
      </c>
      <c r="E101" s="20"/>
      <c r="F101" s="19"/>
      <c r="G101" s="19"/>
      <c r="H101" s="20"/>
      <c r="I101" s="26"/>
      <c r="J101" s="26"/>
      <c r="K101" s="26"/>
      <c r="L101" s="26"/>
    </row>
    <row r="102" s="24" customFormat="1" spans="2:12">
      <c r="B102" s="19" t="s">
        <v>4484</v>
      </c>
      <c r="C102" s="19" t="s">
        <v>220</v>
      </c>
      <c r="D102" s="10" t="s">
        <v>4485</v>
      </c>
      <c r="E102" s="20"/>
      <c r="F102" s="19"/>
      <c r="G102" s="19"/>
      <c r="H102" s="20"/>
      <c r="I102" s="26"/>
      <c r="J102" s="26"/>
      <c r="K102" s="26"/>
      <c r="L102" s="26"/>
    </row>
    <row r="103" s="24" customFormat="1" spans="2:12">
      <c r="B103" s="19" t="s">
        <v>4486</v>
      </c>
      <c r="C103" s="19" t="s">
        <v>220</v>
      </c>
      <c r="D103" s="10" t="s">
        <v>4487</v>
      </c>
      <c r="E103" s="20"/>
      <c r="F103" s="19"/>
      <c r="G103" s="19"/>
      <c r="H103" s="20"/>
      <c r="I103" s="26"/>
      <c r="J103" s="26"/>
      <c r="K103" s="26"/>
      <c r="L103" s="26"/>
    </row>
    <row r="104" s="24" customFormat="1" spans="2:12">
      <c r="B104" s="19" t="s">
        <v>4488</v>
      </c>
      <c r="C104" s="19" t="s">
        <v>216</v>
      </c>
      <c r="D104" s="10" t="e">
        <v>#N/A</v>
      </c>
      <c r="E104" s="20"/>
      <c r="F104" s="19"/>
      <c r="G104" s="19"/>
      <c r="H104" s="20"/>
      <c r="I104" s="26"/>
      <c r="J104" s="26"/>
      <c r="K104" s="26"/>
      <c r="L104" s="26"/>
    </row>
    <row r="105" s="24" customFormat="1" spans="2:12">
      <c r="B105" s="19" t="s">
        <v>4489</v>
      </c>
      <c r="C105" s="19" t="s">
        <v>216</v>
      </c>
      <c r="D105" s="10" t="e">
        <v>#N/A</v>
      </c>
      <c r="E105" s="20"/>
      <c r="F105" s="19"/>
      <c r="G105" s="19"/>
      <c r="H105" s="20"/>
      <c r="I105" s="26"/>
      <c r="J105" s="26"/>
      <c r="K105" s="26"/>
      <c r="L105" s="26"/>
    </row>
    <row r="106" s="24" customFormat="1" ht="26.4" spans="2:12">
      <c r="B106" s="19" t="s">
        <v>4490</v>
      </c>
      <c r="C106" s="19" t="s">
        <v>220</v>
      </c>
      <c r="D106" s="10" t="s">
        <v>4491</v>
      </c>
      <c r="E106" s="20"/>
      <c r="F106" s="19"/>
      <c r="G106" s="19"/>
      <c r="H106" s="20"/>
      <c r="I106" s="26"/>
      <c r="J106" s="26"/>
      <c r="K106" s="26"/>
      <c r="L106" s="26"/>
    </row>
    <row r="107" s="24" customFormat="1" ht="26.4" spans="2:12">
      <c r="B107" s="19" t="s">
        <v>4492</v>
      </c>
      <c r="C107" s="19" t="s">
        <v>220</v>
      </c>
      <c r="D107" s="10" t="s">
        <v>4493</v>
      </c>
      <c r="E107" s="20"/>
      <c r="F107" s="19"/>
      <c r="G107" s="19"/>
      <c r="H107" s="20"/>
      <c r="I107" s="26"/>
      <c r="J107" s="26"/>
      <c r="K107" s="26"/>
      <c r="L107" s="26"/>
    </row>
    <row r="108" s="24" customFormat="1" spans="2:12">
      <c r="B108" s="19" t="s">
        <v>4494</v>
      </c>
      <c r="C108" s="19" t="s">
        <v>220</v>
      </c>
      <c r="D108" s="10" t="s">
        <v>4495</v>
      </c>
      <c r="E108" s="20"/>
      <c r="F108" s="19"/>
      <c r="G108" s="19"/>
      <c r="H108" s="20"/>
      <c r="I108" s="26"/>
      <c r="J108" s="26"/>
      <c r="K108" s="26"/>
      <c r="L108" s="26"/>
    </row>
    <row r="109" s="24" customFormat="1" spans="2:12">
      <c r="B109" s="19" t="s">
        <v>4496</v>
      </c>
      <c r="C109" s="19" t="s">
        <v>220</v>
      </c>
      <c r="D109" s="10" t="s">
        <v>4497</v>
      </c>
      <c r="E109" s="20"/>
      <c r="F109" s="19"/>
      <c r="G109" s="19"/>
      <c r="H109" s="20"/>
      <c r="I109" s="26"/>
      <c r="J109" s="26"/>
      <c r="K109" s="26"/>
      <c r="L109" s="26"/>
    </row>
    <row r="110" s="24" customFormat="1" spans="2:12">
      <c r="B110" s="19" t="s">
        <v>4498</v>
      </c>
      <c r="C110" s="19" t="s">
        <v>216</v>
      </c>
      <c r="D110" s="10" t="s">
        <v>4499</v>
      </c>
      <c r="E110" s="20"/>
      <c r="F110" s="19"/>
      <c r="G110" s="19"/>
      <c r="H110" s="20"/>
      <c r="I110" s="26"/>
      <c r="J110" s="26"/>
      <c r="K110" s="26"/>
      <c r="L110" s="26"/>
    </row>
    <row r="111" s="24" customFormat="1" ht="26.4" spans="2:12">
      <c r="B111" s="19" t="s">
        <v>4500</v>
      </c>
      <c r="C111" s="19" t="s">
        <v>216</v>
      </c>
      <c r="D111" s="10" t="s">
        <v>4501</v>
      </c>
      <c r="E111" s="20"/>
      <c r="F111" s="19"/>
      <c r="G111" s="19"/>
      <c r="H111" s="20"/>
      <c r="I111" s="26"/>
      <c r="J111" s="26"/>
      <c r="K111" s="26"/>
      <c r="L111" s="26"/>
    </row>
    <row r="112" s="24" customFormat="1" spans="2:12">
      <c r="B112" s="19" t="s">
        <v>4502</v>
      </c>
      <c r="C112" s="19" t="s">
        <v>220</v>
      </c>
      <c r="D112" s="10" t="s">
        <v>4503</v>
      </c>
      <c r="E112" s="20"/>
      <c r="F112" s="19"/>
      <c r="G112" s="19"/>
      <c r="H112" s="20"/>
      <c r="I112" s="26"/>
      <c r="J112" s="26"/>
      <c r="K112" s="26"/>
      <c r="L112" s="26"/>
    </row>
    <row r="113" s="24" customFormat="1" ht="26.4" spans="2:12">
      <c r="B113" s="19" t="s">
        <v>4504</v>
      </c>
      <c r="C113" s="19" t="s">
        <v>220</v>
      </c>
      <c r="D113" s="10" t="s">
        <v>4505</v>
      </c>
      <c r="E113" s="20"/>
      <c r="F113" s="19"/>
      <c r="G113" s="19"/>
      <c r="H113" s="20"/>
      <c r="I113" s="26"/>
      <c r="J113" s="26"/>
      <c r="K113" s="26"/>
      <c r="L113" s="26"/>
    </row>
    <row r="114" s="24" customFormat="1" spans="2:12">
      <c r="B114" s="19" t="s">
        <v>4506</v>
      </c>
      <c r="C114" s="19" t="s">
        <v>220</v>
      </c>
      <c r="D114" s="10" t="s">
        <v>4507</v>
      </c>
      <c r="E114" s="20"/>
      <c r="F114" s="19"/>
      <c r="G114" s="19"/>
      <c r="H114" s="20"/>
      <c r="I114" s="26"/>
      <c r="J114" s="26"/>
      <c r="K114" s="26"/>
      <c r="L114" s="26"/>
    </row>
    <row r="115" s="24" customFormat="1" spans="2:12">
      <c r="B115" s="19" t="s">
        <v>4508</v>
      </c>
      <c r="C115" s="19" t="s">
        <v>216</v>
      </c>
      <c r="D115" s="10" t="s">
        <v>4509</v>
      </c>
      <c r="E115" s="20"/>
      <c r="F115" s="19"/>
      <c r="G115" s="19"/>
      <c r="H115" s="20"/>
      <c r="I115" s="26"/>
      <c r="J115" s="26"/>
      <c r="K115" s="26"/>
      <c r="L115" s="26"/>
    </row>
    <row r="116" s="24" customFormat="1" spans="2:12">
      <c r="B116" s="19" t="s">
        <v>1318</v>
      </c>
      <c r="C116" s="19" t="s">
        <v>216</v>
      </c>
      <c r="D116" s="10" t="s">
        <v>1319</v>
      </c>
      <c r="E116" s="20"/>
      <c r="F116" s="19"/>
      <c r="G116" s="19"/>
      <c r="H116" s="20"/>
      <c r="I116" s="26"/>
      <c r="J116" s="26"/>
      <c r="K116" s="26"/>
      <c r="L116" s="26"/>
    </row>
    <row r="117" s="24" customFormat="1" spans="2:12">
      <c r="B117" s="19" t="s">
        <v>2023</v>
      </c>
      <c r="C117" s="19" t="s">
        <v>216</v>
      </c>
      <c r="D117" s="10" t="s">
        <v>4510</v>
      </c>
      <c r="E117" s="20"/>
      <c r="F117" s="19"/>
      <c r="G117" s="19"/>
      <c r="H117" s="20"/>
      <c r="I117" s="26"/>
      <c r="J117" s="26"/>
      <c r="K117" s="26"/>
      <c r="L117" s="26"/>
    </row>
    <row r="118" s="24" customFormat="1" spans="2:12">
      <c r="B118" s="19" t="s">
        <v>4511</v>
      </c>
      <c r="C118" s="19" t="s">
        <v>216</v>
      </c>
      <c r="D118" s="10" t="s">
        <v>4512</v>
      </c>
      <c r="E118" s="20"/>
      <c r="F118" s="19"/>
      <c r="G118" s="19"/>
      <c r="H118" s="20"/>
      <c r="I118" s="26"/>
      <c r="J118" s="26"/>
      <c r="K118" s="26"/>
      <c r="L118" s="26"/>
    </row>
    <row r="119" s="24" customFormat="1" spans="2:12">
      <c r="B119" s="19" t="s">
        <v>274</v>
      </c>
      <c r="C119" s="19" t="s">
        <v>275</v>
      </c>
      <c r="D119" s="10" t="s">
        <v>296</v>
      </c>
      <c r="E119" s="20"/>
      <c r="F119" s="19"/>
      <c r="G119" s="19"/>
      <c r="H119" s="20"/>
      <c r="I119" s="26"/>
      <c r="J119" s="26"/>
      <c r="K119" s="26"/>
      <c r="L119" s="26"/>
    </row>
    <row r="120" s="24" customFormat="1" spans="2:12">
      <c r="B120" s="19" t="s">
        <v>1176</v>
      </c>
      <c r="C120" s="19" t="s">
        <v>275</v>
      </c>
      <c r="D120" s="10" t="s">
        <v>4513</v>
      </c>
      <c r="E120" s="20"/>
      <c r="F120" s="19"/>
      <c r="G120" s="19"/>
      <c r="H120" s="20"/>
      <c r="I120" s="26"/>
      <c r="J120" s="26"/>
      <c r="K120" s="26"/>
      <c r="L120" s="26"/>
    </row>
    <row r="121" s="24" customFormat="1" spans="2:12">
      <c r="B121" s="19" t="s">
        <v>2678</v>
      </c>
      <c r="C121" s="19" t="s">
        <v>216</v>
      </c>
      <c r="D121" s="10" t="s">
        <v>2679</v>
      </c>
      <c r="E121" s="20"/>
      <c r="F121" s="19"/>
      <c r="G121" s="19"/>
      <c r="H121" s="20"/>
      <c r="I121" s="26"/>
      <c r="J121" s="26"/>
      <c r="K121" s="26"/>
      <c r="L121" s="26"/>
    </row>
    <row r="122" s="24" customFormat="1" spans="2:12">
      <c r="B122" s="19" t="s">
        <v>222</v>
      </c>
      <c r="C122" s="19" t="s">
        <v>220</v>
      </c>
      <c r="D122" s="10" t="s">
        <v>298</v>
      </c>
      <c r="E122" s="20"/>
      <c r="F122" s="19"/>
      <c r="G122" s="19"/>
      <c r="H122" s="20"/>
      <c r="I122" s="26"/>
      <c r="J122" s="26"/>
      <c r="K122" s="26"/>
      <c r="L122" s="26"/>
    </row>
    <row r="123" s="24" customFormat="1" spans="2:12">
      <c r="B123" s="19" t="s">
        <v>1053</v>
      </c>
      <c r="C123" s="19" t="s">
        <v>220</v>
      </c>
      <c r="D123" s="10" t="s">
        <v>4514</v>
      </c>
      <c r="E123" s="20"/>
      <c r="F123" s="19"/>
      <c r="G123" s="19"/>
      <c r="H123" s="20"/>
      <c r="I123" s="26"/>
      <c r="J123" s="26"/>
      <c r="K123" s="26"/>
      <c r="L123" s="26"/>
    </row>
    <row r="124" s="24" customFormat="1" spans="2:12">
      <c r="B124" s="19" t="s">
        <v>4515</v>
      </c>
      <c r="C124" s="19" t="s">
        <v>275</v>
      </c>
      <c r="D124" s="10" t="s">
        <v>4516</v>
      </c>
      <c r="E124" s="20"/>
      <c r="F124" s="19"/>
      <c r="G124" s="19"/>
      <c r="H124" s="20"/>
      <c r="I124" s="26"/>
      <c r="J124" s="26"/>
      <c r="K124" s="26"/>
      <c r="L124" s="26"/>
    </row>
    <row r="125" s="24" customFormat="1" spans="2:12">
      <c r="B125" s="19" t="s">
        <v>4517</v>
      </c>
      <c r="C125" s="19" t="s">
        <v>275</v>
      </c>
      <c r="D125" s="10" t="s">
        <v>4518</v>
      </c>
      <c r="E125" s="20"/>
      <c r="F125" s="19"/>
      <c r="G125" s="19"/>
      <c r="H125" s="20"/>
      <c r="I125" s="26"/>
      <c r="J125" s="26"/>
      <c r="K125" s="26"/>
      <c r="L125" s="26"/>
    </row>
    <row r="126" s="24" customFormat="1" spans="2:12">
      <c r="B126" s="19" t="s">
        <v>4519</v>
      </c>
      <c r="C126" s="19" t="s">
        <v>275</v>
      </c>
      <c r="D126" s="10" t="s">
        <v>4520</v>
      </c>
      <c r="E126" s="20"/>
      <c r="F126" s="19"/>
      <c r="G126" s="19"/>
      <c r="H126" s="20"/>
      <c r="I126" s="26"/>
      <c r="J126" s="26"/>
      <c r="K126" s="26"/>
      <c r="L126" s="26"/>
    </row>
    <row r="127" s="24" customFormat="1" spans="2:12">
      <c r="B127" s="19" t="s">
        <v>4521</v>
      </c>
      <c r="C127" s="19" t="s">
        <v>275</v>
      </c>
      <c r="D127" s="10" t="s">
        <v>4522</v>
      </c>
      <c r="E127" s="20"/>
      <c r="F127" s="19"/>
      <c r="G127" s="19"/>
      <c r="H127" s="20"/>
      <c r="I127" s="26"/>
      <c r="J127" s="26"/>
      <c r="K127" s="26"/>
      <c r="L127" s="26"/>
    </row>
    <row r="128" s="24" customFormat="1" spans="2:12">
      <c r="B128" s="19" t="s">
        <v>4523</v>
      </c>
      <c r="C128" s="19" t="s">
        <v>275</v>
      </c>
      <c r="D128" s="10" t="s">
        <v>4524</v>
      </c>
      <c r="E128" s="20"/>
      <c r="F128" s="19"/>
      <c r="G128" s="19"/>
      <c r="H128" s="20"/>
      <c r="I128" s="26"/>
      <c r="J128" s="26"/>
      <c r="K128" s="26"/>
      <c r="L128" s="26"/>
    </row>
    <row r="129" s="24" customFormat="1" spans="2:12">
      <c r="B129" s="19" t="s">
        <v>4525</v>
      </c>
      <c r="C129" s="19" t="s">
        <v>275</v>
      </c>
      <c r="D129" s="10" t="s">
        <v>4526</v>
      </c>
      <c r="E129" s="20"/>
      <c r="F129" s="19"/>
      <c r="G129" s="19"/>
      <c r="H129" s="20"/>
      <c r="I129" s="26"/>
      <c r="J129" s="26"/>
      <c r="K129" s="26"/>
      <c r="L129" s="26"/>
    </row>
    <row r="130" s="24" customFormat="1" spans="2:12">
      <c r="B130" s="19" t="s">
        <v>4527</v>
      </c>
      <c r="C130" s="19" t="s">
        <v>275</v>
      </c>
      <c r="D130" s="10" t="s">
        <v>4528</v>
      </c>
      <c r="E130" s="20"/>
      <c r="F130" s="19"/>
      <c r="G130" s="19"/>
      <c r="H130" s="20"/>
      <c r="I130" s="26"/>
      <c r="J130" s="26"/>
      <c r="K130" s="26"/>
      <c r="L130" s="26"/>
    </row>
    <row r="131" s="24" customFormat="1" spans="2:12">
      <c r="B131" s="19" t="s">
        <v>4529</v>
      </c>
      <c r="C131" s="19" t="s">
        <v>275</v>
      </c>
      <c r="D131" s="10" t="s">
        <v>4530</v>
      </c>
      <c r="E131" s="20"/>
      <c r="F131" s="19"/>
      <c r="G131" s="19"/>
      <c r="H131" s="20"/>
      <c r="I131" s="26"/>
      <c r="J131" s="26"/>
      <c r="K131" s="26"/>
      <c r="L131" s="26"/>
    </row>
    <row r="132" s="24" customFormat="1" spans="2:12">
      <c r="B132" s="19" t="s">
        <v>4531</v>
      </c>
      <c r="C132" s="19" t="s">
        <v>275</v>
      </c>
      <c r="D132" s="10" t="s">
        <v>4532</v>
      </c>
      <c r="E132" s="20"/>
      <c r="F132" s="19"/>
      <c r="G132" s="19"/>
      <c r="H132" s="20"/>
      <c r="I132" s="26"/>
      <c r="J132" s="26"/>
      <c r="K132" s="26"/>
      <c r="L132" s="26"/>
    </row>
    <row r="133" s="24" customFormat="1" spans="2:12">
      <c r="B133" s="19" t="s">
        <v>4533</v>
      </c>
      <c r="C133" s="19" t="s">
        <v>275</v>
      </c>
      <c r="D133" s="10" t="s">
        <v>4534</v>
      </c>
      <c r="E133" s="20"/>
      <c r="F133" s="19"/>
      <c r="G133" s="19"/>
      <c r="H133" s="20"/>
      <c r="I133" s="26"/>
      <c r="J133" s="26"/>
      <c r="K133" s="26"/>
      <c r="L133" s="26"/>
    </row>
    <row r="134" s="24" customFormat="1" spans="2:12">
      <c r="B134" s="19" t="s">
        <v>4535</v>
      </c>
      <c r="C134" s="19" t="s">
        <v>275</v>
      </c>
      <c r="D134" s="10" t="s">
        <v>4536</v>
      </c>
      <c r="E134" s="20"/>
      <c r="F134" s="19"/>
      <c r="G134" s="19"/>
      <c r="H134" s="20"/>
      <c r="I134" s="26"/>
      <c r="J134" s="26"/>
      <c r="K134" s="26"/>
      <c r="L134" s="26"/>
    </row>
    <row r="135" s="24" customFormat="1" spans="2:12">
      <c r="B135" s="19" t="s">
        <v>4537</v>
      </c>
      <c r="C135" s="19" t="s">
        <v>275</v>
      </c>
      <c r="D135" s="10" t="s">
        <v>4538</v>
      </c>
      <c r="E135" s="20"/>
      <c r="F135" s="19"/>
      <c r="G135" s="19"/>
      <c r="H135" s="20"/>
      <c r="I135" s="26"/>
      <c r="J135" s="26"/>
      <c r="K135" s="26"/>
      <c r="L135" s="26"/>
    </row>
    <row r="136" s="24" customFormat="1" spans="2:12">
      <c r="B136" s="19" t="s">
        <v>4539</v>
      </c>
      <c r="C136" s="19" t="s">
        <v>275</v>
      </c>
      <c r="D136" s="10" t="s">
        <v>4540</v>
      </c>
      <c r="E136" s="20"/>
      <c r="F136" s="19"/>
      <c r="G136" s="19"/>
      <c r="H136" s="20"/>
      <c r="I136" s="26"/>
      <c r="J136" s="26"/>
      <c r="K136" s="26"/>
      <c r="L136" s="26"/>
    </row>
    <row r="137" s="24" customFormat="1" spans="2:12">
      <c r="B137" s="19" t="s">
        <v>4541</v>
      </c>
      <c r="C137" s="19" t="s">
        <v>275</v>
      </c>
      <c r="D137" s="10" t="s">
        <v>4542</v>
      </c>
      <c r="E137" s="20"/>
      <c r="F137" s="19"/>
      <c r="G137" s="19"/>
      <c r="H137" s="20"/>
      <c r="I137" s="26"/>
      <c r="J137" s="26"/>
      <c r="K137" s="26"/>
      <c r="L137" s="26"/>
    </row>
    <row r="138" s="24" customFormat="1" spans="2:12">
      <c r="B138" s="19" t="s">
        <v>4543</v>
      </c>
      <c r="C138" s="19" t="s">
        <v>275</v>
      </c>
      <c r="D138" s="10" t="s">
        <v>4544</v>
      </c>
      <c r="E138" s="20"/>
      <c r="F138" s="19"/>
      <c r="G138" s="19"/>
      <c r="H138" s="20"/>
      <c r="I138" s="26"/>
      <c r="J138" s="26"/>
      <c r="K138" s="26"/>
      <c r="L138" s="26"/>
    </row>
    <row r="139" s="24" customFormat="1" spans="2:12">
      <c r="B139" s="19" t="s">
        <v>4545</v>
      </c>
      <c r="C139" s="19" t="s">
        <v>275</v>
      </c>
      <c r="D139" s="10" t="s">
        <v>4546</v>
      </c>
      <c r="E139" s="20"/>
      <c r="F139" s="19"/>
      <c r="G139" s="19"/>
      <c r="H139" s="20"/>
      <c r="I139" s="26"/>
      <c r="J139" s="26"/>
      <c r="K139" s="26"/>
      <c r="L139" s="26"/>
    </row>
    <row r="140" s="24" customFormat="1" spans="2:12">
      <c r="B140" s="19" t="s">
        <v>4547</v>
      </c>
      <c r="C140" s="19" t="s">
        <v>275</v>
      </c>
      <c r="D140" s="10" t="s">
        <v>4548</v>
      </c>
      <c r="E140" s="20"/>
      <c r="F140" s="19"/>
      <c r="G140" s="19"/>
      <c r="H140" s="20"/>
      <c r="I140" s="26"/>
      <c r="J140" s="26"/>
      <c r="K140" s="26"/>
      <c r="L140" s="26"/>
    </row>
    <row r="141" s="24" customFormat="1" spans="2:12">
      <c r="B141" s="19" t="s">
        <v>4549</v>
      </c>
      <c r="C141" s="19" t="s">
        <v>275</v>
      </c>
      <c r="D141" s="10" t="s">
        <v>4550</v>
      </c>
      <c r="E141" s="20"/>
      <c r="F141" s="19"/>
      <c r="G141" s="19"/>
      <c r="H141" s="20"/>
      <c r="I141" s="26"/>
      <c r="J141" s="26"/>
      <c r="K141" s="26"/>
      <c r="L141" s="26"/>
    </row>
    <row r="142" s="24" customFormat="1" spans="2:12">
      <c r="B142" s="19" t="s">
        <v>4551</v>
      </c>
      <c r="C142" s="19" t="s">
        <v>275</v>
      </c>
      <c r="D142" s="10" t="s">
        <v>4552</v>
      </c>
      <c r="E142" s="20"/>
      <c r="F142" s="19"/>
      <c r="G142" s="19"/>
      <c r="H142" s="20"/>
      <c r="I142" s="26"/>
      <c r="J142" s="26"/>
      <c r="K142" s="26"/>
      <c r="L142" s="26"/>
    </row>
    <row r="143" s="24" customFormat="1" spans="2:12">
      <c r="B143" s="19" t="s">
        <v>4553</v>
      </c>
      <c r="C143" s="19" t="s">
        <v>275</v>
      </c>
      <c r="D143" s="10" t="s">
        <v>4554</v>
      </c>
      <c r="E143" s="20"/>
      <c r="F143" s="19"/>
      <c r="G143" s="19"/>
      <c r="H143" s="20"/>
      <c r="I143" s="26"/>
      <c r="J143" s="26"/>
      <c r="K143" s="26"/>
      <c r="L143" s="26"/>
    </row>
    <row r="144" s="24" customFormat="1" spans="2:12">
      <c r="B144" s="19" t="s">
        <v>4555</v>
      </c>
      <c r="C144" s="19" t="s">
        <v>275</v>
      </c>
      <c r="D144" s="10" t="s">
        <v>4556</v>
      </c>
      <c r="E144" s="20"/>
      <c r="F144" s="19"/>
      <c r="G144" s="19"/>
      <c r="H144" s="20"/>
      <c r="I144" s="26"/>
      <c r="J144" s="26"/>
      <c r="K144" s="26"/>
      <c r="L144" s="26"/>
    </row>
    <row r="145" s="24" customFormat="1" spans="2:12">
      <c r="B145" s="19" t="s">
        <v>4557</v>
      </c>
      <c r="C145" s="19" t="s">
        <v>275</v>
      </c>
      <c r="D145" s="10" t="s">
        <v>4558</v>
      </c>
      <c r="E145" s="20"/>
      <c r="F145" s="19"/>
      <c r="G145" s="19"/>
      <c r="H145" s="20"/>
      <c r="I145" s="26"/>
      <c r="J145" s="26"/>
      <c r="K145" s="26"/>
      <c r="L145" s="26"/>
    </row>
    <row r="146" s="24" customFormat="1" spans="2:12">
      <c r="B146" s="19" t="s">
        <v>4559</v>
      </c>
      <c r="C146" s="19" t="s">
        <v>275</v>
      </c>
      <c r="D146" s="10" t="s">
        <v>4560</v>
      </c>
      <c r="E146" s="20"/>
      <c r="F146" s="19"/>
      <c r="G146" s="19"/>
      <c r="H146" s="20"/>
      <c r="I146" s="26"/>
      <c r="J146" s="26"/>
      <c r="K146" s="26"/>
      <c r="L146" s="26"/>
    </row>
    <row r="147" s="24" customFormat="1" spans="2:12">
      <c r="B147" s="19" t="s">
        <v>4561</v>
      </c>
      <c r="C147" s="19" t="s">
        <v>275</v>
      </c>
      <c r="D147" s="10" t="s">
        <v>4562</v>
      </c>
      <c r="E147" s="20"/>
      <c r="F147" s="19"/>
      <c r="G147" s="19"/>
      <c r="H147" s="20"/>
      <c r="I147" s="26"/>
      <c r="J147" s="26"/>
      <c r="K147" s="26"/>
      <c r="L147" s="26"/>
    </row>
    <row r="148" s="24" customFormat="1" spans="2:12">
      <c r="B148" s="19" t="s">
        <v>4563</v>
      </c>
      <c r="C148" s="19" t="s">
        <v>275</v>
      </c>
      <c r="D148" s="10" t="s">
        <v>4564</v>
      </c>
      <c r="E148" s="20"/>
      <c r="F148" s="19"/>
      <c r="G148" s="19"/>
      <c r="H148" s="20"/>
      <c r="I148" s="26"/>
      <c r="J148" s="26"/>
      <c r="K148" s="26"/>
      <c r="L148" s="26"/>
    </row>
    <row r="149" s="24" customFormat="1" spans="2:12">
      <c r="B149" s="19" t="s">
        <v>4565</v>
      </c>
      <c r="C149" s="19" t="s">
        <v>275</v>
      </c>
      <c r="D149" s="10" t="s">
        <v>4566</v>
      </c>
      <c r="E149" s="20"/>
      <c r="F149" s="19"/>
      <c r="G149" s="19"/>
      <c r="H149" s="20"/>
      <c r="I149" s="26"/>
      <c r="J149" s="26"/>
      <c r="K149" s="26"/>
      <c r="L149" s="26"/>
    </row>
    <row r="150" s="24" customFormat="1" spans="2:12">
      <c r="B150" s="19" t="s">
        <v>4567</v>
      </c>
      <c r="C150" s="19" t="s">
        <v>275</v>
      </c>
      <c r="D150" s="10" t="s">
        <v>4568</v>
      </c>
      <c r="E150" s="20"/>
      <c r="F150" s="19"/>
      <c r="G150" s="19"/>
      <c r="H150" s="20"/>
      <c r="I150" s="26"/>
      <c r="J150" s="26"/>
      <c r="K150" s="26"/>
      <c r="L150" s="26"/>
    </row>
    <row r="151" s="24" customFormat="1" spans="2:12">
      <c r="B151" s="19" t="s">
        <v>4569</v>
      </c>
      <c r="C151" s="19" t="s">
        <v>275</v>
      </c>
      <c r="D151" s="10" t="s">
        <v>4570</v>
      </c>
      <c r="E151" s="20"/>
      <c r="F151" s="19"/>
      <c r="G151" s="19"/>
      <c r="H151" s="20"/>
      <c r="I151" s="26"/>
      <c r="J151" s="26"/>
      <c r="K151" s="26"/>
      <c r="L151" s="26"/>
    </row>
    <row r="152" s="24" customFormat="1" spans="2:12">
      <c r="B152" s="19" t="s">
        <v>4571</v>
      </c>
      <c r="C152" s="19" t="s">
        <v>275</v>
      </c>
      <c r="D152" s="10" t="s">
        <v>4572</v>
      </c>
      <c r="E152" s="20"/>
      <c r="F152" s="19"/>
      <c r="G152" s="19"/>
      <c r="H152" s="20"/>
      <c r="I152" s="26"/>
      <c r="J152" s="26"/>
      <c r="K152" s="26"/>
      <c r="L152" s="26"/>
    </row>
    <row r="153" s="24" customFormat="1" spans="2:12">
      <c r="B153" s="19" t="s">
        <v>4573</v>
      </c>
      <c r="C153" s="19" t="s">
        <v>275</v>
      </c>
      <c r="D153" s="10" t="s">
        <v>4574</v>
      </c>
      <c r="E153" s="20"/>
      <c r="F153" s="19"/>
      <c r="G153" s="19"/>
      <c r="H153" s="20"/>
      <c r="I153" s="26"/>
      <c r="J153" s="26"/>
      <c r="K153" s="26"/>
      <c r="L153" s="26"/>
    </row>
    <row r="154" s="24" customFormat="1" spans="2:12">
      <c r="B154" s="19" t="s">
        <v>4575</v>
      </c>
      <c r="C154" s="19" t="s">
        <v>275</v>
      </c>
      <c r="D154" s="10" t="s">
        <v>4576</v>
      </c>
      <c r="E154" s="20"/>
      <c r="F154" s="19"/>
      <c r="G154" s="19"/>
      <c r="H154" s="20"/>
      <c r="I154" s="26"/>
      <c r="J154" s="26"/>
      <c r="K154" s="26"/>
      <c r="L154" s="26"/>
    </row>
    <row r="155" s="24" customFormat="1" spans="2:12">
      <c r="B155" s="19" t="s">
        <v>4577</v>
      </c>
      <c r="C155" s="19" t="s">
        <v>275</v>
      </c>
      <c r="D155" s="10" t="s">
        <v>4578</v>
      </c>
      <c r="E155" s="20"/>
      <c r="F155" s="19"/>
      <c r="G155" s="19"/>
      <c r="H155" s="20"/>
      <c r="I155" s="26"/>
      <c r="J155" s="26"/>
      <c r="K155" s="26"/>
      <c r="L155" s="26"/>
    </row>
    <row r="156" s="24" customFormat="1" spans="2:12">
      <c r="B156" s="19" t="s">
        <v>4579</v>
      </c>
      <c r="C156" s="19" t="s">
        <v>275</v>
      </c>
      <c r="D156" s="10" t="s">
        <v>4580</v>
      </c>
      <c r="E156" s="20"/>
      <c r="F156" s="19"/>
      <c r="G156" s="19"/>
      <c r="H156" s="20"/>
      <c r="I156" s="26"/>
      <c r="J156" s="26"/>
      <c r="K156" s="26"/>
      <c r="L156" s="26"/>
    </row>
    <row r="157" s="24" customFormat="1" spans="2:12">
      <c r="B157" s="19" t="s">
        <v>4581</v>
      </c>
      <c r="C157" s="19" t="s">
        <v>275</v>
      </c>
      <c r="D157" s="10" t="s">
        <v>4582</v>
      </c>
      <c r="E157" s="20"/>
      <c r="F157" s="19"/>
      <c r="G157" s="19"/>
      <c r="H157" s="20"/>
      <c r="I157" s="26"/>
      <c r="J157" s="26"/>
      <c r="K157" s="26"/>
      <c r="L157" s="26"/>
    </row>
    <row r="158" s="24" customFormat="1" spans="2:12">
      <c r="B158" s="19" t="s">
        <v>4583</v>
      </c>
      <c r="C158" s="19" t="s">
        <v>275</v>
      </c>
      <c r="D158" s="10" t="s">
        <v>4584</v>
      </c>
      <c r="E158" s="20"/>
      <c r="F158" s="19"/>
      <c r="G158" s="19"/>
      <c r="H158" s="20"/>
      <c r="I158" s="26"/>
      <c r="J158" s="26"/>
      <c r="K158" s="26"/>
      <c r="L158" s="26"/>
    </row>
    <row r="159" s="24" customFormat="1" spans="2:12">
      <c r="B159" s="19" t="s">
        <v>4585</v>
      </c>
      <c r="C159" s="19" t="s">
        <v>275</v>
      </c>
      <c r="D159" s="10" t="s">
        <v>4586</v>
      </c>
      <c r="E159" s="20"/>
      <c r="F159" s="19"/>
      <c r="G159" s="19"/>
      <c r="H159" s="20"/>
      <c r="I159" s="26"/>
      <c r="J159" s="26"/>
      <c r="K159" s="26"/>
      <c r="L159" s="26"/>
    </row>
    <row r="160" s="24" customFormat="1" spans="2:12">
      <c r="B160" s="19" t="s">
        <v>4587</v>
      </c>
      <c r="C160" s="19" t="s">
        <v>275</v>
      </c>
      <c r="D160" s="10" t="s">
        <v>4588</v>
      </c>
      <c r="E160" s="20"/>
      <c r="F160" s="19"/>
      <c r="G160" s="19"/>
      <c r="H160" s="20"/>
      <c r="I160" s="26"/>
      <c r="J160" s="26"/>
      <c r="K160" s="26"/>
      <c r="L160" s="26"/>
    </row>
    <row r="161" s="24" customFormat="1" spans="2:12">
      <c r="B161" s="19" t="s">
        <v>4589</v>
      </c>
      <c r="C161" s="19" t="s">
        <v>275</v>
      </c>
      <c r="D161" s="10" t="s">
        <v>4590</v>
      </c>
      <c r="E161" s="20"/>
      <c r="F161" s="19"/>
      <c r="G161" s="19"/>
      <c r="H161" s="20"/>
      <c r="I161" s="26"/>
      <c r="J161" s="26"/>
      <c r="K161" s="26"/>
      <c r="L161" s="26"/>
    </row>
    <row r="162" s="24" customFormat="1" spans="2:12">
      <c r="B162" s="19" t="s">
        <v>4591</v>
      </c>
      <c r="C162" s="19" t="s">
        <v>275</v>
      </c>
      <c r="D162" s="10" t="s">
        <v>4592</v>
      </c>
      <c r="E162" s="20"/>
      <c r="F162" s="19"/>
      <c r="G162" s="19"/>
      <c r="H162" s="20"/>
      <c r="I162" s="26"/>
      <c r="J162" s="26"/>
      <c r="K162" s="26"/>
      <c r="L162" s="26"/>
    </row>
    <row r="163" s="24" customFormat="1" spans="2:12">
      <c r="B163" s="19" t="s">
        <v>4593</v>
      </c>
      <c r="C163" s="19" t="s">
        <v>275</v>
      </c>
      <c r="D163" s="10" t="s">
        <v>4594</v>
      </c>
      <c r="E163" s="20"/>
      <c r="F163" s="19"/>
      <c r="G163" s="19"/>
      <c r="H163" s="20"/>
      <c r="I163" s="26"/>
      <c r="J163" s="26"/>
      <c r="K163" s="26"/>
      <c r="L163" s="26"/>
    </row>
    <row r="164" s="24" customFormat="1" ht="26.4" spans="2:12">
      <c r="B164" s="19" t="s">
        <v>4595</v>
      </c>
      <c r="C164" s="19" t="s">
        <v>275</v>
      </c>
      <c r="D164" s="10" t="s">
        <v>4596</v>
      </c>
      <c r="E164" s="20"/>
      <c r="F164" s="19"/>
      <c r="G164" s="19"/>
      <c r="H164" s="20"/>
      <c r="I164" s="26"/>
      <c r="J164" s="26"/>
      <c r="K164" s="26"/>
      <c r="L164" s="26"/>
    </row>
    <row r="165" s="24" customFormat="1" spans="2:12">
      <c r="B165" s="19" t="s">
        <v>4597</v>
      </c>
      <c r="C165" s="19" t="s">
        <v>275</v>
      </c>
      <c r="D165" s="10" t="s">
        <v>4598</v>
      </c>
      <c r="E165" s="20"/>
      <c r="F165" s="19"/>
      <c r="G165" s="19"/>
      <c r="H165" s="20"/>
      <c r="I165" s="26"/>
      <c r="J165" s="26"/>
      <c r="K165" s="26"/>
      <c r="L165" s="26"/>
    </row>
    <row r="166" s="24" customFormat="1" spans="2:12">
      <c r="B166" s="19" t="s">
        <v>4599</v>
      </c>
      <c r="C166" s="19" t="s">
        <v>275</v>
      </c>
      <c r="D166" s="10" t="s">
        <v>4600</v>
      </c>
      <c r="E166" s="20"/>
      <c r="F166" s="19"/>
      <c r="G166" s="19"/>
      <c r="H166" s="20"/>
      <c r="I166" s="26"/>
      <c r="J166" s="26"/>
      <c r="K166" s="26"/>
      <c r="L166" s="26"/>
    </row>
    <row r="167" s="24" customFormat="1" ht="26.4" spans="2:12">
      <c r="B167" s="19" t="s">
        <v>4601</v>
      </c>
      <c r="C167" s="19" t="s">
        <v>275</v>
      </c>
      <c r="D167" s="10" t="s">
        <v>4602</v>
      </c>
      <c r="E167" s="20"/>
      <c r="F167" s="19"/>
      <c r="G167" s="19"/>
      <c r="H167" s="20"/>
      <c r="I167" s="26"/>
      <c r="J167" s="26"/>
      <c r="K167" s="26"/>
      <c r="L167" s="26"/>
    </row>
    <row r="168" s="24" customFormat="1" spans="2:12">
      <c r="B168" s="19" t="s">
        <v>4603</v>
      </c>
      <c r="C168" s="19" t="s">
        <v>275</v>
      </c>
      <c r="D168" s="10" t="s">
        <v>4604</v>
      </c>
      <c r="E168" s="20"/>
      <c r="F168" s="19"/>
      <c r="G168" s="19"/>
      <c r="H168" s="20"/>
      <c r="I168" s="26"/>
      <c r="J168" s="26"/>
      <c r="K168" s="26"/>
      <c r="L168" s="26"/>
    </row>
    <row r="169" s="24" customFormat="1" ht="26.4" spans="2:12">
      <c r="B169" s="19" t="s">
        <v>4605</v>
      </c>
      <c r="C169" s="19" t="s">
        <v>275</v>
      </c>
      <c r="D169" s="10" t="s">
        <v>4606</v>
      </c>
      <c r="E169" s="20"/>
      <c r="F169" s="19"/>
      <c r="G169" s="19"/>
      <c r="H169" s="20"/>
      <c r="I169" s="26"/>
      <c r="J169" s="26"/>
      <c r="K169" s="26"/>
      <c r="L169" s="26"/>
    </row>
    <row r="170" s="24" customFormat="1" spans="2:12">
      <c r="B170" s="19" t="s">
        <v>4607</v>
      </c>
      <c r="C170" s="19" t="s">
        <v>275</v>
      </c>
      <c r="D170" s="10" t="s">
        <v>4608</v>
      </c>
      <c r="E170" s="20"/>
      <c r="F170" s="19"/>
      <c r="G170" s="19"/>
      <c r="H170" s="20"/>
      <c r="I170" s="26"/>
      <c r="J170" s="26"/>
      <c r="K170" s="26"/>
      <c r="L170" s="26"/>
    </row>
    <row r="171" s="24" customFormat="1" spans="2:12">
      <c r="B171" s="19" t="s">
        <v>4609</v>
      </c>
      <c r="C171" s="19" t="s">
        <v>275</v>
      </c>
      <c r="D171" s="10" t="s">
        <v>4610</v>
      </c>
      <c r="E171" s="20"/>
      <c r="F171" s="19"/>
      <c r="G171" s="19"/>
      <c r="H171" s="20"/>
      <c r="I171" s="26"/>
      <c r="J171" s="26"/>
      <c r="K171" s="26"/>
      <c r="L171" s="26"/>
    </row>
    <row r="172" s="24" customFormat="1" ht="26.4" spans="2:12">
      <c r="B172" s="19" t="s">
        <v>4611</v>
      </c>
      <c r="C172" s="19" t="s">
        <v>275</v>
      </c>
      <c r="D172" s="10" t="s">
        <v>4612</v>
      </c>
      <c r="E172" s="20"/>
      <c r="F172" s="19"/>
      <c r="G172" s="19"/>
      <c r="H172" s="20"/>
      <c r="I172" s="26"/>
      <c r="J172" s="26"/>
      <c r="K172" s="26"/>
      <c r="L172" s="26"/>
    </row>
    <row r="173" s="24" customFormat="1" spans="2:12">
      <c r="B173" s="19" t="s">
        <v>4613</v>
      </c>
      <c r="C173" s="19" t="s">
        <v>275</v>
      </c>
      <c r="D173" s="10" t="s">
        <v>4614</v>
      </c>
      <c r="E173" s="20"/>
      <c r="F173" s="19"/>
      <c r="G173" s="19"/>
      <c r="H173" s="20"/>
      <c r="I173" s="26"/>
      <c r="J173" s="26"/>
      <c r="K173" s="26"/>
      <c r="L173" s="26"/>
    </row>
    <row r="174" s="24" customFormat="1" spans="2:12">
      <c r="B174" s="19" t="s">
        <v>4615</v>
      </c>
      <c r="C174" s="19" t="s">
        <v>275</v>
      </c>
      <c r="D174" s="10" t="s">
        <v>4616</v>
      </c>
      <c r="E174" s="20"/>
      <c r="F174" s="19"/>
      <c r="G174" s="19"/>
      <c r="H174" s="20"/>
      <c r="I174" s="26"/>
      <c r="J174" s="26"/>
      <c r="K174" s="26"/>
      <c r="L174" s="26"/>
    </row>
    <row r="175" s="24" customFormat="1" spans="2:12">
      <c r="B175" s="19" t="s">
        <v>4617</v>
      </c>
      <c r="C175" s="19" t="s">
        <v>275</v>
      </c>
      <c r="D175" s="10" t="s">
        <v>4618</v>
      </c>
      <c r="E175" s="20"/>
      <c r="F175" s="19"/>
      <c r="G175" s="19"/>
      <c r="H175" s="20"/>
      <c r="I175" s="26"/>
      <c r="J175" s="26"/>
      <c r="K175" s="26"/>
      <c r="L175" s="26"/>
    </row>
    <row r="176" s="24" customFormat="1" spans="2:12">
      <c r="B176" s="19" t="s">
        <v>4619</v>
      </c>
      <c r="C176" s="19" t="s">
        <v>275</v>
      </c>
      <c r="D176" s="10" t="s">
        <v>4620</v>
      </c>
      <c r="E176" s="20"/>
      <c r="F176" s="19"/>
      <c r="G176" s="19"/>
      <c r="H176" s="20"/>
      <c r="I176" s="26"/>
      <c r="J176" s="26"/>
      <c r="K176" s="26"/>
      <c r="L176" s="26"/>
    </row>
    <row r="177" s="24" customFormat="1" spans="2:12">
      <c r="B177" s="19" t="s">
        <v>4621</v>
      </c>
      <c r="C177" s="19" t="s">
        <v>275</v>
      </c>
      <c r="D177" s="10" t="s">
        <v>4622</v>
      </c>
      <c r="E177" s="20"/>
      <c r="F177" s="19"/>
      <c r="G177" s="19"/>
      <c r="H177" s="20"/>
      <c r="I177" s="26"/>
      <c r="J177" s="26"/>
      <c r="K177" s="26"/>
      <c r="L177" s="26"/>
    </row>
    <row r="178" s="24" customFormat="1" spans="2:12">
      <c r="B178" s="19" t="s">
        <v>4623</v>
      </c>
      <c r="C178" s="19" t="s">
        <v>275</v>
      </c>
      <c r="D178" s="10" t="s">
        <v>4624</v>
      </c>
      <c r="E178" s="20"/>
      <c r="F178" s="19"/>
      <c r="G178" s="19"/>
      <c r="H178" s="20"/>
      <c r="I178" s="26"/>
      <c r="J178" s="26"/>
      <c r="K178" s="26"/>
      <c r="L178" s="26"/>
    </row>
    <row r="179" s="24" customFormat="1" spans="2:12">
      <c r="B179" s="19" t="s">
        <v>4625</v>
      </c>
      <c r="C179" s="19" t="s">
        <v>275</v>
      </c>
      <c r="D179" s="10" t="s">
        <v>4626</v>
      </c>
      <c r="E179" s="20"/>
      <c r="F179" s="19"/>
      <c r="G179" s="19"/>
      <c r="H179" s="20"/>
      <c r="I179" s="26"/>
      <c r="J179" s="26"/>
      <c r="K179" s="26"/>
      <c r="L179" s="26"/>
    </row>
    <row r="180" s="24" customFormat="1" spans="2:12">
      <c r="B180" s="19" t="s">
        <v>4627</v>
      </c>
      <c r="C180" s="19" t="s">
        <v>275</v>
      </c>
      <c r="D180" s="10" t="s">
        <v>4628</v>
      </c>
      <c r="E180" s="20"/>
      <c r="F180" s="19"/>
      <c r="G180" s="19"/>
      <c r="H180" s="20"/>
      <c r="I180" s="26"/>
      <c r="J180" s="26"/>
      <c r="K180" s="26"/>
      <c r="L180" s="26"/>
    </row>
    <row r="181" s="24" customFormat="1" spans="2:12">
      <c r="B181" s="19" t="s">
        <v>4629</v>
      </c>
      <c r="C181" s="19" t="s">
        <v>275</v>
      </c>
      <c r="D181" s="10" t="s">
        <v>4630</v>
      </c>
      <c r="E181" s="20"/>
      <c r="F181" s="19"/>
      <c r="G181" s="19"/>
      <c r="H181" s="20"/>
      <c r="I181" s="26"/>
      <c r="J181" s="26"/>
      <c r="K181" s="26"/>
      <c r="L181" s="26"/>
    </row>
    <row r="182" s="24" customFormat="1" spans="2:12">
      <c r="B182" s="19" t="s">
        <v>4631</v>
      </c>
      <c r="C182" s="19" t="s">
        <v>275</v>
      </c>
      <c r="D182" s="10" t="s">
        <v>4632</v>
      </c>
      <c r="E182" s="20"/>
      <c r="F182" s="19"/>
      <c r="G182" s="19"/>
      <c r="H182" s="20"/>
      <c r="I182" s="26"/>
      <c r="J182" s="26"/>
      <c r="K182" s="26"/>
      <c r="L182" s="26"/>
    </row>
    <row r="183" s="24" customFormat="1" spans="2:12">
      <c r="B183" s="19" t="s">
        <v>4633</v>
      </c>
      <c r="C183" s="19" t="s">
        <v>275</v>
      </c>
      <c r="D183" s="10" t="s">
        <v>4634</v>
      </c>
      <c r="E183" s="20"/>
      <c r="F183" s="19"/>
      <c r="G183" s="19"/>
      <c r="H183" s="20"/>
      <c r="I183" s="26"/>
      <c r="J183" s="26"/>
      <c r="K183" s="26"/>
      <c r="L183" s="26"/>
    </row>
    <row r="184" s="24" customFormat="1" spans="2:12">
      <c r="B184" s="19" t="s">
        <v>4635</v>
      </c>
      <c r="C184" s="19" t="s">
        <v>275</v>
      </c>
      <c r="D184" s="10" t="s">
        <v>4636</v>
      </c>
      <c r="E184" s="20"/>
      <c r="F184" s="19"/>
      <c r="G184" s="19"/>
      <c r="H184" s="20"/>
      <c r="I184" s="26"/>
      <c r="J184" s="26"/>
      <c r="K184" s="26"/>
      <c r="L184" s="26"/>
    </row>
    <row r="185" s="24" customFormat="1" spans="2:12">
      <c r="B185" s="19" t="s">
        <v>4637</v>
      </c>
      <c r="C185" s="19" t="s">
        <v>275</v>
      </c>
      <c r="D185" s="10" t="s">
        <v>3808</v>
      </c>
      <c r="E185" s="20"/>
      <c r="F185" s="19"/>
      <c r="G185" s="19"/>
      <c r="H185" s="20"/>
      <c r="I185" s="26"/>
      <c r="J185" s="26"/>
      <c r="K185" s="26"/>
      <c r="L185" s="26"/>
    </row>
    <row r="186" s="24" customFormat="1" spans="2:12">
      <c r="B186" s="19" t="s">
        <v>4638</v>
      </c>
      <c r="C186" s="19" t="s">
        <v>275</v>
      </c>
      <c r="D186" s="10" t="s">
        <v>3810</v>
      </c>
      <c r="E186" s="20"/>
      <c r="F186" s="19"/>
      <c r="G186" s="19"/>
      <c r="H186" s="20"/>
      <c r="I186" s="26"/>
      <c r="J186" s="26"/>
      <c r="K186" s="26"/>
      <c r="L186" s="26"/>
    </row>
    <row r="187" s="24" customFormat="1" spans="2:12">
      <c r="B187" s="19" t="s">
        <v>4639</v>
      </c>
      <c r="C187" s="19" t="s">
        <v>275</v>
      </c>
      <c r="D187" s="10" t="s">
        <v>3812</v>
      </c>
      <c r="E187" s="20"/>
      <c r="F187" s="19"/>
      <c r="G187" s="19"/>
      <c r="H187" s="20"/>
      <c r="I187" s="26"/>
      <c r="J187" s="26"/>
      <c r="K187" s="26"/>
      <c r="L187" s="26"/>
    </row>
    <row r="188" s="24" customFormat="1" spans="2:12">
      <c r="B188" s="19" t="s">
        <v>4640</v>
      </c>
      <c r="C188" s="19" t="s">
        <v>275</v>
      </c>
      <c r="D188" s="10" t="s">
        <v>3814</v>
      </c>
      <c r="E188" s="20"/>
      <c r="F188" s="19"/>
      <c r="G188" s="19"/>
      <c r="H188" s="20"/>
      <c r="I188" s="26"/>
      <c r="J188" s="26"/>
      <c r="K188" s="26"/>
      <c r="L188" s="26"/>
    </row>
    <row r="189" s="24" customFormat="1" spans="2:12">
      <c r="B189" s="19" t="s">
        <v>4641</v>
      </c>
      <c r="C189" s="19" t="s">
        <v>275</v>
      </c>
      <c r="D189" s="10" t="s">
        <v>4642</v>
      </c>
      <c r="E189" s="20"/>
      <c r="F189" s="19"/>
      <c r="G189" s="19"/>
      <c r="H189" s="20"/>
      <c r="I189" s="26"/>
      <c r="J189" s="26"/>
      <c r="K189" s="26"/>
      <c r="L189" s="26"/>
    </row>
    <row r="190" s="24" customFormat="1" spans="2:12">
      <c r="B190" s="19" t="s">
        <v>4643</v>
      </c>
      <c r="C190" s="19" t="s">
        <v>275</v>
      </c>
      <c r="D190" s="10" t="s">
        <v>4644</v>
      </c>
      <c r="E190" s="20"/>
      <c r="F190" s="19"/>
      <c r="G190" s="19"/>
      <c r="H190" s="20"/>
      <c r="I190" s="26"/>
      <c r="J190" s="26"/>
      <c r="K190" s="26"/>
      <c r="L190" s="26"/>
    </row>
    <row r="191" s="24" customFormat="1" spans="2:12">
      <c r="B191" s="19" t="s">
        <v>4645</v>
      </c>
      <c r="C191" s="19" t="s">
        <v>275</v>
      </c>
      <c r="D191" s="10" t="s">
        <v>4646</v>
      </c>
      <c r="E191" s="20"/>
      <c r="F191" s="19"/>
      <c r="G191" s="19"/>
      <c r="H191" s="20"/>
      <c r="I191" s="26"/>
      <c r="J191" s="26"/>
      <c r="K191" s="26"/>
      <c r="L191" s="26"/>
    </row>
    <row r="192" s="24" customFormat="1" spans="2:12">
      <c r="B192" s="19" t="s">
        <v>4647</v>
      </c>
      <c r="C192" s="19" t="s">
        <v>275</v>
      </c>
      <c r="D192" s="10" t="s">
        <v>4648</v>
      </c>
      <c r="E192" s="20"/>
      <c r="F192" s="19"/>
      <c r="G192" s="19"/>
      <c r="H192" s="20"/>
      <c r="I192" s="26"/>
      <c r="J192" s="26"/>
      <c r="K192" s="26"/>
      <c r="L192" s="26"/>
    </row>
    <row r="193" s="24" customFormat="1" spans="2:12">
      <c r="B193" s="19" t="s">
        <v>4649</v>
      </c>
      <c r="C193" s="19" t="s">
        <v>275</v>
      </c>
      <c r="D193" s="10" t="s">
        <v>4650</v>
      </c>
      <c r="E193" s="20"/>
      <c r="F193" s="19"/>
      <c r="G193" s="19"/>
      <c r="H193" s="20"/>
      <c r="I193" s="26"/>
      <c r="J193" s="26"/>
      <c r="K193" s="26"/>
      <c r="L193" s="26"/>
    </row>
    <row r="194" s="24" customFormat="1" spans="2:12">
      <c r="B194" s="19" t="s">
        <v>4651</v>
      </c>
      <c r="C194" s="19" t="s">
        <v>275</v>
      </c>
      <c r="D194" s="10" t="s">
        <v>4652</v>
      </c>
      <c r="E194" s="20"/>
      <c r="F194" s="19"/>
      <c r="G194" s="19"/>
      <c r="H194" s="20"/>
      <c r="I194" s="26"/>
      <c r="J194" s="26"/>
      <c r="K194" s="26"/>
      <c r="L194" s="26"/>
    </row>
    <row r="195" s="24" customFormat="1" spans="2:12">
      <c r="B195" s="19" t="s">
        <v>4653</v>
      </c>
      <c r="C195" s="19" t="s">
        <v>275</v>
      </c>
      <c r="D195" s="10" t="s">
        <v>4654</v>
      </c>
      <c r="E195" s="20"/>
      <c r="F195" s="19"/>
      <c r="G195" s="19"/>
      <c r="H195" s="20"/>
      <c r="I195" s="26"/>
      <c r="J195" s="26"/>
      <c r="K195" s="26"/>
      <c r="L195" s="26"/>
    </row>
    <row r="196" s="24" customFormat="1" spans="2:12">
      <c r="B196" s="19" t="s">
        <v>4655</v>
      </c>
      <c r="C196" s="19" t="s">
        <v>275</v>
      </c>
      <c r="D196" s="10" t="s">
        <v>4656</v>
      </c>
      <c r="E196" s="20"/>
      <c r="F196" s="19"/>
      <c r="G196" s="19"/>
      <c r="H196" s="20"/>
      <c r="I196" s="26"/>
      <c r="J196" s="26"/>
      <c r="K196" s="26"/>
      <c r="L196" s="26"/>
    </row>
    <row r="197" s="24" customFormat="1" spans="2:12">
      <c r="B197" s="19" t="s">
        <v>4657</v>
      </c>
      <c r="C197" s="19" t="s">
        <v>275</v>
      </c>
      <c r="D197" s="10" t="s">
        <v>4658</v>
      </c>
      <c r="E197" s="20"/>
      <c r="F197" s="19"/>
      <c r="G197" s="19"/>
      <c r="H197" s="20"/>
      <c r="I197" s="26"/>
      <c r="J197" s="26"/>
      <c r="K197" s="26"/>
      <c r="L197" s="26"/>
    </row>
    <row r="198" s="24" customFormat="1" spans="2:12">
      <c r="B198" s="19" t="s">
        <v>4659</v>
      </c>
      <c r="C198" s="19" t="s">
        <v>275</v>
      </c>
      <c r="D198" s="10" t="s">
        <v>4660</v>
      </c>
      <c r="E198" s="20"/>
      <c r="F198" s="19"/>
      <c r="G198" s="19"/>
      <c r="H198" s="20"/>
      <c r="I198" s="26"/>
      <c r="J198" s="26"/>
      <c r="K198" s="26"/>
      <c r="L198" s="26"/>
    </row>
    <row r="199" s="24" customFormat="1" spans="2:12">
      <c r="B199" s="19" t="s">
        <v>4661</v>
      </c>
      <c r="C199" s="19" t="s">
        <v>275</v>
      </c>
      <c r="D199" s="10" t="s">
        <v>4662</v>
      </c>
      <c r="E199" s="20"/>
      <c r="F199" s="19"/>
      <c r="G199" s="19"/>
      <c r="H199" s="20"/>
      <c r="I199" s="26"/>
      <c r="J199" s="26"/>
      <c r="K199" s="26"/>
      <c r="L199" s="26"/>
    </row>
    <row r="200" s="24" customFormat="1" spans="2:12">
      <c r="B200" s="19" t="s">
        <v>4663</v>
      </c>
      <c r="C200" s="19" t="s">
        <v>275</v>
      </c>
      <c r="D200" s="10" t="s">
        <v>4664</v>
      </c>
      <c r="E200" s="20"/>
      <c r="F200" s="19"/>
      <c r="G200" s="19"/>
      <c r="H200" s="20"/>
      <c r="I200" s="26"/>
      <c r="J200" s="26"/>
      <c r="K200" s="26"/>
      <c r="L200" s="26"/>
    </row>
    <row r="201" s="24" customFormat="1" spans="2:12">
      <c r="B201" s="19" t="s">
        <v>4665</v>
      </c>
      <c r="C201" s="19" t="s">
        <v>275</v>
      </c>
      <c r="D201" s="10" t="s">
        <v>4666</v>
      </c>
      <c r="E201" s="20"/>
      <c r="F201" s="19"/>
      <c r="G201" s="19"/>
      <c r="H201" s="20"/>
      <c r="I201" s="26"/>
      <c r="J201" s="26"/>
      <c r="K201" s="26"/>
      <c r="L201" s="26"/>
    </row>
    <row r="202" s="24" customFormat="1" spans="2:12">
      <c r="B202" s="19" t="s">
        <v>4667</v>
      </c>
      <c r="C202" s="19" t="s">
        <v>275</v>
      </c>
      <c r="D202" s="10" t="s">
        <v>4668</v>
      </c>
      <c r="E202" s="20"/>
      <c r="F202" s="19"/>
      <c r="G202" s="19"/>
      <c r="H202" s="20"/>
      <c r="I202" s="26"/>
      <c r="J202" s="26"/>
      <c r="K202" s="26"/>
      <c r="L202" s="26"/>
    </row>
    <row r="203" s="24" customFormat="1" spans="2:12">
      <c r="B203" s="19" t="s">
        <v>4669</v>
      </c>
      <c r="C203" s="19" t="s">
        <v>275</v>
      </c>
      <c r="D203" s="10" t="s">
        <v>4670</v>
      </c>
      <c r="E203" s="20"/>
      <c r="F203" s="19"/>
      <c r="G203" s="19"/>
      <c r="H203" s="20"/>
      <c r="I203" s="26"/>
      <c r="J203" s="26"/>
      <c r="K203" s="26"/>
      <c r="L203" s="26"/>
    </row>
    <row r="204" s="24" customFormat="1" spans="2:12">
      <c r="B204" s="19" t="s">
        <v>4671</v>
      </c>
      <c r="C204" s="19" t="s">
        <v>275</v>
      </c>
      <c r="D204" s="10" t="s">
        <v>4672</v>
      </c>
      <c r="E204" s="20"/>
      <c r="F204" s="19"/>
      <c r="G204" s="19"/>
      <c r="H204" s="20"/>
      <c r="I204" s="26"/>
      <c r="J204" s="26"/>
      <c r="K204" s="26"/>
      <c r="L204" s="26"/>
    </row>
    <row r="205" s="24" customFormat="1" spans="2:12">
      <c r="B205" s="19" t="s">
        <v>4673</v>
      </c>
      <c r="C205" s="19" t="s">
        <v>275</v>
      </c>
      <c r="D205" s="10" t="s">
        <v>4674</v>
      </c>
      <c r="E205" s="20"/>
      <c r="F205" s="19"/>
      <c r="G205" s="19"/>
      <c r="H205" s="20"/>
      <c r="I205" s="26"/>
      <c r="J205" s="26"/>
      <c r="K205" s="26"/>
      <c r="L205" s="26"/>
    </row>
    <row r="206" s="24" customFormat="1" spans="2:12">
      <c r="B206" s="19" t="s">
        <v>4675</v>
      </c>
      <c r="C206" s="19" t="s">
        <v>275</v>
      </c>
      <c r="D206" s="10" t="s">
        <v>4676</v>
      </c>
      <c r="E206" s="20"/>
      <c r="F206" s="19"/>
      <c r="G206" s="19"/>
      <c r="H206" s="20"/>
      <c r="I206" s="26"/>
      <c r="J206" s="26"/>
      <c r="K206" s="26"/>
      <c r="L206" s="26"/>
    </row>
    <row r="207" s="24" customFormat="1" spans="2:12">
      <c r="B207" s="19" t="s">
        <v>4677</v>
      </c>
      <c r="C207" s="19" t="s">
        <v>275</v>
      </c>
      <c r="D207" s="10" t="s">
        <v>4678</v>
      </c>
      <c r="E207" s="20"/>
      <c r="F207" s="19"/>
      <c r="G207" s="19"/>
      <c r="H207" s="20"/>
      <c r="I207" s="26"/>
      <c r="J207" s="26"/>
      <c r="K207" s="26"/>
      <c r="L207" s="26"/>
    </row>
    <row r="208" s="24" customFormat="1" spans="2:12">
      <c r="B208" s="19" t="s">
        <v>4679</v>
      </c>
      <c r="C208" s="19" t="s">
        <v>275</v>
      </c>
      <c r="D208" s="10" t="s">
        <v>4680</v>
      </c>
      <c r="E208" s="20"/>
      <c r="F208" s="19"/>
      <c r="G208" s="19"/>
      <c r="H208" s="20"/>
      <c r="I208" s="26"/>
      <c r="J208" s="26"/>
      <c r="K208" s="26"/>
      <c r="L208" s="26"/>
    </row>
    <row r="209" s="24" customFormat="1" spans="2:12">
      <c r="B209" s="19" t="s">
        <v>4681</v>
      </c>
      <c r="C209" s="19" t="s">
        <v>275</v>
      </c>
      <c r="D209" s="10" t="s">
        <v>4682</v>
      </c>
      <c r="E209" s="20"/>
      <c r="F209" s="19"/>
      <c r="G209" s="19"/>
      <c r="H209" s="20"/>
      <c r="I209" s="26"/>
      <c r="J209" s="26"/>
      <c r="K209" s="26"/>
      <c r="L209" s="26"/>
    </row>
    <row r="210" s="24" customFormat="1" spans="2:12">
      <c r="B210" s="19" t="s">
        <v>4683</v>
      </c>
      <c r="C210" s="19" t="s">
        <v>275</v>
      </c>
      <c r="D210" s="10" t="s">
        <v>4684</v>
      </c>
      <c r="E210" s="20"/>
      <c r="F210" s="19"/>
      <c r="G210" s="19"/>
      <c r="H210" s="20"/>
      <c r="I210" s="26"/>
      <c r="J210" s="26"/>
      <c r="K210" s="26"/>
      <c r="L210" s="26"/>
    </row>
    <row r="211" s="24" customFormat="1" spans="2:12">
      <c r="B211" s="19" t="s">
        <v>4685</v>
      </c>
      <c r="C211" s="19" t="s">
        <v>275</v>
      </c>
      <c r="D211" s="10" t="s">
        <v>4686</v>
      </c>
      <c r="E211" s="20"/>
      <c r="F211" s="19"/>
      <c r="G211" s="19"/>
      <c r="H211" s="20"/>
      <c r="I211" s="26"/>
      <c r="J211" s="26"/>
      <c r="K211" s="26"/>
      <c r="L211" s="26"/>
    </row>
    <row r="212" s="24" customFormat="1" spans="2:12">
      <c r="B212" s="19" t="s">
        <v>4687</v>
      </c>
      <c r="C212" s="19" t="s">
        <v>275</v>
      </c>
      <c r="D212" s="10" t="s">
        <v>4688</v>
      </c>
      <c r="E212" s="20"/>
      <c r="F212" s="19"/>
      <c r="G212" s="19"/>
      <c r="H212" s="20"/>
      <c r="I212" s="26"/>
      <c r="J212" s="26"/>
      <c r="K212" s="26"/>
      <c r="L212" s="26"/>
    </row>
    <row r="213" s="24" customFormat="1" spans="2:12">
      <c r="B213" s="19" t="s">
        <v>4689</v>
      </c>
      <c r="C213" s="19" t="s">
        <v>275</v>
      </c>
      <c r="D213" s="10" t="s">
        <v>4690</v>
      </c>
      <c r="E213" s="20"/>
      <c r="F213" s="19"/>
      <c r="G213" s="19"/>
      <c r="H213" s="20"/>
      <c r="I213" s="26"/>
      <c r="J213" s="26"/>
      <c r="K213" s="26"/>
      <c r="L213" s="26"/>
    </row>
    <row r="214" s="24" customFormat="1" spans="2:12">
      <c r="B214" s="19" t="s">
        <v>4691</v>
      </c>
      <c r="C214" s="19" t="s">
        <v>275</v>
      </c>
      <c r="D214" s="10" t="s">
        <v>4692</v>
      </c>
      <c r="E214" s="20"/>
      <c r="F214" s="19"/>
      <c r="G214" s="19"/>
      <c r="H214" s="20"/>
      <c r="I214" s="26"/>
      <c r="J214" s="26"/>
      <c r="K214" s="26"/>
      <c r="L214" s="26"/>
    </row>
    <row r="215" s="24" customFormat="1" spans="2:12">
      <c r="B215" s="19" t="s">
        <v>4693</v>
      </c>
      <c r="C215" s="19" t="s">
        <v>275</v>
      </c>
      <c r="D215" s="10" t="s">
        <v>4694</v>
      </c>
      <c r="E215" s="20"/>
      <c r="F215" s="19"/>
      <c r="G215" s="19"/>
      <c r="H215" s="20"/>
      <c r="I215" s="26"/>
      <c r="J215" s="26"/>
      <c r="K215" s="26"/>
      <c r="L215" s="26"/>
    </row>
    <row r="216" s="24" customFormat="1" spans="2:12">
      <c r="B216" s="19" t="s">
        <v>4695</v>
      </c>
      <c r="C216" s="19" t="s">
        <v>275</v>
      </c>
      <c r="D216" s="10" t="s">
        <v>4696</v>
      </c>
      <c r="E216" s="20"/>
      <c r="F216" s="19"/>
      <c r="G216" s="19"/>
      <c r="H216" s="20"/>
      <c r="I216" s="26"/>
      <c r="J216" s="26"/>
      <c r="K216" s="26"/>
      <c r="L216" s="26"/>
    </row>
    <row r="217" s="24" customFormat="1" spans="2:12">
      <c r="B217" s="19" t="s">
        <v>4697</v>
      </c>
      <c r="C217" s="19" t="s">
        <v>275</v>
      </c>
      <c r="D217" s="10" t="s">
        <v>4698</v>
      </c>
      <c r="E217" s="20"/>
      <c r="F217" s="19"/>
      <c r="G217" s="19"/>
      <c r="H217" s="20"/>
      <c r="I217" s="26"/>
      <c r="J217" s="26"/>
      <c r="K217" s="26"/>
      <c r="L217" s="26"/>
    </row>
    <row r="218" s="24" customFormat="1" spans="2:12">
      <c r="B218" s="19" t="s">
        <v>4699</v>
      </c>
      <c r="C218" s="19" t="s">
        <v>275</v>
      </c>
      <c r="D218" s="10" t="s">
        <v>4700</v>
      </c>
      <c r="E218" s="20"/>
      <c r="F218" s="19"/>
      <c r="G218" s="19"/>
      <c r="H218" s="20"/>
      <c r="I218" s="26"/>
      <c r="J218" s="26"/>
      <c r="K218" s="26"/>
      <c r="L218" s="26"/>
    </row>
    <row r="219" s="24" customFormat="1" spans="2:12">
      <c r="B219" s="19" t="s">
        <v>4701</v>
      </c>
      <c r="C219" s="19" t="s">
        <v>275</v>
      </c>
      <c r="D219" s="10" t="s">
        <v>4702</v>
      </c>
      <c r="E219" s="20"/>
      <c r="F219" s="19"/>
      <c r="G219" s="19"/>
      <c r="H219" s="20"/>
      <c r="I219" s="26"/>
      <c r="J219" s="26"/>
      <c r="K219" s="26"/>
      <c r="L219" s="26"/>
    </row>
    <row r="220" s="24" customFormat="1" spans="2:12">
      <c r="B220" s="19" t="s">
        <v>4703</v>
      </c>
      <c r="C220" s="19" t="s">
        <v>275</v>
      </c>
      <c r="D220" s="10" t="s">
        <v>4704</v>
      </c>
      <c r="E220" s="20"/>
      <c r="F220" s="19"/>
      <c r="G220" s="19"/>
      <c r="H220" s="20"/>
      <c r="I220" s="26"/>
      <c r="J220" s="26"/>
      <c r="K220" s="26"/>
      <c r="L220" s="26"/>
    </row>
    <row r="221" s="24" customFormat="1" spans="2:12">
      <c r="B221" s="19" t="s">
        <v>4705</v>
      </c>
      <c r="C221" s="19" t="s">
        <v>275</v>
      </c>
      <c r="D221" s="10" t="s">
        <v>4706</v>
      </c>
      <c r="E221" s="20"/>
      <c r="F221" s="19"/>
      <c r="G221" s="19"/>
      <c r="H221" s="20"/>
      <c r="I221" s="26"/>
      <c r="J221" s="26"/>
      <c r="K221" s="26"/>
      <c r="L221" s="26"/>
    </row>
    <row r="222" s="24" customFormat="1" spans="2:12">
      <c r="B222" s="19" t="s">
        <v>4707</v>
      </c>
      <c r="C222" s="19" t="s">
        <v>275</v>
      </c>
      <c r="D222" s="10" t="s">
        <v>4708</v>
      </c>
      <c r="E222" s="20"/>
      <c r="F222" s="19"/>
      <c r="G222" s="19"/>
      <c r="H222" s="20"/>
      <c r="I222" s="26"/>
      <c r="J222" s="26"/>
      <c r="K222" s="26"/>
      <c r="L222" s="26"/>
    </row>
    <row r="223" s="24" customFormat="1" spans="2:12">
      <c r="B223" s="19" t="s">
        <v>4709</v>
      </c>
      <c r="C223" s="19" t="s">
        <v>275</v>
      </c>
      <c r="D223" s="10" t="s">
        <v>4710</v>
      </c>
      <c r="E223" s="20"/>
      <c r="F223" s="19"/>
      <c r="G223" s="19"/>
      <c r="H223" s="20"/>
      <c r="I223" s="26"/>
      <c r="J223" s="26"/>
      <c r="K223" s="26"/>
      <c r="L223" s="26"/>
    </row>
    <row r="224" s="24" customFormat="1" spans="2:12">
      <c r="B224" s="19" t="s">
        <v>4711</v>
      </c>
      <c r="C224" s="19" t="s">
        <v>275</v>
      </c>
      <c r="D224" s="10" t="s">
        <v>4712</v>
      </c>
      <c r="E224" s="20"/>
      <c r="F224" s="19"/>
      <c r="G224" s="19"/>
      <c r="H224" s="20"/>
      <c r="I224" s="26"/>
      <c r="J224" s="26"/>
      <c r="K224" s="26"/>
      <c r="L224" s="26"/>
    </row>
    <row r="225" s="24" customFormat="1" spans="2:12">
      <c r="B225" s="19" t="s">
        <v>4713</v>
      </c>
      <c r="C225" s="19" t="s">
        <v>275</v>
      </c>
      <c r="D225" s="10" t="s">
        <v>4714</v>
      </c>
      <c r="E225" s="20"/>
      <c r="F225" s="19"/>
      <c r="G225" s="19"/>
      <c r="H225" s="20"/>
      <c r="I225" s="26"/>
      <c r="J225" s="26"/>
      <c r="K225" s="26"/>
      <c r="L225" s="26"/>
    </row>
    <row r="226" s="24" customFormat="1" spans="2:12">
      <c r="B226" s="19" t="s">
        <v>4715</v>
      </c>
      <c r="C226" s="19" t="s">
        <v>275</v>
      </c>
      <c r="D226" s="10" t="s">
        <v>4716</v>
      </c>
      <c r="E226" s="20"/>
      <c r="F226" s="19"/>
      <c r="G226" s="19"/>
      <c r="H226" s="20"/>
      <c r="I226" s="26"/>
      <c r="J226" s="26"/>
      <c r="K226" s="26"/>
      <c r="L226" s="26"/>
    </row>
    <row r="227" s="24" customFormat="1" spans="2:12">
      <c r="B227" s="19" t="s">
        <v>4717</v>
      </c>
      <c r="C227" s="19" t="s">
        <v>275</v>
      </c>
      <c r="D227" s="10" t="s">
        <v>4718</v>
      </c>
      <c r="E227" s="20"/>
      <c r="F227" s="19"/>
      <c r="G227" s="19"/>
      <c r="H227" s="20"/>
      <c r="I227" s="26"/>
      <c r="J227" s="26"/>
      <c r="K227" s="26"/>
      <c r="L227" s="26"/>
    </row>
    <row r="228" s="24" customFormat="1" spans="2:12">
      <c r="B228" s="19" t="s">
        <v>4719</v>
      </c>
      <c r="C228" s="19" t="s">
        <v>275</v>
      </c>
      <c r="D228" s="10" t="s">
        <v>4720</v>
      </c>
      <c r="E228" s="20"/>
      <c r="F228" s="19"/>
      <c r="G228" s="19"/>
      <c r="H228" s="20"/>
      <c r="I228" s="26"/>
      <c r="J228" s="26"/>
      <c r="K228" s="26"/>
      <c r="L228" s="26"/>
    </row>
    <row r="229" s="24" customFormat="1" spans="2:12">
      <c r="B229" s="19" t="s">
        <v>4721</v>
      </c>
      <c r="C229" s="19" t="s">
        <v>275</v>
      </c>
      <c r="D229" s="10" t="s">
        <v>4722</v>
      </c>
      <c r="E229" s="20"/>
      <c r="F229" s="19"/>
      <c r="G229" s="19"/>
      <c r="H229" s="20"/>
      <c r="I229" s="26"/>
      <c r="J229" s="26"/>
      <c r="K229" s="26"/>
      <c r="L229" s="26"/>
    </row>
    <row r="230" s="24" customFormat="1" spans="2:12">
      <c r="B230" s="19" t="s">
        <v>4723</v>
      </c>
      <c r="C230" s="19" t="s">
        <v>275</v>
      </c>
      <c r="D230" s="10" t="s">
        <v>4724</v>
      </c>
      <c r="E230" s="20"/>
      <c r="F230" s="19"/>
      <c r="G230" s="19"/>
      <c r="H230" s="20"/>
      <c r="I230" s="26"/>
      <c r="J230" s="26"/>
      <c r="K230" s="26"/>
      <c r="L230" s="26"/>
    </row>
    <row r="231" s="24" customFormat="1" spans="2:12">
      <c r="B231" s="19" t="s">
        <v>4725</v>
      </c>
      <c r="C231" s="19" t="s">
        <v>275</v>
      </c>
      <c r="D231" s="10" t="s">
        <v>4726</v>
      </c>
      <c r="E231" s="20"/>
      <c r="F231" s="19"/>
      <c r="G231" s="19"/>
      <c r="H231" s="20"/>
      <c r="I231" s="26"/>
      <c r="J231" s="26"/>
      <c r="K231" s="26"/>
      <c r="L231" s="26"/>
    </row>
    <row r="232" s="24" customFormat="1" spans="2:12">
      <c r="B232" s="19" t="s">
        <v>4727</v>
      </c>
      <c r="C232" s="19" t="s">
        <v>275</v>
      </c>
      <c r="D232" s="10" t="s">
        <v>4728</v>
      </c>
      <c r="E232" s="20"/>
      <c r="F232" s="19"/>
      <c r="G232" s="19"/>
      <c r="H232" s="20"/>
      <c r="I232" s="26"/>
      <c r="J232" s="26"/>
      <c r="K232" s="26"/>
      <c r="L232" s="26"/>
    </row>
    <row r="233" s="24" customFormat="1" spans="2:12">
      <c r="B233" s="19" t="s">
        <v>4729</v>
      </c>
      <c r="C233" s="19" t="s">
        <v>275</v>
      </c>
      <c r="D233" s="10" t="s">
        <v>4730</v>
      </c>
      <c r="E233" s="20"/>
      <c r="F233" s="19"/>
      <c r="G233" s="19"/>
      <c r="H233" s="20"/>
      <c r="I233" s="26"/>
      <c r="J233" s="26"/>
      <c r="K233" s="26"/>
      <c r="L233" s="26"/>
    </row>
    <row r="234" s="24" customFormat="1" spans="2:12">
      <c r="B234" s="19" t="s">
        <v>4731</v>
      </c>
      <c r="C234" s="19" t="s">
        <v>275</v>
      </c>
      <c r="D234" s="10" t="s">
        <v>4732</v>
      </c>
      <c r="E234" s="20"/>
      <c r="F234" s="19"/>
      <c r="G234" s="19"/>
      <c r="H234" s="20"/>
      <c r="I234" s="26"/>
      <c r="J234" s="26"/>
      <c r="K234" s="26"/>
      <c r="L234" s="26"/>
    </row>
    <row r="235" s="24" customFormat="1" spans="2:12">
      <c r="B235" s="19" t="s">
        <v>4733</v>
      </c>
      <c r="C235" s="19" t="s">
        <v>275</v>
      </c>
      <c r="D235" s="10" t="s">
        <v>4734</v>
      </c>
      <c r="E235" s="20"/>
      <c r="F235" s="19"/>
      <c r="G235" s="19"/>
      <c r="H235" s="20"/>
      <c r="I235" s="26"/>
      <c r="J235" s="26"/>
      <c r="K235" s="26"/>
      <c r="L235" s="26"/>
    </row>
    <row r="236" s="24" customFormat="1" spans="2:12">
      <c r="B236" s="19" t="s">
        <v>4735</v>
      </c>
      <c r="C236" s="19" t="s">
        <v>275</v>
      </c>
      <c r="D236" s="10" t="s">
        <v>4736</v>
      </c>
      <c r="E236" s="20"/>
      <c r="F236" s="19"/>
      <c r="G236" s="19"/>
      <c r="H236" s="20"/>
      <c r="I236" s="26"/>
      <c r="J236" s="26"/>
      <c r="K236" s="26"/>
      <c r="L236" s="26"/>
    </row>
    <row r="237" s="24" customFormat="1" spans="2:12">
      <c r="B237" s="19" t="s">
        <v>4737</v>
      </c>
      <c r="C237" s="19" t="s">
        <v>275</v>
      </c>
      <c r="D237" s="10" t="s">
        <v>4738</v>
      </c>
      <c r="E237" s="20"/>
      <c r="F237" s="19"/>
      <c r="G237" s="19"/>
      <c r="H237" s="20"/>
      <c r="I237" s="26"/>
      <c r="J237" s="26"/>
      <c r="K237" s="26"/>
      <c r="L237" s="26"/>
    </row>
    <row r="238" s="24" customFormat="1" spans="2:12">
      <c r="B238" s="19" t="s">
        <v>4739</v>
      </c>
      <c r="C238" s="19" t="s">
        <v>275</v>
      </c>
      <c r="D238" s="10" t="s">
        <v>4740</v>
      </c>
      <c r="E238" s="20"/>
      <c r="F238" s="19"/>
      <c r="G238" s="19"/>
      <c r="H238" s="20"/>
      <c r="I238" s="26"/>
      <c r="J238" s="26"/>
      <c r="K238" s="26"/>
      <c r="L238" s="26"/>
    </row>
    <row r="239" s="24" customFormat="1" spans="2:12">
      <c r="B239" s="19" t="s">
        <v>4741</v>
      </c>
      <c r="C239" s="19" t="s">
        <v>275</v>
      </c>
      <c r="D239" s="10" t="s">
        <v>4742</v>
      </c>
      <c r="E239" s="20"/>
      <c r="F239" s="19"/>
      <c r="G239" s="19"/>
      <c r="H239" s="20"/>
      <c r="I239" s="26"/>
      <c r="J239" s="26"/>
      <c r="K239" s="26"/>
      <c r="L239" s="26"/>
    </row>
    <row r="240" s="24" customFormat="1" spans="2:12">
      <c r="B240" s="19" t="s">
        <v>4743</v>
      </c>
      <c r="C240" s="19" t="s">
        <v>275</v>
      </c>
      <c r="D240" s="10" t="s">
        <v>4744</v>
      </c>
      <c r="E240" s="20"/>
      <c r="F240" s="19"/>
      <c r="G240" s="19"/>
      <c r="H240" s="20"/>
      <c r="I240" s="26"/>
      <c r="J240" s="26"/>
      <c r="K240" s="26"/>
      <c r="L240" s="26"/>
    </row>
    <row r="241" s="24" customFormat="1" spans="2:12">
      <c r="B241" s="19" t="s">
        <v>4745</v>
      </c>
      <c r="C241" s="19" t="s">
        <v>275</v>
      </c>
      <c r="D241" s="10" t="s">
        <v>4746</v>
      </c>
      <c r="E241" s="20"/>
      <c r="F241" s="19"/>
      <c r="G241" s="19"/>
      <c r="H241" s="20"/>
      <c r="I241" s="26"/>
      <c r="J241" s="26"/>
      <c r="K241" s="26"/>
      <c r="L241" s="26"/>
    </row>
    <row r="242" s="24" customFormat="1" spans="2:12">
      <c r="B242" s="19" t="s">
        <v>4747</v>
      </c>
      <c r="C242" s="19" t="s">
        <v>275</v>
      </c>
      <c r="D242" s="10" t="s">
        <v>4748</v>
      </c>
      <c r="E242" s="20"/>
      <c r="F242" s="19"/>
      <c r="G242" s="19"/>
      <c r="H242" s="20"/>
      <c r="I242" s="26"/>
      <c r="J242" s="26"/>
      <c r="K242" s="26"/>
      <c r="L242" s="26"/>
    </row>
    <row r="243" s="24" customFormat="1" spans="2:12">
      <c r="B243" s="19" t="s">
        <v>4749</v>
      </c>
      <c r="C243" s="19" t="s">
        <v>275</v>
      </c>
      <c r="D243" s="10" t="s">
        <v>4750</v>
      </c>
      <c r="E243" s="20"/>
      <c r="F243" s="19"/>
      <c r="G243" s="19"/>
      <c r="H243" s="20"/>
      <c r="I243" s="26"/>
      <c r="J243" s="26"/>
      <c r="K243" s="26"/>
      <c r="L243" s="26"/>
    </row>
    <row r="244" s="24" customFormat="1" spans="2:12">
      <c r="B244" s="19" t="s">
        <v>4751</v>
      </c>
      <c r="C244" s="19" t="s">
        <v>275</v>
      </c>
      <c r="D244" s="10" t="s">
        <v>4752</v>
      </c>
      <c r="E244" s="20"/>
      <c r="F244" s="19"/>
      <c r="G244" s="19"/>
      <c r="H244" s="20"/>
      <c r="I244" s="26"/>
      <c r="J244" s="26"/>
      <c r="K244" s="26"/>
      <c r="L244" s="26"/>
    </row>
    <row r="245" s="24" customFormat="1" spans="2:12">
      <c r="B245" s="19" t="s">
        <v>4753</v>
      </c>
      <c r="C245" s="19" t="s">
        <v>275</v>
      </c>
      <c r="D245" s="10" t="s">
        <v>4754</v>
      </c>
      <c r="E245" s="20"/>
      <c r="F245" s="19"/>
      <c r="G245" s="19"/>
      <c r="H245" s="20"/>
      <c r="I245" s="26"/>
      <c r="J245" s="26"/>
      <c r="K245" s="26"/>
      <c r="L245" s="26"/>
    </row>
    <row r="246" s="24" customFormat="1" spans="2:12">
      <c r="B246" s="19" t="s">
        <v>4755</v>
      </c>
      <c r="C246" s="19" t="s">
        <v>275</v>
      </c>
      <c r="D246" s="10" t="s">
        <v>4756</v>
      </c>
      <c r="E246" s="20"/>
      <c r="F246" s="19"/>
      <c r="G246" s="19"/>
      <c r="H246" s="20"/>
      <c r="I246" s="26"/>
      <c r="J246" s="26"/>
      <c r="K246" s="26"/>
      <c r="L246" s="26"/>
    </row>
    <row r="247" s="24" customFormat="1" spans="2:12">
      <c r="B247" s="19" t="s">
        <v>4757</v>
      </c>
      <c r="C247" s="19" t="s">
        <v>275</v>
      </c>
      <c r="D247" s="10" t="s">
        <v>4758</v>
      </c>
      <c r="E247" s="20"/>
      <c r="F247" s="19"/>
      <c r="G247" s="19"/>
      <c r="H247" s="20"/>
      <c r="I247" s="26"/>
      <c r="J247" s="26"/>
      <c r="K247" s="26"/>
      <c r="L247" s="26"/>
    </row>
    <row r="248" s="24" customFormat="1" spans="2:12">
      <c r="B248" s="19" t="s">
        <v>4759</v>
      </c>
      <c r="C248" s="19" t="s">
        <v>275</v>
      </c>
      <c r="D248" s="10" t="s">
        <v>4760</v>
      </c>
      <c r="E248" s="20"/>
      <c r="F248" s="19"/>
      <c r="G248" s="19"/>
      <c r="H248" s="20"/>
      <c r="I248" s="26"/>
      <c r="J248" s="26"/>
      <c r="K248" s="26"/>
      <c r="L248" s="26"/>
    </row>
    <row r="249" s="24" customFormat="1" spans="2:12">
      <c r="B249" s="19" t="s">
        <v>4761</v>
      </c>
      <c r="C249" s="19" t="s">
        <v>275</v>
      </c>
      <c r="D249" s="10" t="s">
        <v>4762</v>
      </c>
      <c r="E249" s="20"/>
      <c r="F249" s="19"/>
      <c r="G249" s="19"/>
      <c r="H249" s="20"/>
      <c r="I249" s="26"/>
      <c r="J249" s="26"/>
      <c r="K249" s="26"/>
      <c r="L249" s="26"/>
    </row>
    <row r="250" s="24" customFormat="1" spans="2:12">
      <c r="B250" s="19" t="s">
        <v>4763</v>
      </c>
      <c r="C250" s="19" t="s">
        <v>275</v>
      </c>
      <c r="D250" s="10" t="s">
        <v>4764</v>
      </c>
      <c r="E250" s="20"/>
      <c r="F250" s="19"/>
      <c r="G250" s="19"/>
      <c r="H250" s="20"/>
      <c r="I250" s="26"/>
      <c r="J250" s="26"/>
      <c r="K250" s="26"/>
      <c r="L250" s="26"/>
    </row>
    <row r="251" s="24" customFormat="1" spans="2:12">
      <c r="B251" s="19" t="s">
        <v>4765</v>
      </c>
      <c r="C251" s="19" t="s">
        <v>275</v>
      </c>
      <c r="D251" s="10" t="s">
        <v>4766</v>
      </c>
      <c r="E251" s="20"/>
      <c r="F251" s="19"/>
      <c r="G251" s="19"/>
      <c r="H251" s="20"/>
      <c r="I251" s="26"/>
      <c r="J251" s="26"/>
      <c r="K251" s="26"/>
      <c r="L251" s="26"/>
    </row>
    <row r="252" s="24" customFormat="1" spans="2:12">
      <c r="B252" s="19" t="s">
        <v>4767</v>
      </c>
      <c r="C252" s="19" t="s">
        <v>275</v>
      </c>
      <c r="D252" s="10" t="s">
        <v>4768</v>
      </c>
      <c r="E252" s="20"/>
      <c r="F252" s="19"/>
      <c r="G252" s="19"/>
      <c r="H252" s="20"/>
      <c r="I252" s="26"/>
      <c r="J252" s="26"/>
      <c r="K252" s="26"/>
      <c r="L252" s="26"/>
    </row>
    <row r="253" s="24" customFormat="1" spans="2:12">
      <c r="B253" s="19" t="s">
        <v>4769</v>
      </c>
      <c r="C253" s="19" t="s">
        <v>275</v>
      </c>
      <c r="D253" s="10" t="s">
        <v>4770</v>
      </c>
      <c r="E253" s="20"/>
      <c r="F253" s="19"/>
      <c r="G253" s="19"/>
      <c r="H253" s="20"/>
      <c r="I253" s="26"/>
      <c r="J253" s="26"/>
      <c r="K253" s="26"/>
      <c r="L253" s="26"/>
    </row>
    <row r="254" s="24" customFormat="1" ht="26.4" spans="2:12">
      <c r="B254" s="19" t="s">
        <v>4771</v>
      </c>
      <c r="C254" s="19" t="s">
        <v>275</v>
      </c>
      <c r="D254" s="10" t="s">
        <v>4772</v>
      </c>
      <c r="E254" s="20"/>
      <c r="F254" s="19"/>
      <c r="G254" s="19"/>
      <c r="H254" s="20"/>
      <c r="I254" s="26"/>
      <c r="J254" s="26"/>
      <c r="K254" s="26"/>
      <c r="L254" s="26"/>
    </row>
    <row r="255" s="24" customFormat="1" spans="2:12">
      <c r="B255" s="19" t="s">
        <v>4773</v>
      </c>
      <c r="C255" s="19" t="s">
        <v>275</v>
      </c>
      <c r="D255" s="10" t="s">
        <v>4774</v>
      </c>
      <c r="E255" s="20"/>
      <c r="F255" s="19"/>
      <c r="G255" s="19"/>
      <c r="H255" s="20"/>
      <c r="I255" s="26"/>
      <c r="J255" s="26"/>
      <c r="K255" s="26"/>
      <c r="L255" s="26"/>
    </row>
    <row r="256" s="24" customFormat="1" spans="2:12">
      <c r="B256" s="19" t="s">
        <v>4775</v>
      </c>
      <c r="C256" s="19" t="s">
        <v>275</v>
      </c>
      <c r="D256" s="10" t="s">
        <v>4776</v>
      </c>
      <c r="E256" s="20"/>
      <c r="F256" s="19"/>
      <c r="G256" s="19"/>
      <c r="H256" s="20"/>
      <c r="I256" s="26"/>
      <c r="J256" s="26"/>
      <c r="K256" s="26"/>
      <c r="L256" s="26"/>
    </row>
    <row r="257" s="24" customFormat="1" ht="26.4" spans="2:12">
      <c r="B257" s="19" t="s">
        <v>4777</v>
      </c>
      <c r="C257" s="19" t="s">
        <v>275</v>
      </c>
      <c r="D257" s="10" t="s">
        <v>4778</v>
      </c>
      <c r="E257" s="20"/>
      <c r="F257" s="19"/>
      <c r="G257" s="19"/>
      <c r="H257" s="20"/>
      <c r="I257" s="26"/>
      <c r="J257" s="26"/>
      <c r="K257" s="26"/>
      <c r="L257" s="26"/>
    </row>
    <row r="258" s="24" customFormat="1" spans="2:12">
      <c r="B258" s="19" t="s">
        <v>4779</v>
      </c>
      <c r="C258" s="19" t="s">
        <v>275</v>
      </c>
      <c r="D258" s="10" t="s">
        <v>4780</v>
      </c>
      <c r="E258" s="20"/>
      <c r="F258" s="19"/>
      <c r="G258" s="19"/>
      <c r="H258" s="20"/>
      <c r="I258" s="26"/>
      <c r="J258" s="26"/>
      <c r="K258" s="26"/>
      <c r="L258" s="26"/>
    </row>
    <row r="259" s="24" customFormat="1" ht="26.4" spans="2:12">
      <c r="B259" s="19" t="s">
        <v>4781</v>
      </c>
      <c r="C259" s="19" t="s">
        <v>275</v>
      </c>
      <c r="D259" s="10" t="s">
        <v>4782</v>
      </c>
      <c r="E259" s="20"/>
      <c r="F259" s="19"/>
      <c r="G259" s="19"/>
      <c r="H259" s="20"/>
      <c r="I259" s="26"/>
      <c r="J259" s="26"/>
      <c r="K259" s="26"/>
      <c r="L259" s="26"/>
    </row>
    <row r="260" s="24" customFormat="1" spans="2:12">
      <c r="B260" s="19" t="s">
        <v>4783</v>
      </c>
      <c r="C260" s="19" t="s">
        <v>275</v>
      </c>
      <c r="D260" s="10" t="s">
        <v>4784</v>
      </c>
      <c r="E260" s="20"/>
      <c r="F260" s="19"/>
      <c r="G260" s="19"/>
      <c r="H260" s="20"/>
      <c r="I260" s="26"/>
      <c r="J260" s="26"/>
      <c r="K260" s="26"/>
      <c r="L260" s="26"/>
    </row>
    <row r="261" s="24" customFormat="1" spans="2:12">
      <c r="B261" s="19" t="s">
        <v>4785</v>
      </c>
      <c r="C261" s="19" t="s">
        <v>275</v>
      </c>
      <c r="D261" s="10" t="s">
        <v>4786</v>
      </c>
      <c r="E261" s="20"/>
      <c r="F261" s="19"/>
      <c r="G261" s="19"/>
      <c r="H261" s="20"/>
      <c r="I261" s="26"/>
      <c r="J261" s="26"/>
      <c r="K261" s="26"/>
      <c r="L261" s="26"/>
    </row>
    <row r="262" s="24" customFormat="1" ht="26.4" spans="2:12">
      <c r="B262" s="19" t="s">
        <v>4787</v>
      </c>
      <c r="C262" s="19" t="s">
        <v>275</v>
      </c>
      <c r="D262" s="10" t="s">
        <v>4788</v>
      </c>
      <c r="E262" s="20"/>
      <c r="F262" s="19"/>
      <c r="G262" s="19"/>
      <c r="H262" s="20"/>
      <c r="I262" s="26"/>
      <c r="J262" s="26"/>
      <c r="K262" s="26"/>
      <c r="L262" s="26"/>
    </row>
    <row r="263" s="24" customFormat="1" spans="2:12">
      <c r="B263" s="19" t="s">
        <v>4789</v>
      </c>
      <c r="C263" s="19" t="s">
        <v>275</v>
      </c>
      <c r="D263" s="10" t="s">
        <v>4790</v>
      </c>
      <c r="E263" s="20"/>
      <c r="F263" s="19"/>
      <c r="G263" s="19"/>
      <c r="H263" s="20"/>
      <c r="I263" s="26"/>
      <c r="J263" s="26"/>
      <c r="K263" s="26"/>
      <c r="L263" s="26"/>
    </row>
    <row r="264" s="24" customFormat="1" spans="2:12">
      <c r="B264" s="19" t="s">
        <v>4791</v>
      </c>
      <c r="C264" s="19" t="s">
        <v>275</v>
      </c>
      <c r="D264" s="10" t="s">
        <v>4792</v>
      </c>
      <c r="E264" s="20"/>
      <c r="F264" s="19"/>
      <c r="G264" s="19"/>
      <c r="H264" s="20"/>
      <c r="I264" s="26"/>
      <c r="J264" s="26"/>
      <c r="K264" s="26"/>
      <c r="L264" s="26"/>
    </row>
    <row r="265" s="24" customFormat="1" spans="2:12">
      <c r="B265" s="19" t="s">
        <v>4793</v>
      </c>
      <c r="C265" s="19" t="s">
        <v>275</v>
      </c>
      <c r="D265" s="10" t="s">
        <v>4794</v>
      </c>
      <c r="E265" s="20"/>
      <c r="F265" s="19"/>
      <c r="G265" s="19"/>
      <c r="H265" s="20"/>
      <c r="I265" s="26"/>
      <c r="J265" s="26"/>
      <c r="K265" s="26"/>
      <c r="L265" s="26"/>
    </row>
    <row r="266" s="24" customFormat="1" spans="2:12">
      <c r="B266" s="19" t="s">
        <v>4795</v>
      </c>
      <c r="C266" s="19" t="s">
        <v>275</v>
      </c>
      <c r="D266" s="10" t="s">
        <v>4796</v>
      </c>
      <c r="E266" s="27"/>
      <c r="F266" s="19"/>
      <c r="G266" s="19"/>
      <c r="H266" s="27"/>
      <c r="I266" s="26"/>
      <c r="J266" s="26"/>
      <c r="K266" s="26"/>
      <c r="L266" s="26"/>
    </row>
    <row r="267" s="24" customFormat="1" spans="2:12">
      <c r="B267" s="19" t="s">
        <v>4797</v>
      </c>
      <c r="C267" s="19" t="s">
        <v>275</v>
      </c>
      <c r="D267" s="10" t="s">
        <v>4798</v>
      </c>
      <c r="E267" s="27"/>
      <c r="F267" s="19"/>
      <c r="G267" s="19"/>
      <c r="H267" s="27"/>
      <c r="I267" s="26"/>
      <c r="J267" s="26"/>
      <c r="K267" s="26"/>
      <c r="L267" s="26"/>
    </row>
    <row r="268" s="24" customFormat="1" spans="2:12">
      <c r="B268" s="19" t="s">
        <v>4799</v>
      </c>
      <c r="C268" s="19" t="s">
        <v>275</v>
      </c>
      <c r="D268" s="10" t="s">
        <v>4800</v>
      </c>
      <c r="E268" s="27"/>
      <c r="F268" s="19"/>
      <c r="G268" s="19"/>
      <c r="H268" s="27"/>
      <c r="I268" s="26"/>
      <c r="J268" s="26"/>
      <c r="K268" s="26"/>
      <c r="L268" s="26"/>
    </row>
    <row r="269" s="24" customFormat="1" spans="2:12">
      <c r="B269" s="19" t="s">
        <v>4801</v>
      </c>
      <c r="C269" s="19" t="s">
        <v>275</v>
      </c>
      <c r="D269" s="10" t="s">
        <v>4802</v>
      </c>
      <c r="E269" s="27"/>
      <c r="F269" s="19"/>
      <c r="G269" s="19"/>
      <c r="H269" s="27"/>
      <c r="I269" s="26"/>
      <c r="J269" s="26"/>
      <c r="K269" s="26"/>
      <c r="L269" s="26"/>
    </row>
    <row r="270" s="24" customFormat="1" spans="2:12">
      <c r="B270" s="19" t="s">
        <v>4803</v>
      </c>
      <c r="C270" s="19" t="s">
        <v>275</v>
      </c>
      <c r="D270" s="10" t="s">
        <v>4804</v>
      </c>
      <c r="E270" s="27"/>
      <c r="F270" s="19"/>
      <c r="G270" s="19"/>
      <c r="H270" s="27"/>
      <c r="I270" s="26"/>
      <c r="J270" s="26"/>
      <c r="K270" s="26"/>
      <c r="L270" s="26"/>
    </row>
    <row r="271" s="24" customFormat="1" spans="2:12">
      <c r="B271" s="19" t="s">
        <v>4805</v>
      </c>
      <c r="C271" s="19" t="s">
        <v>275</v>
      </c>
      <c r="D271" s="10" t="s">
        <v>4806</v>
      </c>
      <c r="E271" s="27"/>
      <c r="F271" s="19"/>
      <c r="G271" s="19"/>
      <c r="H271" s="27"/>
      <c r="I271" s="26"/>
      <c r="J271" s="26"/>
      <c r="K271" s="26"/>
      <c r="L271" s="26"/>
    </row>
    <row r="272" s="24" customFormat="1" spans="2:12">
      <c r="B272" s="19" t="s">
        <v>4807</v>
      </c>
      <c r="C272" s="19" t="s">
        <v>275</v>
      </c>
      <c r="D272" s="10" t="s">
        <v>4808</v>
      </c>
      <c r="E272" s="27"/>
      <c r="F272" s="19"/>
      <c r="G272" s="19"/>
      <c r="H272" s="27"/>
      <c r="I272" s="26"/>
      <c r="J272" s="26"/>
      <c r="K272" s="26"/>
      <c r="L272" s="26"/>
    </row>
    <row r="273" s="24" customFormat="1" spans="2:12">
      <c r="B273" s="19" t="s">
        <v>4809</v>
      </c>
      <c r="C273" s="19" t="s">
        <v>275</v>
      </c>
      <c r="D273" s="10" t="s">
        <v>4810</v>
      </c>
      <c r="E273" s="27"/>
      <c r="F273" s="19"/>
      <c r="G273" s="19"/>
      <c r="H273" s="27"/>
      <c r="I273" s="26"/>
      <c r="J273" s="26"/>
      <c r="K273" s="26"/>
      <c r="L273" s="26"/>
    </row>
    <row r="274" s="24" customFormat="1" spans="2:12">
      <c r="B274" s="19" t="s">
        <v>4811</v>
      </c>
      <c r="C274" s="19" t="s">
        <v>275</v>
      </c>
      <c r="D274" s="10" t="s">
        <v>4812</v>
      </c>
      <c r="E274" s="27"/>
      <c r="F274" s="19"/>
      <c r="G274" s="19"/>
      <c r="H274" s="27"/>
      <c r="I274" s="26"/>
      <c r="J274" s="26"/>
      <c r="K274" s="26"/>
      <c r="L274" s="26"/>
    </row>
    <row r="275" s="24" customFormat="1" spans="2:12">
      <c r="B275" s="19" t="s">
        <v>4813</v>
      </c>
      <c r="C275" s="19" t="s">
        <v>275</v>
      </c>
      <c r="D275" s="10" t="s">
        <v>4814</v>
      </c>
      <c r="E275" s="27"/>
      <c r="F275" s="19"/>
      <c r="G275" s="19"/>
      <c r="H275" s="27"/>
      <c r="I275" s="26"/>
      <c r="J275" s="26"/>
      <c r="K275" s="26"/>
      <c r="L275" s="26"/>
    </row>
    <row r="276" s="24" customFormat="1" spans="2:12">
      <c r="B276" s="19" t="s">
        <v>4815</v>
      </c>
      <c r="C276" s="19" t="s">
        <v>275</v>
      </c>
      <c r="D276" s="10" t="s">
        <v>4816</v>
      </c>
      <c r="E276" s="27"/>
      <c r="F276" s="19"/>
      <c r="G276" s="19"/>
      <c r="H276" s="27"/>
      <c r="I276" s="26"/>
      <c r="J276" s="26"/>
      <c r="K276" s="26"/>
      <c r="L276" s="26"/>
    </row>
    <row r="277" s="24" customFormat="1" ht="26.4" spans="2:12">
      <c r="B277" s="19" t="s">
        <v>4817</v>
      </c>
      <c r="C277" s="19" t="s">
        <v>275</v>
      </c>
      <c r="D277" s="10" t="s">
        <v>4818</v>
      </c>
      <c r="E277" s="27"/>
      <c r="F277" s="19"/>
      <c r="G277" s="19"/>
      <c r="H277" s="27"/>
      <c r="I277" s="26"/>
      <c r="J277" s="26"/>
      <c r="K277" s="26"/>
      <c r="L277" s="26"/>
    </row>
    <row r="278" s="24" customFormat="1" spans="2:12">
      <c r="B278" s="19" t="s">
        <v>4819</v>
      </c>
      <c r="C278" s="19" t="s">
        <v>275</v>
      </c>
      <c r="D278" s="10" t="s">
        <v>4820</v>
      </c>
      <c r="E278" s="27"/>
      <c r="F278" s="19"/>
      <c r="G278" s="19"/>
      <c r="H278" s="27"/>
      <c r="I278" s="26"/>
      <c r="J278" s="26"/>
      <c r="K278" s="26"/>
      <c r="L278" s="26"/>
    </row>
    <row r="279" s="24" customFormat="1" spans="2:12">
      <c r="B279" s="19" t="s">
        <v>4821</v>
      </c>
      <c r="C279" s="19" t="s">
        <v>275</v>
      </c>
      <c r="D279" s="10" t="s">
        <v>4822</v>
      </c>
      <c r="E279" s="27"/>
      <c r="F279" s="19"/>
      <c r="G279" s="19"/>
      <c r="H279" s="27"/>
      <c r="I279" s="26"/>
      <c r="J279" s="26"/>
      <c r="K279" s="26"/>
      <c r="L279" s="26"/>
    </row>
    <row r="280" s="24" customFormat="1" spans="2:12">
      <c r="B280" s="19" t="s">
        <v>4823</v>
      </c>
      <c r="C280" s="19" t="s">
        <v>275</v>
      </c>
      <c r="D280" s="10" t="s">
        <v>4824</v>
      </c>
      <c r="E280" s="27"/>
      <c r="F280" s="19"/>
      <c r="G280" s="19"/>
      <c r="H280" s="27"/>
      <c r="I280" s="26"/>
      <c r="J280" s="26"/>
      <c r="K280" s="26"/>
      <c r="L280" s="26"/>
    </row>
    <row r="281" s="24" customFormat="1" spans="2:12">
      <c r="B281" s="19" t="s">
        <v>4825</v>
      </c>
      <c r="C281" s="19" t="s">
        <v>275</v>
      </c>
      <c r="D281" s="10" t="s">
        <v>4826</v>
      </c>
      <c r="E281" s="27"/>
      <c r="F281" s="19"/>
      <c r="G281" s="19"/>
      <c r="H281" s="27"/>
      <c r="I281" s="26"/>
      <c r="J281" s="26"/>
      <c r="K281" s="26"/>
      <c r="L281" s="26"/>
    </row>
    <row r="282" s="24" customFormat="1" ht="26.4" spans="2:12">
      <c r="B282" s="19" t="s">
        <v>4827</v>
      </c>
      <c r="C282" s="19" t="s">
        <v>275</v>
      </c>
      <c r="D282" s="10" t="s">
        <v>4828</v>
      </c>
      <c r="E282" s="27"/>
      <c r="F282" s="19"/>
      <c r="G282" s="19"/>
      <c r="H282" s="27"/>
      <c r="I282" s="26"/>
      <c r="J282" s="26"/>
      <c r="K282" s="26"/>
      <c r="L282" s="26"/>
    </row>
    <row r="283" s="24" customFormat="1" spans="2:12">
      <c r="B283" s="19" t="s">
        <v>4829</v>
      </c>
      <c r="C283" s="19" t="s">
        <v>275</v>
      </c>
      <c r="D283" s="10" t="s">
        <v>4830</v>
      </c>
      <c r="E283" s="27"/>
      <c r="F283" s="19"/>
      <c r="G283" s="19"/>
      <c r="H283" s="27"/>
      <c r="I283" s="26"/>
      <c r="J283" s="26"/>
      <c r="K283" s="26"/>
      <c r="L283" s="26"/>
    </row>
    <row r="284" s="24" customFormat="1" spans="2:12">
      <c r="B284" s="19" t="s">
        <v>4831</v>
      </c>
      <c r="C284" s="19" t="s">
        <v>275</v>
      </c>
      <c r="D284" s="10" t="s">
        <v>4832</v>
      </c>
      <c r="E284" s="27"/>
      <c r="F284" s="19"/>
      <c r="G284" s="19"/>
      <c r="H284" s="27"/>
      <c r="I284" s="26"/>
      <c r="J284" s="26"/>
      <c r="K284" s="26"/>
      <c r="L284" s="26"/>
    </row>
    <row r="285" s="24" customFormat="1" spans="2:12">
      <c r="B285" s="19" t="s">
        <v>4833</v>
      </c>
      <c r="C285" s="19" t="s">
        <v>275</v>
      </c>
      <c r="D285" s="10" t="s">
        <v>4834</v>
      </c>
      <c r="E285" s="27"/>
      <c r="F285" s="19"/>
      <c r="G285" s="19"/>
      <c r="H285" s="27"/>
      <c r="I285" s="26"/>
      <c r="J285" s="26"/>
      <c r="K285" s="26"/>
      <c r="L285" s="26"/>
    </row>
    <row r="286" s="24" customFormat="1" spans="2:12">
      <c r="B286" s="19" t="s">
        <v>4835</v>
      </c>
      <c r="C286" s="19" t="s">
        <v>275</v>
      </c>
      <c r="D286" s="10" t="s">
        <v>4836</v>
      </c>
      <c r="E286" s="27"/>
      <c r="F286" s="19"/>
      <c r="G286" s="19"/>
      <c r="H286" s="27"/>
      <c r="I286" s="26"/>
      <c r="J286" s="26"/>
      <c r="K286" s="26"/>
      <c r="L286" s="26"/>
    </row>
    <row r="287" s="24" customFormat="1" spans="2:12">
      <c r="B287" s="19" t="s">
        <v>4837</v>
      </c>
      <c r="C287" s="19" t="s">
        <v>275</v>
      </c>
      <c r="D287" s="10" t="s">
        <v>4838</v>
      </c>
      <c r="E287" s="27"/>
      <c r="F287" s="19"/>
      <c r="G287" s="19"/>
      <c r="H287" s="27"/>
      <c r="I287" s="26"/>
      <c r="J287" s="26"/>
      <c r="K287" s="26"/>
      <c r="L287" s="26"/>
    </row>
    <row r="288" s="24" customFormat="1" spans="2:12">
      <c r="B288" s="19" t="s">
        <v>4839</v>
      </c>
      <c r="C288" s="19" t="s">
        <v>275</v>
      </c>
      <c r="D288" s="10" t="s">
        <v>4840</v>
      </c>
      <c r="E288" s="27"/>
      <c r="F288" s="19"/>
      <c r="G288" s="19"/>
      <c r="H288" s="27"/>
      <c r="I288" s="26"/>
      <c r="J288" s="26"/>
      <c r="K288" s="26"/>
      <c r="L288" s="26"/>
    </row>
    <row r="289" s="24" customFormat="1" spans="2:12">
      <c r="B289" s="19" t="s">
        <v>4841</v>
      </c>
      <c r="C289" s="19" t="s">
        <v>275</v>
      </c>
      <c r="D289" s="10" t="s">
        <v>4842</v>
      </c>
      <c r="E289" s="27"/>
      <c r="F289" s="19"/>
      <c r="G289" s="19"/>
      <c r="H289" s="27"/>
      <c r="I289" s="26"/>
      <c r="J289" s="26"/>
      <c r="K289" s="26"/>
      <c r="L289" s="26"/>
    </row>
    <row r="290" s="24" customFormat="1" spans="2:12">
      <c r="B290" s="19" t="s">
        <v>4843</v>
      </c>
      <c r="C290" s="19" t="s">
        <v>275</v>
      </c>
      <c r="D290" s="10" t="s">
        <v>4844</v>
      </c>
      <c r="E290" s="27"/>
      <c r="F290" s="19"/>
      <c r="G290" s="19"/>
      <c r="H290" s="27"/>
      <c r="I290" s="26"/>
      <c r="J290" s="26"/>
      <c r="K290" s="26"/>
      <c r="L290" s="26"/>
    </row>
    <row r="291" s="24" customFormat="1" spans="2:12">
      <c r="B291" s="19" t="s">
        <v>4845</v>
      </c>
      <c r="C291" s="19" t="s">
        <v>275</v>
      </c>
      <c r="D291" s="10" t="s">
        <v>4846</v>
      </c>
      <c r="E291" s="27"/>
      <c r="F291" s="19"/>
      <c r="G291" s="19"/>
      <c r="H291" s="27"/>
      <c r="I291" s="26"/>
      <c r="J291" s="26"/>
      <c r="K291" s="26"/>
      <c r="L291" s="26"/>
    </row>
    <row r="292" s="24" customFormat="1" ht="26.4" spans="2:12">
      <c r="B292" s="19" t="s">
        <v>4847</v>
      </c>
      <c r="C292" s="19" t="s">
        <v>275</v>
      </c>
      <c r="D292" s="10" t="s">
        <v>4848</v>
      </c>
      <c r="E292" s="27"/>
      <c r="F292" s="19"/>
      <c r="G292" s="19"/>
      <c r="H292" s="27"/>
      <c r="I292" s="26"/>
      <c r="J292" s="26"/>
      <c r="K292" s="26"/>
      <c r="L292" s="26"/>
    </row>
    <row r="293" s="24" customFormat="1" ht="26.4" spans="2:12">
      <c r="B293" s="19" t="s">
        <v>4849</v>
      </c>
      <c r="C293" s="19" t="s">
        <v>275</v>
      </c>
      <c r="D293" s="10" t="s">
        <v>4850</v>
      </c>
      <c r="E293" s="27"/>
      <c r="F293" s="19"/>
      <c r="G293" s="19"/>
      <c r="H293" s="27"/>
      <c r="I293" s="26"/>
      <c r="J293" s="26"/>
      <c r="K293" s="26"/>
      <c r="L293" s="26"/>
    </row>
    <row r="294" s="24" customFormat="1" spans="2:12">
      <c r="B294" s="19" t="s">
        <v>4851</v>
      </c>
      <c r="C294" s="19" t="s">
        <v>275</v>
      </c>
      <c r="D294" s="10" t="s">
        <v>4852</v>
      </c>
      <c r="E294" s="27"/>
      <c r="F294" s="19"/>
      <c r="G294" s="19"/>
      <c r="H294" s="27"/>
      <c r="I294" s="26"/>
      <c r="J294" s="26"/>
      <c r="K294" s="26"/>
      <c r="L294" s="26"/>
    </row>
    <row r="295" s="24" customFormat="1" ht="26.4" spans="2:12">
      <c r="B295" s="19" t="s">
        <v>4853</v>
      </c>
      <c r="C295" s="19" t="s">
        <v>275</v>
      </c>
      <c r="D295" s="10" t="s">
        <v>4854</v>
      </c>
      <c r="E295" s="27"/>
      <c r="F295" s="19"/>
      <c r="G295" s="19"/>
      <c r="H295" s="27"/>
      <c r="I295" s="26"/>
      <c r="J295" s="26"/>
      <c r="K295" s="26"/>
      <c r="L295" s="26"/>
    </row>
    <row r="296" s="24" customFormat="1" ht="26.4" spans="2:12">
      <c r="B296" s="19" t="s">
        <v>4855</v>
      </c>
      <c r="C296" s="19" t="s">
        <v>275</v>
      </c>
      <c r="D296" s="10" t="s">
        <v>4856</v>
      </c>
      <c r="E296" s="27"/>
      <c r="F296" s="19"/>
      <c r="G296" s="19"/>
      <c r="H296" s="27"/>
      <c r="I296" s="26"/>
      <c r="J296" s="26"/>
      <c r="K296" s="26"/>
      <c r="L296" s="26"/>
    </row>
    <row r="297" s="24" customFormat="1" ht="26.4" spans="2:12">
      <c r="B297" s="19" t="s">
        <v>4857</v>
      </c>
      <c r="C297" s="19" t="s">
        <v>275</v>
      </c>
      <c r="D297" s="10" t="s">
        <v>4858</v>
      </c>
      <c r="E297" s="27"/>
      <c r="F297" s="19"/>
      <c r="G297" s="19"/>
      <c r="H297" s="27"/>
      <c r="I297" s="26"/>
      <c r="J297" s="26"/>
      <c r="K297" s="26"/>
      <c r="L297" s="26"/>
    </row>
    <row r="298" s="24" customFormat="1" spans="2:12">
      <c r="B298" s="19" t="s">
        <v>4859</v>
      </c>
      <c r="C298" s="19" t="s">
        <v>275</v>
      </c>
      <c r="D298" s="10" t="s">
        <v>4860</v>
      </c>
      <c r="E298" s="27"/>
      <c r="F298" s="19"/>
      <c r="G298" s="19"/>
      <c r="H298" s="27"/>
      <c r="I298" s="26"/>
      <c r="J298" s="26"/>
      <c r="K298" s="26"/>
      <c r="L298" s="26"/>
    </row>
    <row r="299" s="24" customFormat="1" spans="2:12">
      <c r="B299" s="19" t="s">
        <v>4861</v>
      </c>
      <c r="C299" s="19" t="s">
        <v>275</v>
      </c>
      <c r="D299" s="10" t="s">
        <v>4862</v>
      </c>
      <c r="E299" s="27"/>
      <c r="F299" s="19"/>
      <c r="G299" s="19"/>
      <c r="H299" s="27"/>
      <c r="I299" s="26"/>
      <c r="J299" s="26"/>
      <c r="K299" s="26"/>
      <c r="L299" s="26"/>
    </row>
    <row r="300" s="24" customFormat="1" ht="26.4" spans="2:12">
      <c r="B300" s="19" t="s">
        <v>4863</v>
      </c>
      <c r="C300" s="19" t="s">
        <v>275</v>
      </c>
      <c r="D300" s="10" t="s">
        <v>4864</v>
      </c>
      <c r="E300" s="27"/>
      <c r="F300" s="19"/>
      <c r="G300" s="19"/>
      <c r="H300" s="27"/>
      <c r="I300" s="26"/>
      <c r="J300" s="26"/>
      <c r="K300" s="26"/>
      <c r="L300" s="26"/>
    </row>
    <row r="301" s="24" customFormat="1" ht="26.4" spans="2:12">
      <c r="B301" s="19" t="s">
        <v>4865</v>
      </c>
      <c r="C301" s="19" t="s">
        <v>275</v>
      </c>
      <c r="D301" s="10" t="s">
        <v>4866</v>
      </c>
      <c r="E301" s="27"/>
      <c r="F301" s="19"/>
      <c r="G301" s="19"/>
      <c r="H301" s="27"/>
      <c r="I301" s="26"/>
      <c r="J301" s="26"/>
      <c r="K301" s="26"/>
      <c r="L301" s="26"/>
    </row>
    <row r="302" s="24" customFormat="1" ht="26.4" spans="2:12">
      <c r="B302" s="19" t="s">
        <v>4867</v>
      </c>
      <c r="C302" s="19" t="s">
        <v>275</v>
      </c>
      <c r="D302" s="10" t="s">
        <v>4868</v>
      </c>
      <c r="E302" s="27"/>
      <c r="F302" s="19"/>
      <c r="G302" s="19"/>
      <c r="H302" s="27"/>
      <c r="I302" s="26"/>
      <c r="J302" s="26"/>
      <c r="K302" s="26"/>
      <c r="L302" s="26"/>
    </row>
    <row r="303" s="24" customFormat="1" ht="26.4" spans="2:12">
      <c r="B303" s="19" t="s">
        <v>4869</v>
      </c>
      <c r="C303" s="19" t="s">
        <v>275</v>
      </c>
      <c r="D303" s="10" t="s">
        <v>4870</v>
      </c>
      <c r="E303" s="27"/>
      <c r="F303" s="19"/>
      <c r="G303" s="19"/>
      <c r="H303" s="27"/>
      <c r="I303" s="26"/>
      <c r="J303" s="26"/>
      <c r="K303" s="26"/>
      <c r="L303" s="26"/>
    </row>
    <row r="304" s="24" customFormat="1" ht="26.4" spans="2:12">
      <c r="B304" s="19" t="s">
        <v>4871</v>
      </c>
      <c r="C304" s="19" t="s">
        <v>275</v>
      </c>
      <c r="D304" s="10" t="s">
        <v>4872</v>
      </c>
      <c r="E304" s="27"/>
      <c r="F304" s="19"/>
      <c r="G304" s="19"/>
      <c r="H304" s="27"/>
      <c r="I304" s="26"/>
      <c r="J304" s="26"/>
      <c r="K304" s="26"/>
      <c r="L304" s="26"/>
    </row>
    <row r="305" s="24" customFormat="1" ht="26.4" spans="2:12">
      <c r="B305" s="19" t="s">
        <v>4873</v>
      </c>
      <c r="C305" s="19" t="s">
        <v>275</v>
      </c>
      <c r="D305" s="10" t="s">
        <v>4874</v>
      </c>
      <c r="E305" s="27"/>
      <c r="F305" s="19"/>
      <c r="G305" s="19"/>
      <c r="H305" s="27"/>
      <c r="I305" s="26"/>
      <c r="J305" s="26"/>
      <c r="K305" s="26"/>
      <c r="L305" s="26"/>
    </row>
    <row r="306" s="24" customFormat="1" ht="26.4" spans="2:12">
      <c r="B306" s="19" t="s">
        <v>4875</v>
      </c>
      <c r="C306" s="19" t="s">
        <v>275</v>
      </c>
      <c r="D306" s="10" t="s">
        <v>4876</v>
      </c>
      <c r="E306" s="27"/>
      <c r="F306" s="19"/>
      <c r="G306" s="19"/>
      <c r="H306" s="27"/>
      <c r="I306" s="26"/>
      <c r="J306" s="26"/>
      <c r="K306" s="26"/>
      <c r="L306" s="26"/>
    </row>
    <row r="307" s="24" customFormat="1" ht="26.4" spans="2:12">
      <c r="B307" s="19" t="s">
        <v>4877</v>
      </c>
      <c r="C307" s="19" t="s">
        <v>275</v>
      </c>
      <c r="D307" s="10" t="s">
        <v>4878</v>
      </c>
      <c r="E307" s="27"/>
      <c r="F307" s="19"/>
      <c r="G307" s="19"/>
      <c r="H307" s="27"/>
      <c r="I307" s="26"/>
      <c r="J307" s="26"/>
      <c r="K307" s="26"/>
      <c r="L307" s="26"/>
    </row>
    <row r="308" s="24" customFormat="1" ht="26.4" spans="2:12">
      <c r="B308" s="19" t="s">
        <v>4879</v>
      </c>
      <c r="C308" s="19" t="s">
        <v>275</v>
      </c>
      <c r="D308" s="10" t="s">
        <v>4880</v>
      </c>
      <c r="E308" s="27"/>
      <c r="F308" s="19"/>
      <c r="G308" s="19"/>
      <c r="H308" s="27"/>
      <c r="I308" s="26"/>
      <c r="J308" s="26"/>
      <c r="K308" s="26"/>
      <c r="L308" s="26"/>
    </row>
    <row r="309" s="24" customFormat="1" ht="26.4" spans="2:12">
      <c r="B309" s="19" t="s">
        <v>4881</v>
      </c>
      <c r="C309" s="19" t="s">
        <v>275</v>
      </c>
      <c r="D309" s="10" t="s">
        <v>4882</v>
      </c>
      <c r="E309" s="27"/>
      <c r="F309" s="19"/>
      <c r="G309" s="19"/>
      <c r="H309" s="27"/>
      <c r="I309" s="26"/>
      <c r="J309" s="26"/>
      <c r="K309" s="26"/>
      <c r="L309" s="26"/>
    </row>
    <row r="310" s="24" customFormat="1" ht="26.4" spans="2:12">
      <c r="B310" s="19" t="s">
        <v>4883</v>
      </c>
      <c r="C310" s="19" t="s">
        <v>275</v>
      </c>
      <c r="D310" s="10" t="s">
        <v>4884</v>
      </c>
      <c r="E310" s="27"/>
      <c r="F310" s="19"/>
      <c r="G310" s="19"/>
      <c r="H310" s="27"/>
      <c r="I310" s="26"/>
      <c r="J310" s="26"/>
      <c r="K310" s="26"/>
      <c r="L310" s="26"/>
    </row>
    <row r="311" s="24" customFormat="1" ht="26.4" spans="2:12">
      <c r="B311" s="19" t="s">
        <v>4885</v>
      </c>
      <c r="C311" s="19" t="s">
        <v>275</v>
      </c>
      <c r="D311" s="10" t="s">
        <v>4886</v>
      </c>
      <c r="E311" s="27"/>
      <c r="F311" s="19"/>
      <c r="G311" s="19"/>
      <c r="H311" s="27"/>
      <c r="I311" s="26"/>
      <c r="J311" s="26"/>
      <c r="K311" s="26"/>
      <c r="L311" s="26"/>
    </row>
    <row r="312" s="24" customFormat="1" spans="2:12">
      <c r="B312" s="19" t="s">
        <v>4887</v>
      </c>
      <c r="C312" s="19" t="s">
        <v>275</v>
      </c>
      <c r="D312" s="10" t="s">
        <v>4888</v>
      </c>
      <c r="E312" s="27"/>
      <c r="F312" s="19"/>
      <c r="G312" s="19"/>
      <c r="H312" s="27"/>
      <c r="I312" s="26"/>
      <c r="J312" s="26"/>
      <c r="K312" s="26"/>
      <c r="L312" s="26"/>
    </row>
    <row r="313" s="24" customFormat="1" spans="2:12">
      <c r="B313" s="19" t="s">
        <v>4889</v>
      </c>
      <c r="C313" s="19" t="s">
        <v>275</v>
      </c>
      <c r="D313" s="10" t="s">
        <v>4890</v>
      </c>
      <c r="E313" s="27"/>
      <c r="F313" s="19"/>
      <c r="G313" s="19"/>
      <c r="H313" s="27"/>
      <c r="I313" s="26"/>
      <c r="J313" s="26"/>
      <c r="K313" s="26"/>
      <c r="L313" s="26"/>
    </row>
    <row r="314" s="24" customFormat="1" spans="2:12">
      <c r="B314" s="19" t="s">
        <v>4891</v>
      </c>
      <c r="C314" s="19" t="s">
        <v>275</v>
      </c>
      <c r="D314" s="10" t="s">
        <v>4892</v>
      </c>
      <c r="E314" s="27"/>
      <c r="F314" s="19"/>
      <c r="G314" s="19"/>
      <c r="H314" s="27"/>
      <c r="I314" s="26"/>
      <c r="J314" s="26"/>
      <c r="K314" s="26"/>
      <c r="L314" s="26"/>
    </row>
    <row r="315" s="24" customFormat="1" spans="2:12">
      <c r="B315" s="19" t="s">
        <v>4893</v>
      </c>
      <c r="C315" s="19" t="s">
        <v>275</v>
      </c>
      <c r="D315" s="10" t="s">
        <v>4894</v>
      </c>
      <c r="E315" s="27"/>
      <c r="F315" s="19"/>
      <c r="G315" s="19"/>
      <c r="H315" s="27"/>
      <c r="I315" s="26"/>
      <c r="J315" s="26"/>
      <c r="K315" s="26"/>
      <c r="L315" s="26"/>
    </row>
    <row r="316" s="24" customFormat="1" spans="2:12">
      <c r="B316" s="19" t="s">
        <v>4895</v>
      </c>
      <c r="C316" s="19" t="s">
        <v>275</v>
      </c>
      <c r="D316" s="10" t="s">
        <v>4896</v>
      </c>
      <c r="E316" s="27"/>
      <c r="F316" s="19"/>
      <c r="G316" s="19"/>
      <c r="H316" s="27"/>
      <c r="I316" s="26"/>
      <c r="J316" s="26"/>
      <c r="K316" s="26"/>
      <c r="L316" s="26"/>
    </row>
    <row r="317" s="24" customFormat="1" spans="2:12">
      <c r="B317" s="19" t="s">
        <v>4897</v>
      </c>
      <c r="C317" s="19" t="s">
        <v>275</v>
      </c>
      <c r="D317" s="10" t="s">
        <v>4898</v>
      </c>
      <c r="E317" s="27"/>
      <c r="F317" s="19"/>
      <c r="G317" s="19"/>
      <c r="H317" s="27"/>
      <c r="I317" s="26"/>
      <c r="J317" s="26"/>
      <c r="K317" s="26"/>
      <c r="L317" s="26"/>
    </row>
    <row r="318" s="24" customFormat="1" spans="2:12">
      <c r="B318" s="19" t="s">
        <v>4899</v>
      </c>
      <c r="C318" s="19" t="s">
        <v>275</v>
      </c>
      <c r="D318" s="10" t="s">
        <v>4900</v>
      </c>
      <c r="E318" s="27"/>
      <c r="F318" s="19"/>
      <c r="G318" s="19"/>
      <c r="H318" s="27"/>
      <c r="I318" s="26"/>
      <c r="J318" s="26"/>
      <c r="K318" s="26"/>
      <c r="L318" s="26"/>
    </row>
    <row r="319" s="24" customFormat="1" spans="2:12">
      <c r="B319" s="19" t="s">
        <v>4901</v>
      </c>
      <c r="C319" s="19" t="s">
        <v>275</v>
      </c>
      <c r="D319" s="10" t="s">
        <v>4902</v>
      </c>
      <c r="E319" s="27"/>
      <c r="F319" s="19"/>
      <c r="G319" s="19"/>
      <c r="H319" s="27"/>
      <c r="I319" s="26"/>
      <c r="J319" s="26"/>
      <c r="K319" s="26"/>
      <c r="L319" s="26"/>
    </row>
    <row r="320" s="24" customFormat="1" spans="2:12">
      <c r="B320" s="19" t="s">
        <v>4903</v>
      </c>
      <c r="C320" s="19" t="s">
        <v>275</v>
      </c>
      <c r="D320" s="10" t="s">
        <v>4904</v>
      </c>
      <c r="E320" s="27"/>
      <c r="F320" s="19"/>
      <c r="G320" s="19"/>
      <c r="H320" s="27"/>
      <c r="I320" s="26"/>
      <c r="J320" s="26"/>
      <c r="K320" s="26"/>
      <c r="L320" s="26"/>
    </row>
    <row r="321" s="24" customFormat="1" spans="2:12">
      <c r="B321" s="19" t="s">
        <v>4905</v>
      </c>
      <c r="C321" s="19" t="s">
        <v>275</v>
      </c>
      <c r="D321" s="10" t="s">
        <v>4906</v>
      </c>
      <c r="E321" s="27"/>
      <c r="F321" s="19"/>
      <c r="G321" s="19"/>
      <c r="H321" s="27"/>
      <c r="I321" s="26"/>
      <c r="J321" s="26"/>
      <c r="K321" s="26"/>
      <c r="L321" s="26"/>
    </row>
    <row r="322" s="24" customFormat="1" ht="26.4" spans="2:12">
      <c r="B322" s="19" t="s">
        <v>4907</v>
      </c>
      <c r="C322" s="19" t="s">
        <v>275</v>
      </c>
      <c r="D322" s="10" t="s">
        <v>4908</v>
      </c>
      <c r="E322" s="27"/>
      <c r="F322" s="19"/>
      <c r="G322" s="19"/>
      <c r="H322" s="27"/>
      <c r="I322" s="26"/>
      <c r="J322" s="26"/>
      <c r="K322" s="26"/>
      <c r="L322" s="26"/>
    </row>
    <row r="323" s="24" customFormat="1" ht="26.4" spans="2:12">
      <c r="B323" s="19" t="s">
        <v>4909</v>
      </c>
      <c r="C323" s="19" t="s">
        <v>275</v>
      </c>
      <c r="D323" s="10" t="s">
        <v>4910</v>
      </c>
      <c r="E323" s="27"/>
      <c r="F323" s="19"/>
      <c r="G323" s="19"/>
      <c r="H323" s="27"/>
      <c r="I323" s="26"/>
      <c r="J323" s="26"/>
      <c r="K323" s="26"/>
      <c r="L323" s="26"/>
    </row>
    <row r="324" s="24" customFormat="1" ht="26.4" spans="2:12">
      <c r="B324" s="19" t="s">
        <v>4911</v>
      </c>
      <c r="C324" s="19" t="s">
        <v>275</v>
      </c>
      <c r="D324" s="10" t="s">
        <v>4912</v>
      </c>
      <c r="E324" s="27"/>
      <c r="F324" s="19"/>
      <c r="G324" s="19"/>
      <c r="H324" s="27"/>
      <c r="I324" s="26"/>
      <c r="J324" s="26"/>
      <c r="K324" s="26"/>
      <c r="L324" s="26"/>
    </row>
    <row r="325" s="24" customFormat="1" ht="26.4" spans="2:12">
      <c r="B325" s="19" t="s">
        <v>4913</v>
      </c>
      <c r="C325" s="19" t="s">
        <v>275</v>
      </c>
      <c r="D325" s="10" t="s">
        <v>4914</v>
      </c>
      <c r="E325" s="27"/>
      <c r="F325" s="19"/>
      <c r="G325" s="19"/>
      <c r="H325" s="27"/>
      <c r="I325" s="26"/>
      <c r="J325" s="26"/>
      <c r="K325" s="26"/>
      <c r="L325" s="26"/>
    </row>
    <row r="326" s="24" customFormat="1" ht="26.4" spans="2:12">
      <c r="B326" s="19" t="s">
        <v>4915</v>
      </c>
      <c r="C326" s="19" t="s">
        <v>275</v>
      </c>
      <c r="D326" s="10" t="s">
        <v>4916</v>
      </c>
      <c r="E326" s="27"/>
      <c r="F326" s="19"/>
      <c r="G326" s="19"/>
      <c r="H326" s="27"/>
      <c r="I326" s="26"/>
      <c r="J326" s="26"/>
      <c r="K326" s="26"/>
      <c r="L326" s="26"/>
    </row>
    <row r="327" s="24" customFormat="1" spans="2:12">
      <c r="B327" s="19" t="s">
        <v>1832</v>
      </c>
      <c r="C327" s="19" t="s">
        <v>216</v>
      </c>
      <c r="D327" s="10" t="s">
        <v>2017</v>
      </c>
      <c r="E327" s="27"/>
      <c r="F327" s="19"/>
      <c r="G327" s="19"/>
      <c r="H327" s="27"/>
      <c r="I327" s="26"/>
      <c r="J327" s="26"/>
      <c r="K327" s="26"/>
      <c r="L327" s="26"/>
    </row>
    <row r="328" s="24" customFormat="1" spans="2:12">
      <c r="B328" s="19" t="s">
        <v>1834</v>
      </c>
      <c r="C328" s="19" t="s">
        <v>216</v>
      </c>
      <c r="D328" s="10" t="s">
        <v>1835</v>
      </c>
      <c r="E328" s="27"/>
      <c r="F328" s="19"/>
      <c r="G328" s="19"/>
      <c r="H328" s="27"/>
      <c r="I328" s="26"/>
      <c r="J328" s="26"/>
      <c r="K328" s="26"/>
      <c r="L328" s="26"/>
    </row>
    <row r="329" s="24" customFormat="1" spans="2:12">
      <c r="B329" s="19" t="s">
        <v>4917</v>
      </c>
      <c r="C329" s="19" t="s">
        <v>220</v>
      </c>
      <c r="D329" s="10" t="s">
        <v>4918</v>
      </c>
      <c r="E329" s="27"/>
      <c r="F329" s="19"/>
      <c r="G329" s="19"/>
      <c r="H329" s="27"/>
      <c r="I329" s="26"/>
      <c r="J329" s="26"/>
      <c r="K329" s="26"/>
      <c r="L329" s="26"/>
    </row>
    <row r="330" s="24" customFormat="1" spans="2:12">
      <c r="B330" s="19" t="s">
        <v>4919</v>
      </c>
      <c r="C330" s="19" t="s">
        <v>220</v>
      </c>
      <c r="D330" s="10" t="s">
        <v>4920</v>
      </c>
      <c r="E330" s="27"/>
      <c r="F330" s="19"/>
      <c r="G330" s="19"/>
      <c r="H330" s="27"/>
      <c r="I330" s="26"/>
      <c r="J330" s="26"/>
      <c r="K330" s="26"/>
      <c r="L330" s="26"/>
    </row>
    <row r="331" s="24" customFormat="1" spans="2:12">
      <c r="B331" s="19" t="s">
        <v>4921</v>
      </c>
      <c r="C331" s="19" t="s">
        <v>220</v>
      </c>
      <c r="D331" s="10" t="s">
        <v>4922</v>
      </c>
      <c r="E331" s="27"/>
      <c r="F331" s="19"/>
      <c r="G331" s="19"/>
      <c r="H331" s="27"/>
      <c r="I331" s="26"/>
      <c r="J331" s="26"/>
      <c r="K331" s="26"/>
      <c r="L331" s="26"/>
    </row>
    <row r="332" s="24" customFormat="1" spans="2:12">
      <c r="B332" s="19" t="s">
        <v>4923</v>
      </c>
      <c r="C332" s="19" t="s">
        <v>220</v>
      </c>
      <c r="D332" s="10" t="s">
        <v>4924</v>
      </c>
      <c r="E332" s="27"/>
      <c r="F332" s="19"/>
      <c r="G332" s="19"/>
      <c r="H332" s="27"/>
      <c r="I332" s="26"/>
      <c r="J332" s="26"/>
      <c r="K332" s="26"/>
      <c r="L332" s="26"/>
    </row>
    <row r="333" s="24" customFormat="1" spans="2:12">
      <c r="B333" s="19" t="s">
        <v>4925</v>
      </c>
      <c r="C333" s="19" t="s">
        <v>220</v>
      </c>
      <c r="D333" s="10" t="s">
        <v>4926</v>
      </c>
      <c r="E333" s="27"/>
      <c r="F333" s="19"/>
      <c r="G333" s="19"/>
      <c r="H333" s="27"/>
      <c r="I333" s="26"/>
      <c r="J333" s="26"/>
      <c r="K333" s="26"/>
      <c r="L333" s="26"/>
    </row>
    <row r="334" s="24" customFormat="1" spans="2:12">
      <c r="B334" s="19" t="s">
        <v>4927</v>
      </c>
      <c r="C334" s="19" t="s">
        <v>220</v>
      </c>
      <c r="D334" s="10" t="s">
        <v>4928</v>
      </c>
      <c r="E334" s="27"/>
      <c r="F334" s="19"/>
      <c r="G334" s="19"/>
      <c r="H334" s="27"/>
      <c r="I334" s="26"/>
      <c r="J334" s="26"/>
      <c r="K334" s="26"/>
      <c r="L334" s="26"/>
    </row>
    <row r="335" s="24" customFormat="1" spans="2:12">
      <c r="B335" s="19" t="s">
        <v>4929</v>
      </c>
      <c r="C335" s="19" t="s">
        <v>220</v>
      </c>
      <c r="D335" s="10" t="s">
        <v>4930</v>
      </c>
      <c r="E335" s="27"/>
      <c r="F335" s="19"/>
      <c r="G335" s="19"/>
      <c r="H335" s="27"/>
      <c r="I335" s="26"/>
      <c r="J335" s="26"/>
      <c r="K335" s="26"/>
      <c r="L335" s="26"/>
    </row>
    <row r="336" s="24" customFormat="1" spans="2:12">
      <c r="B336" s="19" t="s">
        <v>4931</v>
      </c>
      <c r="C336" s="19" t="s">
        <v>220</v>
      </c>
      <c r="D336" s="10" t="s">
        <v>4932</v>
      </c>
      <c r="E336" s="27"/>
      <c r="F336" s="19"/>
      <c r="G336" s="19"/>
      <c r="H336" s="27"/>
      <c r="I336" s="26"/>
      <c r="J336" s="26"/>
      <c r="K336" s="26"/>
      <c r="L336" s="26"/>
    </row>
    <row r="337" s="24" customFormat="1" spans="2:12">
      <c r="B337" s="19" t="s">
        <v>4933</v>
      </c>
      <c r="C337" s="19" t="s">
        <v>220</v>
      </c>
      <c r="D337" s="10" t="s">
        <v>4934</v>
      </c>
      <c r="E337" s="27"/>
      <c r="F337" s="19"/>
      <c r="G337" s="19"/>
      <c r="H337" s="27"/>
      <c r="I337" s="26"/>
      <c r="J337" s="26"/>
      <c r="K337" s="26"/>
      <c r="L337" s="26"/>
    </row>
    <row r="338" s="24" customFormat="1" spans="2:12">
      <c r="B338" s="19" t="s">
        <v>4935</v>
      </c>
      <c r="C338" s="19" t="s">
        <v>220</v>
      </c>
      <c r="D338" s="10" t="s">
        <v>4936</v>
      </c>
      <c r="E338" s="27"/>
      <c r="F338" s="19"/>
      <c r="G338" s="19"/>
      <c r="H338" s="27"/>
      <c r="I338" s="26"/>
      <c r="J338" s="26"/>
      <c r="K338" s="26"/>
      <c r="L338" s="26"/>
    </row>
    <row r="339" s="25" customFormat="1" ht="79.2" spans="2:12">
      <c r="B339" s="28" t="s">
        <v>4095</v>
      </c>
      <c r="C339" s="28" t="s">
        <v>220</v>
      </c>
      <c r="D339" s="29" t="s">
        <v>4096</v>
      </c>
      <c r="E339" s="30" t="s">
        <v>199</v>
      </c>
      <c r="F339" s="28"/>
      <c r="G339" s="28" t="s">
        <v>4937</v>
      </c>
      <c r="H339" s="30"/>
      <c r="I339" s="31" t="s">
        <v>1211</v>
      </c>
      <c r="J339" s="31" t="s">
        <v>345</v>
      </c>
      <c r="K339" s="31" t="s">
        <v>323</v>
      </c>
      <c r="L339" s="31" t="s">
        <v>339</v>
      </c>
    </row>
    <row r="340" s="25" customFormat="1" ht="92.4" spans="2:12">
      <c r="B340" s="28" t="s">
        <v>4098</v>
      </c>
      <c r="C340" s="28" t="s">
        <v>220</v>
      </c>
      <c r="D340" s="29" t="s">
        <v>4099</v>
      </c>
      <c r="E340" s="30" t="s">
        <v>4100</v>
      </c>
      <c r="F340" s="28"/>
      <c r="G340" s="28" t="s">
        <v>4938</v>
      </c>
      <c r="H340" s="30"/>
      <c r="I340" s="31" t="s">
        <v>1211</v>
      </c>
      <c r="J340" s="31" t="s">
        <v>345</v>
      </c>
      <c r="K340" s="31" t="s">
        <v>323</v>
      </c>
      <c r="L340" s="31" t="s">
        <v>339</v>
      </c>
    </row>
    <row r="341" s="24" customFormat="1" spans="2:12">
      <c r="B341" s="19"/>
      <c r="C341" s="19"/>
      <c r="D341" s="10"/>
      <c r="E341" s="20"/>
      <c r="F341" s="19"/>
      <c r="G341" s="19"/>
      <c r="H341" s="20"/>
      <c r="I341" s="26"/>
      <c r="J341" s="26"/>
      <c r="K341" s="26"/>
      <c r="L341" s="26"/>
    </row>
    <row r="342" s="2" customFormat="1" spans="1:12">
      <c r="A342" s="21"/>
      <c r="B342" s="22" t="s">
        <v>252</v>
      </c>
      <c r="C342" s="22" t="s">
        <v>220</v>
      </c>
      <c r="D342" s="22" t="s">
        <v>254</v>
      </c>
      <c r="E342" s="22"/>
      <c r="F342" s="22"/>
      <c r="G342" s="22"/>
      <c r="H342" s="22"/>
      <c r="I342" s="22"/>
      <c r="J342" s="22"/>
      <c r="K342" s="22"/>
      <c r="L342" s="22"/>
    </row>
    <row r="343" s="2" customFormat="1" spans="1:12">
      <c r="A343" s="21"/>
      <c r="B343" s="22" t="s">
        <v>255</v>
      </c>
      <c r="C343" s="22" t="s">
        <v>216</v>
      </c>
      <c r="D343" s="22" t="s">
        <v>256</v>
      </c>
      <c r="E343" s="22"/>
      <c r="F343" s="22"/>
      <c r="G343" s="22"/>
      <c r="H343" s="22"/>
      <c r="I343" s="22"/>
      <c r="J343" s="22"/>
      <c r="K343" s="22"/>
      <c r="L343" s="22"/>
    </row>
    <row r="344" s="2" customFormat="1" spans="1:12">
      <c r="A344" s="21"/>
      <c r="B344" s="22" t="s">
        <v>257</v>
      </c>
      <c r="C344" s="22" t="s">
        <v>220</v>
      </c>
      <c r="D344" s="22" t="s">
        <v>258</v>
      </c>
      <c r="E344" s="22"/>
      <c r="F344" s="22"/>
      <c r="G344" s="22"/>
      <c r="H344" s="22"/>
      <c r="I344" s="22"/>
      <c r="J344" s="22"/>
      <c r="K344" s="22"/>
      <c r="L344" s="22"/>
    </row>
  </sheetData>
  <autoFilter xmlns:etc="http://www.wps.cn/officeDocument/2017/etCustomData" ref="A15:N340" etc:filterBottomFollowUsedRange="0">
    <extLst/>
  </autoFilter>
  <mergeCells count="6">
    <mergeCell ref="B2:H2"/>
    <mergeCell ref="B3:H3"/>
    <mergeCell ref="B7:H7"/>
    <mergeCell ref="F9:G9"/>
    <mergeCell ref="F11:G11"/>
    <mergeCell ref="B14:L14"/>
  </mergeCells>
  <pageMargins left="0.7" right="0.7" top="0.75" bottom="0.75" header="0.3" footer="0.3"/>
  <pageSetup paperSize="9" orientation="portrait"/>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3"/>
  <sheetViews>
    <sheetView zoomScale="85" zoomScaleNormal="85" workbookViewId="0">
      <pane ySplit="5" topLeftCell="A6" activePane="bottomLeft" state="frozen"/>
      <selection/>
      <selection pane="bottomLeft" activeCell="C9" sqref="C9"/>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58</v>
      </c>
      <c r="C5" s="10" t="s">
        <v>177</v>
      </c>
      <c r="D5" s="10" t="s">
        <v>178</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174</v>
      </c>
      <c r="D9" s="10" t="s">
        <v>175</v>
      </c>
      <c r="E9" s="11" t="s">
        <v>199</v>
      </c>
      <c r="F9" s="11"/>
      <c r="G9" s="11"/>
      <c r="H9" s="15"/>
    </row>
    <row r="10" spans="7:7">
      <c r="G10" s="17"/>
    </row>
    <row r="11" spans="2:2">
      <c r="B11" s="3" t="s">
        <v>204</v>
      </c>
    </row>
    <row r="12" spans="2:12">
      <c r="B12" s="7" t="s">
        <v>204</v>
      </c>
      <c r="C12" s="7"/>
      <c r="D12" s="7"/>
      <c r="E12" s="7"/>
      <c r="F12" s="7"/>
      <c r="G12" s="7"/>
      <c r="H12" s="7"/>
      <c r="I12" s="7"/>
      <c r="J12" s="7"/>
      <c r="K12" s="7"/>
      <c r="L12" s="7"/>
    </row>
    <row r="13" ht="24" spans="2:12">
      <c r="B13" s="18" t="s">
        <v>205</v>
      </c>
      <c r="C13" s="18" t="s">
        <v>206</v>
      </c>
      <c r="D13" s="18" t="s">
        <v>207</v>
      </c>
      <c r="E13" s="18" t="s">
        <v>208</v>
      </c>
      <c r="F13" s="18" t="s">
        <v>209</v>
      </c>
      <c r="G13" s="18" t="s">
        <v>210</v>
      </c>
      <c r="H13" s="18" t="s">
        <v>211</v>
      </c>
      <c r="I13" s="18" t="s">
        <v>17</v>
      </c>
      <c r="J13" s="18" t="s">
        <v>212</v>
      </c>
      <c r="K13" s="18" t="s">
        <v>213</v>
      </c>
      <c r="L13" s="18" t="s">
        <v>214</v>
      </c>
    </row>
    <row r="14" s="1" customFormat="1" spans="2:12">
      <c r="B14" s="19" t="s">
        <v>4939</v>
      </c>
      <c r="C14" s="19" t="s">
        <v>216</v>
      </c>
      <c r="D14" s="10" t="s">
        <v>4940</v>
      </c>
      <c r="E14" s="20"/>
      <c r="F14" s="19"/>
      <c r="G14" s="19"/>
      <c r="H14" s="20"/>
      <c r="I14" s="23"/>
      <c r="J14" s="23"/>
      <c r="K14" s="23"/>
      <c r="L14" s="23"/>
    </row>
    <row r="15" s="1" customFormat="1" spans="2:12">
      <c r="B15" s="19" t="s">
        <v>1026</v>
      </c>
      <c r="C15" s="19" t="s">
        <v>216</v>
      </c>
      <c r="D15" s="10" t="s">
        <v>66</v>
      </c>
      <c r="E15" s="20"/>
      <c r="F15" s="19"/>
      <c r="G15" s="19"/>
      <c r="H15" s="20"/>
      <c r="I15" s="23"/>
      <c r="J15" s="23"/>
      <c r="K15" s="23"/>
      <c r="L15" s="23"/>
    </row>
    <row r="16" s="1" customFormat="1" spans="2:12">
      <c r="B16" s="19" t="s">
        <v>2588</v>
      </c>
      <c r="C16" s="19" t="s">
        <v>216</v>
      </c>
      <c r="D16" s="10" t="s">
        <v>4339</v>
      </c>
      <c r="E16" s="20"/>
      <c r="F16" s="19"/>
      <c r="G16" s="19"/>
      <c r="H16" s="20"/>
      <c r="I16" s="23"/>
      <c r="J16" s="23"/>
      <c r="K16" s="23"/>
      <c r="L16" s="23"/>
    </row>
    <row r="17" s="1" customFormat="1" spans="2:12">
      <c r="B17" s="19" t="s">
        <v>2589</v>
      </c>
      <c r="C17" s="19" t="s">
        <v>216</v>
      </c>
      <c r="D17" s="10" t="s">
        <v>4340</v>
      </c>
      <c r="E17" s="20"/>
      <c r="F17" s="19"/>
      <c r="G17" s="19"/>
      <c r="H17" s="20"/>
      <c r="I17" s="23"/>
      <c r="J17" s="23"/>
      <c r="K17" s="23"/>
      <c r="L17" s="23"/>
    </row>
    <row r="18" s="1" customFormat="1" spans="2:12">
      <c r="B18" s="19" t="s">
        <v>267</v>
      </c>
      <c r="C18" s="19" t="s">
        <v>216</v>
      </c>
      <c r="D18" s="10" t="s">
        <v>4341</v>
      </c>
      <c r="E18" s="20"/>
      <c r="F18" s="19"/>
      <c r="G18" s="19"/>
      <c r="H18" s="20"/>
      <c r="I18" s="23"/>
      <c r="J18" s="23"/>
      <c r="K18" s="23"/>
      <c r="L18" s="23"/>
    </row>
    <row r="19" s="1" customFormat="1" spans="2:12">
      <c r="B19" s="19" t="s">
        <v>1050</v>
      </c>
      <c r="C19" s="19" t="s">
        <v>220</v>
      </c>
      <c r="D19" s="10" t="s">
        <v>4342</v>
      </c>
      <c r="E19" s="20"/>
      <c r="F19" s="19"/>
      <c r="G19" s="19"/>
      <c r="H19" s="20"/>
      <c r="I19" s="23"/>
      <c r="J19" s="23"/>
      <c r="K19" s="23"/>
      <c r="L19" s="23"/>
    </row>
    <row r="20" s="1" customFormat="1" spans="2:12">
      <c r="B20" s="19" t="s">
        <v>1808</v>
      </c>
      <c r="C20" s="19" t="s">
        <v>216</v>
      </c>
      <c r="D20" s="10" t="s">
        <v>4343</v>
      </c>
      <c r="E20" s="20"/>
      <c r="F20" s="19"/>
      <c r="G20" s="19"/>
      <c r="H20" s="20"/>
      <c r="I20" s="23"/>
      <c r="J20" s="23"/>
      <c r="K20" s="23"/>
      <c r="L20" s="23"/>
    </row>
    <row r="21" s="1" customFormat="1" spans="2:12">
      <c r="B21" s="19" t="s">
        <v>4362</v>
      </c>
      <c r="C21" s="19" t="s">
        <v>216</v>
      </c>
      <c r="D21" s="10" t="s">
        <v>4363</v>
      </c>
      <c r="E21" s="20"/>
      <c r="F21" s="19"/>
      <c r="G21" s="19"/>
      <c r="H21" s="20"/>
      <c r="I21" s="23"/>
      <c r="J21" s="23"/>
      <c r="K21" s="23"/>
      <c r="L21" s="23"/>
    </row>
    <row r="22" s="1" customFormat="1" spans="2:12">
      <c r="B22" s="19" t="s">
        <v>3339</v>
      </c>
      <c r="C22" s="19" t="s">
        <v>216</v>
      </c>
      <c r="D22" s="10" t="s">
        <v>2738</v>
      </c>
      <c r="E22" s="20"/>
      <c r="F22" s="19"/>
      <c r="G22" s="19"/>
      <c r="H22" s="20"/>
      <c r="I22" s="23"/>
      <c r="J22" s="23"/>
      <c r="K22" s="23"/>
      <c r="L22" s="23"/>
    </row>
    <row r="23" s="1" customFormat="1" spans="2:12">
      <c r="B23" s="19" t="s">
        <v>3341</v>
      </c>
      <c r="C23" s="19" t="s">
        <v>216</v>
      </c>
      <c r="D23" s="10" t="s">
        <v>2739</v>
      </c>
      <c r="E23" s="20"/>
      <c r="F23" s="19"/>
      <c r="G23" s="19"/>
      <c r="H23" s="20"/>
      <c r="I23" s="23"/>
      <c r="J23" s="23"/>
      <c r="K23" s="23"/>
      <c r="L23" s="23"/>
    </row>
    <row r="24" s="1" customFormat="1" spans="2:12">
      <c r="B24" s="19" t="s">
        <v>4420</v>
      </c>
      <c r="C24" s="19" t="s">
        <v>220</v>
      </c>
      <c r="D24" s="10" t="s">
        <v>4421</v>
      </c>
      <c r="E24" s="20"/>
      <c r="F24" s="19"/>
      <c r="G24" s="19"/>
      <c r="H24" s="20"/>
      <c r="I24" s="23"/>
      <c r="J24" s="23"/>
      <c r="K24" s="23"/>
      <c r="L24" s="23"/>
    </row>
    <row r="25" s="1" customFormat="1" spans="2:12">
      <c r="B25" s="19" t="s">
        <v>4422</v>
      </c>
      <c r="C25" s="19" t="s">
        <v>275</v>
      </c>
      <c r="D25" s="10" t="s">
        <v>4423</v>
      </c>
      <c r="E25" s="20"/>
      <c r="F25" s="19"/>
      <c r="G25" s="19"/>
      <c r="H25" s="20"/>
      <c r="I25" s="23"/>
      <c r="J25" s="23"/>
      <c r="K25" s="23"/>
      <c r="L25" s="23"/>
    </row>
    <row r="26" s="1" customFormat="1" spans="2:12">
      <c r="B26" s="19" t="s">
        <v>4508</v>
      </c>
      <c r="C26" s="19" t="s">
        <v>216</v>
      </c>
      <c r="D26" s="10" t="s">
        <v>4509</v>
      </c>
      <c r="E26" s="20"/>
      <c r="F26" s="19"/>
      <c r="G26" s="19"/>
      <c r="H26" s="20"/>
      <c r="I26" s="23"/>
      <c r="J26" s="23"/>
      <c r="K26" s="23"/>
      <c r="L26" s="23"/>
    </row>
    <row r="27" s="1" customFormat="1" spans="2:12">
      <c r="B27" s="19" t="s">
        <v>1318</v>
      </c>
      <c r="C27" s="19" t="s">
        <v>216</v>
      </c>
      <c r="D27" s="10" t="s">
        <v>2021</v>
      </c>
      <c r="E27" s="20"/>
      <c r="F27" s="19"/>
      <c r="G27" s="19"/>
      <c r="H27" s="20"/>
      <c r="I27" s="23"/>
      <c r="J27" s="23"/>
      <c r="K27" s="23"/>
      <c r="L27" s="23"/>
    </row>
    <row r="28" s="1" customFormat="1" spans="2:12">
      <c r="B28" s="19" t="s">
        <v>2023</v>
      </c>
      <c r="C28" s="19" t="s">
        <v>216</v>
      </c>
      <c r="D28" s="10" t="s">
        <v>2024</v>
      </c>
      <c r="E28" s="20"/>
      <c r="F28" s="19"/>
      <c r="G28" s="19"/>
      <c r="H28" s="20"/>
      <c r="I28" s="23"/>
      <c r="J28" s="23"/>
      <c r="K28" s="23"/>
      <c r="L28" s="23"/>
    </row>
    <row r="29" s="1" customFormat="1" spans="2:12">
      <c r="B29" s="19" t="s">
        <v>4511</v>
      </c>
      <c r="C29" s="19" t="s">
        <v>216</v>
      </c>
      <c r="D29" s="10" t="s">
        <v>4512</v>
      </c>
      <c r="E29" s="20"/>
      <c r="F29" s="19"/>
      <c r="G29" s="19"/>
      <c r="H29" s="20"/>
      <c r="I29" s="23"/>
      <c r="J29" s="23"/>
      <c r="K29" s="23"/>
      <c r="L29" s="23"/>
    </row>
    <row r="30" s="1" customFormat="1" spans="2:12">
      <c r="B30" s="19" t="s">
        <v>274</v>
      </c>
      <c r="C30" s="19" t="s">
        <v>275</v>
      </c>
      <c r="D30" s="10" t="s">
        <v>296</v>
      </c>
      <c r="E30" s="20"/>
      <c r="F30" s="19"/>
      <c r="G30" s="19"/>
      <c r="H30" s="20"/>
      <c r="I30" s="23"/>
      <c r="J30" s="23"/>
      <c r="K30" s="23"/>
      <c r="L30" s="23"/>
    </row>
    <row r="31" s="1" customFormat="1" spans="2:12">
      <c r="B31" s="19" t="s">
        <v>1176</v>
      </c>
      <c r="C31" s="19" t="s">
        <v>275</v>
      </c>
      <c r="D31" s="10" t="s">
        <v>4513</v>
      </c>
      <c r="E31" s="20"/>
      <c r="F31" s="19"/>
      <c r="G31" s="19"/>
      <c r="H31" s="20"/>
      <c r="I31" s="23"/>
      <c r="J31" s="23"/>
      <c r="K31" s="23"/>
      <c r="L31" s="23"/>
    </row>
    <row r="32" s="1" customFormat="1" spans="2:12">
      <c r="B32" s="19" t="s">
        <v>2678</v>
      </c>
      <c r="C32" s="19" t="s">
        <v>216</v>
      </c>
      <c r="D32" s="10" t="s">
        <v>2679</v>
      </c>
      <c r="E32" s="20"/>
      <c r="F32" s="19"/>
      <c r="G32" s="19"/>
      <c r="H32" s="20"/>
      <c r="I32" s="23"/>
      <c r="J32" s="23"/>
      <c r="K32" s="23"/>
      <c r="L32" s="23"/>
    </row>
    <row r="33" s="1" customFormat="1" spans="2:12">
      <c r="B33" s="19" t="s">
        <v>222</v>
      </c>
      <c r="C33" s="19" t="s">
        <v>220</v>
      </c>
      <c r="D33" s="10" t="s">
        <v>298</v>
      </c>
      <c r="E33" s="20"/>
      <c r="F33" s="19"/>
      <c r="G33" s="19"/>
      <c r="H33" s="20"/>
      <c r="I33" s="23"/>
      <c r="J33" s="23"/>
      <c r="K33" s="23"/>
      <c r="L33" s="23"/>
    </row>
    <row r="34" s="1" customFormat="1" spans="2:12">
      <c r="B34" s="19" t="s">
        <v>1053</v>
      </c>
      <c r="C34" s="19" t="s">
        <v>220</v>
      </c>
      <c r="D34" s="10" t="s">
        <v>4514</v>
      </c>
      <c r="E34" s="20"/>
      <c r="F34" s="19"/>
      <c r="G34" s="19"/>
      <c r="H34" s="20"/>
      <c r="I34" s="23"/>
      <c r="J34" s="23"/>
      <c r="K34" s="23"/>
      <c r="L34" s="23"/>
    </row>
    <row r="35" s="1" customFormat="1" spans="2:12">
      <c r="B35" s="19" t="s">
        <v>4348</v>
      </c>
      <c r="C35" s="19" t="s">
        <v>220</v>
      </c>
      <c r="D35" s="10" t="s">
        <v>4941</v>
      </c>
      <c r="E35" s="20"/>
      <c r="F35" s="19"/>
      <c r="G35" s="19"/>
      <c r="H35" s="20"/>
      <c r="I35" s="23"/>
      <c r="J35" s="23"/>
      <c r="K35" s="23"/>
      <c r="L35" s="23"/>
    </row>
    <row r="36" s="1" customFormat="1" spans="2:12">
      <c r="B36" s="19" t="s">
        <v>4942</v>
      </c>
      <c r="C36" s="19" t="s">
        <v>275</v>
      </c>
      <c r="D36" s="10" t="s">
        <v>4516</v>
      </c>
      <c r="E36" s="20"/>
      <c r="F36" s="19"/>
      <c r="G36" s="19"/>
      <c r="H36" s="20"/>
      <c r="I36" s="23"/>
      <c r="J36" s="23"/>
      <c r="K36" s="23"/>
      <c r="L36" s="23"/>
    </row>
    <row r="37" s="1" customFormat="1" spans="2:12">
      <c r="B37" s="19" t="s">
        <v>4943</v>
      </c>
      <c r="C37" s="19" t="s">
        <v>275</v>
      </c>
      <c r="D37" s="10" t="s">
        <v>4518</v>
      </c>
      <c r="E37" s="20"/>
      <c r="F37" s="19"/>
      <c r="G37" s="19"/>
      <c r="H37" s="20"/>
      <c r="I37" s="23"/>
      <c r="J37" s="23"/>
      <c r="K37" s="23"/>
      <c r="L37" s="23"/>
    </row>
    <row r="38" s="1" customFormat="1" spans="2:12">
      <c r="B38" s="19" t="s">
        <v>4944</v>
      </c>
      <c r="C38" s="19" t="s">
        <v>275</v>
      </c>
      <c r="D38" s="10" t="s">
        <v>4520</v>
      </c>
      <c r="E38" s="20"/>
      <c r="F38" s="19"/>
      <c r="G38" s="19"/>
      <c r="H38" s="20"/>
      <c r="I38" s="23"/>
      <c r="J38" s="23"/>
      <c r="K38" s="23"/>
      <c r="L38" s="23"/>
    </row>
    <row r="39" s="1" customFormat="1" spans="2:12">
      <c r="B39" s="19" t="s">
        <v>4945</v>
      </c>
      <c r="C39" s="19" t="s">
        <v>275</v>
      </c>
      <c r="D39" s="10" t="s">
        <v>4522</v>
      </c>
      <c r="E39" s="20"/>
      <c r="F39" s="19"/>
      <c r="G39" s="19"/>
      <c r="H39" s="20"/>
      <c r="I39" s="23"/>
      <c r="J39" s="23"/>
      <c r="K39" s="23"/>
      <c r="L39" s="23"/>
    </row>
    <row r="40" s="1" customFormat="1" spans="2:12">
      <c r="B40" s="19" t="s">
        <v>4946</v>
      </c>
      <c r="C40" s="19" t="s">
        <v>275</v>
      </c>
      <c r="D40" s="10" t="s">
        <v>4524</v>
      </c>
      <c r="E40" s="20"/>
      <c r="F40" s="19"/>
      <c r="G40" s="19"/>
      <c r="H40" s="20"/>
      <c r="I40" s="23"/>
      <c r="J40" s="23"/>
      <c r="K40" s="23"/>
      <c r="L40" s="23"/>
    </row>
    <row r="41" s="1" customFormat="1" spans="2:12">
      <c r="B41" s="19" t="s">
        <v>4947</v>
      </c>
      <c r="C41" s="19" t="s">
        <v>275</v>
      </c>
      <c r="D41" s="10" t="s">
        <v>4526</v>
      </c>
      <c r="E41" s="20"/>
      <c r="F41" s="19"/>
      <c r="G41" s="19"/>
      <c r="H41" s="20"/>
      <c r="I41" s="23"/>
      <c r="J41" s="23"/>
      <c r="K41" s="23"/>
      <c r="L41" s="23"/>
    </row>
    <row r="42" s="1" customFormat="1" spans="2:12">
      <c r="B42" s="19" t="s">
        <v>4948</v>
      </c>
      <c r="C42" s="19" t="s">
        <v>275</v>
      </c>
      <c r="D42" s="10" t="s">
        <v>4528</v>
      </c>
      <c r="E42" s="20"/>
      <c r="F42" s="19"/>
      <c r="G42" s="19"/>
      <c r="H42" s="20"/>
      <c r="I42" s="23"/>
      <c r="J42" s="23"/>
      <c r="K42" s="23"/>
      <c r="L42" s="23"/>
    </row>
    <row r="43" s="1" customFormat="1" spans="2:12">
      <c r="B43" s="19" t="s">
        <v>4949</v>
      </c>
      <c r="C43" s="19" t="s">
        <v>275</v>
      </c>
      <c r="D43" s="10" t="s">
        <v>4530</v>
      </c>
      <c r="E43" s="20"/>
      <c r="F43" s="19"/>
      <c r="G43" s="19"/>
      <c r="H43" s="20"/>
      <c r="I43" s="23"/>
      <c r="J43" s="23"/>
      <c r="K43" s="23"/>
      <c r="L43" s="23"/>
    </row>
    <row r="44" s="1" customFormat="1" spans="2:12">
      <c r="B44" s="19" t="s">
        <v>4950</v>
      </c>
      <c r="C44" s="19" t="s">
        <v>275</v>
      </c>
      <c r="D44" s="10" t="s">
        <v>4532</v>
      </c>
      <c r="E44" s="20"/>
      <c r="F44" s="19"/>
      <c r="G44" s="19"/>
      <c r="H44" s="20"/>
      <c r="I44" s="23"/>
      <c r="J44" s="23"/>
      <c r="K44" s="23"/>
      <c r="L44" s="23"/>
    </row>
    <row r="45" s="1" customFormat="1" spans="2:12">
      <c r="B45" s="19" t="s">
        <v>4951</v>
      </c>
      <c r="C45" s="19" t="s">
        <v>275</v>
      </c>
      <c r="D45" s="10" t="s">
        <v>4534</v>
      </c>
      <c r="E45" s="20"/>
      <c r="F45" s="19"/>
      <c r="G45" s="19"/>
      <c r="H45" s="20"/>
      <c r="I45" s="23"/>
      <c r="J45" s="23"/>
      <c r="K45" s="23"/>
      <c r="L45" s="23"/>
    </row>
    <row r="46" s="1" customFormat="1" ht="26.4" spans="2:12">
      <c r="B46" s="19" t="s">
        <v>4952</v>
      </c>
      <c r="C46" s="19" t="s">
        <v>275</v>
      </c>
      <c r="D46" s="10" t="s">
        <v>4536</v>
      </c>
      <c r="E46" s="20"/>
      <c r="F46" s="19"/>
      <c r="G46" s="19"/>
      <c r="H46" s="20"/>
      <c r="I46" s="23"/>
      <c r="J46" s="23"/>
      <c r="K46" s="23"/>
      <c r="L46" s="23"/>
    </row>
    <row r="47" s="1" customFormat="1" spans="2:12">
      <c r="B47" s="19" t="s">
        <v>4953</v>
      </c>
      <c r="C47" s="19" t="s">
        <v>275</v>
      </c>
      <c r="D47" s="10" t="s">
        <v>4538</v>
      </c>
      <c r="E47" s="20"/>
      <c r="F47" s="19"/>
      <c r="G47" s="19"/>
      <c r="H47" s="20"/>
      <c r="I47" s="23"/>
      <c r="J47" s="23"/>
      <c r="K47" s="23"/>
      <c r="L47" s="23"/>
    </row>
    <row r="48" s="1" customFormat="1" spans="2:12">
      <c r="B48" s="19" t="s">
        <v>4954</v>
      </c>
      <c r="C48" s="19" t="s">
        <v>275</v>
      </c>
      <c r="D48" s="10" t="s">
        <v>4540</v>
      </c>
      <c r="E48" s="20"/>
      <c r="F48" s="19"/>
      <c r="G48" s="19"/>
      <c r="H48" s="20"/>
      <c r="I48" s="23"/>
      <c r="J48" s="23"/>
      <c r="K48" s="23"/>
      <c r="L48" s="23"/>
    </row>
    <row r="49" s="1" customFormat="1" ht="26.4" spans="2:12">
      <c r="B49" s="19" t="s">
        <v>4955</v>
      </c>
      <c r="C49" s="19" t="s">
        <v>275</v>
      </c>
      <c r="D49" s="10" t="s">
        <v>4542</v>
      </c>
      <c r="E49" s="20"/>
      <c r="F49" s="19"/>
      <c r="G49" s="19"/>
      <c r="H49" s="20"/>
      <c r="I49" s="23"/>
      <c r="J49" s="23"/>
      <c r="K49" s="23"/>
      <c r="L49" s="23"/>
    </row>
    <row r="50" s="1" customFormat="1" spans="2:12">
      <c r="B50" s="19" t="s">
        <v>4956</v>
      </c>
      <c r="C50" s="19" t="s">
        <v>275</v>
      </c>
      <c r="D50" s="10" t="s">
        <v>4544</v>
      </c>
      <c r="E50" s="20"/>
      <c r="F50" s="19"/>
      <c r="G50" s="19"/>
      <c r="H50" s="20"/>
      <c r="I50" s="23"/>
      <c r="J50" s="23"/>
      <c r="K50" s="23"/>
      <c r="L50" s="23"/>
    </row>
    <row r="51" s="1" customFormat="1" ht="26.4" spans="2:12">
      <c r="B51" s="19" t="s">
        <v>4957</v>
      </c>
      <c r="C51" s="19" t="s">
        <v>275</v>
      </c>
      <c r="D51" s="10" t="s">
        <v>4546</v>
      </c>
      <c r="E51" s="20"/>
      <c r="F51" s="19"/>
      <c r="G51" s="19"/>
      <c r="H51" s="20"/>
      <c r="I51" s="23"/>
      <c r="J51" s="23"/>
      <c r="K51" s="23"/>
      <c r="L51" s="23"/>
    </row>
    <row r="52" s="1" customFormat="1" spans="2:12">
      <c r="B52" s="19" t="s">
        <v>4958</v>
      </c>
      <c r="C52" s="19" t="s">
        <v>275</v>
      </c>
      <c r="D52" s="10" t="s">
        <v>4548</v>
      </c>
      <c r="E52" s="20"/>
      <c r="F52" s="19"/>
      <c r="G52" s="19"/>
      <c r="H52" s="20"/>
      <c r="I52" s="23"/>
      <c r="J52" s="23"/>
      <c r="K52" s="23"/>
      <c r="L52" s="23"/>
    </row>
    <row r="53" s="1" customFormat="1" spans="2:12">
      <c r="B53" s="19" t="s">
        <v>4959</v>
      </c>
      <c r="C53" s="19" t="s">
        <v>275</v>
      </c>
      <c r="D53" s="10" t="s">
        <v>4550</v>
      </c>
      <c r="E53" s="20"/>
      <c r="F53" s="19"/>
      <c r="G53" s="19"/>
      <c r="H53" s="20"/>
      <c r="I53" s="23"/>
      <c r="J53" s="23"/>
      <c r="K53" s="23"/>
      <c r="L53" s="23"/>
    </row>
    <row r="54" s="1" customFormat="1" ht="26.4" spans="2:12">
      <c r="B54" s="19" t="s">
        <v>4960</v>
      </c>
      <c r="C54" s="19" t="s">
        <v>275</v>
      </c>
      <c r="D54" s="10" t="s">
        <v>4552</v>
      </c>
      <c r="E54" s="20"/>
      <c r="F54" s="19"/>
      <c r="G54" s="19"/>
      <c r="H54" s="20"/>
      <c r="I54" s="23"/>
      <c r="J54" s="23"/>
      <c r="K54" s="23"/>
      <c r="L54" s="23"/>
    </row>
    <row r="55" s="1" customFormat="1" spans="2:12">
      <c r="B55" s="19" t="s">
        <v>4961</v>
      </c>
      <c r="C55" s="19" t="s">
        <v>275</v>
      </c>
      <c r="D55" s="10" t="s">
        <v>4554</v>
      </c>
      <c r="E55" s="20"/>
      <c r="F55" s="19"/>
      <c r="G55" s="19"/>
      <c r="H55" s="20"/>
      <c r="I55" s="23"/>
      <c r="J55" s="23"/>
      <c r="K55" s="23"/>
      <c r="L55" s="23"/>
    </row>
    <row r="56" s="1" customFormat="1" ht="26.4" spans="2:12">
      <c r="B56" s="19" t="s">
        <v>4962</v>
      </c>
      <c r="C56" s="19" t="s">
        <v>275</v>
      </c>
      <c r="D56" s="10" t="s">
        <v>4556</v>
      </c>
      <c r="E56" s="20"/>
      <c r="F56" s="19"/>
      <c r="G56" s="19"/>
      <c r="H56" s="20"/>
      <c r="I56" s="23"/>
      <c r="J56" s="23"/>
      <c r="K56" s="23"/>
      <c r="L56" s="23"/>
    </row>
    <row r="57" s="1" customFormat="1" ht="26.4" spans="2:12">
      <c r="B57" s="19" t="s">
        <v>4963</v>
      </c>
      <c r="C57" s="19" t="s">
        <v>275</v>
      </c>
      <c r="D57" s="10" t="s">
        <v>4558</v>
      </c>
      <c r="E57" s="20"/>
      <c r="F57" s="19"/>
      <c r="G57" s="19"/>
      <c r="H57" s="20"/>
      <c r="I57" s="23"/>
      <c r="J57" s="23"/>
      <c r="K57" s="23"/>
      <c r="L57" s="23"/>
    </row>
    <row r="58" s="1" customFormat="1" spans="2:12">
      <c r="B58" s="19" t="s">
        <v>4964</v>
      </c>
      <c r="C58" s="19" t="s">
        <v>275</v>
      </c>
      <c r="D58" s="10" t="s">
        <v>4560</v>
      </c>
      <c r="E58" s="20"/>
      <c r="F58" s="19"/>
      <c r="G58" s="19"/>
      <c r="H58" s="20"/>
      <c r="I58" s="23"/>
      <c r="J58" s="23"/>
      <c r="K58" s="23"/>
      <c r="L58" s="23"/>
    </row>
    <row r="59" s="1" customFormat="1" ht="26.4" spans="2:12">
      <c r="B59" s="19" t="s">
        <v>4965</v>
      </c>
      <c r="C59" s="19" t="s">
        <v>275</v>
      </c>
      <c r="D59" s="10" t="s">
        <v>4562</v>
      </c>
      <c r="E59" s="20"/>
      <c r="F59" s="19"/>
      <c r="G59" s="19"/>
      <c r="H59" s="20"/>
      <c r="I59" s="23"/>
      <c r="J59" s="23"/>
      <c r="K59" s="23"/>
      <c r="L59" s="23"/>
    </row>
    <row r="60" s="1" customFormat="1" ht="26.4" spans="2:12">
      <c r="B60" s="19" t="s">
        <v>4966</v>
      </c>
      <c r="C60" s="19" t="s">
        <v>275</v>
      </c>
      <c r="D60" s="10" t="s">
        <v>4564</v>
      </c>
      <c r="E60" s="20"/>
      <c r="F60" s="19"/>
      <c r="G60" s="19"/>
      <c r="H60" s="20"/>
      <c r="I60" s="23"/>
      <c r="J60" s="23"/>
      <c r="K60" s="23"/>
      <c r="L60" s="23"/>
    </row>
    <row r="61" s="1" customFormat="1" spans="2:12">
      <c r="B61" s="19" t="s">
        <v>4967</v>
      </c>
      <c r="C61" s="19" t="s">
        <v>275</v>
      </c>
      <c r="D61" s="10" t="s">
        <v>4566</v>
      </c>
      <c r="E61" s="20"/>
      <c r="F61" s="19"/>
      <c r="G61" s="19"/>
      <c r="H61" s="20"/>
      <c r="I61" s="23"/>
      <c r="J61" s="23"/>
      <c r="K61" s="23"/>
      <c r="L61" s="23"/>
    </row>
    <row r="62" s="1" customFormat="1" spans="2:12">
      <c r="B62" s="19" t="s">
        <v>4968</v>
      </c>
      <c r="C62" s="19" t="s">
        <v>275</v>
      </c>
      <c r="D62" s="10" t="s">
        <v>4568</v>
      </c>
      <c r="E62" s="20"/>
      <c r="F62" s="19"/>
      <c r="G62" s="19"/>
      <c r="H62" s="20"/>
      <c r="I62" s="23"/>
      <c r="J62" s="23"/>
      <c r="K62" s="23"/>
      <c r="L62" s="23"/>
    </row>
    <row r="63" s="1" customFormat="1" spans="2:12">
      <c r="B63" s="19" t="s">
        <v>4969</v>
      </c>
      <c r="C63" s="19" t="s">
        <v>275</v>
      </c>
      <c r="D63" s="10" t="s">
        <v>4570</v>
      </c>
      <c r="E63" s="20"/>
      <c r="F63" s="19"/>
      <c r="G63" s="19"/>
      <c r="H63" s="20"/>
      <c r="I63" s="23"/>
      <c r="J63" s="23"/>
      <c r="K63" s="23"/>
      <c r="L63" s="23"/>
    </row>
    <row r="64" s="1" customFormat="1" spans="2:12">
      <c r="B64" s="19" t="s">
        <v>4970</v>
      </c>
      <c r="C64" s="19" t="s">
        <v>275</v>
      </c>
      <c r="D64" s="10" t="s">
        <v>4572</v>
      </c>
      <c r="E64" s="20"/>
      <c r="F64" s="19"/>
      <c r="G64" s="19"/>
      <c r="H64" s="20"/>
      <c r="I64" s="23"/>
      <c r="J64" s="23"/>
      <c r="K64" s="23"/>
      <c r="L64" s="23"/>
    </row>
    <row r="65" s="1" customFormat="1" spans="2:12">
      <c r="B65" s="19" t="s">
        <v>4971</v>
      </c>
      <c r="C65" s="19" t="s">
        <v>275</v>
      </c>
      <c r="D65" s="10" t="s">
        <v>4574</v>
      </c>
      <c r="E65" s="20"/>
      <c r="F65" s="19"/>
      <c r="G65" s="19"/>
      <c r="H65" s="20"/>
      <c r="I65" s="23"/>
      <c r="J65" s="23"/>
      <c r="K65" s="23"/>
      <c r="L65" s="23"/>
    </row>
    <row r="66" s="24" customFormat="1" spans="2:12">
      <c r="B66" s="19" t="s">
        <v>4972</v>
      </c>
      <c r="C66" s="19" t="s">
        <v>275</v>
      </c>
      <c r="D66" s="10" t="s">
        <v>4576</v>
      </c>
      <c r="E66" s="20"/>
      <c r="F66" s="19"/>
      <c r="G66" s="19"/>
      <c r="H66" s="20"/>
      <c r="I66" s="26"/>
      <c r="J66" s="26"/>
      <c r="K66" s="26"/>
      <c r="L66" s="26"/>
    </row>
    <row r="67" s="24" customFormat="1" spans="2:12">
      <c r="B67" s="19" t="s">
        <v>4973</v>
      </c>
      <c r="C67" s="19" t="s">
        <v>275</v>
      </c>
      <c r="D67" s="10" t="s">
        <v>4578</v>
      </c>
      <c r="E67" s="20"/>
      <c r="F67" s="19"/>
      <c r="G67" s="19"/>
      <c r="H67" s="20"/>
      <c r="I67" s="26"/>
      <c r="J67" s="26"/>
      <c r="K67" s="26"/>
      <c r="L67" s="26"/>
    </row>
    <row r="68" s="24" customFormat="1" spans="2:12">
      <c r="B68" s="19" t="s">
        <v>4974</v>
      </c>
      <c r="C68" s="19" t="s">
        <v>275</v>
      </c>
      <c r="D68" s="10" t="s">
        <v>4580</v>
      </c>
      <c r="E68" s="20"/>
      <c r="F68" s="19"/>
      <c r="G68" s="19"/>
      <c r="H68" s="20"/>
      <c r="I68" s="26"/>
      <c r="J68" s="26"/>
      <c r="K68" s="26"/>
      <c r="L68" s="26"/>
    </row>
    <row r="69" s="24" customFormat="1" spans="2:12">
      <c r="B69" s="19" t="s">
        <v>4975</v>
      </c>
      <c r="C69" s="19" t="s">
        <v>275</v>
      </c>
      <c r="D69" s="10" t="s">
        <v>4582</v>
      </c>
      <c r="E69" s="20"/>
      <c r="F69" s="19"/>
      <c r="G69" s="19"/>
      <c r="H69" s="20"/>
      <c r="I69" s="26"/>
      <c r="J69" s="26"/>
      <c r="K69" s="26"/>
      <c r="L69" s="26"/>
    </row>
    <row r="70" s="24" customFormat="1" spans="2:12">
      <c r="B70" s="19" t="s">
        <v>4976</v>
      </c>
      <c r="C70" s="19" t="s">
        <v>275</v>
      </c>
      <c r="D70" s="10" t="s">
        <v>4584</v>
      </c>
      <c r="E70" s="20"/>
      <c r="F70" s="19"/>
      <c r="G70" s="19"/>
      <c r="H70" s="20"/>
      <c r="I70" s="26"/>
      <c r="J70" s="26"/>
      <c r="K70" s="26"/>
      <c r="L70" s="26"/>
    </row>
    <row r="71" s="24" customFormat="1" spans="2:12">
      <c r="B71" s="19" t="s">
        <v>4977</v>
      </c>
      <c r="C71" s="19" t="s">
        <v>275</v>
      </c>
      <c r="D71" s="10" t="s">
        <v>4586</v>
      </c>
      <c r="E71" s="20"/>
      <c r="F71" s="19"/>
      <c r="G71" s="19"/>
      <c r="H71" s="20"/>
      <c r="I71" s="26"/>
      <c r="J71" s="26"/>
      <c r="K71" s="26"/>
      <c r="L71" s="26"/>
    </row>
    <row r="72" s="24" customFormat="1" spans="2:12">
      <c r="B72" s="19" t="s">
        <v>4978</v>
      </c>
      <c r="C72" s="19" t="s">
        <v>275</v>
      </c>
      <c r="D72" s="10" t="s">
        <v>4588</v>
      </c>
      <c r="E72" s="20"/>
      <c r="F72" s="19"/>
      <c r="G72" s="19"/>
      <c r="H72" s="20"/>
      <c r="I72" s="26"/>
      <c r="J72" s="26"/>
      <c r="K72" s="26"/>
      <c r="L72" s="26"/>
    </row>
    <row r="73" s="24" customFormat="1" spans="2:12">
      <c r="B73" s="19" t="s">
        <v>4979</v>
      </c>
      <c r="C73" s="19" t="s">
        <v>275</v>
      </c>
      <c r="D73" s="10" t="s">
        <v>4590</v>
      </c>
      <c r="E73" s="20"/>
      <c r="F73" s="19"/>
      <c r="G73" s="19"/>
      <c r="H73" s="20"/>
      <c r="I73" s="26"/>
      <c r="J73" s="26"/>
      <c r="K73" s="26"/>
      <c r="L73" s="26"/>
    </row>
    <row r="74" s="24" customFormat="1" spans="2:12">
      <c r="B74" s="19" t="s">
        <v>4980</v>
      </c>
      <c r="C74" s="19" t="s">
        <v>275</v>
      </c>
      <c r="D74" s="10" t="s">
        <v>4592</v>
      </c>
      <c r="E74" s="20"/>
      <c r="F74" s="19"/>
      <c r="G74" s="19"/>
      <c r="H74" s="20"/>
      <c r="I74" s="26"/>
      <c r="J74" s="26"/>
      <c r="K74" s="26"/>
      <c r="L74" s="26"/>
    </row>
    <row r="75" s="24" customFormat="1" spans="2:12">
      <c r="B75" s="19" t="s">
        <v>4981</v>
      </c>
      <c r="C75" s="19" t="s">
        <v>275</v>
      </c>
      <c r="D75" s="10" t="s">
        <v>4594</v>
      </c>
      <c r="E75" s="20"/>
      <c r="F75" s="19"/>
      <c r="G75" s="19"/>
      <c r="H75" s="20"/>
      <c r="I75" s="26"/>
      <c r="J75" s="26"/>
      <c r="K75" s="26"/>
      <c r="L75" s="26"/>
    </row>
    <row r="76" s="24" customFormat="1" ht="26.4" spans="2:12">
      <c r="B76" s="19" t="s">
        <v>4982</v>
      </c>
      <c r="C76" s="19" t="s">
        <v>275</v>
      </c>
      <c r="D76" s="10" t="s">
        <v>4596</v>
      </c>
      <c r="E76" s="20"/>
      <c r="F76" s="19"/>
      <c r="G76" s="19"/>
      <c r="H76" s="20"/>
      <c r="I76" s="26"/>
      <c r="J76" s="26"/>
      <c r="K76" s="26"/>
      <c r="L76" s="26"/>
    </row>
    <row r="77" s="24" customFormat="1" ht="26.4" spans="2:12">
      <c r="B77" s="19" t="s">
        <v>4983</v>
      </c>
      <c r="C77" s="19" t="s">
        <v>275</v>
      </c>
      <c r="D77" s="10" t="s">
        <v>4598</v>
      </c>
      <c r="E77" s="20"/>
      <c r="F77" s="19"/>
      <c r="G77" s="19"/>
      <c r="H77" s="20"/>
      <c r="I77" s="26"/>
      <c r="J77" s="26"/>
      <c r="K77" s="26"/>
      <c r="L77" s="26"/>
    </row>
    <row r="78" s="24" customFormat="1" ht="26.4" spans="2:12">
      <c r="B78" s="19" t="s">
        <v>4984</v>
      </c>
      <c r="C78" s="19" t="s">
        <v>275</v>
      </c>
      <c r="D78" s="10" t="s">
        <v>4600</v>
      </c>
      <c r="E78" s="20"/>
      <c r="F78" s="19"/>
      <c r="G78" s="19"/>
      <c r="H78" s="20"/>
      <c r="I78" s="26"/>
      <c r="J78" s="26"/>
      <c r="K78" s="26"/>
      <c r="L78" s="26"/>
    </row>
    <row r="79" s="24" customFormat="1" ht="26.4" spans="2:12">
      <c r="B79" s="19" t="s">
        <v>4985</v>
      </c>
      <c r="C79" s="19" t="s">
        <v>275</v>
      </c>
      <c r="D79" s="10" t="s">
        <v>4602</v>
      </c>
      <c r="E79" s="20"/>
      <c r="F79" s="19"/>
      <c r="G79" s="19"/>
      <c r="H79" s="20"/>
      <c r="I79" s="26"/>
      <c r="J79" s="26"/>
      <c r="K79" s="26"/>
      <c r="L79" s="26"/>
    </row>
    <row r="80" s="24" customFormat="1" ht="26.4" spans="2:12">
      <c r="B80" s="19" t="s">
        <v>4986</v>
      </c>
      <c r="C80" s="19" t="s">
        <v>275</v>
      </c>
      <c r="D80" s="10" t="s">
        <v>4604</v>
      </c>
      <c r="E80" s="20"/>
      <c r="F80" s="19"/>
      <c r="G80" s="19"/>
      <c r="H80" s="20"/>
      <c r="I80" s="26"/>
      <c r="J80" s="26"/>
      <c r="K80" s="26"/>
      <c r="L80" s="26"/>
    </row>
    <row r="81" s="24" customFormat="1" ht="26.4" spans="2:12">
      <c r="B81" s="19" t="s">
        <v>4987</v>
      </c>
      <c r="C81" s="19" t="s">
        <v>275</v>
      </c>
      <c r="D81" s="10" t="s">
        <v>4606</v>
      </c>
      <c r="E81" s="20"/>
      <c r="F81" s="19"/>
      <c r="G81" s="19"/>
      <c r="H81" s="20"/>
      <c r="I81" s="26"/>
      <c r="J81" s="26"/>
      <c r="K81" s="26"/>
      <c r="L81" s="26"/>
    </row>
    <row r="82" s="24" customFormat="1" ht="26.4" spans="2:12">
      <c r="B82" s="19" t="s">
        <v>4988</v>
      </c>
      <c r="C82" s="19" t="s">
        <v>275</v>
      </c>
      <c r="D82" s="10" t="s">
        <v>4608</v>
      </c>
      <c r="E82" s="20"/>
      <c r="F82" s="19"/>
      <c r="G82" s="19"/>
      <c r="H82" s="20"/>
      <c r="I82" s="26"/>
      <c r="J82" s="26"/>
      <c r="K82" s="26"/>
      <c r="L82" s="26"/>
    </row>
    <row r="83" s="24" customFormat="1" ht="26.4" spans="2:12">
      <c r="B83" s="19" t="s">
        <v>4989</v>
      </c>
      <c r="C83" s="19" t="s">
        <v>275</v>
      </c>
      <c r="D83" s="10" t="s">
        <v>4610</v>
      </c>
      <c r="E83" s="20"/>
      <c r="F83" s="19"/>
      <c r="G83" s="19"/>
      <c r="H83" s="20"/>
      <c r="I83" s="26"/>
      <c r="J83" s="26"/>
      <c r="K83" s="26"/>
      <c r="L83" s="26"/>
    </row>
    <row r="84" s="24" customFormat="1" ht="26.4" spans="2:12">
      <c r="B84" s="19" t="s">
        <v>4990</v>
      </c>
      <c r="C84" s="19" t="s">
        <v>275</v>
      </c>
      <c r="D84" s="10" t="s">
        <v>4612</v>
      </c>
      <c r="E84" s="20"/>
      <c r="F84" s="19"/>
      <c r="G84" s="19"/>
      <c r="H84" s="20"/>
      <c r="I84" s="26"/>
      <c r="J84" s="26"/>
      <c r="K84" s="26"/>
      <c r="L84" s="26"/>
    </row>
    <row r="85" s="24" customFormat="1" ht="26.4" spans="2:12">
      <c r="B85" s="19" t="s">
        <v>4991</v>
      </c>
      <c r="C85" s="19" t="s">
        <v>275</v>
      </c>
      <c r="D85" s="10" t="s">
        <v>4614</v>
      </c>
      <c r="E85" s="20"/>
      <c r="F85" s="19"/>
      <c r="G85" s="19"/>
      <c r="H85" s="20"/>
      <c r="I85" s="26"/>
      <c r="J85" s="26"/>
      <c r="K85" s="26"/>
      <c r="L85" s="26"/>
    </row>
    <row r="86" s="24" customFormat="1" spans="2:12">
      <c r="B86" s="19" t="s">
        <v>4992</v>
      </c>
      <c r="C86" s="19" t="s">
        <v>275</v>
      </c>
      <c r="D86" s="10" t="s">
        <v>4616</v>
      </c>
      <c r="E86" s="20"/>
      <c r="F86" s="19"/>
      <c r="G86" s="19"/>
      <c r="H86" s="20"/>
      <c r="I86" s="26"/>
      <c r="J86" s="26"/>
      <c r="K86" s="26"/>
      <c r="L86" s="26"/>
    </row>
    <row r="87" s="24" customFormat="1" spans="2:12">
      <c r="B87" s="19" t="s">
        <v>4993</v>
      </c>
      <c r="C87" s="19" t="s">
        <v>275</v>
      </c>
      <c r="D87" s="10" t="s">
        <v>4618</v>
      </c>
      <c r="E87" s="20"/>
      <c r="F87" s="19"/>
      <c r="G87" s="19"/>
      <c r="H87" s="20"/>
      <c r="I87" s="26"/>
      <c r="J87" s="26"/>
      <c r="K87" s="26"/>
      <c r="L87" s="26"/>
    </row>
    <row r="88" s="24" customFormat="1" spans="2:12">
      <c r="B88" s="19" t="s">
        <v>4994</v>
      </c>
      <c r="C88" s="19" t="s">
        <v>275</v>
      </c>
      <c r="D88" s="10" t="s">
        <v>4620</v>
      </c>
      <c r="E88" s="20"/>
      <c r="F88" s="19"/>
      <c r="G88" s="19"/>
      <c r="H88" s="20"/>
      <c r="I88" s="26"/>
      <c r="J88" s="26"/>
      <c r="K88" s="26"/>
      <c r="L88" s="26"/>
    </row>
    <row r="89" s="24" customFormat="1" spans="2:12">
      <c r="B89" s="19" t="s">
        <v>4995</v>
      </c>
      <c r="C89" s="19" t="s">
        <v>275</v>
      </c>
      <c r="D89" s="10" t="s">
        <v>4622</v>
      </c>
      <c r="E89" s="20"/>
      <c r="F89" s="19"/>
      <c r="G89" s="19"/>
      <c r="H89" s="20"/>
      <c r="I89" s="26"/>
      <c r="J89" s="26"/>
      <c r="K89" s="26"/>
      <c r="L89" s="26"/>
    </row>
    <row r="90" s="24" customFormat="1" spans="2:12">
      <c r="B90" s="19" t="s">
        <v>4996</v>
      </c>
      <c r="C90" s="19" t="s">
        <v>275</v>
      </c>
      <c r="D90" s="10" t="s">
        <v>4624</v>
      </c>
      <c r="E90" s="20"/>
      <c r="F90" s="19"/>
      <c r="G90" s="19"/>
      <c r="H90" s="20"/>
      <c r="I90" s="26"/>
      <c r="J90" s="26"/>
      <c r="K90" s="26"/>
      <c r="L90" s="26"/>
    </row>
    <row r="91" s="24" customFormat="1" spans="2:12">
      <c r="B91" s="19" t="s">
        <v>4997</v>
      </c>
      <c r="C91" s="19" t="s">
        <v>275</v>
      </c>
      <c r="D91" s="10" t="s">
        <v>4626</v>
      </c>
      <c r="E91" s="20"/>
      <c r="F91" s="19"/>
      <c r="G91" s="19"/>
      <c r="H91" s="20"/>
      <c r="I91" s="26"/>
      <c r="J91" s="26"/>
      <c r="K91" s="26"/>
      <c r="L91" s="26"/>
    </row>
    <row r="92" s="24" customFormat="1" spans="2:12">
      <c r="B92" s="19" t="s">
        <v>4998</v>
      </c>
      <c r="C92" s="19" t="s">
        <v>275</v>
      </c>
      <c r="D92" s="10" t="s">
        <v>4628</v>
      </c>
      <c r="E92" s="20"/>
      <c r="F92" s="19"/>
      <c r="G92" s="19"/>
      <c r="H92" s="20"/>
      <c r="I92" s="26"/>
      <c r="J92" s="26"/>
      <c r="K92" s="26"/>
      <c r="L92" s="26"/>
    </row>
    <row r="93" s="24" customFormat="1" spans="2:12">
      <c r="B93" s="19" t="s">
        <v>4999</v>
      </c>
      <c r="C93" s="19" t="s">
        <v>275</v>
      </c>
      <c r="D93" s="10" t="s">
        <v>4630</v>
      </c>
      <c r="E93" s="20"/>
      <c r="F93" s="19"/>
      <c r="G93" s="19"/>
      <c r="H93" s="20"/>
      <c r="I93" s="26"/>
      <c r="J93" s="26"/>
      <c r="K93" s="26"/>
      <c r="L93" s="26"/>
    </row>
    <row r="94" s="24" customFormat="1" spans="2:12">
      <c r="B94" s="19" t="s">
        <v>5000</v>
      </c>
      <c r="C94" s="19" t="s">
        <v>275</v>
      </c>
      <c r="D94" s="10" t="s">
        <v>4632</v>
      </c>
      <c r="E94" s="20"/>
      <c r="F94" s="19"/>
      <c r="G94" s="19"/>
      <c r="H94" s="20"/>
      <c r="I94" s="26"/>
      <c r="J94" s="26"/>
      <c r="K94" s="26"/>
      <c r="L94" s="26"/>
    </row>
    <row r="95" s="24" customFormat="1" spans="2:12">
      <c r="B95" s="19" t="s">
        <v>5001</v>
      </c>
      <c r="C95" s="19" t="s">
        <v>275</v>
      </c>
      <c r="D95" s="10" t="s">
        <v>4634</v>
      </c>
      <c r="E95" s="20"/>
      <c r="F95" s="19"/>
      <c r="G95" s="19"/>
      <c r="H95" s="20"/>
      <c r="I95" s="26"/>
      <c r="J95" s="26"/>
      <c r="K95" s="26"/>
      <c r="L95" s="26"/>
    </row>
    <row r="96" s="24" customFormat="1" ht="26.4" spans="2:12">
      <c r="B96" s="19" t="s">
        <v>5002</v>
      </c>
      <c r="C96" s="19" t="s">
        <v>275</v>
      </c>
      <c r="D96" s="10" t="s">
        <v>4636</v>
      </c>
      <c r="E96" s="20"/>
      <c r="F96" s="19"/>
      <c r="G96" s="19"/>
      <c r="H96" s="20"/>
      <c r="I96" s="26"/>
      <c r="J96" s="26"/>
      <c r="K96" s="26"/>
      <c r="L96" s="26"/>
    </row>
    <row r="97" s="24" customFormat="1" spans="2:12">
      <c r="B97" s="19" t="s">
        <v>5003</v>
      </c>
      <c r="C97" s="19" t="s">
        <v>275</v>
      </c>
      <c r="D97" s="10" t="s">
        <v>3808</v>
      </c>
      <c r="E97" s="20"/>
      <c r="F97" s="19"/>
      <c r="G97" s="19"/>
      <c r="H97" s="20"/>
      <c r="I97" s="26"/>
      <c r="J97" s="26"/>
      <c r="K97" s="26"/>
      <c r="L97" s="26"/>
    </row>
    <row r="98" s="24" customFormat="1" spans="2:12">
      <c r="B98" s="19" t="s">
        <v>5004</v>
      </c>
      <c r="C98" s="19" t="s">
        <v>275</v>
      </c>
      <c r="D98" s="10" t="s">
        <v>3810</v>
      </c>
      <c r="E98" s="20"/>
      <c r="F98" s="19"/>
      <c r="G98" s="19"/>
      <c r="H98" s="20"/>
      <c r="I98" s="26"/>
      <c r="J98" s="26"/>
      <c r="K98" s="26"/>
      <c r="L98" s="26"/>
    </row>
    <row r="99" s="24" customFormat="1" ht="26.4" spans="2:12">
      <c r="B99" s="19" t="s">
        <v>5005</v>
      </c>
      <c r="C99" s="19" t="s">
        <v>275</v>
      </c>
      <c r="D99" s="10" t="s">
        <v>3812</v>
      </c>
      <c r="E99" s="20"/>
      <c r="F99" s="19"/>
      <c r="G99" s="19"/>
      <c r="H99" s="20"/>
      <c r="I99" s="26"/>
      <c r="J99" s="26"/>
      <c r="K99" s="26"/>
      <c r="L99" s="26"/>
    </row>
    <row r="100" s="24" customFormat="1" spans="2:12">
      <c r="B100" s="19" t="s">
        <v>5006</v>
      </c>
      <c r="C100" s="19" t="s">
        <v>275</v>
      </c>
      <c r="D100" s="10" t="s">
        <v>3814</v>
      </c>
      <c r="E100" s="20"/>
      <c r="F100" s="19"/>
      <c r="G100" s="19"/>
      <c r="H100" s="20"/>
      <c r="I100" s="26"/>
      <c r="J100" s="26"/>
      <c r="K100" s="26"/>
      <c r="L100" s="26"/>
    </row>
    <row r="101" s="24" customFormat="1" spans="2:12">
      <c r="B101" s="19" t="s">
        <v>5007</v>
      </c>
      <c r="C101" s="19" t="s">
        <v>275</v>
      </c>
      <c r="D101" s="10" t="s">
        <v>4642</v>
      </c>
      <c r="E101" s="20"/>
      <c r="F101" s="19"/>
      <c r="G101" s="19"/>
      <c r="H101" s="20"/>
      <c r="I101" s="26"/>
      <c r="J101" s="26"/>
      <c r="K101" s="26"/>
      <c r="L101" s="26"/>
    </row>
    <row r="102" s="24" customFormat="1" spans="2:12">
      <c r="B102" s="19" t="s">
        <v>5008</v>
      </c>
      <c r="C102" s="19" t="s">
        <v>275</v>
      </c>
      <c r="D102" s="10" t="s">
        <v>4644</v>
      </c>
      <c r="E102" s="20"/>
      <c r="F102" s="19"/>
      <c r="G102" s="19"/>
      <c r="H102" s="20"/>
      <c r="I102" s="26"/>
      <c r="J102" s="26"/>
      <c r="K102" s="26"/>
      <c r="L102" s="26"/>
    </row>
    <row r="103" s="24" customFormat="1" spans="2:12">
      <c r="B103" s="19" t="s">
        <v>5009</v>
      </c>
      <c r="C103" s="19" t="s">
        <v>275</v>
      </c>
      <c r="D103" s="10" t="s">
        <v>4646</v>
      </c>
      <c r="E103" s="20"/>
      <c r="F103" s="19"/>
      <c r="G103" s="19"/>
      <c r="H103" s="20"/>
      <c r="I103" s="26"/>
      <c r="J103" s="26"/>
      <c r="K103" s="26"/>
      <c r="L103" s="26"/>
    </row>
    <row r="104" s="24" customFormat="1" spans="2:12">
      <c r="B104" s="19" t="s">
        <v>5010</v>
      </c>
      <c r="C104" s="19" t="s">
        <v>275</v>
      </c>
      <c r="D104" s="10" t="s">
        <v>4648</v>
      </c>
      <c r="E104" s="20"/>
      <c r="F104" s="19"/>
      <c r="G104" s="19"/>
      <c r="H104" s="20"/>
      <c r="I104" s="26"/>
      <c r="J104" s="26"/>
      <c r="K104" s="26"/>
      <c r="L104" s="26"/>
    </row>
    <row r="105" s="24" customFormat="1" spans="2:12">
      <c r="B105" s="19" t="s">
        <v>5011</v>
      </c>
      <c r="C105" s="19" t="s">
        <v>275</v>
      </c>
      <c r="D105" s="10" t="s">
        <v>5012</v>
      </c>
      <c r="E105" s="20"/>
      <c r="F105" s="19"/>
      <c r="G105" s="19"/>
      <c r="H105" s="20"/>
      <c r="I105" s="26"/>
      <c r="J105" s="26"/>
      <c r="K105" s="26"/>
      <c r="L105" s="26"/>
    </row>
    <row r="106" s="24" customFormat="1" spans="2:12">
      <c r="B106" s="19" t="s">
        <v>5013</v>
      </c>
      <c r="C106" s="19" t="s">
        <v>275</v>
      </c>
      <c r="D106" s="10" t="s">
        <v>4652</v>
      </c>
      <c r="E106" s="20"/>
      <c r="F106" s="19"/>
      <c r="G106" s="19"/>
      <c r="H106" s="20"/>
      <c r="I106" s="26"/>
      <c r="J106" s="26"/>
      <c r="K106" s="26"/>
      <c r="L106" s="26"/>
    </row>
    <row r="107" s="24" customFormat="1" spans="2:12">
      <c r="B107" s="19" t="s">
        <v>5014</v>
      </c>
      <c r="C107" s="19" t="s">
        <v>275</v>
      </c>
      <c r="D107" s="10" t="s">
        <v>4654</v>
      </c>
      <c r="E107" s="20"/>
      <c r="F107" s="19"/>
      <c r="G107" s="19"/>
      <c r="H107" s="20"/>
      <c r="I107" s="26"/>
      <c r="J107" s="26"/>
      <c r="K107" s="26"/>
      <c r="L107" s="26"/>
    </row>
    <row r="108" s="24" customFormat="1" spans="2:12">
      <c r="B108" s="19" t="s">
        <v>5015</v>
      </c>
      <c r="C108" s="19" t="s">
        <v>275</v>
      </c>
      <c r="D108" s="10" t="s">
        <v>4656</v>
      </c>
      <c r="E108" s="20"/>
      <c r="F108" s="19"/>
      <c r="G108" s="19"/>
      <c r="H108" s="20"/>
      <c r="I108" s="26"/>
      <c r="J108" s="26"/>
      <c r="K108" s="26"/>
      <c r="L108" s="26"/>
    </row>
    <row r="109" s="24" customFormat="1" spans="2:12">
      <c r="B109" s="19" t="s">
        <v>5016</v>
      </c>
      <c r="C109" s="19" t="s">
        <v>275</v>
      </c>
      <c r="D109" s="10" t="s">
        <v>4658</v>
      </c>
      <c r="E109" s="20"/>
      <c r="F109" s="19"/>
      <c r="G109" s="19"/>
      <c r="H109" s="20"/>
      <c r="I109" s="26"/>
      <c r="J109" s="26"/>
      <c r="K109" s="26"/>
      <c r="L109" s="26"/>
    </row>
    <row r="110" s="24" customFormat="1" spans="2:12">
      <c r="B110" s="19" t="s">
        <v>5017</v>
      </c>
      <c r="C110" s="19" t="s">
        <v>275</v>
      </c>
      <c r="D110" s="10" t="s">
        <v>5018</v>
      </c>
      <c r="E110" s="20"/>
      <c r="F110" s="19"/>
      <c r="G110" s="19"/>
      <c r="H110" s="20"/>
      <c r="I110" s="26"/>
      <c r="J110" s="26"/>
      <c r="K110" s="26"/>
      <c r="L110" s="26"/>
    </row>
    <row r="111" s="24" customFormat="1" spans="2:12">
      <c r="B111" s="19" t="s">
        <v>5019</v>
      </c>
      <c r="C111" s="19" t="s">
        <v>275</v>
      </c>
      <c r="D111" s="10" t="s">
        <v>4662</v>
      </c>
      <c r="E111" s="20"/>
      <c r="F111" s="19"/>
      <c r="G111" s="19"/>
      <c r="H111" s="20"/>
      <c r="I111" s="26"/>
      <c r="J111" s="26"/>
      <c r="K111" s="26"/>
      <c r="L111" s="26"/>
    </row>
    <row r="112" s="24" customFormat="1" spans="2:12">
      <c r="B112" s="19" t="s">
        <v>5020</v>
      </c>
      <c r="C112" s="19" t="s">
        <v>275</v>
      </c>
      <c r="D112" s="10" t="s">
        <v>4664</v>
      </c>
      <c r="E112" s="20"/>
      <c r="F112" s="19"/>
      <c r="G112" s="19"/>
      <c r="H112" s="20"/>
      <c r="I112" s="26"/>
      <c r="J112" s="26"/>
      <c r="K112" s="26"/>
      <c r="L112" s="26"/>
    </row>
    <row r="113" s="24" customFormat="1" spans="2:12">
      <c r="B113" s="19" t="s">
        <v>5021</v>
      </c>
      <c r="C113" s="19" t="s">
        <v>275</v>
      </c>
      <c r="D113" s="10" t="s">
        <v>4666</v>
      </c>
      <c r="E113" s="20"/>
      <c r="F113" s="19"/>
      <c r="G113" s="19"/>
      <c r="H113" s="20"/>
      <c r="I113" s="26"/>
      <c r="J113" s="26"/>
      <c r="K113" s="26"/>
      <c r="L113" s="26"/>
    </row>
    <row r="114" s="24" customFormat="1" spans="2:12">
      <c r="B114" s="19" t="s">
        <v>5022</v>
      </c>
      <c r="C114" s="19" t="s">
        <v>275</v>
      </c>
      <c r="D114" s="10" t="s">
        <v>4668</v>
      </c>
      <c r="E114" s="20"/>
      <c r="F114" s="19"/>
      <c r="G114" s="19"/>
      <c r="H114" s="20"/>
      <c r="I114" s="26"/>
      <c r="J114" s="26"/>
      <c r="K114" s="26"/>
      <c r="L114" s="26"/>
    </row>
    <row r="115" s="24" customFormat="1" spans="2:12">
      <c r="B115" s="19" t="s">
        <v>5023</v>
      </c>
      <c r="C115" s="19" t="s">
        <v>275</v>
      </c>
      <c r="D115" s="10" t="s">
        <v>5024</v>
      </c>
      <c r="E115" s="20"/>
      <c r="F115" s="19"/>
      <c r="G115" s="19"/>
      <c r="H115" s="20"/>
      <c r="I115" s="26"/>
      <c r="J115" s="26"/>
      <c r="K115" s="26"/>
      <c r="L115" s="26"/>
    </row>
    <row r="116" s="24" customFormat="1" spans="2:12">
      <c r="B116" s="19" t="s">
        <v>5025</v>
      </c>
      <c r="C116" s="19" t="s">
        <v>275</v>
      </c>
      <c r="D116" s="10" t="s">
        <v>4672</v>
      </c>
      <c r="E116" s="20"/>
      <c r="F116" s="19"/>
      <c r="G116" s="19"/>
      <c r="H116" s="20"/>
      <c r="I116" s="26"/>
      <c r="J116" s="26"/>
      <c r="K116" s="26"/>
      <c r="L116" s="26"/>
    </row>
    <row r="117" s="24" customFormat="1" spans="2:12">
      <c r="B117" s="19" t="s">
        <v>5026</v>
      </c>
      <c r="C117" s="19" t="s">
        <v>275</v>
      </c>
      <c r="D117" s="10" t="s">
        <v>4674</v>
      </c>
      <c r="E117" s="20"/>
      <c r="F117" s="19"/>
      <c r="G117" s="19"/>
      <c r="H117" s="20"/>
      <c r="I117" s="26"/>
      <c r="J117" s="26"/>
      <c r="K117" s="26"/>
      <c r="L117" s="26"/>
    </row>
    <row r="118" s="24" customFormat="1" spans="2:12">
      <c r="B118" s="19" t="s">
        <v>5027</v>
      </c>
      <c r="C118" s="19" t="s">
        <v>275</v>
      </c>
      <c r="D118" s="10" t="s">
        <v>4676</v>
      </c>
      <c r="E118" s="20"/>
      <c r="F118" s="19"/>
      <c r="G118" s="19"/>
      <c r="H118" s="20"/>
      <c r="I118" s="26"/>
      <c r="J118" s="26"/>
      <c r="K118" s="26"/>
      <c r="L118" s="26"/>
    </row>
    <row r="119" s="24" customFormat="1" spans="2:12">
      <c r="B119" s="19" t="s">
        <v>5028</v>
      </c>
      <c r="C119" s="19" t="s">
        <v>275</v>
      </c>
      <c r="D119" s="10" t="s">
        <v>4678</v>
      </c>
      <c r="E119" s="20"/>
      <c r="F119" s="19"/>
      <c r="G119" s="19"/>
      <c r="H119" s="20"/>
      <c r="I119" s="26"/>
      <c r="J119" s="26"/>
      <c r="K119" s="26"/>
      <c r="L119" s="26"/>
    </row>
    <row r="120" s="24" customFormat="1" spans="2:12">
      <c r="B120" s="19" t="s">
        <v>5029</v>
      </c>
      <c r="C120" s="19" t="s">
        <v>275</v>
      </c>
      <c r="D120" s="10" t="s">
        <v>4680</v>
      </c>
      <c r="E120" s="20"/>
      <c r="F120" s="19"/>
      <c r="G120" s="19"/>
      <c r="H120" s="20"/>
      <c r="I120" s="26"/>
      <c r="J120" s="26"/>
      <c r="K120" s="26"/>
      <c r="L120" s="26"/>
    </row>
    <row r="121" s="24" customFormat="1" spans="2:12">
      <c r="B121" s="19" t="s">
        <v>5030</v>
      </c>
      <c r="C121" s="19" t="s">
        <v>275</v>
      </c>
      <c r="D121" s="10" t="s">
        <v>4682</v>
      </c>
      <c r="E121" s="20"/>
      <c r="F121" s="19"/>
      <c r="G121" s="19"/>
      <c r="H121" s="20"/>
      <c r="I121" s="26"/>
      <c r="J121" s="26"/>
      <c r="K121" s="26"/>
      <c r="L121" s="26"/>
    </row>
    <row r="122" s="24" customFormat="1" spans="2:12">
      <c r="B122" s="19" t="s">
        <v>5031</v>
      </c>
      <c r="C122" s="19" t="s">
        <v>275</v>
      </c>
      <c r="D122" s="10" t="s">
        <v>4684</v>
      </c>
      <c r="E122" s="20"/>
      <c r="F122" s="19"/>
      <c r="G122" s="19"/>
      <c r="H122" s="20"/>
      <c r="I122" s="26"/>
      <c r="J122" s="26"/>
      <c r="K122" s="26"/>
      <c r="L122" s="26"/>
    </row>
    <row r="123" s="24" customFormat="1" spans="2:12">
      <c r="B123" s="19" t="s">
        <v>5032</v>
      </c>
      <c r="C123" s="19" t="s">
        <v>275</v>
      </c>
      <c r="D123" s="10" t="s">
        <v>4686</v>
      </c>
      <c r="E123" s="20"/>
      <c r="F123" s="19"/>
      <c r="G123" s="19"/>
      <c r="H123" s="20"/>
      <c r="I123" s="26"/>
      <c r="J123" s="26"/>
      <c r="K123" s="26"/>
      <c r="L123" s="26"/>
    </row>
    <row r="124" s="24" customFormat="1" spans="2:12">
      <c r="B124" s="19" t="s">
        <v>5033</v>
      </c>
      <c r="C124" s="19" t="s">
        <v>275</v>
      </c>
      <c r="D124" s="10" t="s">
        <v>4688</v>
      </c>
      <c r="E124" s="20"/>
      <c r="F124" s="19"/>
      <c r="G124" s="19"/>
      <c r="H124" s="20"/>
      <c r="I124" s="26"/>
      <c r="J124" s="26"/>
      <c r="K124" s="26"/>
      <c r="L124" s="26"/>
    </row>
    <row r="125" s="24" customFormat="1" spans="2:12">
      <c r="B125" s="19" t="s">
        <v>5034</v>
      </c>
      <c r="C125" s="19" t="s">
        <v>275</v>
      </c>
      <c r="D125" s="10" t="s">
        <v>4690</v>
      </c>
      <c r="E125" s="20"/>
      <c r="F125" s="19"/>
      <c r="G125" s="19"/>
      <c r="H125" s="20"/>
      <c r="I125" s="26"/>
      <c r="J125" s="26"/>
      <c r="K125" s="26"/>
      <c r="L125" s="26"/>
    </row>
    <row r="126" s="24" customFormat="1" spans="2:12">
      <c r="B126" s="19" t="s">
        <v>5035</v>
      </c>
      <c r="C126" s="19" t="s">
        <v>275</v>
      </c>
      <c r="D126" s="10" t="s">
        <v>4692</v>
      </c>
      <c r="E126" s="20"/>
      <c r="F126" s="19"/>
      <c r="G126" s="19"/>
      <c r="H126" s="20"/>
      <c r="I126" s="26"/>
      <c r="J126" s="26"/>
      <c r="K126" s="26"/>
      <c r="L126" s="26"/>
    </row>
    <row r="127" s="24" customFormat="1" spans="2:12">
      <c r="B127" s="19" t="s">
        <v>5036</v>
      </c>
      <c r="C127" s="19" t="s">
        <v>275</v>
      </c>
      <c r="D127" s="10" t="s">
        <v>4694</v>
      </c>
      <c r="E127" s="20"/>
      <c r="F127" s="19"/>
      <c r="G127" s="19"/>
      <c r="H127" s="20"/>
      <c r="I127" s="26"/>
      <c r="J127" s="26"/>
      <c r="K127" s="26"/>
      <c r="L127" s="26"/>
    </row>
    <row r="128" s="24" customFormat="1" spans="2:12">
      <c r="B128" s="19" t="s">
        <v>5037</v>
      </c>
      <c r="C128" s="19" t="s">
        <v>275</v>
      </c>
      <c r="D128" s="10" t="s">
        <v>4696</v>
      </c>
      <c r="E128" s="20"/>
      <c r="F128" s="19"/>
      <c r="G128" s="19"/>
      <c r="H128" s="20"/>
      <c r="I128" s="26"/>
      <c r="J128" s="26"/>
      <c r="K128" s="26"/>
      <c r="L128" s="26"/>
    </row>
    <row r="129" s="24" customFormat="1" spans="2:12">
      <c r="B129" s="19" t="s">
        <v>5038</v>
      </c>
      <c r="C129" s="19" t="s">
        <v>275</v>
      </c>
      <c r="D129" s="10" t="s">
        <v>4698</v>
      </c>
      <c r="E129" s="20"/>
      <c r="F129" s="19"/>
      <c r="G129" s="19"/>
      <c r="H129" s="20"/>
      <c r="I129" s="26"/>
      <c r="J129" s="26"/>
      <c r="K129" s="26"/>
      <c r="L129" s="26"/>
    </row>
    <row r="130" s="24" customFormat="1" spans="2:12">
      <c r="B130" s="19" t="s">
        <v>5039</v>
      </c>
      <c r="C130" s="19" t="s">
        <v>275</v>
      </c>
      <c r="D130" s="10" t="s">
        <v>4700</v>
      </c>
      <c r="E130" s="20"/>
      <c r="F130" s="19"/>
      <c r="G130" s="19"/>
      <c r="H130" s="20"/>
      <c r="I130" s="26"/>
      <c r="J130" s="26"/>
      <c r="K130" s="26"/>
      <c r="L130" s="26"/>
    </row>
    <row r="131" s="24" customFormat="1" spans="2:12">
      <c r="B131" s="19" t="s">
        <v>5040</v>
      </c>
      <c r="C131" s="19" t="s">
        <v>275</v>
      </c>
      <c r="D131" s="10" t="s">
        <v>4702</v>
      </c>
      <c r="E131" s="20"/>
      <c r="F131" s="19"/>
      <c r="G131" s="19"/>
      <c r="H131" s="20"/>
      <c r="I131" s="26"/>
      <c r="J131" s="26"/>
      <c r="K131" s="26"/>
      <c r="L131" s="26"/>
    </row>
    <row r="132" s="24" customFormat="1" spans="2:12">
      <c r="B132" s="19" t="s">
        <v>5041</v>
      </c>
      <c r="C132" s="19" t="s">
        <v>275</v>
      </c>
      <c r="D132" s="10" t="s">
        <v>4704</v>
      </c>
      <c r="E132" s="20"/>
      <c r="F132" s="19"/>
      <c r="G132" s="19"/>
      <c r="H132" s="20"/>
      <c r="I132" s="26"/>
      <c r="J132" s="26"/>
      <c r="K132" s="26"/>
      <c r="L132" s="26"/>
    </row>
    <row r="133" s="24" customFormat="1" spans="2:12">
      <c r="B133" s="19" t="s">
        <v>5042</v>
      </c>
      <c r="C133" s="19" t="s">
        <v>275</v>
      </c>
      <c r="D133" s="10" t="s">
        <v>4706</v>
      </c>
      <c r="E133" s="20"/>
      <c r="F133" s="19"/>
      <c r="G133" s="19"/>
      <c r="H133" s="20"/>
      <c r="I133" s="26"/>
      <c r="J133" s="26"/>
      <c r="K133" s="26"/>
      <c r="L133" s="26"/>
    </row>
    <row r="134" s="24" customFormat="1" spans="2:12">
      <c r="B134" s="19" t="s">
        <v>5043</v>
      </c>
      <c r="C134" s="19" t="s">
        <v>275</v>
      </c>
      <c r="D134" s="10" t="s">
        <v>4708</v>
      </c>
      <c r="E134" s="20"/>
      <c r="F134" s="19"/>
      <c r="G134" s="19"/>
      <c r="H134" s="20"/>
      <c r="I134" s="26"/>
      <c r="J134" s="26"/>
      <c r="K134" s="26"/>
      <c r="L134" s="26"/>
    </row>
    <row r="135" s="24" customFormat="1" spans="2:12">
      <c r="B135" s="19" t="s">
        <v>5044</v>
      </c>
      <c r="C135" s="19" t="s">
        <v>275</v>
      </c>
      <c r="D135" s="10" t="s">
        <v>4710</v>
      </c>
      <c r="E135" s="20"/>
      <c r="F135" s="19"/>
      <c r="G135" s="19"/>
      <c r="H135" s="20"/>
      <c r="I135" s="26"/>
      <c r="J135" s="26"/>
      <c r="K135" s="26"/>
      <c r="L135" s="26"/>
    </row>
    <row r="136" s="24" customFormat="1" spans="2:12">
      <c r="B136" s="19" t="s">
        <v>5045</v>
      </c>
      <c r="C136" s="19" t="s">
        <v>275</v>
      </c>
      <c r="D136" s="10" t="s">
        <v>4712</v>
      </c>
      <c r="E136" s="20"/>
      <c r="F136" s="19"/>
      <c r="G136" s="19"/>
      <c r="H136" s="20"/>
      <c r="I136" s="26"/>
      <c r="J136" s="26"/>
      <c r="K136" s="26"/>
      <c r="L136" s="26"/>
    </row>
    <row r="137" s="24" customFormat="1" spans="2:12">
      <c r="B137" s="19" t="s">
        <v>5046</v>
      </c>
      <c r="C137" s="19" t="s">
        <v>275</v>
      </c>
      <c r="D137" s="10" t="s">
        <v>4714</v>
      </c>
      <c r="E137" s="20"/>
      <c r="F137" s="19"/>
      <c r="G137" s="19"/>
      <c r="H137" s="20"/>
      <c r="I137" s="26"/>
      <c r="J137" s="26"/>
      <c r="K137" s="26"/>
      <c r="L137" s="26"/>
    </row>
    <row r="138" s="24" customFormat="1" spans="2:12">
      <c r="B138" s="19" t="s">
        <v>5047</v>
      </c>
      <c r="C138" s="19" t="s">
        <v>275</v>
      </c>
      <c r="D138" s="10" t="s">
        <v>4716</v>
      </c>
      <c r="E138" s="20"/>
      <c r="F138" s="19"/>
      <c r="G138" s="19"/>
      <c r="H138" s="20"/>
      <c r="I138" s="26"/>
      <c r="J138" s="26"/>
      <c r="K138" s="26"/>
      <c r="L138" s="26"/>
    </row>
    <row r="139" s="24" customFormat="1" spans="2:12">
      <c r="B139" s="19" t="s">
        <v>5048</v>
      </c>
      <c r="C139" s="19" t="s">
        <v>275</v>
      </c>
      <c r="D139" s="10" t="s">
        <v>4718</v>
      </c>
      <c r="E139" s="20"/>
      <c r="F139" s="19"/>
      <c r="G139" s="19"/>
      <c r="H139" s="20"/>
      <c r="I139" s="26"/>
      <c r="J139" s="26"/>
      <c r="K139" s="26"/>
      <c r="L139" s="26"/>
    </row>
    <row r="140" s="24" customFormat="1" spans="2:12">
      <c r="B140" s="19" t="s">
        <v>5049</v>
      </c>
      <c r="C140" s="19" t="s">
        <v>275</v>
      </c>
      <c r="D140" s="10" t="s">
        <v>4720</v>
      </c>
      <c r="E140" s="20"/>
      <c r="F140" s="19"/>
      <c r="G140" s="19"/>
      <c r="H140" s="20"/>
      <c r="I140" s="26"/>
      <c r="J140" s="26"/>
      <c r="K140" s="26"/>
      <c r="L140" s="26"/>
    </row>
    <row r="141" s="24" customFormat="1" ht="26.4" spans="2:12">
      <c r="B141" s="19" t="s">
        <v>5050</v>
      </c>
      <c r="C141" s="19" t="s">
        <v>275</v>
      </c>
      <c r="D141" s="10" t="s">
        <v>4722</v>
      </c>
      <c r="E141" s="20"/>
      <c r="F141" s="19"/>
      <c r="G141" s="19"/>
      <c r="H141" s="20"/>
      <c r="I141" s="26"/>
      <c r="J141" s="26"/>
      <c r="K141" s="26"/>
      <c r="L141" s="26"/>
    </row>
    <row r="142" s="24" customFormat="1" spans="2:12">
      <c r="B142" s="19" t="s">
        <v>5051</v>
      </c>
      <c r="C142" s="19" t="s">
        <v>275</v>
      </c>
      <c r="D142" s="10" t="s">
        <v>4724</v>
      </c>
      <c r="E142" s="20"/>
      <c r="F142" s="19"/>
      <c r="G142" s="19"/>
      <c r="H142" s="20"/>
      <c r="I142" s="26"/>
      <c r="J142" s="26"/>
      <c r="K142" s="26"/>
      <c r="L142" s="26"/>
    </row>
    <row r="143" s="24" customFormat="1" spans="2:12">
      <c r="B143" s="19" t="s">
        <v>5052</v>
      </c>
      <c r="C143" s="19" t="s">
        <v>275</v>
      </c>
      <c r="D143" s="10" t="s">
        <v>4726</v>
      </c>
      <c r="E143" s="20"/>
      <c r="F143" s="19"/>
      <c r="G143" s="19"/>
      <c r="H143" s="20"/>
      <c r="I143" s="26"/>
      <c r="J143" s="26"/>
      <c r="K143" s="26"/>
      <c r="L143" s="26"/>
    </row>
    <row r="144" s="24" customFormat="1" ht="26.4" spans="2:12">
      <c r="B144" s="19" t="s">
        <v>5053</v>
      </c>
      <c r="C144" s="19" t="s">
        <v>275</v>
      </c>
      <c r="D144" s="10" t="s">
        <v>4728</v>
      </c>
      <c r="E144" s="20"/>
      <c r="F144" s="19"/>
      <c r="G144" s="19"/>
      <c r="H144" s="20"/>
      <c r="I144" s="26"/>
      <c r="J144" s="26"/>
      <c r="K144" s="26"/>
      <c r="L144" s="26"/>
    </row>
    <row r="145" s="24" customFormat="1" ht="26.4" spans="2:12">
      <c r="B145" s="19" t="s">
        <v>5054</v>
      </c>
      <c r="C145" s="19" t="s">
        <v>275</v>
      </c>
      <c r="D145" s="10" t="s">
        <v>4730</v>
      </c>
      <c r="E145" s="20"/>
      <c r="F145" s="19"/>
      <c r="G145" s="19"/>
      <c r="H145" s="20"/>
      <c r="I145" s="26"/>
      <c r="J145" s="26"/>
      <c r="K145" s="26"/>
      <c r="L145" s="26"/>
    </row>
    <row r="146" s="24" customFormat="1" ht="26.4" spans="2:12">
      <c r="B146" s="19" t="s">
        <v>5055</v>
      </c>
      <c r="C146" s="19" t="s">
        <v>275</v>
      </c>
      <c r="D146" s="10" t="s">
        <v>4732</v>
      </c>
      <c r="E146" s="20"/>
      <c r="F146" s="19"/>
      <c r="G146" s="19"/>
      <c r="H146" s="20"/>
      <c r="I146" s="26"/>
      <c r="J146" s="26"/>
      <c r="K146" s="26"/>
      <c r="L146" s="26"/>
    </row>
    <row r="147" s="24" customFormat="1" ht="26.4" spans="2:12">
      <c r="B147" s="19" t="s">
        <v>5056</v>
      </c>
      <c r="C147" s="19" t="s">
        <v>275</v>
      </c>
      <c r="D147" s="10" t="s">
        <v>4734</v>
      </c>
      <c r="E147" s="20"/>
      <c r="F147" s="19"/>
      <c r="G147" s="19"/>
      <c r="H147" s="20"/>
      <c r="I147" s="26"/>
      <c r="J147" s="26"/>
      <c r="K147" s="26"/>
      <c r="L147" s="26"/>
    </row>
    <row r="148" s="24" customFormat="1" spans="2:12">
      <c r="B148" s="19" t="s">
        <v>5057</v>
      </c>
      <c r="C148" s="19" t="s">
        <v>275</v>
      </c>
      <c r="D148" s="10" t="s">
        <v>4736</v>
      </c>
      <c r="E148" s="20"/>
      <c r="F148" s="19"/>
      <c r="G148" s="19"/>
      <c r="H148" s="20"/>
      <c r="I148" s="26"/>
      <c r="J148" s="26"/>
      <c r="K148" s="26"/>
      <c r="L148" s="26"/>
    </row>
    <row r="149" s="24" customFormat="1" ht="26.4" spans="2:12">
      <c r="B149" s="19" t="s">
        <v>5058</v>
      </c>
      <c r="C149" s="19" t="s">
        <v>275</v>
      </c>
      <c r="D149" s="10" t="s">
        <v>4738</v>
      </c>
      <c r="E149" s="20"/>
      <c r="F149" s="19"/>
      <c r="G149" s="19"/>
      <c r="H149" s="20"/>
      <c r="I149" s="26"/>
      <c r="J149" s="26"/>
      <c r="K149" s="26"/>
      <c r="L149" s="26"/>
    </row>
    <row r="150" s="24" customFormat="1" ht="26.4" spans="2:12">
      <c r="B150" s="19" t="s">
        <v>5059</v>
      </c>
      <c r="C150" s="19" t="s">
        <v>275</v>
      </c>
      <c r="D150" s="10" t="s">
        <v>4740</v>
      </c>
      <c r="E150" s="20"/>
      <c r="F150" s="19"/>
      <c r="G150" s="19"/>
      <c r="H150" s="20"/>
      <c r="I150" s="26"/>
      <c r="J150" s="26"/>
      <c r="K150" s="26"/>
      <c r="L150" s="26"/>
    </row>
    <row r="151" s="24" customFormat="1" ht="26.4" spans="2:12">
      <c r="B151" s="19" t="s">
        <v>5060</v>
      </c>
      <c r="C151" s="19" t="s">
        <v>275</v>
      </c>
      <c r="D151" s="10" t="s">
        <v>4742</v>
      </c>
      <c r="E151" s="20"/>
      <c r="F151" s="19"/>
      <c r="G151" s="19"/>
      <c r="H151" s="20"/>
      <c r="I151" s="26"/>
      <c r="J151" s="26"/>
      <c r="K151" s="26"/>
      <c r="L151" s="26"/>
    </row>
    <row r="152" s="24" customFormat="1" ht="26.4" spans="2:12">
      <c r="B152" s="19" t="s">
        <v>5061</v>
      </c>
      <c r="C152" s="19" t="s">
        <v>275</v>
      </c>
      <c r="D152" s="10" t="s">
        <v>4744</v>
      </c>
      <c r="E152" s="20"/>
      <c r="F152" s="19"/>
      <c r="G152" s="19"/>
      <c r="H152" s="20"/>
      <c r="I152" s="26"/>
      <c r="J152" s="26"/>
      <c r="K152" s="26"/>
      <c r="L152" s="26"/>
    </row>
    <row r="153" s="24" customFormat="1" spans="2:12">
      <c r="B153" s="19" t="s">
        <v>5062</v>
      </c>
      <c r="C153" s="19" t="s">
        <v>275</v>
      </c>
      <c r="D153" s="10" t="s">
        <v>4746</v>
      </c>
      <c r="E153" s="20"/>
      <c r="F153" s="19"/>
      <c r="G153" s="19"/>
      <c r="H153" s="20"/>
      <c r="I153" s="26"/>
      <c r="J153" s="26"/>
      <c r="K153" s="26"/>
      <c r="L153" s="26"/>
    </row>
    <row r="154" s="24" customFormat="1" ht="26.4" spans="2:12">
      <c r="B154" s="19" t="s">
        <v>5063</v>
      </c>
      <c r="C154" s="19" t="s">
        <v>275</v>
      </c>
      <c r="D154" s="10" t="s">
        <v>4748</v>
      </c>
      <c r="E154" s="20"/>
      <c r="F154" s="19"/>
      <c r="G154" s="19"/>
      <c r="H154" s="20"/>
      <c r="I154" s="26"/>
      <c r="J154" s="26"/>
      <c r="K154" s="26"/>
      <c r="L154" s="26"/>
    </row>
    <row r="155" s="24" customFormat="1" ht="26.4" spans="2:12">
      <c r="B155" s="19" t="s">
        <v>5064</v>
      </c>
      <c r="C155" s="19" t="s">
        <v>275</v>
      </c>
      <c r="D155" s="10" t="s">
        <v>4750</v>
      </c>
      <c r="E155" s="20"/>
      <c r="F155" s="19"/>
      <c r="G155" s="19"/>
      <c r="H155" s="20"/>
      <c r="I155" s="26"/>
      <c r="J155" s="26"/>
      <c r="K155" s="26"/>
      <c r="L155" s="26"/>
    </row>
    <row r="156" s="24" customFormat="1" spans="2:12">
      <c r="B156" s="19" t="s">
        <v>5065</v>
      </c>
      <c r="C156" s="19" t="s">
        <v>275</v>
      </c>
      <c r="D156" s="10" t="s">
        <v>4752</v>
      </c>
      <c r="E156" s="20"/>
      <c r="F156" s="19"/>
      <c r="G156" s="19"/>
      <c r="H156" s="20"/>
      <c r="I156" s="26"/>
      <c r="J156" s="26"/>
      <c r="K156" s="26"/>
      <c r="L156" s="26"/>
    </row>
    <row r="157" s="24" customFormat="1" spans="2:12">
      <c r="B157" s="19" t="s">
        <v>5066</v>
      </c>
      <c r="C157" s="19" t="s">
        <v>275</v>
      </c>
      <c r="D157" s="10" t="s">
        <v>4754</v>
      </c>
      <c r="E157" s="20"/>
      <c r="F157" s="19"/>
      <c r="G157" s="19"/>
      <c r="H157" s="20"/>
      <c r="I157" s="26"/>
      <c r="J157" s="26"/>
      <c r="K157" s="26"/>
      <c r="L157" s="26"/>
    </row>
    <row r="158" s="24" customFormat="1" spans="2:12">
      <c r="B158" s="19" t="s">
        <v>5067</v>
      </c>
      <c r="C158" s="19" t="s">
        <v>275</v>
      </c>
      <c r="D158" s="10" t="s">
        <v>4756</v>
      </c>
      <c r="E158" s="20"/>
      <c r="F158" s="19"/>
      <c r="G158" s="19"/>
      <c r="H158" s="20"/>
      <c r="I158" s="26"/>
      <c r="J158" s="26"/>
      <c r="K158" s="26"/>
      <c r="L158" s="26"/>
    </row>
    <row r="159" s="24" customFormat="1" spans="2:12">
      <c r="B159" s="19" t="s">
        <v>5068</v>
      </c>
      <c r="C159" s="19" t="s">
        <v>275</v>
      </c>
      <c r="D159" s="10" t="s">
        <v>4758</v>
      </c>
      <c r="E159" s="20"/>
      <c r="F159" s="19"/>
      <c r="G159" s="19"/>
      <c r="H159" s="20"/>
      <c r="I159" s="26"/>
      <c r="J159" s="26"/>
      <c r="K159" s="26"/>
      <c r="L159" s="26"/>
    </row>
    <row r="160" s="24" customFormat="1" spans="2:12">
      <c r="B160" s="19" t="s">
        <v>5069</v>
      </c>
      <c r="C160" s="19" t="s">
        <v>275</v>
      </c>
      <c r="D160" s="10" t="s">
        <v>4760</v>
      </c>
      <c r="E160" s="20"/>
      <c r="F160" s="19"/>
      <c r="G160" s="19"/>
      <c r="H160" s="20"/>
      <c r="I160" s="26"/>
      <c r="J160" s="26"/>
      <c r="K160" s="26"/>
      <c r="L160" s="26"/>
    </row>
    <row r="161" s="24" customFormat="1" ht="26.4" spans="2:12">
      <c r="B161" s="19" t="s">
        <v>5070</v>
      </c>
      <c r="C161" s="19" t="s">
        <v>275</v>
      </c>
      <c r="D161" s="10" t="s">
        <v>4762</v>
      </c>
      <c r="E161" s="20"/>
      <c r="F161" s="19"/>
      <c r="G161" s="19"/>
      <c r="H161" s="20"/>
      <c r="I161" s="26"/>
      <c r="J161" s="26"/>
      <c r="K161" s="26"/>
      <c r="L161" s="26"/>
    </row>
    <row r="162" s="24" customFormat="1" ht="26.4" spans="2:12">
      <c r="B162" s="19" t="s">
        <v>5071</v>
      </c>
      <c r="C162" s="19" t="s">
        <v>275</v>
      </c>
      <c r="D162" s="10" t="s">
        <v>4764</v>
      </c>
      <c r="E162" s="20"/>
      <c r="F162" s="19"/>
      <c r="G162" s="19"/>
      <c r="H162" s="20"/>
      <c r="I162" s="26"/>
      <c r="J162" s="26"/>
      <c r="K162" s="26"/>
      <c r="L162" s="26"/>
    </row>
    <row r="163" s="24" customFormat="1" spans="2:12">
      <c r="B163" s="19" t="s">
        <v>5072</v>
      </c>
      <c r="C163" s="19" t="s">
        <v>275</v>
      </c>
      <c r="D163" s="10" t="s">
        <v>4766</v>
      </c>
      <c r="E163" s="20"/>
      <c r="F163" s="19"/>
      <c r="G163" s="19"/>
      <c r="H163" s="20"/>
      <c r="I163" s="26"/>
      <c r="J163" s="26"/>
      <c r="K163" s="26"/>
      <c r="L163" s="26"/>
    </row>
    <row r="164" s="24" customFormat="1" ht="26.4" spans="2:12">
      <c r="B164" s="19" t="s">
        <v>5073</v>
      </c>
      <c r="C164" s="19" t="s">
        <v>275</v>
      </c>
      <c r="D164" s="10" t="s">
        <v>4768</v>
      </c>
      <c r="E164" s="20"/>
      <c r="F164" s="19"/>
      <c r="G164" s="19"/>
      <c r="H164" s="20"/>
      <c r="I164" s="26"/>
      <c r="J164" s="26"/>
      <c r="K164" s="26"/>
      <c r="L164" s="26"/>
    </row>
    <row r="165" s="24" customFormat="1" ht="26.4" spans="2:12">
      <c r="B165" s="19" t="s">
        <v>5074</v>
      </c>
      <c r="C165" s="19" t="s">
        <v>275</v>
      </c>
      <c r="D165" s="10" t="s">
        <v>4770</v>
      </c>
      <c r="E165" s="20"/>
      <c r="F165" s="19"/>
      <c r="G165" s="19"/>
      <c r="H165" s="20"/>
      <c r="I165" s="26"/>
      <c r="J165" s="26"/>
      <c r="K165" s="26"/>
      <c r="L165" s="26"/>
    </row>
    <row r="166" s="24" customFormat="1" ht="26.4" spans="2:12">
      <c r="B166" s="19" t="s">
        <v>5075</v>
      </c>
      <c r="C166" s="19" t="s">
        <v>275</v>
      </c>
      <c r="D166" s="10" t="s">
        <v>4772</v>
      </c>
      <c r="E166" s="20"/>
      <c r="F166" s="19"/>
      <c r="G166" s="19"/>
      <c r="H166" s="20"/>
      <c r="I166" s="26"/>
      <c r="J166" s="26"/>
      <c r="K166" s="26"/>
      <c r="L166" s="26"/>
    </row>
    <row r="167" s="24" customFormat="1" ht="26.4" spans="2:12">
      <c r="B167" s="19" t="s">
        <v>5076</v>
      </c>
      <c r="C167" s="19" t="s">
        <v>275</v>
      </c>
      <c r="D167" s="10" t="s">
        <v>4774</v>
      </c>
      <c r="E167" s="20"/>
      <c r="F167" s="19"/>
      <c r="G167" s="19"/>
      <c r="H167" s="20"/>
      <c r="I167" s="26"/>
      <c r="J167" s="26"/>
      <c r="K167" s="26"/>
      <c r="L167" s="26"/>
    </row>
    <row r="168" s="24" customFormat="1" ht="26.4" spans="2:12">
      <c r="B168" s="19" t="s">
        <v>5077</v>
      </c>
      <c r="C168" s="19" t="s">
        <v>275</v>
      </c>
      <c r="D168" s="10" t="s">
        <v>4776</v>
      </c>
      <c r="E168" s="20"/>
      <c r="F168" s="19"/>
      <c r="G168" s="19"/>
      <c r="H168" s="20"/>
      <c r="I168" s="26"/>
      <c r="J168" s="26"/>
      <c r="K168" s="26"/>
      <c r="L168" s="26"/>
    </row>
    <row r="169" s="24" customFormat="1" ht="26.4" spans="2:12">
      <c r="B169" s="19" t="s">
        <v>5078</v>
      </c>
      <c r="C169" s="19" t="s">
        <v>275</v>
      </c>
      <c r="D169" s="10" t="s">
        <v>4778</v>
      </c>
      <c r="E169" s="20"/>
      <c r="F169" s="19"/>
      <c r="G169" s="19"/>
      <c r="H169" s="20"/>
      <c r="I169" s="26"/>
      <c r="J169" s="26"/>
      <c r="K169" s="26"/>
      <c r="L169" s="26"/>
    </row>
    <row r="170" s="24" customFormat="1" ht="26.4" spans="2:12">
      <c r="B170" s="19" t="s">
        <v>5079</v>
      </c>
      <c r="C170" s="19" t="s">
        <v>275</v>
      </c>
      <c r="D170" s="10" t="s">
        <v>4780</v>
      </c>
      <c r="E170" s="20"/>
      <c r="F170" s="19"/>
      <c r="G170" s="19"/>
      <c r="H170" s="20"/>
      <c r="I170" s="26"/>
      <c r="J170" s="26"/>
      <c r="K170" s="26"/>
      <c r="L170" s="26"/>
    </row>
    <row r="171" s="24" customFormat="1" ht="26.4" spans="2:12">
      <c r="B171" s="19" t="s">
        <v>5080</v>
      </c>
      <c r="C171" s="19" t="s">
        <v>275</v>
      </c>
      <c r="D171" s="10" t="s">
        <v>4782</v>
      </c>
      <c r="E171" s="20"/>
      <c r="F171" s="19"/>
      <c r="G171" s="19"/>
      <c r="H171" s="20"/>
      <c r="I171" s="26"/>
      <c r="J171" s="26"/>
      <c r="K171" s="26"/>
      <c r="L171" s="26"/>
    </row>
    <row r="172" s="24" customFormat="1" ht="26.4" spans="2:12">
      <c r="B172" s="19" t="s">
        <v>5081</v>
      </c>
      <c r="C172" s="19" t="s">
        <v>275</v>
      </c>
      <c r="D172" s="10" t="s">
        <v>4784</v>
      </c>
      <c r="E172" s="20"/>
      <c r="F172" s="19"/>
      <c r="G172" s="19"/>
      <c r="H172" s="20"/>
      <c r="I172" s="26"/>
      <c r="J172" s="26"/>
      <c r="K172" s="26"/>
      <c r="L172" s="26"/>
    </row>
    <row r="173" s="24" customFormat="1" ht="26.4" spans="2:12">
      <c r="B173" s="19" t="s">
        <v>5082</v>
      </c>
      <c r="C173" s="19" t="s">
        <v>275</v>
      </c>
      <c r="D173" s="10" t="s">
        <v>4786</v>
      </c>
      <c r="E173" s="20"/>
      <c r="F173" s="19"/>
      <c r="G173" s="19"/>
      <c r="H173" s="20"/>
      <c r="I173" s="26"/>
      <c r="J173" s="26"/>
      <c r="K173" s="26"/>
      <c r="L173" s="26"/>
    </row>
    <row r="174" s="24" customFormat="1" ht="26.4" spans="2:12">
      <c r="B174" s="19" t="s">
        <v>5083</v>
      </c>
      <c r="C174" s="19" t="s">
        <v>275</v>
      </c>
      <c r="D174" s="10" t="s">
        <v>4788</v>
      </c>
      <c r="E174" s="20"/>
      <c r="F174" s="19"/>
      <c r="G174" s="19"/>
      <c r="H174" s="20"/>
      <c r="I174" s="26"/>
      <c r="J174" s="26"/>
      <c r="K174" s="26"/>
      <c r="L174" s="26"/>
    </row>
    <row r="175" s="24" customFormat="1" ht="26.4" spans="2:12">
      <c r="B175" s="19" t="s">
        <v>5084</v>
      </c>
      <c r="C175" s="19" t="s">
        <v>275</v>
      </c>
      <c r="D175" s="10" t="s">
        <v>4790</v>
      </c>
      <c r="E175" s="20"/>
      <c r="F175" s="19"/>
      <c r="G175" s="19"/>
      <c r="H175" s="20"/>
      <c r="I175" s="26"/>
      <c r="J175" s="26"/>
      <c r="K175" s="26"/>
      <c r="L175" s="26"/>
    </row>
    <row r="176" s="24" customFormat="1" spans="2:12">
      <c r="B176" s="19" t="s">
        <v>5085</v>
      </c>
      <c r="C176" s="19" t="s">
        <v>275</v>
      </c>
      <c r="D176" s="10" t="s">
        <v>4792</v>
      </c>
      <c r="E176" s="20"/>
      <c r="F176" s="19"/>
      <c r="G176" s="19"/>
      <c r="H176" s="20"/>
      <c r="I176" s="26"/>
      <c r="J176" s="26"/>
      <c r="K176" s="26"/>
      <c r="L176" s="26"/>
    </row>
    <row r="177" s="24" customFormat="1" spans="2:12">
      <c r="B177" s="19" t="s">
        <v>5086</v>
      </c>
      <c r="C177" s="19" t="s">
        <v>275</v>
      </c>
      <c r="D177" s="10" t="s">
        <v>4794</v>
      </c>
      <c r="E177" s="20"/>
      <c r="F177" s="19"/>
      <c r="G177" s="19"/>
      <c r="H177" s="20"/>
      <c r="I177" s="26"/>
      <c r="J177" s="26"/>
      <c r="K177" s="26"/>
      <c r="L177" s="26"/>
    </row>
    <row r="178" s="24" customFormat="1" spans="2:12">
      <c r="B178" s="19" t="s">
        <v>5087</v>
      </c>
      <c r="C178" s="19" t="s">
        <v>275</v>
      </c>
      <c r="D178" s="10" t="s">
        <v>4796</v>
      </c>
      <c r="E178" s="20"/>
      <c r="F178" s="19"/>
      <c r="G178" s="19"/>
      <c r="H178" s="20"/>
      <c r="I178" s="26"/>
      <c r="J178" s="26"/>
      <c r="K178" s="26"/>
      <c r="L178" s="26"/>
    </row>
    <row r="179" s="24" customFormat="1" spans="2:12">
      <c r="B179" s="19" t="s">
        <v>5088</v>
      </c>
      <c r="C179" s="19" t="s">
        <v>275</v>
      </c>
      <c r="D179" s="10" t="s">
        <v>4798</v>
      </c>
      <c r="E179" s="20"/>
      <c r="F179" s="19"/>
      <c r="G179" s="19"/>
      <c r="H179" s="20"/>
      <c r="I179" s="26"/>
      <c r="J179" s="26"/>
      <c r="K179" s="26"/>
      <c r="L179" s="26"/>
    </row>
    <row r="180" s="24" customFormat="1" spans="2:12">
      <c r="B180" s="19" t="s">
        <v>5089</v>
      </c>
      <c r="C180" s="19" t="s">
        <v>275</v>
      </c>
      <c r="D180" s="10" t="s">
        <v>4800</v>
      </c>
      <c r="E180" s="20"/>
      <c r="F180" s="19"/>
      <c r="G180" s="19"/>
      <c r="H180" s="20"/>
      <c r="I180" s="26"/>
      <c r="J180" s="26"/>
      <c r="K180" s="26"/>
      <c r="L180" s="26"/>
    </row>
    <row r="181" s="24" customFormat="1" ht="26.4" spans="2:12">
      <c r="B181" s="19" t="s">
        <v>5090</v>
      </c>
      <c r="C181" s="19" t="s">
        <v>275</v>
      </c>
      <c r="D181" s="10" t="s">
        <v>4802</v>
      </c>
      <c r="E181" s="20"/>
      <c r="F181" s="19"/>
      <c r="G181" s="19"/>
      <c r="H181" s="20"/>
      <c r="I181" s="26"/>
      <c r="J181" s="26"/>
      <c r="K181" s="26"/>
      <c r="L181" s="26"/>
    </row>
    <row r="182" s="24" customFormat="1" spans="2:12">
      <c r="B182" s="19" t="s">
        <v>5091</v>
      </c>
      <c r="C182" s="19" t="s">
        <v>275</v>
      </c>
      <c r="D182" s="10" t="s">
        <v>4804</v>
      </c>
      <c r="E182" s="20"/>
      <c r="F182" s="19"/>
      <c r="G182" s="19"/>
      <c r="H182" s="20"/>
      <c r="I182" s="26"/>
      <c r="J182" s="26"/>
      <c r="K182" s="26"/>
      <c r="L182" s="26"/>
    </row>
    <row r="183" s="24" customFormat="1" spans="2:12">
      <c r="B183" s="19" t="s">
        <v>5092</v>
      </c>
      <c r="C183" s="19" t="s">
        <v>275</v>
      </c>
      <c r="D183" s="10" t="s">
        <v>4806</v>
      </c>
      <c r="E183" s="20"/>
      <c r="F183" s="19"/>
      <c r="G183" s="19"/>
      <c r="H183" s="20"/>
      <c r="I183" s="26"/>
      <c r="J183" s="26"/>
      <c r="K183" s="26"/>
      <c r="L183" s="26"/>
    </row>
    <row r="184" s="24" customFormat="1" ht="26.4" spans="2:12">
      <c r="B184" s="19" t="s">
        <v>5093</v>
      </c>
      <c r="C184" s="19" t="s">
        <v>275</v>
      </c>
      <c r="D184" s="10" t="s">
        <v>4808</v>
      </c>
      <c r="E184" s="20"/>
      <c r="F184" s="19"/>
      <c r="G184" s="19"/>
      <c r="H184" s="20"/>
      <c r="I184" s="26"/>
      <c r="J184" s="26"/>
      <c r="K184" s="26"/>
      <c r="L184" s="26"/>
    </row>
    <row r="185" s="24" customFormat="1" spans="2:12">
      <c r="B185" s="19" t="s">
        <v>5094</v>
      </c>
      <c r="C185" s="19" t="s">
        <v>275</v>
      </c>
      <c r="D185" s="10" t="s">
        <v>4810</v>
      </c>
      <c r="E185" s="20"/>
      <c r="F185" s="19"/>
      <c r="G185" s="19"/>
      <c r="H185" s="20"/>
      <c r="I185" s="26"/>
      <c r="J185" s="26"/>
      <c r="K185" s="26"/>
      <c r="L185" s="26"/>
    </row>
    <row r="186" s="24" customFormat="1" ht="26.4" spans="2:12">
      <c r="B186" s="19" t="s">
        <v>5095</v>
      </c>
      <c r="C186" s="19" t="s">
        <v>275</v>
      </c>
      <c r="D186" s="10" t="s">
        <v>4812</v>
      </c>
      <c r="E186" s="20"/>
      <c r="F186" s="19"/>
      <c r="G186" s="19"/>
      <c r="H186" s="20"/>
      <c r="I186" s="26"/>
      <c r="J186" s="26"/>
      <c r="K186" s="26"/>
      <c r="L186" s="26"/>
    </row>
    <row r="187" s="24" customFormat="1" ht="26.4" spans="2:12">
      <c r="B187" s="19" t="s">
        <v>5096</v>
      </c>
      <c r="C187" s="19" t="s">
        <v>275</v>
      </c>
      <c r="D187" s="10" t="s">
        <v>4814</v>
      </c>
      <c r="E187" s="20"/>
      <c r="F187" s="19"/>
      <c r="G187" s="19"/>
      <c r="H187" s="20"/>
      <c r="I187" s="26"/>
      <c r="J187" s="26"/>
      <c r="K187" s="26"/>
      <c r="L187" s="26"/>
    </row>
    <row r="188" s="24" customFormat="1" spans="2:12">
      <c r="B188" s="19" t="s">
        <v>5097</v>
      </c>
      <c r="C188" s="19" t="s">
        <v>275</v>
      </c>
      <c r="D188" s="10" t="s">
        <v>4816</v>
      </c>
      <c r="E188" s="20"/>
      <c r="F188" s="19"/>
      <c r="G188" s="19"/>
      <c r="H188" s="20"/>
      <c r="I188" s="26"/>
      <c r="J188" s="26"/>
      <c r="K188" s="26"/>
      <c r="L188" s="26"/>
    </row>
    <row r="189" s="24" customFormat="1" ht="26.4" spans="2:12">
      <c r="B189" s="19" t="s">
        <v>5098</v>
      </c>
      <c r="C189" s="19" t="s">
        <v>275</v>
      </c>
      <c r="D189" s="10" t="s">
        <v>4818</v>
      </c>
      <c r="E189" s="20"/>
      <c r="F189" s="19"/>
      <c r="G189" s="19"/>
      <c r="H189" s="20"/>
      <c r="I189" s="26"/>
      <c r="J189" s="26"/>
      <c r="K189" s="26"/>
      <c r="L189" s="26"/>
    </row>
    <row r="190" s="24" customFormat="1" ht="26.4" spans="2:12">
      <c r="B190" s="19" t="s">
        <v>5099</v>
      </c>
      <c r="C190" s="19" t="s">
        <v>275</v>
      </c>
      <c r="D190" s="10" t="s">
        <v>4820</v>
      </c>
      <c r="E190" s="20"/>
      <c r="F190" s="19"/>
      <c r="G190" s="19"/>
      <c r="H190" s="20"/>
      <c r="I190" s="26"/>
      <c r="J190" s="26"/>
      <c r="K190" s="26"/>
      <c r="L190" s="26"/>
    </row>
    <row r="191" s="24" customFormat="1" ht="26.4" spans="2:12">
      <c r="B191" s="19" t="s">
        <v>5100</v>
      </c>
      <c r="C191" s="19" t="s">
        <v>275</v>
      </c>
      <c r="D191" s="10" t="s">
        <v>4822</v>
      </c>
      <c r="E191" s="20"/>
      <c r="F191" s="19"/>
      <c r="G191" s="19"/>
      <c r="H191" s="20"/>
      <c r="I191" s="26"/>
      <c r="J191" s="26"/>
      <c r="K191" s="26"/>
      <c r="L191" s="26"/>
    </row>
    <row r="192" s="24" customFormat="1" ht="26.4" spans="2:12">
      <c r="B192" s="19" t="s">
        <v>5101</v>
      </c>
      <c r="C192" s="19" t="s">
        <v>275</v>
      </c>
      <c r="D192" s="10" t="s">
        <v>4824</v>
      </c>
      <c r="E192" s="20"/>
      <c r="F192" s="19"/>
      <c r="G192" s="19"/>
      <c r="H192" s="20"/>
      <c r="I192" s="26"/>
      <c r="J192" s="26"/>
      <c r="K192" s="26"/>
      <c r="L192" s="26"/>
    </row>
    <row r="193" s="24" customFormat="1" spans="2:12">
      <c r="B193" s="19" t="s">
        <v>5102</v>
      </c>
      <c r="C193" s="19" t="s">
        <v>275</v>
      </c>
      <c r="D193" s="10" t="s">
        <v>4826</v>
      </c>
      <c r="E193" s="20"/>
      <c r="F193" s="19"/>
      <c r="G193" s="19"/>
      <c r="H193" s="20"/>
      <c r="I193" s="26"/>
      <c r="J193" s="26"/>
      <c r="K193" s="26"/>
      <c r="L193" s="26"/>
    </row>
    <row r="194" s="24" customFormat="1" ht="26.4" spans="2:12">
      <c r="B194" s="19" t="s">
        <v>5103</v>
      </c>
      <c r="C194" s="19" t="s">
        <v>275</v>
      </c>
      <c r="D194" s="10" t="s">
        <v>4828</v>
      </c>
      <c r="E194" s="20"/>
      <c r="F194" s="19"/>
      <c r="G194" s="19"/>
      <c r="H194" s="20"/>
      <c r="I194" s="26"/>
      <c r="J194" s="26"/>
      <c r="K194" s="26"/>
      <c r="L194" s="26"/>
    </row>
    <row r="195" s="24" customFormat="1" ht="26.4" spans="2:12">
      <c r="B195" s="19" t="s">
        <v>5104</v>
      </c>
      <c r="C195" s="19" t="s">
        <v>275</v>
      </c>
      <c r="D195" s="10" t="s">
        <v>4830</v>
      </c>
      <c r="E195" s="20"/>
      <c r="F195" s="19"/>
      <c r="G195" s="19"/>
      <c r="H195" s="20"/>
      <c r="I195" s="26"/>
      <c r="J195" s="26"/>
      <c r="K195" s="26"/>
      <c r="L195" s="26"/>
    </row>
    <row r="196" s="24" customFormat="1" spans="2:12">
      <c r="B196" s="19" t="s">
        <v>5105</v>
      </c>
      <c r="C196" s="19" t="s">
        <v>275</v>
      </c>
      <c r="D196" s="10" t="s">
        <v>4832</v>
      </c>
      <c r="E196" s="20"/>
      <c r="F196" s="19"/>
      <c r="G196" s="19"/>
      <c r="H196" s="20"/>
      <c r="I196" s="26"/>
      <c r="J196" s="26"/>
      <c r="K196" s="26"/>
      <c r="L196" s="26"/>
    </row>
    <row r="197" s="24" customFormat="1" spans="2:12">
      <c r="B197" s="19" t="s">
        <v>5106</v>
      </c>
      <c r="C197" s="19" t="s">
        <v>275</v>
      </c>
      <c r="D197" s="10" t="s">
        <v>4834</v>
      </c>
      <c r="E197" s="20"/>
      <c r="F197" s="19"/>
      <c r="G197" s="19"/>
      <c r="H197" s="20"/>
      <c r="I197" s="26"/>
      <c r="J197" s="26"/>
      <c r="K197" s="26"/>
      <c r="L197" s="26"/>
    </row>
    <row r="198" s="24" customFormat="1" spans="2:12">
      <c r="B198" s="19" t="s">
        <v>5107</v>
      </c>
      <c r="C198" s="19" t="s">
        <v>275</v>
      </c>
      <c r="D198" s="10" t="s">
        <v>4836</v>
      </c>
      <c r="E198" s="20"/>
      <c r="F198" s="19"/>
      <c r="G198" s="19"/>
      <c r="H198" s="20"/>
      <c r="I198" s="26"/>
      <c r="J198" s="26"/>
      <c r="K198" s="26"/>
      <c r="L198" s="26"/>
    </row>
    <row r="199" s="24" customFormat="1" spans="2:12">
      <c r="B199" s="19" t="s">
        <v>5108</v>
      </c>
      <c r="C199" s="19" t="s">
        <v>275</v>
      </c>
      <c r="D199" s="10" t="s">
        <v>4838</v>
      </c>
      <c r="E199" s="20"/>
      <c r="F199" s="19"/>
      <c r="G199" s="19"/>
      <c r="H199" s="20"/>
      <c r="I199" s="26"/>
      <c r="J199" s="26"/>
      <c r="K199" s="26"/>
      <c r="L199" s="26"/>
    </row>
    <row r="200" s="24" customFormat="1" spans="2:12">
      <c r="B200" s="19" t="s">
        <v>5109</v>
      </c>
      <c r="C200" s="19" t="s">
        <v>275</v>
      </c>
      <c r="D200" s="10" t="s">
        <v>4840</v>
      </c>
      <c r="E200" s="20"/>
      <c r="F200" s="19"/>
      <c r="G200" s="19"/>
      <c r="H200" s="20"/>
      <c r="I200" s="26"/>
      <c r="J200" s="26"/>
      <c r="K200" s="26"/>
      <c r="L200" s="26"/>
    </row>
    <row r="201" s="24" customFormat="1" spans="2:12">
      <c r="B201" s="19" t="s">
        <v>5110</v>
      </c>
      <c r="C201" s="19" t="s">
        <v>275</v>
      </c>
      <c r="D201" s="10" t="s">
        <v>4842</v>
      </c>
      <c r="E201" s="20"/>
      <c r="F201" s="19"/>
      <c r="G201" s="19"/>
      <c r="H201" s="20"/>
      <c r="I201" s="26"/>
      <c r="J201" s="26"/>
      <c r="K201" s="26"/>
      <c r="L201" s="26"/>
    </row>
    <row r="202" s="24" customFormat="1" spans="2:12">
      <c r="B202" s="19" t="s">
        <v>5111</v>
      </c>
      <c r="C202" s="19" t="s">
        <v>275</v>
      </c>
      <c r="D202" s="10" t="s">
        <v>4844</v>
      </c>
      <c r="E202" s="20"/>
      <c r="F202" s="19"/>
      <c r="G202" s="19"/>
      <c r="H202" s="20"/>
      <c r="I202" s="26"/>
      <c r="J202" s="26"/>
      <c r="K202" s="26"/>
      <c r="L202" s="26"/>
    </row>
    <row r="203" s="24" customFormat="1" spans="2:12">
      <c r="B203" s="19" t="s">
        <v>5112</v>
      </c>
      <c r="C203" s="19" t="s">
        <v>275</v>
      </c>
      <c r="D203" s="10" t="s">
        <v>4846</v>
      </c>
      <c r="E203" s="20"/>
      <c r="F203" s="19"/>
      <c r="G203" s="19"/>
      <c r="H203" s="20"/>
      <c r="I203" s="26"/>
      <c r="J203" s="26"/>
      <c r="K203" s="26"/>
      <c r="L203" s="26"/>
    </row>
    <row r="204" s="24" customFormat="1" ht="26.4" spans="2:12">
      <c r="B204" s="19" t="s">
        <v>5113</v>
      </c>
      <c r="C204" s="19" t="s">
        <v>275</v>
      </c>
      <c r="D204" s="10" t="s">
        <v>4848</v>
      </c>
      <c r="E204" s="20"/>
      <c r="F204" s="19"/>
      <c r="G204" s="19"/>
      <c r="H204" s="20"/>
      <c r="I204" s="26"/>
      <c r="J204" s="26"/>
      <c r="K204" s="26"/>
      <c r="L204" s="26"/>
    </row>
    <row r="205" s="24" customFormat="1" ht="26.4" spans="2:12">
      <c r="B205" s="19" t="s">
        <v>5114</v>
      </c>
      <c r="C205" s="19" t="s">
        <v>275</v>
      </c>
      <c r="D205" s="10" t="s">
        <v>4850</v>
      </c>
      <c r="E205" s="20"/>
      <c r="F205" s="19"/>
      <c r="G205" s="19"/>
      <c r="H205" s="20"/>
      <c r="I205" s="26"/>
      <c r="J205" s="26"/>
      <c r="K205" s="26"/>
      <c r="L205" s="26"/>
    </row>
    <row r="206" s="24" customFormat="1" ht="26.4" spans="2:12">
      <c r="B206" s="19" t="s">
        <v>5115</v>
      </c>
      <c r="C206" s="19" t="s">
        <v>275</v>
      </c>
      <c r="D206" s="10" t="s">
        <v>4852</v>
      </c>
      <c r="E206" s="20"/>
      <c r="F206" s="19"/>
      <c r="G206" s="19"/>
      <c r="H206" s="20"/>
      <c r="I206" s="26"/>
      <c r="J206" s="26"/>
      <c r="K206" s="26"/>
      <c r="L206" s="26"/>
    </row>
    <row r="207" s="24" customFormat="1" ht="26.4" spans="2:12">
      <c r="B207" s="19" t="s">
        <v>5116</v>
      </c>
      <c r="C207" s="19" t="s">
        <v>275</v>
      </c>
      <c r="D207" s="10" t="s">
        <v>4854</v>
      </c>
      <c r="E207" s="20"/>
      <c r="F207" s="19"/>
      <c r="G207" s="19"/>
      <c r="H207" s="20"/>
      <c r="I207" s="26"/>
      <c r="J207" s="26"/>
      <c r="K207" s="26"/>
      <c r="L207" s="26"/>
    </row>
    <row r="208" s="24" customFormat="1" ht="26.4" spans="2:12">
      <c r="B208" s="19" t="s">
        <v>5117</v>
      </c>
      <c r="C208" s="19" t="s">
        <v>275</v>
      </c>
      <c r="D208" s="10" t="s">
        <v>5118</v>
      </c>
      <c r="E208" s="20"/>
      <c r="F208" s="19"/>
      <c r="G208" s="19"/>
      <c r="H208" s="20"/>
      <c r="I208" s="26"/>
      <c r="J208" s="26"/>
      <c r="K208" s="26"/>
      <c r="L208" s="26"/>
    </row>
    <row r="209" s="24" customFormat="1" ht="26.4" spans="2:12">
      <c r="B209" s="19" t="s">
        <v>5119</v>
      </c>
      <c r="C209" s="19" t="s">
        <v>275</v>
      </c>
      <c r="D209" s="10" t="s">
        <v>4858</v>
      </c>
      <c r="E209" s="20"/>
      <c r="F209" s="19"/>
      <c r="G209" s="19"/>
      <c r="H209" s="20"/>
      <c r="I209" s="26"/>
      <c r="J209" s="26"/>
      <c r="K209" s="26"/>
      <c r="L209" s="26"/>
    </row>
    <row r="210" s="24" customFormat="1" ht="26.4" spans="2:12">
      <c r="B210" s="19" t="s">
        <v>5120</v>
      </c>
      <c r="C210" s="19" t="s">
        <v>275</v>
      </c>
      <c r="D210" s="10" t="s">
        <v>4860</v>
      </c>
      <c r="E210" s="20"/>
      <c r="F210" s="19"/>
      <c r="G210" s="19"/>
      <c r="H210" s="20"/>
      <c r="I210" s="26"/>
      <c r="J210" s="26"/>
      <c r="K210" s="26"/>
      <c r="L210" s="26"/>
    </row>
    <row r="211" s="24" customFormat="1" ht="26.4" spans="2:12">
      <c r="B211" s="19" t="s">
        <v>5121</v>
      </c>
      <c r="C211" s="19" t="s">
        <v>275</v>
      </c>
      <c r="D211" s="10" t="s">
        <v>4862</v>
      </c>
      <c r="E211" s="20"/>
      <c r="F211" s="19"/>
      <c r="G211" s="19"/>
      <c r="H211" s="20"/>
      <c r="I211" s="26"/>
      <c r="J211" s="26"/>
      <c r="K211" s="26"/>
      <c r="L211" s="26"/>
    </row>
    <row r="212" s="24" customFormat="1" ht="26.4" spans="2:12">
      <c r="B212" s="19" t="s">
        <v>5122</v>
      </c>
      <c r="C212" s="19" t="s">
        <v>275</v>
      </c>
      <c r="D212" s="10" t="s">
        <v>4864</v>
      </c>
      <c r="E212" s="20"/>
      <c r="F212" s="19"/>
      <c r="G212" s="19"/>
      <c r="H212" s="20"/>
      <c r="I212" s="26"/>
      <c r="J212" s="26"/>
      <c r="K212" s="26"/>
      <c r="L212" s="26"/>
    </row>
    <row r="213" s="24" customFormat="1" ht="26.4" spans="2:12">
      <c r="B213" s="19" t="s">
        <v>5123</v>
      </c>
      <c r="C213" s="19" t="s">
        <v>275</v>
      </c>
      <c r="D213" s="10" t="s">
        <v>5124</v>
      </c>
      <c r="E213" s="20"/>
      <c r="F213" s="19"/>
      <c r="G213" s="19"/>
      <c r="H213" s="20"/>
      <c r="I213" s="26"/>
      <c r="J213" s="26"/>
      <c r="K213" s="26"/>
      <c r="L213" s="26"/>
    </row>
    <row r="214" s="24" customFormat="1" ht="26.4" spans="2:12">
      <c r="B214" s="19" t="s">
        <v>5125</v>
      </c>
      <c r="C214" s="19" t="s">
        <v>275</v>
      </c>
      <c r="D214" s="10" t="s">
        <v>4868</v>
      </c>
      <c r="E214" s="20"/>
      <c r="F214" s="19"/>
      <c r="G214" s="19"/>
      <c r="H214" s="20"/>
      <c r="I214" s="26"/>
      <c r="J214" s="26"/>
      <c r="K214" s="26"/>
      <c r="L214" s="26"/>
    </row>
    <row r="215" s="24" customFormat="1" ht="26.4" spans="2:12">
      <c r="B215" s="19" t="s">
        <v>5126</v>
      </c>
      <c r="C215" s="19" t="s">
        <v>275</v>
      </c>
      <c r="D215" s="10" t="s">
        <v>4870</v>
      </c>
      <c r="E215" s="20"/>
      <c r="F215" s="19"/>
      <c r="G215" s="19"/>
      <c r="H215" s="20"/>
      <c r="I215" s="26"/>
      <c r="J215" s="26"/>
      <c r="K215" s="26"/>
      <c r="L215" s="26"/>
    </row>
    <row r="216" s="24" customFormat="1" ht="26.4" spans="2:12">
      <c r="B216" s="19" t="s">
        <v>5127</v>
      </c>
      <c r="C216" s="19" t="s">
        <v>275</v>
      </c>
      <c r="D216" s="10" t="s">
        <v>4872</v>
      </c>
      <c r="E216" s="20"/>
      <c r="F216" s="19"/>
      <c r="G216" s="19"/>
      <c r="H216" s="20"/>
      <c r="I216" s="26"/>
      <c r="J216" s="26"/>
      <c r="K216" s="26"/>
      <c r="L216" s="26"/>
    </row>
    <row r="217" s="24" customFormat="1" ht="26.4" spans="2:12">
      <c r="B217" s="19" t="s">
        <v>5128</v>
      </c>
      <c r="C217" s="19" t="s">
        <v>275</v>
      </c>
      <c r="D217" s="10" t="s">
        <v>4874</v>
      </c>
      <c r="E217" s="20"/>
      <c r="F217" s="19"/>
      <c r="G217" s="19"/>
      <c r="H217" s="20"/>
      <c r="I217" s="26"/>
      <c r="J217" s="26"/>
      <c r="K217" s="26"/>
      <c r="L217" s="26"/>
    </row>
    <row r="218" s="24" customFormat="1" ht="26.4" spans="2:12">
      <c r="B218" s="19" t="s">
        <v>5129</v>
      </c>
      <c r="C218" s="19" t="s">
        <v>275</v>
      </c>
      <c r="D218" s="10" t="s">
        <v>5130</v>
      </c>
      <c r="E218" s="20"/>
      <c r="F218" s="19"/>
      <c r="G218" s="19"/>
      <c r="H218" s="20"/>
      <c r="I218" s="26"/>
      <c r="J218" s="26"/>
      <c r="K218" s="26"/>
      <c r="L218" s="26"/>
    </row>
    <row r="219" s="24" customFormat="1" ht="26.4" spans="2:12">
      <c r="B219" s="19" t="s">
        <v>5131</v>
      </c>
      <c r="C219" s="19" t="s">
        <v>275</v>
      </c>
      <c r="D219" s="10" t="s">
        <v>4878</v>
      </c>
      <c r="E219" s="20"/>
      <c r="F219" s="19"/>
      <c r="G219" s="19"/>
      <c r="H219" s="20"/>
      <c r="I219" s="26"/>
      <c r="J219" s="26"/>
      <c r="K219" s="26"/>
      <c r="L219" s="26"/>
    </row>
    <row r="220" s="24" customFormat="1" ht="26.4" spans="2:12">
      <c r="B220" s="19" t="s">
        <v>5132</v>
      </c>
      <c r="C220" s="19" t="s">
        <v>275</v>
      </c>
      <c r="D220" s="10" t="s">
        <v>4880</v>
      </c>
      <c r="E220" s="20"/>
      <c r="F220" s="19"/>
      <c r="G220" s="19"/>
      <c r="H220" s="20"/>
      <c r="I220" s="26"/>
      <c r="J220" s="26"/>
      <c r="K220" s="26"/>
      <c r="L220" s="26"/>
    </row>
    <row r="221" s="24" customFormat="1" ht="26.4" spans="2:12">
      <c r="B221" s="19" t="s">
        <v>5133</v>
      </c>
      <c r="C221" s="19" t="s">
        <v>275</v>
      </c>
      <c r="D221" s="10" t="s">
        <v>4882</v>
      </c>
      <c r="E221" s="20"/>
      <c r="F221" s="19"/>
      <c r="G221" s="19"/>
      <c r="H221" s="20"/>
      <c r="I221" s="26"/>
      <c r="J221" s="26"/>
      <c r="K221" s="26"/>
      <c r="L221" s="26"/>
    </row>
    <row r="222" s="24" customFormat="1" ht="26.4" spans="2:12">
      <c r="B222" s="19" t="s">
        <v>5134</v>
      </c>
      <c r="C222" s="19" t="s">
        <v>275</v>
      </c>
      <c r="D222" s="10" t="s">
        <v>4884</v>
      </c>
      <c r="E222" s="20"/>
      <c r="F222" s="19"/>
      <c r="G222" s="19"/>
      <c r="H222" s="20"/>
      <c r="I222" s="26"/>
      <c r="J222" s="26"/>
      <c r="K222" s="26"/>
      <c r="L222" s="26"/>
    </row>
    <row r="223" s="24" customFormat="1" ht="26.4" spans="2:12">
      <c r="B223" s="19" t="s">
        <v>5135</v>
      </c>
      <c r="C223" s="19" t="s">
        <v>275</v>
      </c>
      <c r="D223" s="10" t="s">
        <v>5136</v>
      </c>
      <c r="E223" s="20"/>
      <c r="F223" s="19"/>
      <c r="G223" s="19"/>
      <c r="H223" s="20"/>
      <c r="I223" s="26"/>
      <c r="J223" s="26"/>
      <c r="K223" s="26"/>
      <c r="L223" s="26"/>
    </row>
    <row r="224" s="24" customFormat="1" spans="2:12">
      <c r="B224" s="19" t="s">
        <v>5137</v>
      </c>
      <c r="C224" s="19" t="s">
        <v>275</v>
      </c>
      <c r="D224" s="10" t="s">
        <v>4888</v>
      </c>
      <c r="E224" s="20"/>
      <c r="F224" s="19"/>
      <c r="G224" s="19"/>
      <c r="H224" s="20"/>
      <c r="I224" s="26"/>
      <c r="J224" s="26"/>
      <c r="K224" s="26"/>
      <c r="L224" s="26"/>
    </row>
    <row r="225" s="24" customFormat="1" spans="2:12">
      <c r="B225" s="19" t="s">
        <v>5138</v>
      </c>
      <c r="C225" s="19" t="s">
        <v>275</v>
      </c>
      <c r="D225" s="10" t="s">
        <v>4890</v>
      </c>
      <c r="E225" s="20"/>
      <c r="F225" s="19"/>
      <c r="G225" s="19"/>
      <c r="H225" s="20"/>
      <c r="I225" s="26"/>
      <c r="J225" s="26"/>
      <c r="K225" s="26"/>
      <c r="L225" s="26"/>
    </row>
    <row r="226" s="24" customFormat="1" spans="2:12">
      <c r="B226" s="19" t="s">
        <v>5139</v>
      </c>
      <c r="C226" s="19" t="s">
        <v>275</v>
      </c>
      <c r="D226" s="10" t="s">
        <v>4892</v>
      </c>
      <c r="E226" s="20"/>
      <c r="F226" s="19"/>
      <c r="G226" s="19"/>
      <c r="H226" s="20"/>
      <c r="I226" s="26"/>
      <c r="J226" s="26"/>
      <c r="K226" s="26"/>
      <c r="L226" s="26"/>
    </row>
    <row r="227" s="24" customFormat="1" spans="2:12">
      <c r="B227" s="19" t="s">
        <v>5140</v>
      </c>
      <c r="C227" s="19" t="s">
        <v>275</v>
      </c>
      <c r="D227" s="10" t="s">
        <v>4894</v>
      </c>
      <c r="E227" s="20"/>
      <c r="F227" s="19"/>
      <c r="G227" s="19"/>
      <c r="H227" s="20"/>
      <c r="I227" s="26"/>
      <c r="J227" s="26"/>
      <c r="K227" s="26"/>
      <c r="L227" s="26"/>
    </row>
    <row r="228" s="24" customFormat="1" spans="2:12">
      <c r="B228" s="19" t="s">
        <v>5141</v>
      </c>
      <c r="C228" s="19" t="s">
        <v>275</v>
      </c>
      <c r="D228" s="10" t="s">
        <v>5142</v>
      </c>
      <c r="E228" s="20"/>
      <c r="F228" s="19"/>
      <c r="G228" s="19"/>
      <c r="H228" s="20"/>
      <c r="I228" s="26"/>
      <c r="J228" s="26"/>
      <c r="K228" s="26"/>
      <c r="L228" s="26"/>
    </row>
    <row r="229" s="24" customFormat="1" spans="2:12">
      <c r="B229" s="19" t="s">
        <v>5143</v>
      </c>
      <c r="C229" s="19" t="s">
        <v>275</v>
      </c>
      <c r="D229" s="10" t="s">
        <v>4898</v>
      </c>
      <c r="E229" s="20"/>
      <c r="F229" s="19"/>
      <c r="G229" s="19"/>
      <c r="H229" s="20"/>
      <c r="I229" s="26"/>
      <c r="J229" s="26"/>
      <c r="K229" s="26"/>
      <c r="L229" s="26"/>
    </row>
    <row r="230" s="24" customFormat="1" spans="2:12">
      <c r="B230" s="19" t="s">
        <v>5144</v>
      </c>
      <c r="C230" s="19" t="s">
        <v>275</v>
      </c>
      <c r="D230" s="10" t="s">
        <v>4900</v>
      </c>
      <c r="E230" s="20"/>
      <c r="F230" s="19"/>
      <c r="G230" s="19"/>
      <c r="H230" s="20"/>
      <c r="I230" s="26"/>
      <c r="J230" s="26"/>
      <c r="K230" s="26"/>
      <c r="L230" s="26"/>
    </row>
    <row r="231" s="24" customFormat="1" spans="2:12">
      <c r="B231" s="19" t="s">
        <v>5145</v>
      </c>
      <c r="C231" s="19" t="s">
        <v>275</v>
      </c>
      <c r="D231" s="10" t="s">
        <v>4902</v>
      </c>
      <c r="E231" s="20"/>
      <c r="F231" s="19"/>
      <c r="G231" s="19"/>
      <c r="H231" s="20"/>
      <c r="I231" s="26"/>
      <c r="J231" s="26"/>
      <c r="K231" s="26"/>
      <c r="L231" s="26"/>
    </row>
    <row r="232" s="24" customFormat="1" spans="2:12">
      <c r="B232" s="19" t="s">
        <v>5146</v>
      </c>
      <c r="C232" s="19" t="s">
        <v>275</v>
      </c>
      <c r="D232" s="10" t="s">
        <v>4904</v>
      </c>
      <c r="E232" s="20"/>
      <c r="F232" s="19"/>
      <c r="G232" s="19"/>
      <c r="H232" s="20"/>
      <c r="I232" s="26"/>
      <c r="J232" s="26"/>
      <c r="K232" s="26"/>
      <c r="L232" s="26"/>
    </row>
    <row r="233" s="24" customFormat="1" spans="2:12">
      <c r="B233" s="19" t="s">
        <v>5147</v>
      </c>
      <c r="C233" s="19" t="s">
        <v>275</v>
      </c>
      <c r="D233" s="10" t="s">
        <v>5148</v>
      </c>
      <c r="E233" s="20"/>
      <c r="F233" s="19"/>
      <c r="G233" s="19"/>
      <c r="H233" s="20"/>
      <c r="I233" s="26"/>
      <c r="J233" s="26"/>
      <c r="K233" s="26"/>
      <c r="L233" s="26"/>
    </row>
    <row r="234" s="24" customFormat="1" ht="26.4" spans="2:12">
      <c r="B234" s="19" t="s">
        <v>5149</v>
      </c>
      <c r="C234" s="19" t="s">
        <v>275</v>
      </c>
      <c r="D234" s="10" t="s">
        <v>4908</v>
      </c>
      <c r="E234" s="20"/>
      <c r="F234" s="19"/>
      <c r="G234" s="19"/>
      <c r="H234" s="20"/>
      <c r="I234" s="26"/>
      <c r="J234" s="26"/>
      <c r="K234" s="26"/>
      <c r="L234" s="26"/>
    </row>
    <row r="235" s="24" customFormat="1" ht="26.4" spans="2:12">
      <c r="B235" s="19" t="s">
        <v>5150</v>
      </c>
      <c r="C235" s="19" t="s">
        <v>275</v>
      </c>
      <c r="D235" s="10" t="s">
        <v>4910</v>
      </c>
      <c r="E235" s="20"/>
      <c r="F235" s="19"/>
      <c r="G235" s="19"/>
      <c r="H235" s="20"/>
      <c r="I235" s="26"/>
      <c r="J235" s="26"/>
      <c r="K235" s="26"/>
      <c r="L235" s="26"/>
    </row>
    <row r="236" s="24" customFormat="1" ht="26.4" spans="2:12">
      <c r="B236" s="19" t="s">
        <v>5151</v>
      </c>
      <c r="C236" s="19" t="s">
        <v>275</v>
      </c>
      <c r="D236" s="10" t="s">
        <v>4912</v>
      </c>
      <c r="E236" s="20"/>
      <c r="F236" s="19"/>
      <c r="G236" s="19"/>
      <c r="H236" s="20"/>
      <c r="I236" s="26"/>
      <c r="J236" s="26"/>
      <c r="K236" s="26"/>
      <c r="L236" s="26"/>
    </row>
    <row r="237" s="24" customFormat="1" ht="26.4" spans="2:12">
      <c r="B237" s="19" t="s">
        <v>5152</v>
      </c>
      <c r="C237" s="19" t="s">
        <v>275</v>
      </c>
      <c r="D237" s="10" t="s">
        <v>4914</v>
      </c>
      <c r="E237" s="20"/>
      <c r="F237" s="19"/>
      <c r="G237" s="19"/>
      <c r="H237" s="20"/>
      <c r="I237" s="26"/>
      <c r="J237" s="26"/>
      <c r="K237" s="26"/>
      <c r="L237" s="26"/>
    </row>
    <row r="238" s="24" customFormat="1" ht="26.4" spans="2:12">
      <c r="B238" s="19" t="s">
        <v>5153</v>
      </c>
      <c r="C238" s="19" t="s">
        <v>275</v>
      </c>
      <c r="D238" s="10" t="s">
        <v>5154</v>
      </c>
      <c r="E238" s="20"/>
      <c r="F238" s="19"/>
      <c r="G238" s="19"/>
      <c r="H238" s="20"/>
      <c r="I238" s="26"/>
      <c r="J238" s="26"/>
      <c r="K238" s="26"/>
      <c r="L238" s="26"/>
    </row>
    <row r="239" s="24" customFormat="1" ht="26.4" spans="2:12">
      <c r="B239" s="19" t="s">
        <v>5155</v>
      </c>
      <c r="C239" s="19" t="s">
        <v>275</v>
      </c>
      <c r="D239" s="10" t="s">
        <v>4918</v>
      </c>
      <c r="E239" s="20"/>
      <c r="F239" s="19"/>
      <c r="G239" s="19"/>
      <c r="H239" s="20"/>
      <c r="I239" s="26"/>
      <c r="J239" s="26"/>
      <c r="K239" s="26"/>
      <c r="L239" s="26"/>
    </row>
    <row r="240" s="24" customFormat="1" spans="2:12">
      <c r="B240" s="19" t="s">
        <v>5156</v>
      </c>
      <c r="C240" s="19" t="s">
        <v>275</v>
      </c>
      <c r="D240" s="10" t="s">
        <v>4920</v>
      </c>
      <c r="E240" s="20"/>
      <c r="F240" s="19"/>
      <c r="G240" s="19"/>
      <c r="H240" s="20"/>
      <c r="I240" s="26"/>
      <c r="J240" s="26"/>
      <c r="K240" s="26"/>
      <c r="L240" s="26"/>
    </row>
    <row r="241" s="24" customFormat="1" spans="2:12">
      <c r="B241" s="19" t="s">
        <v>5157</v>
      </c>
      <c r="C241" s="19" t="s">
        <v>275</v>
      </c>
      <c r="D241" s="10" t="s">
        <v>4922</v>
      </c>
      <c r="E241" s="20"/>
      <c r="F241" s="19"/>
      <c r="G241" s="19"/>
      <c r="H241" s="20"/>
      <c r="I241" s="26"/>
      <c r="J241" s="26"/>
      <c r="K241" s="26"/>
      <c r="L241" s="26"/>
    </row>
    <row r="242" s="24" customFormat="1" ht="26.4" spans="2:12">
      <c r="B242" s="19" t="s">
        <v>5158</v>
      </c>
      <c r="C242" s="19" t="s">
        <v>275</v>
      </c>
      <c r="D242" s="10" t="s">
        <v>4924</v>
      </c>
      <c r="E242" s="20"/>
      <c r="F242" s="19"/>
      <c r="G242" s="19"/>
      <c r="H242" s="20"/>
      <c r="I242" s="26"/>
      <c r="J242" s="26"/>
      <c r="K242" s="26"/>
      <c r="L242" s="26"/>
    </row>
    <row r="243" s="24" customFormat="1" spans="2:12">
      <c r="B243" s="19" t="s">
        <v>5159</v>
      </c>
      <c r="C243" s="19" t="s">
        <v>275</v>
      </c>
      <c r="D243" s="10" t="s">
        <v>4926</v>
      </c>
      <c r="E243" s="20"/>
      <c r="F243" s="19"/>
      <c r="G243" s="19"/>
      <c r="H243" s="20"/>
      <c r="I243" s="26"/>
      <c r="J243" s="26"/>
      <c r="K243" s="26"/>
      <c r="L243" s="26"/>
    </row>
    <row r="244" s="24" customFormat="1" spans="2:12">
      <c r="B244" s="19" t="s">
        <v>5160</v>
      </c>
      <c r="C244" s="19" t="s">
        <v>275</v>
      </c>
      <c r="D244" s="10" t="s">
        <v>4928</v>
      </c>
      <c r="E244" s="20"/>
      <c r="F244" s="19"/>
      <c r="G244" s="19"/>
      <c r="H244" s="20"/>
      <c r="I244" s="26"/>
      <c r="J244" s="26"/>
      <c r="K244" s="26"/>
      <c r="L244" s="26"/>
    </row>
    <row r="245" s="24" customFormat="1" spans="2:12">
      <c r="B245" s="19" t="s">
        <v>5161</v>
      </c>
      <c r="C245" s="19" t="s">
        <v>275</v>
      </c>
      <c r="D245" s="10" t="s">
        <v>4930</v>
      </c>
      <c r="E245" s="20"/>
      <c r="F245" s="19"/>
      <c r="G245" s="19"/>
      <c r="H245" s="20"/>
      <c r="I245" s="26"/>
      <c r="J245" s="26"/>
      <c r="K245" s="26"/>
      <c r="L245" s="26"/>
    </row>
    <row r="246" s="24" customFormat="1" spans="2:12">
      <c r="B246" s="19" t="s">
        <v>5162</v>
      </c>
      <c r="C246" s="19" t="s">
        <v>275</v>
      </c>
      <c r="D246" s="10" t="s">
        <v>4932</v>
      </c>
      <c r="E246" s="20"/>
      <c r="F246" s="19"/>
      <c r="G246" s="19"/>
      <c r="H246" s="20"/>
      <c r="I246" s="26"/>
      <c r="J246" s="26"/>
      <c r="K246" s="26"/>
      <c r="L246" s="26"/>
    </row>
    <row r="247" s="24" customFormat="1" spans="2:12">
      <c r="B247" s="19" t="s">
        <v>5163</v>
      </c>
      <c r="C247" s="19" t="s">
        <v>275</v>
      </c>
      <c r="D247" s="10" t="s">
        <v>4934</v>
      </c>
      <c r="E247" s="20"/>
      <c r="F247" s="19"/>
      <c r="G247" s="19"/>
      <c r="H247" s="20"/>
      <c r="I247" s="26"/>
      <c r="J247" s="26"/>
      <c r="K247" s="26"/>
      <c r="L247" s="26"/>
    </row>
    <row r="248" s="24" customFormat="1" spans="2:12">
      <c r="B248" s="19" t="s">
        <v>5164</v>
      </c>
      <c r="C248" s="19" t="s">
        <v>275</v>
      </c>
      <c r="D248" s="10" t="s">
        <v>4936</v>
      </c>
      <c r="E248" s="20"/>
      <c r="F248" s="19"/>
      <c r="G248" s="19"/>
      <c r="H248" s="20"/>
      <c r="I248" s="26"/>
      <c r="J248" s="26"/>
      <c r="K248" s="26"/>
      <c r="L248" s="26"/>
    </row>
    <row r="249" s="24" customFormat="1" spans="2:12">
      <c r="B249" s="19" t="s">
        <v>5165</v>
      </c>
      <c r="C249" s="19" t="s">
        <v>275</v>
      </c>
      <c r="D249" s="10" t="s">
        <v>5166</v>
      </c>
      <c r="E249" s="20"/>
      <c r="F249" s="19"/>
      <c r="G249" s="19"/>
      <c r="H249" s="20"/>
      <c r="I249" s="26"/>
      <c r="J249" s="26"/>
      <c r="K249" s="26"/>
      <c r="L249" s="26"/>
    </row>
    <row r="250" s="24" customFormat="1" spans="2:12">
      <c r="B250" s="19" t="s">
        <v>5167</v>
      </c>
      <c r="C250" s="19" t="s">
        <v>275</v>
      </c>
      <c r="D250" s="10" t="s">
        <v>5168</v>
      </c>
      <c r="E250" s="20"/>
      <c r="F250" s="19"/>
      <c r="G250" s="19"/>
      <c r="H250" s="20"/>
      <c r="I250" s="26"/>
      <c r="J250" s="26"/>
      <c r="K250" s="26"/>
      <c r="L250" s="26"/>
    </row>
    <row r="251" s="24" customFormat="1" spans="2:12">
      <c r="B251" s="19" t="s">
        <v>5169</v>
      </c>
      <c r="C251" s="19" t="s">
        <v>275</v>
      </c>
      <c r="D251" s="10" t="s">
        <v>5170</v>
      </c>
      <c r="E251" s="20"/>
      <c r="F251" s="19"/>
      <c r="G251" s="19"/>
      <c r="H251" s="20"/>
      <c r="I251" s="26"/>
      <c r="J251" s="26"/>
      <c r="K251" s="26"/>
      <c r="L251" s="26"/>
    </row>
    <row r="252" s="24" customFormat="1" spans="2:12">
      <c r="B252" s="19" t="s">
        <v>5171</v>
      </c>
      <c r="C252" s="19" t="s">
        <v>275</v>
      </c>
      <c r="D252" s="10" t="s">
        <v>5172</v>
      </c>
      <c r="E252" s="20"/>
      <c r="F252" s="19"/>
      <c r="G252" s="19"/>
      <c r="H252" s="20"/>
      <c r="I252" s="26"/>
      <c r="J252" s="26"/>
      <c r="K252" s="26"/>
      <c r="L252" s="26"/>
    </row>
    <row r="253" s="24" customFormat="1" spans="2:12">
      <c r="B253" s="19" t="s">
        <v>3662</v>
      </c>
      <c r="C253" s="19" t="s">
        <v>275</v>
      </c>
      <c r="D253" s="10" t="s">
        <v>4361</v>
      </c>
      <c r="E253" s="20"/>
      <c r="F253" s="19"/>
      <c r="G253" s="19"/>
      <c r="H253" s="20"/>
      <c r="I253" s="26"/>
      <c r="J253" s="26"/>
      <c r="K253" s="26"/>
      <c r="L253" s="26"/>
    </row>
    <row r="254" s="24" customFormat="1" spans="2:12">
      <c r="B254" s="19" t="s">
        <v>4448</v>
      </c>
      <c r="C254" s="19" t="s">
        <v>275</v>
      </c>
      <c r="D254" s="10" t="s">
        <v>4449</v>
      </c>
      <c r="E254" s="20"/>
      <c r="F254" s="19"/>
      <c r="G254" s="19"/>
      <c r="H254" s="20"/>
      <c r="I254" s="26"/>
      <c r="J254" s="26"/>
      <c r="K254" s="26"/>
      <c r="L254" s="26"/>
    </row>
    <row r="255" s="24" customFormat="1" spans="2:12">
      <c r="B255" s="19" t="s">
        <v>4460</v>
      </c>
      <c r="C255" s="19" t="s">
        <v>275</v>
      </c>
      <c r="D255" s="10" t="s">
        <v>4461</v>
      </c>
      <c r="E255" s="20"/>
      <c r="F255" s="19"/>
      <c r="G255" s="19"/>
      <c r="H255" s="20"/>
      <c r="I255" s="26"/>
      <c r="J255" s="26"/>
      <c r="K255" s="26"/>
      <c r="L255" s="26"/>
    </row>
    <row r="256" s="24" customFormat="1" spans="2:12">
      <c r="B256" s="19" t="s">
        <v>4468</v>
      </c>
      <c r="C256" s="19" t="s">
        <v>216</v>
      </c>
      <c r="D256" s="10" t="s">
        <v>4469</v>
      </c>
      <c r="E256" s="20"/>
      <c r="F256" s="19"/>
      <c r="G256" s="19"/>
      <c r="H256" s="20"/>
      <c r="I256" s="26"/>
      <c r="J256" s="26"/>
      <c r="K256" s="26"/>
      <c r="L256" s="26"/>
    </row>
    <row r="257" s="24" customFormat="1" spans="2:12">
      <c r="B257" s="19" t="s">
        <v>5173</v>
      </c>
      <c r="C257" s="19" t="s">
        <v>275</v>
      </c>
      <c r="D257" s="10" t="s">
        <v>4443</v>
      </c>
      <c r="E257" s="20"/>
      <c r="F257" s="19"/>
      <c r="G257" s="19"/>
      <c r="H257" s="20"/>
      <c r="I257" s="26"/>
      <c r="J257" s="26"/>
      <c r="K257" s="26"/>
      <c r="L257" s="26"/>
    </row>
    <row r="258" s="24" customFormat="1" spans="2:12">
      <c r="B258" s="19" t="s">
        <v>2616</v>
      </c>
      <c r="C258" s="19" t="s">
        <v>275</v>
      </c>
      <c r="D258" s="10" t="s">
        <v>4417</v>
      </c>
      <c r="E258" s="20"/>
      <c r="F258" s="19"/>
      <c r="G258" s="19"/>
      <c r="H258" s="20"/>
      <c r="I258" s="26"/>
      <c r="J258" s="26"/>
      <c r="K258" s="26"/>
      <c r="L258" s="26"/>
    </row>
    <row r="259" s="24" customFormat="1" spans="2:12">
      <c r="B259" s="19" t="s">
        <v>2617</v>
      </c>
      <c r="C259" s="19" t="s">
        <v>275</v>
      </c>
      <c r="D259" s="10" t="s">
        <v>4418</v>
      </c>
      <c r="E259" s="20"/>
      <c r="F259" s="19"/>
      <c r="G259" s="19"/>
      <c r="H259" s="20"/>
      <c r="I259" s="26"/>
      <c r="J259" s="26"/>
      <c r="K259" s="26"/>
      <c r="L259" s="26"/>
    </row>
    <row r="260" s="24" customFormat="1" spans="2:12">
      <c r="B260" s="19" t="s">
        <v>1832</v>
      </c>
      <c r="C260" s="19" t="s">
        <v>216</v>
      </c>
      <c r="D260" s="10" t="s">
        <v>2017</v>
      </c>
      <c r="E260" s="20"/>
      <c r="F260" s="19"/>
      <c r="G260" s="19"/>
      <c r="H260" s="20"/>
      <c r="I260" s="26"/>
      <c r="J260" s="26"/>
      <c r="K260" s="26"/>
      <c r="L260" s="26"/>
    </row>
    <row r="261" s="24" customFormat="1" spans="2:12">
      <c r="B261" s="19" t="s">
        <v>1834</v>
      </c>
      <c r="C261" s="19" t="s">
        <v>216</v>
      </c>
      <c r="D261" s="10" t="s">
        <v>1835</v>
      </c>
      <c r="E261" s="20"/>
      <c r="F261" s="19"/>
      <c r="G261" s="19"/>
      <c r="H261" s="20"/>
      <c r="I261" s="26"/>
      <c r="J261" s="26"/>
      <c r="K261" s="26"/>
      <c r="L261" s="26"/>
    </row>
    <row r="262" s="24" customFormat="1" spans="2:12">
      <c r="B262" s="19" t="s">
        <v>1302</v>
      </c>
      <c r="C262" s="19" t="s">
        <v>220</v>
      </c>
      <c r="D262" s="10" t="s">
        <v>4337</v>
      </c>
      <c r="E262" s="20"/>
      <c r="F262" s="19"/>
      <c r="G262" s="19"/>
      <c r="H262" s="20"/>
      <c r="I262" s="26"/>
      <c r="J262" s="26"/>
      <c r="K262" s="26"/>
      <c r="L262" s="26"/>
    </row>
    <row r="263" s="24" customFormat="1" spans="2:12">
      <c r="B263" s="19" t="s">
        <v>4364</v>
      </c>
      <c r="C263" s="19" t="s">
        <v>216</v>
      </c>
      <c r="D263" s="10" t="s">
        <v>4365</v>
      </c>
      <c r="E263" s="20"/>
      <c r="F263" s="19"/>
      <c r="G263" s="19"/>
      <c r="H263" s="20"/>
      <c r="I263" s="26"/>
      <c r="J263" s="26"/>
      <c r="K263" s="26"/>
      <c r="L263" s="26"/>
    </row>
    <row r="264" s="24" customFormat="1" spans="2:12">
      <c r="B264" s="19" t="s">
        <v>4389</v>
      </c>
      <c r="C264" s="19" t="s">
        <v>275</v>
      </c>
      <c r="D264" s="10" t="s">
        <v>4390</v>
      </c>
      <c r="E264" s="27"/>
      <c r="F264" s="19"/>
      <c r="G264" s="19"/>
      <c r="H264" s="27"/>
      <c r="I264" s="26"/>
      <c r="J264" s="26"/>
      <c r="K264" s="26"/>
      <c r="L264" s="26"/>
    </row>
    <row r="265" s="24" customFormat="1" spans="2:12">
      <c r="B265" s="19" t="s">
        <v>4450</v>
      </c>
      <c r="C265" s="19" t="s">
        <v>216</v>
      </c>
      <c r="D265" s="10" t="s">
        <v>4451</v>
      </c>
      <c r="E265" s="27"/>
      <c r="F265" s="19"/>
      <c r="G265" s="19"/>
      <c r="H265" s="27"/>
      <c r="I265" s="26"/>
      <c r="J265" s="26"/>
      <c r="K265" s="26"/>
      <c r="L265" s="26"/>
    </row>
    <row r="266" s="24" customFormat="1" spans="2:12">
      <c r="B266" s="19" t="s">
        <v>5174</v>
      </c>
      <c r="C266" s="19" t="s">
        <v>275</v>
      </c>
      <c r="D266" s="10" t="s">
        <v>5175</v>
      </c>
      <c r="E266" s="27"/>
      <c r="F266" s="19"/>
      <c r="G266" s="19"/>
      <c r="H266" s="27"/>
      <c r="I266" s="26"/>
      <c r="J266" s="26"/>
      <c r="K266" s="26"/>
      <c r="L266" s="26"/>
    </row>
    <row r="267" s="25" customFormat="1" spans="2:12">
      <c r="B267" s="28" t="s">
        <v>4310</v>
      </c>
      <c r="C267" s="28" t="s">
        <v>275</v>
      </c>
      <c r="D267" s="29" t="s">
        <v>4096</v>
      </c>
      <c r="E267" s="30" t="s">
        <v>199</v>
      </c>
      <c r="F267" s="28"/>
      <c r="G267" s="28" t="s">
        <v>4311</v>
      </c>
      <c r="H267" s="30"/>
      <c r="I267" s="31" t="s">
        <v>1211</v>
      </c>
      <c r="J267" s="31" t="s">
        <v>345</v>
      </c>
      <c r="K267" s="31" t="s">
        <v>323</v>
      </c>
      <c r="L267" s="31" t="s">
        <v>339</v>
      </c>
    </row>
    <row r="268" s="25" customFormat="1" spans="2:12">
      <c r="B268" s="28" t="s">
        <v>4312</v>
      </c>
      <c r="C268" s="28" t="s">
        <v>275</v>
      </c>
      <c r="D268" s="29" t="s">
        <v>4099</v>
      </c>
      <c r="E268" s="30" t="s">
        <v>199</v>
      </c>
      <c r="F268" s="28"/>
      <c r="G268" s="28" t="s">
        <v>4313</v>
      </c>
      <c r="H268" s="30"/>
      <c r="I268" s="31" t="s">
        <v>1211</v>
      </c>
      <c r="J268" s="31" t="s">
        <v>345</v>
      </c>
      <c r="K268" s="31" t="s">
        <v>323</v>
      </c>
      <c r="L268" s="31" t="s">
        <v>339</v>
      </c>
    </row>
    <row r="269" s="25" customFormat="1" spans="2:12">
      <c r="B269" s="28" t="s">
        <v>1817</v>
      </c>
      <c r="C269" s="28" t="s">
        <v>216</v>
      </c>
      <c r="D269" s="29" t="s">
        <v>1818</v>
      </c>
      <c r="E269" s="30" t="s">
        <v>199</v>
      </c>
      <c r="F269" s="28"/>
      <c r="G269" s="28" t="s">
        <v>5176</v>
      </c>
      <c r="H269" s="30"/>
      <c r="I269" s="31" t="s">
        <v>1211</v>
      </c>
      <c r="J269" s="31" t="s">
        <v>345</v>
      </c>
      <c r="K269" s="31" t="s">
        <v>323</v>
      </c>
      <c r="L269" s="31" t="s">
        <v>339</v>
      </c>
    </row>
    <row r="270" s="25" customFormat="1" spans="2:12">
      <c r="B270" s="28" t="s">
        <v>1820</v>
      </c>
      <c r="C270" s="28" t="s">
        <v>216</v>
      </c>
      <c r="D270" s="29" t="s">
        <v>1821</v>
      </c>
      <c r="E270" s="30" t="s">
        <v>199</v>
      </c>
      <c r="F270" s="28"/>
      <c r="G270" s="28" t="s">
        <v>5177</v>
      </c>
      <c r="H270" s="30"/>
      <c r="I270" s="31" t="s">
        <v>1211</v>
      </c>
      <c r="J270" s="31" t="s">
        <v>345</v>
      </c>
      <c r="K270" s="31" t="s">
        <v>323</v>
      </c>
      <c r="L270" s="31" t="s">
        <v>339</v>
      </c>
    </row>
    <row r="271" s="2" customFormat="1" spans="1:12">
      <c r="A271" s="21"/>
      <c r="B271" s="22" t="s">
        <v>252</v>
      </c>
      <c r="C271" s="22" t="s">
        <v>220</v>
      </c>
      <c r="D271" s="22" t="s">
        <v>254</v>
      </c>
      <c r="E271" s="22"/>
      <c r="F271" s="22"/>
      <c r="G271" s="22"/>
      <c r="H271" s="22"/>
      <c r="I271" s="22"/>
      <c r="J271" s="22"/>
      <c r="K271" s="22"/>
      <c r="L271" s="22"/>
    </row>
    <row r="272" s="2" customFormat="1" spans="1:12">
      <c r="A272" s="21"/>
      <c r="B272" s="22" t="s">
        <v>255</v>
      </c>
      <c r="C272" s="22" t="s">
        <v>216</v>
      </c>
      <c r="D272" s="22" t="s">
        <v>256</v>
      </c>
      <c r="E272" s="22"/>
      <c r="F272" s="22"/>
      <c r="G272" s="22"/>
      <c r="H272" s="22"/>
      <c r="I272" s="22"/>
      <c r="J272" s="22"/>
      <c r="K272" s="22"/>
      <c r="L272" s="22"/>
    </row>
    <row r="273" s="2" customFormat="1" spans="1:12">
      <c r="A273" s="21"/>
      <c r="B273" s="22" t="s">
        <v>257</v>
      </c>
      <c r="C273" s="22" t="s">
        <v>220</v>
      </c>
      <c r="D273" s="22" t="s">
        <v>258</v>
      </c>
      <c r="E273" s="22"/>
      <c r="F273" s="22"/>
      <c r="G273" s="22"/>
      <c r="H273" s="22"/>
      <c r="I273" s="22"/>
      <c r="J273" s="22"/>
      <c r="K273" s="22"/>
      <c r="L273" s="22"/>
    </row>
  </sheetData>
  <autoFilter xmlns:etc="http://www.wps.cn/officeDocument/2017/etCustomData" ref="A13:N273" etc:filterBottomFollowUsedRange="0">
    <extLst/>
  </autoFilter>
  <mergeCells count="5">
    <mergeCell ref="B2:H2"/>
    <mergeCell ref="B3:H3"/>
    <mergeCell ref="B7:H7"/>
    <mergeCell ref="F9:G9"/>
    <mergeCell ref="B12:L12"/>
  </mergeCells>
  <pageMargins left="0.7" right="0.7" top="0.75" bottom="0.75" header="0.3" footer="0.3"/>
  <pageSetup paperSize="9" orientation="portrait"/>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zoomScale="85" zoomScaleNormal="85" workbookViewId="0">
      <pane ySplit="5" topLeftCell="A6" activePane="bottomLeft" state="frozen"/>
      <selection/>
      <selection pane="bottomLeft" activeCell="C5" sqref="C5:D5"/>
    </sheetView>
  </sheetViews>
  <sheetFormatPr defaultColWidth="9" defaultRowHeight="13.2"/>
  <cols>
    <col min="1" max="1" width="1.33333333333333" style="3" customWidth="1"/>
    <col min="2" max="2" width="23.6666666666667" style="3" customWidth="1"/>
    <col min="3" max="3" width="30.2222222222222" style="3" customWidth="1"/>
    <col min="4" max="4" width="30.4444444444444" style="3" customWidth="1"/>
    <col min="5" max="5" width="16.2222222222222" style="3" customWidth="1"/>
    <col min="6" max="7" width="24.8888888888889" style="3" customWidth="1"/>
    <col min="8" max="8" width="14.4444444444444" style="3" customWidth="1"/>
    <col min="9" max="9" width="8.33333333333333" style="3" customWidth="1"/>
    <col min="10" max="10" width="5.66666666666667" style="3" customWidth="1"/>
    <col min="11" max="11" width="9.66666666666667" style="3" customWidth="1"/>
    <col min="12" max="12" width="10.7777777777778" style="4" customWidth="1"/>
    <col min="13" max="16384" width="9" style="4"/>
  </cols>
  <sheetData>
    <row r="1" spans="2:2">
      <c r="B1" s="5" t="str">
        <f>HYPERLINK("#导航!a2","返回")</f>
        <v>返回</v>
      </c>
    </row>
    <row r="2" spans="2:8">
      <c r="B2" s="6"/>
      <c r="C2" s="6"/>
      <c r="D2" s="6"/>
      <c r="E2" s="6"/>
      <c r="F2" s="6"/>
      <c r="G2" s="6"/>
      <c r="H2" s="6"/>
    </row>
    <row r="3" spans="2:8">
      <c r="B3" s="7" t="s">
        <v>183</v>
      </c>
      <c r="C3" s="7"/>
      <c r="D3" s="7"/>
      <c r="E3" s="7"/>
      <c r="F3" s="7"/>
      <c r="G3" s="7"/>
      <c r="H3" s="7"/>
    </row>
    <row r="4" spans="2:8">
      <c r="B4" s="8" t="s">
        <v>4</v>
      </c>
      <c r="C4" s="8" t="s">
        <v>184</v>
      </c>
      <c r="D4" s="8" t="s">
        <v>185</v>
      </c>
      <c r="E4" s="8" t="s">
        <v>186</v>
      </c>
      <c r="F4" s="8" t="s">
        <v>187</v>
      </c>
      <c r="G4" s="8" t="s">
        <v>7</v>
      </c>
      <c r="H4" s="8" t="s">
        <v>188</v>
      </c>
    </row>
    <row r="5" spans="2:14">
      <c r="B5" s="9" t="s">
        <v>58</v>
      </c>
      <c r="C5" s="10" t="s">
        <v>180</v>
      </c>
      <c r="D5" s="10" t="s">
        <v>181</v>
      </c>
      <c r="E5" s="11" t="s">
        <v>1026</v>
      </c>
      <c r="F5" s="12"/>
      <c r="G5" s="13"/>
      <c r="H5" s="11"/>
      <c r="N5" s="3"/>
    </row>
    <row r="6" spans="2:8">
      <c r="B6" s="6"/>
      <c r="C6" s="6"/>
      <c r="D6" s="6"/>
      <c r="E6" s="6"/>
      <c r="F6" s="6"/>
      <c r="G6" s="6"/>
      <c r="H6" s="6"/>
    </row>
    <row r="7" spans="2:8">
      <c r="B7" s="7" t="s">
        <v>190</v>
      </c>
      <c r="C7" s="7"/>
      <c r="D7" s="7"/>
      <c r="E7" s="7"/>
      <c r="F7" s="7"/>
      <c r="G7" s="7"/>
      <c r="H7" s="7"/>
    </row>
    <row r="8" spans="2:8">
      <c r="B8" s="14" t="s">
        <v>191</v>
      </c>
      <c r="C8" s="14" t="s">
        <v>192</v>
      </c>
      <c r="D8" s="14" t="s">
        <v>193</v>
      </c>
      <c r="E8" s="14" t="s">
        <v>194</v>
      </c>
      <c r="F8" s="14" t="s">
        <v>195</v>
      </c>
      <c r="G8" s="14" t="s">
        <v>17</v>
      </c>
      <c r="H8" s="14" t="s">
        <v>196</v>
      </c>
    </row>
    <row r="9" spans="2:8">
      <c r="B9" s="11"/>
      <c r="C9" s="10" t="s">
        <v>177</v>
      </c>
      <c r="D9" s="10" t="s">
        <v>178</v>
      </c>
      <c r="E9" s="11" t="s">
        <v>199</v>
      </c>
      <c r="F9" s="11"/>
      <c r="G9" s="11"/>
      <c r="H9" s="15"/>
    </row>
    <row r="10" spans="2:8">
      <c r="B10" s="11"/>
      <c r="C10" s="10" t="s">
        <v>200</v>
      </c>
      <c r="D10" s="10" t="s">
        <v>201</v>
      </c>
      <c r="E10" s="11" t="s">
        <v>202</v>
      </c>
      <c r="F10" s="11" t="s">
        <v>266</v>
      </c>
      <c r="G10" s="11"/>
      <c r="H10" s="15"/>
    </row>
    <row r="11" spans="3:7">
      <c r="C11" s="16"/>
      <c r="D11" s="16"/>
      <c r="F11" s="17"/>
      <c r="G11" s="17"/>
    </row>
    <row r="12" spans="2:2">
      <c r="B12" s="3" t="s">
        <v>204</v>
      </c>
    </row>
    <row r="13" spans="2:12">
      <c r="B13" s="7" t="s">
        <v>204</v>
      </c>
      <c r="C13" s="7"/>
      <c r="D13" s="7"/>
      <c r="E13" s="7"/>
      <c r="F13" s="7"/>
      <c r="G13" s="7"/>
      <c r="H13" s="7"/>
      <c r="I13" s="7"/>
      <c r="J13" s="7"/>
      <c r="K13" s="7"/>
      <c r="L13" s="7"/>
    </row>
    <row r="14" ht="24" spans="2:12">
      <c r="B14" s="18" t="s">
        <v>205</v>
      </c>
      <c r="C14" s="18" t="s">
        <v>206</v>
      </c>
      <c r="D14" s="18" t="s">
        <v>207</v>
      </c>
      <c r="E14" s="18" t="s">
        <v>208</v>
      </c>
      <c r="F14" s="18" t="s">
        <v>209</v>
      </c>
      <c r="G14" s="18" t="s">
        <v>210</v>
      </c>
      <c r="H14" s="18" t="s">
        <v>211</v>
      </c>
      <c r="I14" s="18" t="s">
        <v>17</v>
      </c>
      <c r="J14" s="18" t="s">
        <v>212</v>
      </c>
      <c r="K14" s="18" t="s">
        <v>213</v>
      </c>
      <c r="L14" s="18" t="s">
        <v>214</v>
      </c>
    </row>
    <row r="15" s="1" customFormat="1" spans="2:12">
      <c r="B15" s="19" t="s">
        <v>1828</v>
      </c>
      <c r="C15" s="19" t="s">
        <v>216</v>
      </c>
      <c r="D15" s="19" t="s">
        <v>1829</v>
      </c>
      <c r="E15" s="20"/>
      <c r="F15" s="19" t="s">
        <v>255</v>
      </c>
      <c r="G15" s="19" t="s">
        <v>1829</v>
      </c>
      <c r="H15" s="20"/>
      <c r="I15" s="23"/>
      <c r="J15" s="23" t="s">
        <v>322</v>
      </c>
      <c r="K15" s="23" t="s">
        <v>323</v>
      </c>
      <c r="L15" s="23" t="s">
        <v>323</v>
      </c>
    </row>
    <row r="16" s="1" customFormat="1" spans="2:12">
      <c r="B16" s="19" t="s">
        <v>1026</v>
      </c>
      <c r="C16" s="19" t="s">
        <v>220</v>
      </c>
      <c r="D16" s="19" t="s">
        <v>66</v>
      </c>
      <c r="E16" s="20"/>
      <c r="F16" s="19" t="s">
        <v>257</v>
      </c>
      <c r="G16" s="19" t="s">
        <v>66</v>
      </c>
      <c r="H16" s="20"/>
      <c r="I16" s="23"/>
      <c r="J16" s="23" t="s">
        <v>322</v>
      </c>
      <c r="K16" s="23" t="s">
        <v>323</v>
      </c>
      <c r="L16" s="23" t="s">
        <v>323</v>
      </c>
    </row>
    <row r="17" s="1" customFormat="1" spans="2:12">
      <c r="B17" s="19" t="s">
        <v>1836</v>
      </c>
      <c r="C17" s="19" t="s">
        <v>216</v>
      </c>
      <c r="D17" s="10" t="s">
        <v>1876</v>
      </c>
      <c r="E17" s="20" t="s">
        <v>199</v>
      </c>
      <c r="F17" s="19" t="s">
        <v>1836</v>
      </c>
      <c r="G17" s="19" t="s">
        <v>218</v>
      </c>
      <c r="H17" s="20"/>
      <c r="I17" s="23"/>
      <c r="J17" s="23" t="s">
        <v>322</v>
      </c>
      <c r="K17" s="23" t="s">
        <v>323</v>
      </c>
      <c r="L17" s="23" t="s">
        <v>323</v>
      </c>
    </row>
    <row r="18" s="1" customFormat="1" spans="2:12">
      <c r="B18" s="19" t="s">
        <v>224</v>
      </c>
      <c r="C18" s="19" t="s">
        <v>216</v>
      </c>
      <c r="D18" s="10" t="s">
        <v>1869</v>
      </c>
      <c r="E18" s="20" t="s">
        <v>199</v>
      </c>
      <c r="F18" s="19" t="s">
        <v>224</v>
      </c>
      <c r="G18" s="19" t="s">
        <v>218</v>
      </c>
      <c r="H18" s="20"/>
      <c r="I18" s="23"/>
      <c r="J18" s="23" t="s">
        <v>322</v>
      </c>
      <c r="K18" s="23" t="s">
        <v>323</v>
      </c>
      <c r="L18" s="23" t="s">
        <v>323</v>
      </c>
    </row>
    <row r="19" s="1" customFormat="1" spans="2:12">
      <c r="B19" s="19" t="s">
        <v>267</v>
      </c>
      <c r="C19" s="19" t="s">
        <v>216</v>
      </c>
      <c r="D19" s="10" t="s">
        <v>294</v>
      </c>
      <c r="E19" s="20" t="s">
        <v>199</v>
      </c>
      <c r="F19" s="19" t="s">
        <v>267</v>
      </c>
      <c r="G19" s="19" t="s">
        <v>218</v>
      </c>
      <c r="H19" s="20"/>
      <c r="I19" s="23"/>
      <c r="J19" s="23" t="s">
        <v>322</v>
      </c>
      <c r="K19" s="23" t="s">
        <v>323</v>
      </c>
      <c r="L19" s="23" t="s">
        <v>323</v>
      </c>
    </row>
    <row r="20" s="1" customFormat="1" spans="2:12">
      <c r="B20" s="19" t="s">
        <v>1817</v>
      </c>
      <c r="C20" s="19" t="s">
        <v>216</v>
      </c>
      <c r="D20" s="10" t="s">
        <v>3209</v>
      </c>
      <c r="E20" s="20" t="s">
        <v>199</v>
      </c>
      <c r="F20" s="19"/>
      <c r="G20" s="19" t="s">
        <v>1846</v>
      </c>
      <c r="H20" s="20"/>
      <c r="I20" s="23"/>
      <c r="J20" s="23" t="s">
        <v>345</v>
      </c>
      <c r="K20" s="23" t="s">
        <v>323</v>
      </c>
      <c r="L20" s="23" t="s">
        <v>3211</v>
      </c>
    </row>
    <row r="21" s="1" customFormat="1" spans="2:12">
      <c r="B21" s="19" t="s">
        <v>1820</v>
      </c>
      <c r="C21" s="19" t="s">
        <v>216</v>
      </c>
      <c r="D21" s="10" t="s">
        <v>3212</v>
      </c>
      <c r="E21" s="20" t="s">
        <v>199</v>
      </c>
      <c r="F21" s="19"/>
      <c r="G21" s="19" t="s">
        <v>1847</v>
      </c>
      <c r="H21" s="20"/>
      <c r="I21" s="23"/>
      <c r="J21" s="23" t="s">
        <v>345</v>
      </c>
      <c r="K21" s="23" t="s">
        <v>323</v>
      </c>
      <c r="L21" s="23" t="s">
        <v>3211</v>
      </c>
    </row>
    <row r="22" s="1" customFormat="1" spans="2:12">
      <c r="B22" s="19" t="s">
        <v>5178</v>
      </c>
      <c r="C22" s="19" t="s">
        <v>275</v>
      </c>
      <c r="D22" s="10" t="s">
        <v>5179</v>
      </c>
      <c r="E22" s="20" t="s">
        <v>199</v>
      </c>
      <c r="F22" s="19"/>
      <c r="G22" s="19" t="s">
        <v>5180</v>
      </c>
      <c r="H22" s="20"/>
      <c r="I22" s="23"/>
      <c r="J22" s="23" t="s">
        <v>345</v>
      </c>
      <c r="K22" s="23" t="s">
        <v>323</v>
      </c>
      <c r="L22" s="23" t="s">
        <v>339</v>
      </c>
    </row>
    <row r="23" s="1" customFormat="1" spans="2:12">
      <c r="B23" s="19" t="s">
        <v>5181</v>
      </c>
      <c r="C23" s="19" t="s">
        <v>275</v>
      </c>
      <c r="D23" s="10" t="s">
        <v>5182</v>
      </c>
      <c r="E23" s="20" t="s">
        <v>199</v>
      </c>
      <c r="F23" s="19"/>
      <c r="G23" s="19" t="s">
        <v>5183</v>
      </c>
      <c r="H23" s="20"/>
      <c r="I23" s="23"/>
      <c r="J23" s="23" t="s">
        <v>345</v>
      </c>
      <c r="K23" s="23" t="s">
        <v>323</v>
      </c>
      <c r="L23" s="23" t="s">
        <v>339</v>
      </c>
    </row>
    <row r="24" s="1" customFormat="1" ht="26.4" spans="2:12">
      <c r="B24" s="19" t="s">
        <v>5184</v>
      </c>
      <c r="C24" s="19" t="s">
        <v>240</v>
      </c>
      <c r="D24" s="10" t="s">
        <v>5185</v>
      </c>
      <c r="E24" s="20" t="s">
        <v>199</v>
      </c>
      <c r="F24" s="19"/>
      <c r="G24" s="19" t="s">
        <v>5186</v>
      </c>
      <c r="H24" s="20"/>
      <c r="I24" s="23"/>
      <c r="J24" s="23" t="s">
        <v>345</v>
      </c>
      <c r="K24" s="23" t="s">
        <v>323</v>
      </c>
      <c r="L24" s="23" t="s">
        <v>1856</v>
      </c>
    </row>
    <row r="25" s="1" customFormat="1" ht="26.4" spans="2:12">
      <c r="B25" s="19" t="s">
        <v>4325</v>
      </c>
      <c r="C25" s="19" t="s">
        <v>275</v>
      </c>
      <c r="D25" s="10" t="s">
        <v>4326</v>
      </c>
      <c r="E25" s="20" t="s">
        <v>199</v>
      </c>
      <c r="F25" s="19"/>
      <c r="G25" s="19" t="s">
        <v>5187</v>
      </c>
      <c r="H25" s="20"/>
      <c r="I25" s="23"/>
      <c r="J25" s="23" t="s">
        <v>345</v>
      </c>
      <c r="K25" s="23" t="s">
        <v>323</v>
      </c>
      <c r="L25" s="23" t="s">
        <v>339</v>
      </c>
    </row>
    <row r="26" s="1" customFormat="1" ht="26.4" spans="2:12">
      <c r="B26" s="19" t="s">
        <v>4328</v>
      </c>
      <c r="C26" s="19" t="s">
        <v>275</v>
      </c>
      <c r="D26" s="10" t="s">
        <v>4329</v>
      </c>
      <c r="E26" s="20" t="s">
        <v>199</v>
      </c>
      <c r="F26" s="19"/>
      <c r="G26" s="19" t="s">
        <v>5188</v>
      </c>
      <c r="H26" s="20"/>
      <c r="I26" s="23"/>
      <c r="J26" s="23" t="s">
        <v>345</v>
      </c>
      <c r="K26" s="23" t="s">
        <v>323</v>
      </c>
      <c r="L26" s="23" t="s">
        <v>339</v>
      </c>
    </row>
    <row r="27" s="1" customFormat="1" spans="2:12">
      <c r="B27" s="19" t="s">
        <v>4310</v>
      </c>
      <c r="C27" s="19" t="s">
        <v>275</v>
      </c>
      <c r="D27" s="10" t="s">
        <v>4096</v>
      </c>
      <c r="E27" s="20" t="s">
        <v>199</v>
      </c>
      <c r="F27" s="19"/>
      <c r="G27" s="19" t="s">
        <v>4331</v>
      </c>
      <c r="H27" s="20"/>
      <c r="I27" s="23"/>
      <c r="J27" s="23" t="s">
        <v>345</v>
      </c>
      <c r="K27" s="23" t="s">
        <v>323</v>
      </c>
      <c r="L27" s="23" t="s">
        <v>339</v>
      </c>
    </row>
    <row r="28" s="1" customFormat="1" spans="2:12">
      <c r="B28" s="19" t="s">
        <v>4312</v>
      </c>
      <c r="C28" s="19" t="s">
        <v>275</v>
      </c>
      <c r="D28" s="10" t="s">
        <v>4332</v>
      </c>
      <c r="E28" s="20" t="s">
        <v>199</v>
      </c>
      <c r="F28" s="19"/>
      <c r="G28" s="19" t="s">
        <v>4333</v>
      </c>
      <c r="H28" s="20"/>
      <c r="I28" s="23"/>
      <c r="J28" s="23" t="s">
        <v>345</v>
      </c>
      <c r="K28" s="23" t="s">
        <v>323</v>
      </c>
      <c r="L28" s="23" t="s">
        <v>339</v>
      </c>
    </row>
    <row r="29" s="2" customFormat="1" spans="1:12">
      <c r="A29" s="21"/>
      <c r="B29" s="22" t="s">
        <v>252</v>
      </c>
      <c r="C29" s="22" t="s">
        <v>220</v>
      </c>
      <c r="D29" s="22" t="s">
        <v>254</v>
      </c>
      <c r="E29" s="22"/>
      <c r="F29" s="22"/>
      <c r="G29" s="22"/>
      <c r="H29" s="22"/>
      <c r="I29" s="22"/>
      <c r="J29" s="22"/>
      <c r="K29" s="22"/>
      <c r="L29" s="22"/>
    </row>
    <row r="30" s="2" customFormat="1" spans="1:12">
      <c r="A30" s="21"/>
      <c r="B30" s="22" t="s">
        <v>255</v>
      </c>
      <c r="C30" s="22" t="s">
        <v>216</v>
      </c>
      <c r="D30" s="22" t="s">
        <v>256</v>
      </c>
      <c r="E30" s="22"/>
      <c r="F30" s="22"/>
      <c r="G30" s="22"/>
      <c r="H30" s="22"/>
      <c r="I30" s="22"/>
      <c r="J30" s="22"/>
      <c r="K30" s="22"/>
      <c r="L30" s="22"/>
    </row>
    <row r="31" s="2" customFormat="1" spans="1:12">
      <c r="A31" s="21"/>
      <c r="B31" s="22" t="s">
        <v>257</v>
      </c>
      <c r="C31" s="22" t="s">
        <v>220</v>
      </c>
      <c r="D31" s="22" t="s">
        <v>258</v>
      </c>
      <c r="E31" s="22"/>
      <c r="F31" s="22"/>
      <c r="G31" s="22"/>
      <c r="H31" s="22"/>
      <c r="I31" s="22"/>
      <c r="J31" s="22"/>
      <c r="K31" s="22"/>
      <c r="L31" s="22"/>
    </row>
  </sheetData>
  <autoFilter xmlns:etc="http://www.wps.cn/officeDocument/2017/etCustomData" ref="A14:N31" etc:filterBottomFollowUsedRange="0">
    <extLst/>
  </autoFilter>
  <mergeCells count="6">
    <mergeCell ref="B2:H2"/>
    <mergeCell ref="B3:H3"/>
    <mergeCell ref="B7:H7"/>
    <mergeCell ref="F9:G9"/>
    <mergeCell ref="F10:G10"/>
    <mergeCell ref="B13:L1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51</vt:i4>
      </vt:variant>
    </vt:vector>
  </HeadingPairs>
  <TitlesOfParts>
    <vt:vector size="51" baseType="lpstr">
      <vt:lpstr>导航</vt:lpstr>
      <vt:lpstr>0.1</vt:lpstr>
      <vt:lpstr>0.2</vt:lpstr>
      <vt:lpstr>0.3</vt:lpstr>
      <vt:lpstr>0.4</vt:lpstr>
      <vt:lpstr>0.5</vt:lpstr>
      <vt:lpstr>0.6</vt:lpstr>
      <vt:lpstr>0.7</vt:lpstr>
      <vt:lpstr>0.8</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LRH</dc:creator>
  <cp:lastModifiedBy>张玉同</cp:lastModifiedBy>
  <dcterms:created xsi:type="dcterms:W3CDTF">2015-06-05T18:19:00Z</dcterms:created>
  <dcterms:modified xsi:type="dcterms:W3CDTF">2024-10-24T07:33:11Z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B3A5D0EF06FE410BB93D24BF9E6789EB_13</vt:lpwstr>
  </property>
  <property fmtid="{D5CDD505-2E9C-101B-9397-08002B2CF9AE}" pid="3" name="KSOProductBuildVer">
    <vt:lpwstr>2052-12.1.0.18608</vt:lpwstr>
  </property>
</Properties>
</file>